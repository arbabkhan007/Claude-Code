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come" sheetId="1" r:id="rId1"/>
    <sheet name="Project Dashboard" sheetId="2" r:id="rId2"/>
    <sheet name="Client &amp; Project Profile" sheetId="3" r:id="rId3"/>
    <sheet name="Room List" sheetId="4" r:id="rId4"/>
    <sheet name="Master FF&amp;E" sheetId="5" r:id="rId5"/>
    <sheet name="Furniture Schedule" sheetId="6" r:id="rId6"/>
    <sheet name="Fixtures Schedule" sheetId="7" r:id="rId7"/>
    <sheet name="Finishes Schedule" sheetId="8" r:id="rId8"/>
    <sheet name="Product Sourcing" sheetId="9" r:id="rId9"/>
    <sheet name="Vendor Database" sheetId="10" r:id="rId10"/>
    <sheet name="Budget Tracker" sheetId="11" r:id="rId11"/>
    <sheet name="Order Tracker" sheetId="12" r:id="rId12"/>
    <sheet name="Delivery &amp; Installation" sheetId="13" r:id="rId13"/>
    <sheet name="Client Approvals" sheetId="14" r:id="rId14"/>
    <sheet name="Project Timeline" sheetId="15" r:id="rId15"/>
    <sheet name="Task List" sheetId="16" r:id="rId16"/>
    <sheet name="Measurement Log" sheetId="17" r:id="rId17"/>
    <sheet name="Contractor Tracker" sheetId="18" r:id="rId18"/>
    <sheet name="Invoice &amp; Payment" sheetId="19" r:id="rId19"/>
    <sheet name="Project Notes" sheetId="20" r:id="rId20"/>
    <sheet name="Client FF&amp;E Report" sheetId="21" r:id="rId21"/>
    <sheet name="Room Budget Report" sheetId="22" r:id="rId22"/>
    <sheet name="Vendor Order Report" sheetId="23" r:id="rId23"/>
    <sheet name="Installation Checklist" sheetId="24" r:id="rId24"/>
    <sheet name="Final Punch List" sheetId="25" r:id="rId25"/>
    <sheet name="Lists" sheetId="26" state="hidden" r:id="rId26"/>
  </sheets>
  <definedNames>
    <definedName name="_xlnm._FilterDatabase" localSheetId="10" hidden="1">'Budget Tracker'!$A$3:$I$253</definedName>
    <definedName name="_xlnm._FilterDatabase" localSheetId="13" hidden="1">'Client Approvals'!$A$3:$J$253</definedName>
    <definedName name="_xlnm._FilterDatabase" localSheetId="17" hidden="1">'Contractor Tracker'!$A$3:$K$253</definedName>
    <definedName name="_xlnm._FilterDatabase" localSheetId="12" hidden="1">'Delivery &amp; Installation'!$A$3:$O$253</definedName>
    <definedName name="_xlnm._FilterDatabase" localSheetId="7" hidden="1">'Finishes Schedule'!$A$3:$O$253</definedName>
    <definedName name="_xlnm._FilterDatabase" localSheetId="6" hidden="1">'Fixtures Schedule'!$A$3:$N$253</definedName>
    <definedName name="_xlnm._FilterDatabase" localSheetId="5" hidden="1">'Furniture Schedule'!$A$3:$M$253</definedName>
    <definedName name="_xlnm._FilterDatabase" localSheetId="18" hidden="1">'Invoice &amp; Payment'!$A$3:$J$253</definedName>
    <definedName name="_xlnm._FilterDatabase" localSheetId="4" hidden="1">'Master FF&amp;E'!$A$3:$AA$253</definedName>
    <definedName name="_xlnm._FilterDatabase" localSheetId="16" hidden="1">'Measurement Log'!$A$3:$K$253</definedName>
    <definedName name="_xlnm._FilterDatabase" localSheetId="11" hidden="1">'Order Tracker'!$A$3:$P$253</definedName>
    <definedName name="_xlnm._FilterDatabase" localSheetId="8" hidden="1">'Product Sourcing'!$A$3:$M$253</definedName>
    <definedName name="_xlnm._FilterDatabase" localSheetId="19" hidden="1">'Project Notes'!$A$3:$H$253</definedName>
    <definedName name="_xlnm._FilterDatabase" localSheetId="14" hidden="1">'Project Timeline'!$A$3:$AJ$103</definedName>
    <definedName name="_xlnm._FilterDatabase" localSheetId="3" hidden="1">'Room List'!$A$3:$K$253</definedName>
    <definedName name="_xlnm._FilterDatabase" localSheetId="15" hidden="1">'Task List'!$A$3:$H$253</definedName>
    <definedName name="_xlnm._FilterDatabase" localSheetId="9" hidden="1">'Vendor Database'!$A$3:$L$253</definedName>
    <definedName name="ApprovalStatuses">Lists!$I$2:$I$8</definedName>
    <definedName name="ApprovalTrackerStatuses">Lists!$U$2:$U$7</definedName>
    <definedName name="ApprovalTypes">Lists!$T$2:$T$9</definedName>
    <definedName name="BillingMethods">Lists!$D$2:$D$5</definedName>
    <definedName name="BudgetCategories">Lists!$Q$2:$Q$15</definedName>
    <definedName name="Categories">Lists!$H$2:$H$19</definedName>
    <definedName name="DamageChecks">Lists!$S$2:$S$6</definedName>
    <definedName name="DeliveryStatuses">Lists!$K$2:$K$8</definedName>
    <definedName name="DesignStatuses">Lists!$G$2:$G$10</definedName>
    <definedName name="FinishTypes">Lists!$N$2:$N$14</definedName>
    <definedName name="FixtureTypes">Lists!$M$2:$M$12</definedName>
    <definedName name="InstallStatuses">Lists!$L$2:$L$8</definedName>
    <definedName name="InvoiceStatuses">Lists!$Z$2:$Z$7</definedName>
    <definedName name="MeasurementTypes">Lists!$X$2:$X$9</definedName>
    <definedName name="MeetingTypes">Lists!$AA$2:$AA$7</definedName>
    <definedName name="OrderStatuses">Lists!$J$2:$J$15</definedName>
    <definedName name="PaymentStatuses">Lists!$R$2:$R$9</definedName>
    <definedName name="Phases">Lists!$V$2:$V$13</definedName>
    <definedName name="_xlnm.Print_Titles" localSheetId="10">'Budget Tracker'!$1:$3</definedName>
    <definedName name="_xlnm.Print_Titles" localSheetId="13">'Client Approvals'!$1:$3</definedName>
    <definedName name="_xlnm.Print_Titles" localSheetId="20">'Client FF&amp;E Report'!$1:$4</definedName>
    <definedName name="_xlnm.Print_Titles" localSheetId="17">'Contractor Tracker'!$1:$3</definedName>
    <definedName name="_xlnm.Print_Titles" localSheetId="12">'Delivery &amp; Installation'!$1:$3</definedName>
    <definedName name="_xlnm.Print_Titles" localSheetId="24">'Final Punch List'!$1:$4</definedName>
    <definedName name="_xlnm.Print_Titles" localSheetId="7">'Finishes Schedule'!$1:$3</definedName>
    <definedName name="_xlnm.Print_Titles" localSheetId="6">'Fixtures Schedule'!$1:$3</definedName>
    <definedName name="_xlnm.Print_Titles" localSheetId="5">'Furniture Schedule'!$1:$3</definedName>
    <definedName name="_xlnm.Print_Titles" localSheetId="23">'Installation Checklist'!$1:$4</definedName>
    <definedName name="_xlnm.Print_Titles" localSheetId="18">'Invoice &amp; Payment'!$1:$3</definedName>
    <definedName name="_xlnm.Print_Titles" localSheetId="4">'Master FF&amp;E'!$1:$3</definedName>
    <definedName name="_xlnm.Print_Titles" localSheetId="16">'Measurement Log'!$1:$3</definedName>
    <definedName name="_xlnm.Print_Titles" localSheetId="11">'Order Tracker'!$1:$3</definedName>
    <definedName name="_xlnm.Print_Titles" localSheetId="8">'Product Sourcing'!$1:$3</definedName>
    <definedName name="_xlnm.Print_Titles" localSheetId="19">'Project Notes'!$1:$3</definedName>
    <definedName name="_xlnm.Print_Titles" localSheetId="14">'Project Timeline'!$1:$3</definedName>
    <definedName name="_xlnm.Print_Titles" localSheetId="21">'Room Budget Report'!$1:$4</definedName>
    <definedName name="_xlnm.Print_Titles" localSheetId="3">'Room List'!$1:$3</definedName>
    <definedName name="_xlnm.Print_Titles" localSheetId="15">'Task List'!$1:$3</definedName>
    <definedName name="_xlnm.Print_Titles" localSheetId="9">'Vendor Database'!$1:$3</definedName>
    <definedName name="_xlnm.Print_Titles" localSheetId="22">'Vendor Order Report'!$1:$4</definedName>
    <definedName name="Priorities">Lists!$F$2:$F$5</definedName>
    <definedName name="ProjectBudget">'Client &amp; Project Profile'!$B$13</definedName>
    <definedName name="ProjectStatuses">Lists!$C$2:$C$7</definedName>
    <definedName name="ProjectTypes">Lists!$B$2:$B$7</definedName>
    <definedName name="RoomNames">'Room List'!$A$4:$A$253</definedName>
    <definedName name="RoomTypes">Lists!$A$2:$A$12</definedName>
    <definedName name="Surfaces">Lists!$O$2:$O$11</definedName>
    <definedName name="TaskStatuses">Lists!$W$2:$W$7</definedName>
    <definedName name="Trades">Lists!$Y$2:$Y$13</definedName>
    <definedName name="VendorNames">'Vendor Database'!$A$4:$A$253</definedName>
    <definedName name="VendorTypes">Lists!$P$2:$P$15</definedName>
    <definedName name="YesNo">Lists!$E$2:$E$3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<sst xmlns="http://schemas.openxmlformats.org/spreadsheetml/2006/main" count="812" uniqueCount="503">
  <si>
    <t>RoomTypes</t>
  </si>
  <si>
    <t>Living room</t>
  </si>
  <si>
    <t>Bedroom</t>
  </si>
  <si>
    <t>Kitchen</t>
  </si>
  <si>
    <t>Bathroom</t>
  </si>
  <si>
    <t>Dining room</t>
  </si>
  <si>
    <t>Entryway</t>
  </si>
  <si>
    <t>Office</t>
  </si>
  <si>
    <t>Nursery</t>
  </si>
  <si>
    <t>Outdoor</t>
  </si>
  <si>
    <t>Commercial space</t>
  </si>
  <si>
    <t>Other</t>
  </si>
  <si>
    <t>ProjectTypes</t>
  </si>
  <si>
    <t>Residential</t>
  </si>
  <si>
    <t>Commercial</t>
  </si>
  <si>
    <t>Retail</t>
  </si>
  <si>
    <t>Hospitality</t>
  </si>
  <si>
    <t>Staging</t>
  </si>
  <si>
    <t>ProjectStatuses</t>
  </si>
  <si>
    <t>Not started</t>
  </si>
  <si>
    <t>Planning</t>
  </si>
  <si>
    <t>In progress</t>
  </si>
  <si>
    <t>On hold</t>
  </si>
  <si>
    <t>Complete</t>
  </si>
  <si>
    <t>Cancelled</t>
  </si>
  <si>
    <t>BillingMethods</t>
  </si>
  <si>
    <t>Flat fee</t>
  </si>
  <si>
    <t>Hourly</t>
  </si>
  <si>
    <t>Percentage</t>
  </si>
  <si>
    <t>Hybrid</t>
  </si>
  <si>
    <t>YesNo</t>
  </si>
  <si>
    <t>Yes</t>
  </si>
  <si>
    <t>No</t>
  </si>
  <si>
    <t>Priorities</t>
  </si>
  <si>
    <t>Low</t>
  </si>
  <si>
    <t>Medium</t>
  </si>
  <si>
    <t>High</t>
  </si>
  <si>
    <t>Urgent</t>
  </si>
  <si>
    <t>DesignStatuses</t>
  </si>
  <si>
    <t>Concept</t>
  </si>
  <si>
    <t>Sourcing</t>
  </si>
  <si>
    <t>Client review</t>
  </si>
  <si>
    <t>Approved</t>
  </si>
  <si>
    <t>Ordered</t>
  </si>
  <si>
    <t>Installed</t>
  </si>
  <si>
    <t>Categories</t>
  </si>
  <si>
    <t>Sofa</t>
  </si>
  <si>
    <t>Chair</t>
  </si>
  <si>
    <t>Table</t>
  </si>
  <si>
    <t>Bed</t>
  </si>
  <si>
    <t>Rug</t>
  </si>
  <si>
    <t>Lighting</t>
  </si>
  <si>
    <t>Artwork</t>
  </si>
  <si>
    <t>Mirror</t>
  </si>
  <si>
    <t>Window treatment</t>
  </si>
  <si>
    <t>Hardware</t>
  </si>
  <si>
    <t>Plumbing fixture</t>
  </si>
  <si>
    <t>Appliance</t>
  </si>
  <si>
    <t>Decor</t>
  </si>
  <si>
    <t>Textile</t>
  </si>
  <si>
    <t>Cabinetry</t>
  </si>
  <si>
    <t>Flooring</t>
  </si>
  <si>
    <t>Wallcovering</t>
  </si>
  <si>
    <t>ApprovalStatuses</t>
  </si>
  <si>
    <t>Not sent</t>
  </si>
  <si>
    <t>Sent</t>
  </si>
  <si>
    <t>Revisions requested</t>
  </si>
  <si>
    <t>Rejected</t>
  </si>
  <si>
    <t>OrderStatuses</t>
  </si>
  <si>
    <t>Not ordered</t>
  </si>
  <si>
    <t>Option selected</t>
  </si>
  <si>
    <t>Confirmed</t>
  </si>
  <si>
    <t>In production</t>
  </si>
  <si>
    <t>Shipped</t>
  </si>
  <si>
    <t>Delivered</t>
  </si>
  <si>
    <t>Delayed</t>
  </si>
  <si>
    <t>Returned</t>
  </si>
  <si>
    <t>Backordered</t>
  </si>
  <si>
    <t>DeliveryStatuses</t>
  </si>
  <si>
    <t>Not scheduled</t>
  </si>
  <si>
    <t>Scheduled</t>
  </si>
  <si>
    <t>In transit</t>
  </si>
  <si>
    <t>InstallStatuses</t>
  </si>
  <si>
    <t>Not ready</t>
  </si>
  <si>
    <t>Ready to install</t>
  </si>
  <si>
    <t>Punch list</t>
  </si>
  <si>
    <t>FixtureTypes</t>
  </si>
  <si>
    <t>Faucet</t>
  </si>
  <si>
    <t>Sink</t>
  </si>
  <si>
    <t>Shower fixture</t>
  </si>
  <si>
    <t>Tub</t>
  </si>
  <si>
    <t>Toilet</t>
  </si>
  <si>
    <t>Cabinet hardware</t>
  </si>
  <si>
    <t>Door hardware</t>
  </si>
  <si>
    <t>Electrical</t>
  </si>
  <si>
    <t>FinishTypes</t>
  </si>
  <si>
    <t>Paint</t>
  </si>
  <si>
    <t>Wallpaper</t>
  </si>
  <si>
    <t>Tile</t>
  </si>
  <si>
    <t>Countertop</t>
  </si>
  <si>
    <t>Backsplash</t>
  </si>
  <si>
    <t>Cabinet finish</t>
  </si>
  <si>
    <t>Fabric</t>
  </si>
  <si>
    <t>Trim</t>
  </si>
  <si>
    <t>Stone</t>
  </si>
  <si>
    <t>Wood</t>
  </si>
  <si>
    <t>Metal</t>
  </si>
  <si>
    <t>Surfaces</t>
  </si>
  <si>
    <t>Wall</t>
  </si>
  <si>
    <t>Ceiling</t>
  </si>
  <si>
    <t>Floor</t>
  </si>
  <si>
    <t>Cabinet</t>
  </si>
  <si>
    <t>Shower wall</t>
  </si>
  <si>
    <t>Upholstery</t>
  </si>
  <si>
    <t>Drapery</t>
  </si>
  <si>
    <t>VendorTypes</t>
  </si>
  <si>
    <t>Furniture</t>
  </si>
  <si>
    <t>Contractor</t>
  </si>
  <si>
    <t>Installer</t>
  </si>
  <si>
    <t>Workroom</t>
  </si>
  <si>
    <t>Custom furniture</t>
  </si>
  <si>
    <t>BudgetCategories</t>
  </si>
  <si>
    <t>Rugs</t>
  </si>
  <si>
    <t>Window treatments</t>
  </si>
  <si>
    <t>Paint/wallcovering</t>
  </si>
  <si>
    <t>Contractor labor</t>
  </si>
  <si>
    <t>Installation</t>
  </si>
  <si>
    <t>Shipping</t>
  </si>
  <si>
    <t>Taxes</t>
  </si>
  <si>
    <t>Design fee</t>
  </si>
  <si>
    <t>Contingency</t>
  </si>
  <si>
    <t>PaymentStatuses</t>
  </si>
  <si>
    <t>Not paid</t>
  </si>
  <si>
    <t>Deposit paid</t>
  </si>
  <si>
    <t>Partially paid</t>
  </si>
  <si>
    <t>Paid</t>
  </si>
  <si>
    <t>Overdue</t>
  </si>
  <si>
    <t>Draft</t>
  </si>
  <si>
    <t>DamageChecks</t>
  </si>
  <si>
    <t>Not checked</t>
  </si>
  <si>
    <t>Good condition</t>
  </si>
  <si>
    <t>Damaged</t>
  </si>
  <si>
    <t>Missing item</t>
  </si>
  <si>
    <t>Wrong item</t>
  </si>
  <si>
    <t>ApprovalTypes</t>
  </si>
  <si>
    <t>Finish</t>
  </si>
  <si>
    <t>Layout</t>
  </si>
  <si>
    <t>Color palette</t>
  </si>
  <si>
    <t>Budget</t>
  </si>
  <si>
    <t>Purchase</t>
  </si>
  <si>
    <t>Vendor</t>
  </si>
  <si>
    <t>Design concept</t>
  </si>
  <si>
    <t>ApprovalTrackerStatuses</t>
  </si>
  <si>
    <t>Phases</t>
  </si>
  <si>
    <t>Consultation</t>
  </si>
  <si>
    <t>Measurements</t>
  </si>
  <si>
    <t>Concept design</t>
  </si>
  <si>
    <t>Client approval</t>
  </si>
  <si>
    <t>Purchasing</t>
  </si>
  <si>
    <t>Construction</t>
  </si>
  <si>
    <t>Delivery</t>
  </si>
  <si>
    <t>Styling</t>
  </si>
  <si>
    <t>Final reveal</t>
  </si>
  <si>
    <t>TaskStatuses</t>
  </si>
  <si>
    <t>Waiting on client</t>
  </si>
  <si>
    <t>Waiting on vendor</t>
  </si>
  <si>
    <t>MeasurementTypes</t>
  </si>
  <si>
    <t>Room</t>
  </si>
  <si>
    <t>Window</t>
  </si>
  <si>
    <t>Door</t>
  </si>
  <si>
    <t>Furniture space</t>
  </si>
  <si>
    <t>Rug area</t>
  </si>
  <si>
    <t>Lighting location</t>
  </si>
  <si>
    <t>Trades</t>
  </si>
  <si>
    <t>General contractor</t>
  </si>
  <si>
    <t>Painter</t>
  </si>
  <si>
    <t>Electrician</t>
  </si>
  <si>
    <t>Plumber</t>
  </si>
  <si>
    <t>Flooring installer</t>
  </si>
  <si>
    <t>Tile installer</t>
  </si>
  <si>
    <t>Wallpaper installer</t>
  </si>
  <si>
    <t>Carpenter</t>
  </si>
  <si>
    <t>Window treatment installer</t>
  </si>
  <si>
    <t>Furniture installer</t>
  </si>
  <si>
    <t>Cleaner</t>
  </si>
  <si>
    <t>InvoiceStatuses</t>
  </si>
  <si>
    <t>MeetingTypes</t>
  </si>
  <si>
    <t>Client consultation</t>
  </si>
  <si>
    <t>Vendor meeting</t>
  </si>
  <si>
    <t>Site visit</t>
  </si>
  <si>
    <t>Installation meeting</t>
  </si>
  <si>
    <t>Contractor meeting</t>
  </si>
  <si>
    <t>Final walkthrough</t>
  </si>
  <si>
    <t>INTERIOR DESIGN PROJECT MANAGER</t>
  </si>
  <si>
    <t>Excel + Google Sheets compatible • Fully editable and unlocked • No macros required</t>
  </si>
  <si>
    <t>QUICK START GUIDE</t>
  </si>
  <si>
    <t>Step 1</t>
  </si>
  <si>
    <t>Add client/project details</t>
  </si>
  <si>
    <t>Complete the Client &amp; Project Profile, including total budget and target dates.</t>
  </si>
  <si>
    <t>Step 2</t>
  </si>
  <si>
    <t>Add rooms</t>
  </si>
  <si>
    <t>List each space in Room List. Room names become your standard reference across schedules.</t>
  </si>
  <si>
    <t>Step 3</t>
  </si>
  <si>
    <t>Add FF&amp;E items</t>
  </si>
  <si>
    <t>Use Master FF&amp;E for furniture, fixtures and equipment. Add product links, quantities and costs.</t>
  </si>
  <si>
    <t>Step 4</t>
  </si>
  <si>
    <t>Track execution</t>
  </si>
  <si>
    <t>Update approvals, orders, delivery, installation, budget and tasks as the project progresses.</t>
  </si>
  <si>
    <t>Step 5</t>
  </si>
  <si>
    <t>Review the dashboard</t>
  </si>
  <si>
    <t>Use Project Dashboard for KPIs, risks and visual project summaries.</t>
  </si>
  <si>
    <t>HOW TO USE THIS WORKBOOK</t>
  </si>
  <si>
    <t>Data entry</t>
  </si>
  <si>
    <t>Enter information in white cells. Blue-tinted cells contain formulas and calculate automatically. Do not paste over formula columns.</t>
  </si>
  <si>
    <t>Dropdowns</t>
  </si>
  <si>
    <t>Click a dropdown cell and choose a standard value. Dropdowns improve dashboard accuracy. Room and vendor dropdowns use the Room List and Vendor Database.</t>
  </si>
  <si>
    <t>Color coding</t>
  </si>
  <si>
    <t>Green = complete/approved/on budget • Yellow = pending/in progress • Red = overdue/over budget/delayed • Gray = cancelled/on hold.</t>
  </si>
  <si>
    <t>Filters</t>
  </si>
  <si>
    <t>Use the arrows in schedule headers to filter by room, vendor, status, approval or date. Clear filters to show all records.</t>
  </si>
  <si>
    <t>Compatibility</t>
  </si>
  <si>
    <t>Designed for Microsoft Excel (.xlsx) and Google Sheets. To use in Sheets: File → Import → Upload. Some chart styling may vary slightly.</t>
  </si>
  <si>
    <t>Editable version</t>
  </si>
  <si>
    <t>This workbook is fully editable and unlocked. Duplicate the original before customizing formulas, colors or tab names.</t>
  </si>
  <si>
    <t>Support</t>
  </si>
  <si>
    <t>Add your business support email, website or product documentation link here before distributing this template.</t>
  </si>
  <si>
    <t>WHAT EACH TAB IS FOR</t>
  </si>
  <si>
    <t>Dashboard — project KPIs and charts</t>
  </si>
  <si>
    <t>Profile / Room List — project setup and space budgets</t>
  </si>
  <si>
    <t>Master FF&amp;E — central product and cost schedule</t>
  </si>
  <si>
    <t>Furniture / Fixtures / Finishes — focused specifications</t>
  </si>
  <si>
    <t>Sourcing / Vendors — compare products and manage suppliers</t>
  </si>
  <si>
    <t>Budget / Orders / Delivery — purchasing controls</t>
  </si>
  <si>
    <t>Approvals / Timeline / Tasks — project workflow</t>
  </si>
  <si>
    <t>Measurements / Contractors / Invoices / Notes — field and admin records</t>
  </si>
  <si>
    <t>Reports — printable client, budget, vendor and installation views</t>
  </si>
  <si>
    <t>CLIENT &amp; PROJECT PROFILE</t>
  </si>
  <si>
    <t>Complete this tab first. Dashboard budget and dates reference these values.</t>
  </si>
  <si>
    <t>Client name</t>
  </si>
  <si>
    <t>Client email</t>
  </si>
  <si>
    <t>Phone number</t>
  </si>
  <si>
    <t>Project name</t>
  </si>
  <si>
    <t>Project address</t>
  </si>
  <si>
    <t>Project type</t>
  </si>
  <si>
    <t>Design style</t>
  </si>
  <si>
    <t>Start date</t>
  </si>
  <si>
    <t>Target completion date</t>
  </si>
  <si>
    <t>Total budget</t>
  </si>
  <si>
    <t>Designer name</t>
  </si>
  <si>
    <t>Project status</t>
  </si>
  <si>
    <t>Contract signed</t>
  </si>
  <si>
    <t>Design package selected</t>
  </si>
  <si>
    <t>Billing method</t>
  </si>
  <si>
    <t>Scope summary</t>
  </si>
  <si>
    <t>Client notes</t>
  </si>
  <si>
    <t>Room List</t>
  </si>
  <si>
    <t>Use filters in the header row. White cells are inputs; blue cells are formulas.</t>
  </si>
  <si>
    <t>Room Name</t>
  </si>
  <si>
    <t>Room Type</t>
  </si>
  <si>
    <t>Floor / Level</t>
  </si>
  <si>
    <t>Square Footage</t>
  </si>
  <si>
    <t>Design Status</t>
  </si>
  <si>
    <t>Budget Allocation</t>
  </si>
  <si>
    <t>Estimated Spend</t>
  </si>
  <si>
    <t>Actual Spend</t>
  </si>
  <si>
    <t>Remaining Budget</t>
  </si>
  <si>
    <t>Priority Level</t>
  </si>
  <si>
    <t>Notes</t>
  </si>
  <si>
    <t>Master FF&amp;E</t>
  </si>
  <si>
    <t>Furniture, Fixtures &amp; Equipment master schedule. Total Cost = Quantity × Unit Cost; Final Cost = Total + Tax + Shipping − Discount.</t>
  </si>
  <si>
    <t>Item ID</t>
  </si>
  <si>
    <t>Category</t>
  </si>
  <si>
    <t>Item Name</t>
  </si>
  <si>
    <t>Description</t>
  </si>
  <si>
    <t>Quantity</t>
  </si>
  <si>
    <t>Dimensions</t>
  </si>
  <si>
    <t>Material</t>
  </si>
  <si>
    <t>Color</t>
  </si>
  <si>
    <t>Brand</t>
  </si>
  <si>
    <t>Product Link</t>
  </si>
  <si>
    <t>SKU / Model Number</t>
  </si>
  <si>
    <t>Unit Cost</t>
  </si>
  <si>
    <t>Total Cost</t>
  </si>
  <si>
    <t>Tax ($)</t>
  </si>
  <si>
    <t>Shipping ($)</t>
  </si>
  <si>
    <t>Discount ($)</t>
  </si>
  <si>
    <t>Final Cost</t>
  </si>
  <si>
    <t>Lead Time</t>
  </si>
  <si>
    <t>Order Status</t>
  </si>
  <si>
    <t>Approval Status</t>
  </si>
  <si>
    <t>Delivery Status</t>
  </si>
  <si>
    <t>Install Status</t>
  </si>
  <si>
    <t>Image Link</t>
  </si>
  <si>
    <t>Furniture Schedule</t>
  </si>
  <si>
    <t>Furniture Item</t>
  </si>
  <si>
    <t>Fabric / Material</t>
  </si>
  <si>
    <t>Cost</t>
  </si>
  <si>
    <t>Delivery Date</t>
  </si>
  <si>
    <t>Install Date</t>
  </si>
  <si>
    <t>Fixtures Schedule</t>
  </si>
  <si>
    <t>Fixture Type</t>
  </si>
  <si>
    <t>Size</t>
  </si>
  <si>
    <t>Model / SKU</t>
  </si>
  <si>
    <t>Required Rough-in Date</t>
  </si>
  <si>
    <t>Order Deadline</t>
  </si>
  <si>
    <t>Installer Notes</t>
  </si>
  <si>
    <t>Finishes Schedule</t>
  </si>
  <si>
    <t>Surface / Application</t>
  </si>
  <si>
    <t>Finish Type</t>
  </si>
  <si>
    <t>Product Name</t>
  </si>
  <si>
    <t>Color / Finish</t>
  </si>
  <si>
    <t>SKU</t>
  </si>
  <si>
    <t>Quantity Needed</t>
  </si>
  <si>
    <t>Sample Ordered</t>
  </si>
  <si>
    <t>Sample Approved</t>
  </si>
  <si>
    <t>Product Sourcing</t>
  </si>
  <si>
    <t>Item Needed</t>
  </si>
  <si>
    <t>Option 1 Link</t>
  </si>
  <si>
    <t>Option 1 Price</t>
  </si>
  <si>
    <t>Option 2 Link</t>
  </si>
  <si>
    <t>Option 2 Price</t>
  </si>
  <si>
    <t>Option 3 Link</t>
  </si>
  <si>
    <t>Option 3 Price</t>
  </si>
  <si>
    <t>Preferred Option</t>
  </si>
  <si>
    <t>Pros</t>
  </si>
  <si>
    <t>Cons</t>
  </si>
  <si>
    <t>Client Feedback</t>
  </si>
  <si>
    <t>Final Selection</t>
  </si>
  <si>
    <t>Vendor Database</t>
  </si>
  <si>
    <t>Vendor Name</t>
  </si>
  <si>
    <t>Vendor Type</t>
  </si>
  <si>
    <t>Contact Person</t>
  </si>
  <si>
    <t>Email</t>
  </si>
  <si>
    <t>Phone</t>
  </si>
  <si>
    <t>Website</t>
  </si>
  <si>
    <t>Account Number</t>
  </si>
  <si>
    <t>Trade Discount %</t>
  </si>
  <si>
    <t>Shipping Terms</t>
  </si>
  <si>
    <t>Return Policy</t>
  </si>
  <si>
    <t>Budget Tracker</t>
  </si>
  <si>
    <t>Budget Category</t>
  </si>
  <si>
    <t>Budgeted Amount</t>
  </si>
  <si>
    <t>Estimated Amount</t>
  </si>
  <si>
    <t>Actual Amount</t>
  </si>
  <si>
    <t>Difference</t>
  </si>
  <si>
    <t>Paid Amount</t>
  </si>
  <si>
    <t>Balance Due</t>
  </si>
  <si>
    <t>Payment Status</t>
  </si>
  <si>
    <t>TOTAL</t>
  </si>
  <si>
    <t>Order Tracker</t>
  </si>
  <si>
    <t>PO Number</t>
  </si>
  <si>
    <t>Item</t>
  </si>
  <si>
    <t>Order Date</t>
  </si>
  <si>
    <t>Expected Ship Date</t>
  </si>
  <si>
    <t>Expected Delivery Date</t>
  </si>
  <si>
    <t>Actual Delivery Date</t>
  </si>
  <si>
    <t>Tracking Number</t>
  </si>
  <si>
    <t>Carrier</t>
  </si>
  <si>
    <t>Invoice Number</t>
  </si>
  <si>
    <t>Amount</t>
  </si>
  <si>
    <t>Paid Status</t>
  </si>
  <si>
    <t>Delivery &amp; Installation</t>
  </si>
  <si>
    <t>Delivery Address</t>
  </si>
  <si>
    <t>Received By</t>
  </si>
  <si>
    <t>Damage Check</t>
  </si>
  <si>
    <t>Damage Notes</t>
  </si>
  <si>
    <t>Storage Location</t>
  </si>
  <si>
    <t>Installation Status</t>
  </si>
  <si>
    <t>Punch List Notes</t>
  </si>
  <si>
    <t>Client Approvals</t>
  </si>
  <si>
    <t>Item / Design Decision</t>
  </si>
  <si>
    <t>Approval Type</t>
  </si>
  <si>
    <t>Sent to Client Date</t>
  </si>
  <si>
    <t>Client Response Date</t>
  </si>
  <si>
    <t>Status</t>
  </si>
  <si>
    <t>Approved Option</t>
  </si>
  <si>
    <t>Client Comments</t>
  </si>
  <si>
    <t>Revision Needed</t>
  </si>
  <si>
    <t>Final Approval Date</t>
  </si>
  <si>
    <t>Project Timeline</t>
  </si>
  <si>
    <t>Enter task dates, then set the Gantt start date in K2. Weekly bars shade automatically.</t>
  </si>
  <si>
    <t>Phase</t>
  </si>
  <si>
    <t>Task</t>
  </si>
  <si>
    <t>Assigned To</t>
  </si>
  <si>
    <t>Start Date</t>
  </si>
  <si>
    <t>Due Date</t>
  </si>
  <si>
    <t>Completion Date</t>
  </si>
  <si>
    <t>Priority</t>
  </si>
  <si>
    <t>Dependencies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</si>
  <si>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</si>
  <si>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</si>
  <si>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</si>
  <si>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</si>
  <si>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</si>
  <si>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</si>
  <si>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</si>
  <si>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</si>
  <si>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</si>
  <si>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</si>
  <si>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</si>
  <si>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</si>
  <si>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</si>
  <si>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</si>
  <si>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</si>
  <si>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</si>
  <si>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</si>
  <si>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</si>
  <si>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</si>
  <si>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</si>
  <si>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</si>
  <si>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</si>
  <si>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</si>
  <si>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</si>
  <si>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</si>
  <si>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</si>
  <si>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Gantt start:</t>
  </si>
  <si>
    <t>Task List</t>
  </si>
  <si>
    <t>Measurement Log</t>
  </si>
  <si>
    <t>Measurement Type</t>
  </si>
  <si>
    <t>Width</t>
  </si>
  <si>
    <t>Height</t>
  </si>
  <si>
    <t>Depth</t>
  </si>
  <si>
    <t>Length</t>
  </si>
  <si>
    <t>Ceiling Height</t>
  </si>
  <si>
    <t>Window Size</t>
  </si>
  <si>
    <t>Door Size</t>
  </si>
  <si>
    <t>Wall Length</t>
  </si>
  <si>
    <t>Contractor Tracker</t>
  </si>
  <si>
    <t>Contractor / Vendor Name</t>
  </si>
  <si>
    <t>Trade</t>
  </si>
  <si>
    <t>Contact</t>
  </si>
  <si>
    <t>Scope</t>
  </si>
  <si>
    <t>Quote Amount</t>
  </si>
  <si>
    <t>End Date</t>
  </si>
  <si>
    <t>Insurance Received</t>
  </si>
  <si>
    <t>Contract Signed</t>
  </si>
  <si>
    <t>Invoice &amp; Payment</t>
  </si>
  <si>
    <t>Invoice Date</t>
  </si>
  <si>
    <t>Client</t>
  </si>
  <si>
    <t>Paid Date</t>
  </si>
  <si>
    <t>Payment Method</t>
  </si>
  <si>
    <t>Project Notes</t>
  </si>
  <si>
    <t>Date</t>
  </si>
  <si>
    <t>Meeting Type</t>
  </si>
  <si>
    <t>Attendees</t>
  </si>
  <si>
    <t>Discussion Points</t>
  </si>
  <si>
    <t>Decisions Made</t>
  </si>
  <si>
    <t>Action Items</t>
  </si>
  <si>
    <t>Follow-up Date</t>
  </si>
  <si>
    <t>PROJECT DASHBOARD</t>
  </si>
  <si>
    <t>Live overview • Complete the Profile, Room List, FF&amp;E, Orders, Approvals and Tasks tabs to populate metrics.</t>
  </si>
  <si>
    <t>Total Project Budget</t>
  </si>
  <si>
    <t>Total Estimated Cost</t>
  </si>
  <si>
    <t>Total Actual Cost</t>
  </si>
  <si>
    <t>Budget Used %</t>
  </si>
  <si>
    <t>Number of Rooms</t>
  </si>
  <si>
    <t>Total FF&amp;E Items</t>
  </si>
  <si>
    <t>Items Approved</t>
  </si>
  <si>
    <t>Items Ordered</t>
  </si>
  <si>
    <t>Items Delivered</t>
  </si>
  <si>
    <t>Items Installed</t>
  </si>
  <si>
    <t>Overdue Tasks</t>
  </si>
  <si>
    <t>Pending Client Approvals</t>
  </si>
  <si>
    <t>Open Vendor Orders</t>
  </si>
  <si>
    <t>Items Not Ordered</t>
  </si>
  <si>
    <t>Delivered, Not Installed</t>
  </si>
  <si>
    <t>Actual</t>
  </si>
  <si>
    <t>Budgeted</t>
  </si>
  <si>
    <t>Item Status</t>
  </si>
  <si>
    <t>Count</t>
  </si>
  <si>
    <t>Spend</t>
  </si>
  <si>
    <t>CLIENT FF&amp;E SPECIFICATION REPORT</t>
  </si>
  <si>
    <t>Client-facing live report. Use print settings or filter the Master FF&amp;E tab before sharing.</t>
  </si>
  <si>
    <t>Qty</t>
  </si>
  <si>
    <t>Total</t>
  </si>
  <si>
    <t>Tax</t>
  </si>
  <si>
    <t>Discount</t>
  </si>
  <si>
    <t>Order</t>
  </si>
  <si>
    <t>Approval</t>
  </si>
  <si>
    <t>Install</t>
  </si>
  <si>
    <t>Image</t>
  </si>
  <si>
    <t>ROOM-BY-ROOM BUDGET REPORT</t>
  </si>
  <si>
    <t>Live summary of room allocations and spend.</t>
  </si>
  <si>
    <t>Type</t>
  </si>
  <si>
    <t>Sq Ft</t>
  </si>
  <si>
    <t>Estimated</t>
  </si>
  <si>
    <t>Remaining</t>
  </si>
  <si>
    <t>VENDOR ORDER REPORT</t>
  </si>
  <si>
    <t>Live purchasing report. Filter the Order Tracker by vendor or status for targeted reports.</t>
  </si>
  <si>
    <t>PO</t>
  </si>
  <si>
    <t>Expected Ship</t>
  </si>
  <si>
    <t>Expected Delivery</t>
  </si>
  <si>
    <t>Actual Delivery</t>
  </si>
  <si>
    <t>Tracking</t>
  </si>
  <si>
    <t>Invoice</t>
  </si>
  <si>
    <t>DELIVERY &amp; INSTALLATION CHECKLIST</t>
  </si>
  <si>
    <t>Print-ready field checklist for receiving and installation days.</t>
  </si>
  <si>
    <t>Address</t>
  </si>
  <si>
    <t>Expected</t>
  </si>
  <si>
    <t>Storage</t>
  </si>
  <si>
    <t>Punch List</t>
  </si>
  <si>
    <t>FINAL PUNCH LIST</t>
  </si>
  <si>
    <t>Shows records with punch-list notes. Keep this report internal until ready to share.</t>
  </si>
</sst>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mmm d, yyyy"/>
    <numFmt numFmtId="167" formatCode="$#,##0.00;[Red]-$#,##0.00"/>
    <numFmt numFmtId="168" formatCode="0.00"/>
    <numFmt numFmtId="169" formatCode="mmm d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DCE6F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243447"/>
      <name val="Calibri"/>
      <family val="2"/>
      <scheme val="minor"/>
    </font>
    <font>
      <sz val="11"/>
      <color rgb="FF243447"/>
      <name val="Calibri"/>
      <family val="2"/>
      <scheme val="minor"/>
    </font>
    <font>
      <b/>
      <sz val="10"/>
      <color rgb="FFDCE6F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7324D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9"/>
      <color rgb="FF5B677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top"/>
    </xf>
    <xf numFmtId="0" fontId="5" fillId="5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top"/>
    </xf>
    <xf numFmtId="0" fontId="5" fillId="7" borderId="3" xfId="0" applyFont="1" applyFill="1" applyBorder="1" applyAlignment="1">
      <alignment vertical="top" wrapText="1"/>
    </xf>
    <xf numFmtId="166" fontId="5" fillId="7" borderId="3" xfId="0" applyNumberFormat="1" applyFont="1" applyFill="1" applyBorder="1"/>
    <xf numFmtId="167" fontId="5" fillId="7" borderId="3" xfId="0" applyNumberFormat="1" applyFont="1" applyFill="1" applyBorder="1"/>
    <xf numFmtId="168" fontId="5" fillId="7" borderId="3" xfId="0" applyNumberFormat="1" applyFont="1" applyFill="1" applyBorder="1"/>
    <xf numFmtId="167" fontId="9" fillId="8" borderId="3" xfId="0" applyNumberFormat="1" applyFont="1" applyFill="1" applyBorder="1"/>
    <xf numFmtId="1" fontId="5" fillId="7" borderId="3" xfId="0" applyNumberFormat="1" applyFont="1" applyFill="1" applyBorder="1"/>
    <xf numFmtId="0" fontId="10" fillId="7" borderId="3" xfId="0" applyFont="1" applyFill="1" applyBorder="1"/>
    <xf numFmtId="165" fontId="5" fillId="7" borderId="3" xfId="0" applyNumberFormat="1" applyFont="1" applyFill="1" applyBorder="1"/>
    <xf numFmtId="169" fontId="8" fillId="2" borderId="4" xfId="0" applyNumberFormat="1" applyFont="1" applyFill="1" applyBorder="1" applyAlignment="1">
      <alignment horizontal="center" wrapText="1"/>
    </xf>
    <xf numFmtId="0" fontId="7" fillId="2" borderId="0" xfId="0" applyFont="1" applyFill="1" applyAlignment="1">
      <alignment horizontal="center" vertical="center"/>
    </xf>
    <xf numFmtId="0" fontId="11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D9E1F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2A9D8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Relationship Id="rId3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by Room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Budget</c:v>
          </c:tx>
          <c:cat>
            <c:numRef>
              <c:f>'Project Dashboard'!$Q$20:$Q$34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'Project Dashboard'!$R$20:$R$34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cat>
            <c:numRef>
              <c:f>'Project Dashboard'!$Q$20:$Q$34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'Project Dashboard'!$S$20:$S$34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Budget vs Actual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Budgeted</c:v>
          </c:tx>
          <c:cat>
            <c:strRef>
              <c:f>'Project Dashboard'!$U$20:$U$34</c:f>
              <c:strCache>
                <c:ptCount val="15"/>
                <c:pt idx="0">
                  <c:v>Furniture</c:v>
                </c:pt>
                <c:pt idx="1">
                  <c:v>Lighting</c:v>
                </c:pt>
                <c:pt idx="2">
                  <c:v>Rugs</c:v>
                </c:pt>
                <c:pt idx="3">
                  <c:v>Decor</c:v>
                </c:pt>
                <c:pt idx="4">
                  <c:v>Artwork</c:v>
                </c:pt>
                <c:pt idx="5">
                  <c:v>Window treatments</c:v>
                </c:pt>
                <c:pt idx="6">
                  <c:v>Flooring</c:v>
                </c:pt>
                <c:pt idx="7">
                  <c:v>Paint/wallcovering</c:v>
                </c:pt>
                <c:pt idx="8">
                  <c:v>Contractor labor</c:v>
                </c:pt>
                <c:pt idx="9">
                  <c:v>Installation</c:v>
                </c:pt>
                <c:pt idx="10">
                  <c:v>Shipping</c:v>
                </c:pt>
                <c:pt idx="11">
                  <c:v>Taxes</c:v>
                </c:pt>
                <c:pt idx="12">
                  <c:v>Design fee</c:v>
                </c:pt>
                <c:pt idx="13">
                  <c:v>Contingency</c:v>
                </c:pt>
              </c:strCache>
            </c:strRef>
          </c:cat>
          <c:val>
            <c:numRef>
              <c:f>'Project Dashboard'!$V$20:$V$34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'Project Dashboard'!$U$20:$U$34</c:f>
              <c:strCache>
                <c:ptCount val="15"/>
                <c:pt idx="0">
                  <c:v>Furniture</c:v>
                </c:pt>
                <c:pt idx="1">
                  <c:v>Lighting</c:v>
                </c:pt>
                <c:pt idx="2">
                  <c:v>Rugs</c:v>
                </c:pt>
                <c:pt idx="3">
                  <c:v>Decor</c:v>
                </c:pt>
                <c:pt idx="4">
                  <c:v>Artwork</c:v>
                </c:pt>
                <c:pt idx="5">
                  <c:v>Window treatments</c:v>
                </c:pt>
                <c:pt idx="6">
                  <c:v>Flooring</c:v>
                </c:pt>
                <c:pt idx="7">
                  <c:v>Paint/wallcovering</c:v>
                </c:pt>
                <c:pt idx="8">
                  <c:v>Contractor labor</c:v>
                </c:pt>
                <c:pt idx="9">
                  <c:v>Installation</c:v>
                </c:pt>
                <c:pt idx="10">
                  <c:v>Shipping</c:v>
                </c:pt>
                <c:pt idx="11">
                  <c:v>Taxes</c:v>
                </c:pt>
                <c:pt idx="12">
                  <c:v>Design fee</c:v>
                </c:pt>
                <c:pt idx="13">
                  <c:v>Contingency</c:v>
                </c:pt>
              </c:strCache>
            </c:strRef>
          </c:cat>
          <c:val>
            <c:numRef>
              <c:f>'Project Dashboard'!$W$20:$W$34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Item Status Breakdown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Items</c:v>
          </c:tx>
          <c:cat>
            <c:strRef>
              <c:f>'Project Dashboard'!$Y$20:$Y$34</c:f>
              <c:strCache>
                <c:ptCount val="15"/>
                <c:pt idx="0">
                  <c:v>Sourcing</c:v>
                </c:pt>
                <c:pt idx="1">
                  <c:v>Option selected</c:v>
                </c:pt>
                <c:pt idx="2">
                  <c:v>Client review</c:v>
                </c:pt>
                <c:pt idx="3">
                  <c:v>Approved</c:v>
                </c:pt>
                <c:pt idx="4">
                  <c:v>Ordered</c:v>
                </c:pt>
                <c:pt idx="5">
                  <c:v>Shipped</c:v>
                </c:pt>
                <c:pt idx="6">
                  <c:v>Delivered</c:v>
                </c:pt>
                <c:pt idx="7">
                  <c:v>Installed</c:v>
                </c:pt>
                <c:pt idx="8">
                  <c:v>Cancelled</c:v>
                </c:pt>
                <c:pt idx="9">
                  <c:v>Backordered</c:v>
                </c:pt>
              </c:strCache>
            </c:strRef>
          </c:cat>
          <c:val>
            <c:numRef>
              <c:f>'Project Dashboard'!$Z$20:$Z$34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Delivery Status Breakdown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Items</c:v>
          </c:tx>
          <c:cat>
            <c:strRef>
              <c:f>'Project Dashboard'!$AB$20:$AB$34</c:f>
              <c:strCache>
                <c:ptCount val="15"/>
                <c:pt idx="0">
                  <c:v>Not scheduled</c:v>
                </c:pt>
                <c:pt idx="1">
                  <c:v>Scheduled</c:v>
                </c:pt>
                <c:pt idx="2">
                  <c:v>In transit</c:v>
                </c:pt>
                <c:pt idx="3">
                  <c:v>Delivered</c:v>
                </c:pt>
                <c:pt idx="4">
                  <c:v>Delayed</c:v>
                </c:pt>
                <c:pt idx="5">
                  <c:v>Cancelled</c:v>
                </c:pt>
                <c:pt idx="6">
                  <c:v>Returned</c:v>
                </c:pt>
              </c:strCache>
            </c:strRef>
          </c:cat>
          <c:val>
            <c:numRef>
              <c:f>'Project Dashboard'!$AC$20:$AC$34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Category Spend Breakdown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Spend</c:v>
          </c:tx>
          <c:cat>
            <c:strRef>
              <c:f>'Project Dashboard'!$AE$20:$AE$34</c:f>
              <c:strCache>
                <c:ptCount val="15"/>
                <c:pt idx="0">
                  <c:v>Sofa</c:v>
                </c:pt>
                <c:pt idx="1">
                  <c:v>Chair</c:v>
                </c:pt>
                <c:pt idx="2">
                  <c:v>Table</c:v>
                </c:pt>
                <c:pt idx="3">
                  <c:v>Bed</c:v>
                </c:pt>
                <c:pt idx="4">
                  <c:v>Rug</c:v>
                </c:pt>
                <c:pt idx="5">
                  <c:v>Lighting</c:v>
                </c:pt>
                <c:pt idx="6">
                  <c:v>Artwork</c:v>
                </c:pt>
                <c:pt idx="7">
                  <c:v>Mirror</c:v>
                </c:pt>
                <c:pt idx="8">
                  <c:v>Window treatment</c:v>
                </c:pt>
                <c:pt idx="9">
                  <c:v>Hardware</c:v>
                </c:pt>
                <c:pt idx="10">
                  <c:v>Plumbing fixture</c:v>
                </c:pt>
                <c:pt idx="11">
                  <c:v>Appliance</c:v>
                </c:pt>
                <c:pt idx="12">
                  <c:v>Decor</c:v>
                </c:pt>
                <c:pt idx="13">
                  <c:v>Textile</c:v>
                </c:pt>
                <c:pt idx="14">
                  <c:v>Cabinetry</c:v>
                </c:pt>
              </c:strCache>
            </c:strRef>
          </c:cat>
          <c:val>
            <c:numRef>
              <c:f>'Project Dashboard'!$AF$20:$AF$34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13</xdr:col>
      <xdr:colOff>523875</xdr:colOff>
      <xdr:row>29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5</xdr:col>
      <xdr:colOff>523875</xdr:colOff>
      <xdr:row>44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13</xdr:col>
      <xdr:colOff>523875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5</xdr:col>
      <xdr:colOff>523875</xdr:colOff>
      <xdr:row>59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9D8F"/>
  </sheetPr>
  <dimension ref="A1:H31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8" width="18.7109375" customWidth="1"/>
  </cols>
  <sheetData>
    <row r="1" spans="1:8" ht="30" customHeight="1">
      <c r="A1" s="1" t="s">
        <v>193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194</v>
      </c>
      <c r="B2" s="2"/>
      <c r="C2" s="2"/>
      <c r="D2" s="2"/>
      <c r="E2" s="2"/>
      <c r="F2" s="2"/>
      <c r="G2" s="2"/>
      <c r="H2" s="2"/>
    </row>
    <row r="4" spans="1:8">
      <c r="B4" s="3" t="s">
        <v>195</v>
      </c>
      <c r="C4" s="3"/>
      <c r="D4" s="3"/>
      <c r="E4" s="3"/>
      <c r="F4" s="3"/>
      <c r="G4" s="3"/>
      <c r="H4" s="3"/>
    </row>
    <row r="5" spans="1:8" ht="32" customHeight="1">
      <c r="B5" s="4" t="s">
        <v>196</v>
      </c>
      <c r="C5" s="4" t="s">
        <v>197</v>
      </c>
      <c r="D5" s="5" t="s">
        <v>198</v>
      </c>
      <c r="E5" s="5"/>
      <c r="F5" s="5"/>
      <c r="G5" s="5"/>
      <c r="H5" s="5"/>
    </row>
    <row r="6" spans="1:8" ht="32" customHeight="1">
      <c r="B6" s="4" t="s">
        <v>199</v>
      </c>
      <c r="C6" s="4" t="s">
        <v>200</v>
      </c>
      <c r="D6" s="5" t="s">
        <v>201</v>
      </c>
      <c r="E6" s="5"/>
      <c r="F6" s="5"/>
      <c r="G6" s="5"/>
      <c r="H6" s="5"/>
    </row>
    <row r="7" spans="1:8" ht="32" customHeight="1">
      <c r="B7" s="4" t="s">
        <v>202</v>
      </c>
      <c r="C7" s="4" t="s">
        <v>203</v>
      </c>
      <c r="D7" s="5" t="s">
        <v>204</v>
      </c>
      <c r="E7" s="5"/>
      <c r="F7" s="5"/>
      <c r="G7" s="5"/>
      <c r="H7" s="5"/>
    </row>
    <row r="8" spans="1:8" ht="32" customHeight="1">
      <c r="B8" s="4" t="s">
        <v>205</v>
      </c>
      <c r="C8" s="4" t="s">
        <v>206</v>
      </c>
      <c r="D8" s="5" t="s">
        <v>207</v>
      </c>
      <c r="E8" s="5"/>
      <c r="F8" s="5"/>
      <c r="G8" s="5"/>
      <c r="H8" s="5"/>
    </row>
    <row r="9" spans="1:8" ht="32" customHeight="1">
      <c r="B9" s="4" t="s">
        <v>208</v>
      </c>
      <c r="C9" s="4" t="s">
        <v>209</v>
      </c>
      <c r="D9" s="5" t="s">
        <v>210</v>
      </c>
      <c r="E9" s="5"/>
      <c r="F9" s="5"/>
      <c r="G9" s="5"/>
      <c r="H9" s="5"/>
    </row>
    <row r="12" spans="1:8">
      <c r="B12" s="3" t="s">
        <v>211</v>
      </c>
      <c r="C12" s="3"/>
      <c r="D12" s="3"/>
      <c r="E12" s="3"/>
      <c r="F12" s="3"/>
      <c r="G12" s="3"/>
      <c r="H12" s="3"/>
    </row>
    <row r="13" spans="1:8" ht="35" customHeight="1">
      <c r="B13" s="4" t="s">
        <v>212</v>
      </c>
      <c r="C13" s="5" t="s">
        <v>213</v>
      </c>
      <c r="D13" s="5"/>
      <c r="E13" s="5"/>
      <c r="F13" s="5"/>
      <c r="G13" s="5"/>
      <c r="H13" s="5"/>
    </row>
    <row r="14" spans="1:8" ht="35" customHeight="1">
      <c r="B14" s="4" t="s">
        <v>214</v>
      </c>
      <c r="C14" s="5" t="s">
        <v>215</v>
      </c>
      <c r="D14" s="5"/>
      <c r="E14" s="5"/>
      <c r="F14" s="5"/>
      <c r="G14" s="5"/>
      <c r="H14" s="5"/>
    </row>
    <row r="15" spans="1:8" ht="35" customHeight="1">
      <c r="B15" s="4" t="s">
        <v>216</v>
      </c>
      <c r="C15" s="5" t="s">
        <v>217</v>
      </c>
      <c r="D15" s="5"/>
      <c r="E15" s="5"/>
      <c r="F15" s="5"/>
      <c r="G15" s="5"/>
      <c r="H15" s="5"/>
    </row>
    <row r="16" spans="1:8" ht="35" customHeight="1">
      <c r="B16" s="4" t="s">
        <v>218</v>
      </c>
      <c r="C16" s="5" t="s">
        <v>219</v>
      </c>
      <c r="D16" s="5"/>
      <c r="E16" s="5"/>
      <c r="F16" s="5"/>
      <c r="G16" s="5"/>
      <c r="H16" s="5"/>
    </row>
    <row r="17" spans="2:8" ht="35" customHeight="1">
      <c r="B17" s="4" t="s">
        <v>220</v>
      </c>
      <c r="C17" s="5" t="s">
        <v>221</v>
      </c>
      <c r="D17" s="5"/>
      <c r="E17" s="5"/>
      <c r="F17" s="5"/>
      <c r="G17" s="5"/>
      <c r="H17" s="5"/>
    </row>
    <row r="18" spans="2:8" ht="35" customHeight="1">
      <c r="B18" s="4" t="s">
        <v>222</v>
      </c>
      <c r="C18" s="5" t="s">
        <v>223</v>
      </c>
      <c r="D18" s="5"/>
      <c r="E18" s="5"/>
      <c r="F18" s="5"/>
      <c r="G18" s="5"/>
      <c r="H18" s="5"/>
    </row>
    <row r="19" spans="2:8" ht="35" customHeight="1">
      <c r="B19" s="4" t="s">
        <v>224</v>
      </c>
      <c r="C19" s="5" t="s">
        <v>225</v>
      </c>
      <c r="D19" s="5"/>
      <c r="E19" s="5"/>
      <c r="F19" s="5"/>
      <c r="G19" s="5"/>
      <c r="H19" s="5"/>
    </row>
    <row r="22" spans="2:8">
      <c r="B22" s="3" t="s">
        <v>226</v>
      </c>
      <c r="C22" s="3"/>
      <c r="D22" s="3"/>
      <c r="E22" s="3"/>
      <c r="F22" s="3"/>
      <c r="G22" s="3"/>
      <c r="H22" s="3"/>
    </row>
    <row r="23" spans="2:8">
      <c r="B23" s="5" t="s">
        <v>227</v>
      </c>
      <c r="C23" s="5"/>
      <c r="D23" s="5"/>
      <c r="E23" s="5"/>
      <c r="F23" s="5"/>
      <c r="G23" s="5"/>
      <c r="H23" s="5"/>
    </row>
    <row r="24" spans="2:8">
      <c r="B24" s="5" t="s">
        <v>228</v>
      </c>
      <c r="C24" s="5"/>
      <c r="D24" s="5"/>
      <c r="E24" s="5"/>
      <c r="F24" s="5"/>
      <c r="G24" s="5"/>
      <c r="H24" s="5"/>
    </row>
    <row r="25" spans="2:8">
      <c r="B25" s="5" t="s">
        <v>229</v>
      </c>
      <c r="C25" s="5"/>
      <c r="D25" s="5"/>
      <c r="E25" s="5"/>
      <c r="F25" s="5"/>
      <c r="G25" s="5"/>
      <c r="H25" s="5"/>
    </row>
    <row r="26" spans="2:8">
      <c r="B26" s="5" t="s">
        <v>230</v>
      </c>
      <c r="C26" s="5"/>
      <c r="D26" s="5"/>
      <c r="E26" s="5"/>
      <c r="F26" s="5"/>
      <c r="G26" s="5"/>
      <c r="H26" s="5"/>
    </row>
    <row r="27" spans="2:8">
      <c r="B27" s="5" t="s">
        <v>231</v>
      </c>
      <c r="C27" s="5"/>
      <c r="D27" s="5"/>
      <c r="E27" s="5"/>
      <c r="F27" s="5"/>
      <c r="G27" s="5"/>
      <c r="H27" s="5"/>
    </row>
    <row r="28" spans="2:8">
      <c r="B28" s="5" t="s">
        <v>232</v>
      </c>
      <c r="C28" s="5"/>
      <c r="D28" s="5"/>
      <c r="E28" s="5"/>
      <c r="F28" s="5"/>
      <c r="G28" s="5"/>
      <c r="H28" s="5"/>
    </row>
    <row r="29" spans="2:8">
      <c r="B29" s="5" t="s">
        <v>233</v>
      </c>
      <c r="C29" s="5"/>
      <c r="D29" s="5"/>
      <c r="E29" s="5"/>
      <c r="F29" s="5"/>
      <c r="G29" s="5"/>
      <c r="H29" s="5"/>
    </row>
    <row r="30" spans="2:8">
      <c r="B30" s="5" t="s">
        <v>234</v>
      </c>
      <c r="C30" s="5"/>
      <c r="D30" s="5"/>
      <c r="E30" s="5"/>
      <c r="F30" s="5"/>
      <c r="G30" s="5"/>
      <c r="H30" s="5"/>
    </row>
    <row r="31" spans="2:8">
      <c r="B31" s="5" t="s">
        <v>235</v>
      </c>
      <c r="C31" s="5"/>
      <c r="D31" s="5"/>
      <c r="E31" s="5"/>
      <c r="F31" s="5"/>
      <c r="G31" s="5"/>
      <c r="H31" s="5"/>
    </row>
  </sheetData>
  <mergeCells count="26">
    <mergeCell ref="A1:H1"/>
    <mergeCell ref="A2:H2"/>
    <mergeCell ref="B4:H4"/>
    <mergeCell ref="D5:H5"/>
    <mergeCell ref="D6:H6"/>
    <mergeCell ref="D7:H7"/>
    <mergeCell ref="D8:H8"/>
    <mergeCell ref="D9:H9"/>
    <mergeCell ref="B12:H12"/>
    <mergeCell ref="C13:H13"/>
    <mergeCell ref="C14:H14"/>
    <mergeCell ref="C15:H15"/>
    <mergeCell ref="C16:H16"/>
    <mergeCell ref="C17:H17"/>
    <mergeCell ref="C18:H18"/>
    <mergeCell ref="C19:H19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9D8F"/>
  </sheetPr>
  <dimension ref="A1:AF37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6" width="12.7109375" customWidth="1"/>
    <col min="17" max="32" width="0" hidden="1" customWidth="1"/>
  </cols>
  <sheetData>
    <row r="1" spans="1:16" ht="30" customHeight="1">
      <c r="A1" s="1" t="s">
        <v>449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450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4" customHeight="1">
      <c r="A4" s="6" t="s">
        <v>451</v>
      </c>
      <c r="B4" s="6"/>
      <c r="C4" s="6"/>
      <c r="E4" s="6" t="s">
        <v>452</v>
      </c>
      <c r="F4" s="6"/>
      <c r="G4" s="6"/>
      <c r="I4" s="6" t="s">
        <v>453</v>
      </c>
      <c r="J4" s="6"/>
      <c r="K4" s="6"/>
      <c r="M4" s="6" t="s">
        <v>265</v>
      </c>
      <c r="N4" s="6"/>
      <c r="O4" s="6"/>
    </row>
    <row r="5" spans="1:16" ht="34" customHeight="1">
      <c r="A5" s="7">
        <f>ProjectBudget</f>
        <v>0</v>
      </c>
      <c r="B5" s="7"/>
      <c r="C5" s="7"/>
      <c r="E5" s="7">
        <f>SUM('Master FF&amp;E'!$P$4:$P$253)</f>
        <v>0</v>
      </c>
      <c r="F5" s="7"/>
      <c r="G5" s="7"/>
      <c r="I5" s="7">
        <f>SUM('Master FF&amp;E'!$T$4:$T$253)</f>
        <v>0</v>
      </c>
      <c r="J5" s="7"/>
      <c r="K5" s="7"/>
      <c r="M5" s="7">
        <f>ProjectBudget-SUM('Master FF&amp;E'!$T$4:$T$253)</f>
        <v>0</v>
      </c>
      <c r="N5" s="7"/>
      <c r="O5" s="7"/>
    </row>
    <row r="7" spans="1:16" ht="24" customHeight="1">
      <c r="A7" s="6" t="s">
        <v>454</v>
      </c>
      <c r="B7" s="6"/>
      <c r="C7" s="6"/>
      <c r="E7" s="6" t="s">
        <v>455</v>
      </c>
      <c r="F7" s="6"/>
      <c r="G7" s="6"/>
      <c r="I7" s="6" t="s">
        <v>456</v>
      </c>
      <c r="J7" s="6"/>
      <c r="K7" s="6"/>
      <c r="M7" s="6" t="s">
        <v>457</v>
      </c>
      <c r="N7" s="6"/>
      <c r="O7" s="6"/>
    </row>
    <row r="8" spans="1:16" ht="34" customHeight="1">
      <c r="A8" s="8">
        <f>IFERROR(SUM('Master FF&amp;E'!$T$4:$T$253)/ProjectBudget,0)</f>
        <v>0</v>
      </c>
      <c r="B8" s="8"/>
      <c r="C8" s="8"/>
      <c r="E8" s="9">
        <f>COUNTIF('Room List'!$A$4:$A$253,"&lt;&gt;")</f>
        <v>0</v>
      </c>
      <c r="F8" s="9"/>
      <c r="G8" s="9"/>
      <c r="I8" s="9">
        <f>COUNTIF('Master FF&amp;E'!$A$4:$A$253,"&lt;&gt;")</f>
        <v>0</v>
      </c>
      <c r="J8" s="9"/>
      <c r="K8" s="9"/>
      <c r="M8" s="9">
        <f>COUNTIF('Master FF&amp;E'!$W$4:$W$253,"Approved")</f>
        <v>0</v>
      </c>
      <c r="N8" s="9"/>
      <c r="O8" s="9"/>
    </row>
    <row r="10" spans="1:16" ht="24" customHeight="1">
      <c r="A10" s="6" t="s">
        <v>458</v>
      </c>
      <c r="B10" s="6"/>
      <c r="C10" s="6"/>
      <c r="E10" s="6" t="s">
        <v>459</v>
      </c>
      <c r="F10" s="6"/>
      <c r="G10" s="6"/>
      <c r="I10" s="6" t="s">
        <v>460</v>
      </c>
      <c r="J10" s="6"/>
      <c r="K10" s="6"/>
      <c r="M10" s="6" t="s">
        <v>461</v>
      </c>
      <c r="N10" s="6"/>
      <c r="O10" s="6"/>
    </row>
    <row r="11" spans="1:16" ht="34" customHeight="1">
      <c r="A11" s="9">
        <f>COUNTIF('Master FF&amp;E'!$V$4:$V$253,"Ordered")+COUNTIF('Master FF&amp;E'!$V$4:$V$253,"Confirmed")</f>
        <v>0</v>
      </c>
      <c r="B11" s="9"/>
      <c r="C11" s="9"/>
      <c r="E11" s="9">
        <f>COUNTIF('Master FF&amp;E'!$X$4:$X$253,"Delivered")</f>
        <v>0</v>
      </c>
      <c r="F11" s="9"/>
      <c r="G11" s="9"/>
      <c r="I11" s="9">
        <f>COUNTIF('Master FF&amp;E'!$Y$4:$Y$253,"Installed")+COUNTIF('Master FF&amp;E'!$Y$4:$Y$253,"Complete")</f>
        <v>0</v>
      </c>
      <c r="J11" s="9"/>
      <c r="K11" s="9"/>
      <c r="M11" s="9">
        <f>COUNTIFS('Task List'!$F$4:$F$253,"&lt;"&amp;TODAY(),'Task List'!$F$4:$F$253,"&lt;&gt;",'Task List'!$G$4:$G$253,"&lt;&gt;Complete")</f>
        <v>0</v>
      </c>
      <c r="N11" s="9"/>
      <c r="O11" s="9"/>
    </row>
    <row r="13" spans="1:16" ht="24" customHeight="1">
      <c r="A13" s="6" t="s">
        <v>462</v>
      </c>
      <c r="B13" s="6"/>
      <c r="C13" s="6"/>
      <c r="E13" s="6" t="s">
        <v>463</v>
      </c>
      <c r="F13" s="6"/>
      <c r="G13" s="6"/>
      <c r="I13" s="6" t="s">
        <v>464</v>
      </c>
      <c r="J13" s="6"/>
      <c r="K13" s="6"/>
      <c r="M13" s="6" t="s">
        <v>465</v>
      </c>
      <c r="N13" s="6"/>
      <c r="O13" s="6"/>
    </row>
    <row r="14" spans="1:16" ht="34" customHeight="1">
      <c r="A14" s="9">
        <f>COUNTIF('Client Approvals'!$F$4:$F$253,"Sent")+COUNTIF('Client Approvals'!$F$4:$F$253,"Revisions requested")</f>
        <v>0</v>
      </c>
      <c r="B14" s="9"/>
      <c r="C14" s="9"/>
      <c r="E14" s="9">
        <f>COUNTIFS('Order Tracker'!$A$4:$A$253,"&lt;&gt;",'Order Tracker'!$J$4:$J$253,"&lt;&gt;Delivered",'Order Tracker'!$J$4:$J$253,"&lt;&gt;Cancelled",'Order Tracker'!$J$4:$J$253,"&lt;&gt;Returned")</f>
        <v>0</v>
      </c>
      <c r="F14" s="9"/>
      <c r="G14" s="9"/>
      <c r="I14" s="9">
        <f>COUNTIFS('Master FF&amp;E'!$A$4:$A$253,"&lt;&gt;",'Master FF&amp;E'!$V$4:$V$253,"&lt;&gt;Ordered",'Master FF&amp;E'!$V$4:$V$253,"&lt;&gt;Confirmed",'Master FF&amp;E'!$V$4:$V$253,"&lt;&gt;In production",'Master FF&amp;E'!$V$4:$V$253,"&lt;&gt;Shipped",'Master FF&amp;E'!$V$4:$V$253,"&lt;&gt;Delivered",'Master FF&amp;E'!$V$4:$V$253,"&lt;&gt;Cancelled")</f>
        <v>0</v>
      </c>
      <c r="J14" s="9"/>
      <c r="K14" s="9"/>
      <c r="M14" s="9">
        <f>COUNTIFS('Master FF&amp;E'!$X$4:$X$253,"Delivered",'Master FF&amp;E'!$Y$4:$Y$253,"&lt;&gt;Installed",'Master FF&amp;E'!$Y$4:$Y$253,"&lt;&gt;Complete")</f>
        <v>0</v>
      </c>
      <c r="N14" s="9"/>
      <c r="O14" s="9"/>
    </row>
    <row r="19" spans="17:32">
      <c r="Q19" s="10" t="s">
        <v>167</v>
      </c>
      <c r="R19" s="10" t="s">
        <v>148</v>
      </c>
      <c r="S19" s="10" t="s">
        <v>466</v>
      </c>
      <c r="U19" s="10" t="s">
        <v>340</v>
      </c>
      <c r="V19" s="10" t="s">
        <v>467</v>
      </c>
      <c r="W19" s="10" t="s">
        <v>466</v>
      </c>
      <c r="Y19" s="10" t="s">
        <v>468</v>
      </c>
      <c r="Z19" s="10" t="s">
        <v>469</v>
      </c>
      <c r="AB19" s="10" t="s">
        <v>290</v>
      </c>
      <c r="AC19" s="10" t="s">
        <v>469</v>
      </c>
      <c r="AE19" s="10" t="s">
        <v>271</v>
      </c>
      <c r="AF19" s="10" t="s">
        <v>470</v>
      </c>
    </row>
    <row r="20" spans="17:32">
      <c r="Q20">
        <f>'Room List'!A4</f>
        <v>0</v>
      </c>
      <c r="R20">
        <f>'Room List'!F4</f>
        <v>0</v>
      </c>
      <c r="S20">
        <f>'Room List'!H4</f>
        <v>0</v>
      </c>
      <c r="U20" t="s">
        <v>116</v>
      </c>
      <c r="V20">
        <f>SUMIF('Budget Tracker'!$A$4:$A$253,U20,'Budget Tracker'!$B$4:$B$253)</f>
        <v>0</v>
      </c>
      <c r="W20">
        <f>SUMIF('Budget Tracker'!$A$4:$A$253,U20,'Budget Tracker'!$D$4:$D$253)</f>
        <v>0</v>
      </c>
      <c r="Y20" t="s">
        <v>40</v>
      </c>
      <c r="Z20">
        <f>COUNTIF('Master FF&amp;E'!$V$4:$V$253,Y20)</f>
        <v>0</v>
      </c>
      <c r="AB20" t="s">
        <v>79</v>
      </c>
      <c r="AC20">
        <f>COUNTIF('Master FF&amp;E'!$X$4:$X$253,AB20)</f>
        <v>0</v>
      </c>
      <c r="AE20" t="s">
        <v>46</v>
      </c>
      <c r="AF20">
        <f>SUMIF('Master FF&amp;E'!$C$4:$C$253,AE20,'Master FF&amp;E'!$T$4:$T$253)</f>
        <v>0</v>
      </c>
    </row>
    <row r="21" spans="17:32">
      <c r="Q21">
        <f>'Room List'!A5</f>
        <v>0</v>
      </c>
      <c r="R21">
        <f>'Room List'!F5</f>
        <v>0</v>
      </c>
      <c r="S21">
        <f>'Room List'!H5</f>
        <v>0</v>
      </c>
      <c r="U21" t="s">
        <v>51</v>
      </c>
      <c r="V21">
        <f>SUMIF('Budget Tracker'!$A$4:$A$253,U21,'Budget Tracker'!$B$4:$B$253)</f>
        <v>0</v>
      </c>
      <c r="W21">
        <f>SUMIF('Budget Tracker'!$A$4:$A$253,U21,'Budget Tracker'!$D$4:$D$253)</f>
        <v>0</v>
      </c>
      <c r="Y21" t="s">
        <v>70</v>
      </c>
      <c r="Z21">
        <f>COUNTIF('Master FF&amp;E'!$V$4:$V$253,Y21)</f>
        <v>0</v>
      </c>
      <c r="AB21" t="s">
        <v>80</v>
      </c>
      <c r="AC21">
        <f>COUNTIF('Master FF&amp;E'!$X$4:$X$253,AB21)</f>
        <v>0</v>
      </c>
      <c r="AE21" t="s">
        <v>47</v>
      </c>
      <c r="AF21">
        <f>SUMIF('Master FF&amp;E'!$C$4:$C$253,AE21,'Master FF&amp;E'!$T$4:$T$253)</f>
        <v>0</v>
      </c>
    </row>
    <row r="22" spans="17:32">
      <c r="Q22">
        <f>'Room List'!A6</f>
        <v>0</v>
      </c>
      <c r="R22">
        <f>'Room List'!F6</f>
        <v>0</v>
      </c>
      <c r="S22">
        <f>'Room List'!H6</f>
        <v>0</v>
      </c>
      <c r="U22" t="s">
        <v>122</v>
      </c>
      <c r="V22">
        <f>SUMIF('Budget Tracker'!$A$4:$A$253,U22,'Budget Tracker'!$B$4:$B$253)</f>
        <v>0</v>
      </c>
      <c r="W22">
        <f>SUMIF('Budget Tracker'!$A$4:$A$253,U22,'Budget Tracker'!$D$4:$D$253)</f>
        <v>0</v>
      </c>
      <c r="Y22" t="s">
        <v>41</v>
      </c>
      <c r="Z22">
        <f>COUNTIF('Master FF&amp;E'!$V$4:$V$253,Y22)</f>
        <v>0</v>
      </c>
      <c r="AB22" t="s">
        <v>81</v>
      </c>
      <c r="AC22">
        <f>COUNTIF('Master FF&amp;E'!$X$4:$X$253,AB22)</f>
        <v>0</v>
      </c>
      <c r="AE22" t="s">
        <v>48</v>
      </c>
      <c r="AF22">
        <f>SUMIF('Master FF&amp;E'!$C$4:$C$253,AE22,'Master FF&amp;E'!$T$4:$T$253)</f>
        <v>0</v>
      </c>
    </row>
    <row r="23" spans="17:32">
      <c r="Q23">
        <f>'Room List'!A7</f>
        <v>0</v>
      </c>
      <c r="R23">
        <f>'Room List'!F7</f>
        <v>0</v>
      </c>
      <c r="S23">
        <f>'Room List'!H7</f>
        <v>0</v>
      </c>
      <c r="U23" t="s">
        <v>58</v>
      </c>
      <c r="V23">
        <f>SUMIF('Budget Tracker'!$A$4:$A$253,U23,'Budget Tracker'!$B$4:$B$253)</f>
        <v>0</v>
      </c>
      <c r="W23">
        <f>SUMIF('Budget Tracker'!$A$4:$A$253,U23,'Budget Tracker'!$D$4:$D$253)</f>
        <v>0</v>
      </c>
      <c r="Y23" t="s">
        <v>42</v>
      </c>
      <c r="Z23">
        <f>COUNTIF('Master FF&amp;E'!$V$4:$V$253,Y23)</f>
        <v>0</v>
      </c>
      <c r="AB23" t="s">
        <v>74</v>
      </c>
      <c r="AC23">
        <f>COUNTIF('Master FF&amp;E'!$X$4:$X$253,AB23)</f>
        <v>0</v>
      </c>
      <c r="AE23" t="s">
        <v>49</v>
      </c>
      <c r="AF23">
        <f>SUMIF('Master FF&amp;E'!$C$4:$C$253,AE23,'Master FF&amp;E'!$T$4:$T$253)</f>
        <v>0</v>
      </c>
    </row>
    <row r="24" spans="17:32">
      <c r="Q24">
        <f>'Room List'!A8</f>
        <v>0</v>
      </c>
      <c r="R24">
        <f>'Room List'!F8</f>
        <v>0</v>
      </c>
      <c r="S24">
        <f>'Room List'!H8</f>
        <v>0</v>
      </c>
      <c r="U24" t="s">
        <v>52</v>
      </c>
      <c r="V24">
        <f>SUMIF('Budget Tracker'!$A$4:$A$253,U24,'Budget Tracker'!$B$4:$B$253)</f>
        <v>0</v>
      </c>
      <c r="W24">
        <f>SUMIF('Budget Tracker'!$A$4:$A$253,U24,'Budget Tracker'!$D$4:$D$253)</f>
        <v>0</v>
      </c>
      <c r="Y24" t="s">
        <v>43</v>
      </c>
      <c r="Z24">
        <f>COUNTIF('Master FF&amp;E'!$V$4:$V$253,Y24)</f>
        <v>0</v>
      </c>
      <c r="AB24" t="s">
        <v>75</v>
      </c>
      <c r="AC24">
        <f>COUNTIF('Master FF&amp;E'!$X$4:$X$253,AB24)</f>
        <v>0</v>
      </c>
      <c r="AE24" t="s">
        <v>50</v>
      </c>
      <c r="AF24">
        <f>SUMIF('Master FF&amp;E'!$C$4:$C$253,AE24,'Master FF&amp;E'!$T$4:$T$253)</f>
        <v>0</v>
      </c>
    </row>
    <row r="25" spans="17:32">
      <c r="Q25">
        <f>'Room List'!A9</f>
        <v>0</v>
      </c>
      <c r="R25">
        <f>'Room List'!F9</f>
        <v>0</v>
      </c>
      <c r="S25">
        <f>'Room List'!H9</f>
        <v>0</v>
      </c>
      <c r="U25" t="s">
        <v>123</v>
      </c>
      <c r="V25">
        <f>SUMIF('Budget Tracker'!$A$4:$A$253,U25,'Budget Tracker'!$B$4:$B$253)</f>
        <v>0</v>
      </c>
      <c r="W25">
        <f>SUMIF('Budget Tracker'!$A$4:$A$253,U25,'Budget Tracker'!$D$4:$D$253)</f>
        <v>0</v>
      </c>
      <c r="Y25" t="s">
        <v>73</v>
      </c>
      <c r="Z25">
        <f>COUNTIF('Master FF&amp;E'!$V$4:$V$253,Y25)</f>
        <v>0</v>
      </c>
      <c r="AB25" t="s">
        <v>24</v>
      </c>
      <c r="AC25">
        <f>COUNTIF('Master FF&amp;E'!$X$4:$X$253,AB25)</f>
        <v>0</v>
      </c>
      <c r="AE25" t="s">
        <v>51</v>
      </c>
      <c r="AF25">
        <f>SUMIF('Master FF&amp;E'!$C$4:$C$253,AE25,'Master FF&amp;E'!$T$4:$T$253)</f>
        <v>0</v>
      </c>
    </row>
    <row r="26" spans="17:32">
      <c r="Q26">
        <f>'Room List'!A10</f>
        <v>0</v>
      </c>
      <c r="R26">
        <f>'Room List'!F10</f>
        <v>0</v>
      </c>
      <c r="S26">
        <f>'Room List'!H10</f>
        <v>0</v>
      </c>
      <c r="U26" t="s">
        <v>61</v>
      </c>
      <c r="V26">
        <f>SUMIF('Budget Tracker'!$A$4:$A$253,U26,'Budget Tracker'!$B$4:$B$253)</f>
        <v>0</v>
      </c>
      <c r="W26">
        <f>SUMIF('Budget Tracker'!$A$4:$A$253,U26,'Budget Tracker'!$D$4:$D$253)</f>
        <v>0</v>
      </c>
      <c r="Y26" t="s">
        <v>74</v>
      </c>
      <c r="Z26">
        <f>COUNTIF('Master FF&amp;E'!$V$4:$V$253,Y26)</f>
        <v>0</v>
      </c>
      <c r="AB26" t="s">
        <v>76</v>
      </c>
      <c r="AC26">
        <f>COUNTIF('Master FF&amp;E'!$X$4:$X$253,AB26)</f>
        <v>0</v>
      </c>
      <c r="AE26" t="s">
        <v>52</v>
      </c>
      <c r="AF26">
        <f>SUMIF('Master FF&amp;E'!$C$4:$C$253,AE26,'Master FF&amp;E'!$T$4:$T$253)</f>
        <v>0</v>
      </c>
    </row>
    <row r="27" spans="17:32">
      <c r="Q27">
        <f>'Room List'!A11</f>
        <v>0</v>
      </c>
      <c r="R27">
        <f>'Room List'!F11</f>
        <v>0</v>
      </c>
      <c r="S27">
        <f>'Room List'!H11</f>
        <v>0</v>
      </c>
      <c r="U27" t="s">
        <v>124</v>
      </c>
      <c r="V27">
        <f>SUMIF('Budget Tracker'!$A$4:$A$253,U27,'Budget Tracker'!$B$4:$B$253)</f>
        <v>0</v>
      </c>
      <c r="W27">
        <f>SUMIF('Budget Tracker'!$A$4:$A$253,U27,'Budget Tracker'!$D$4:$D$253)</f>
        <v>0</v>
      </c>
      <c r="Y27" t="s">
        <v>44</v>
      </c>
      <c r="Z27">
        <f>COUNTIF('Master FF&amp;E'!$V$4:$V$253,Y27)</f>
        <v>0</v>
      </c>
      <c r="AE27" t="s">
        <v>53</v>
      </c>
      <c r="AF27">
        <f>SUMIF('Master FF&amp;E'!$C$4:$C$253,AE27,'Master FF&amp;E'!$T$4:$T$253)</f>
        <v>0</v>
      </c>
    </row>
    <row r="28" spans="17:32">
      <c r="Q28">
        <f>'Room List'!A12</f>
        <v>0</v>
      </c>
      <c r="R28">
        <f>'Room List'!F12</f>
        <v>0</v>
      </c>
      <c r="S28">
        <f>'Room List'!H12</f>
        <v>0</v>
      </c>
      <c r="U28" t="s">
        <v>125</v>
      </c>
      <c r="V28">
        <f>SUMIF('Budget Tracker'!$A$4:$A$253,U28,'Budget Tracker'!$B$4:$B$253)</f>
        <v>0</v>
      </c>
      <c r="W28">
        <f>SUMIF('Budget Tracker'!$A$4:$A$253,U28,'Budget Tracker'!$D$4:$D$253)</f>
        <v>0</v>
      </c>
      <c r="Y28" t="s">
        <v>24</v>
      </c>
      <c r="Z28">
        <f>COUNTIF('Master FF&amp;E'!$V$4:$V$253,Y28)</f>
        <v>0</v>
      </c>
      <c r="AE28" t="s">
        <v>54</v>
      </c>
      <c r="AF28">
        <f>SUMIF('Master FF&amp;E'!$C$4:$C$253,AE28,'Master FF&amp;E'!$T$4:$T$253)</f>
        <v>0</v>
      </c>
    </row>
    <row r="29" spans="17:32">
      <c r="Q29">
        <f>'Room List'!A13</f>
        <v>0</v>
      </c>
      <c r="R29">
        <f>'Room List'!F13</f>
        <v>0</v>
      </c>
      <c r="S29">
        <f>'Room List'!H13</f>
        <v>0</v>
      </c>
      <c r="U29" t="s">
        <v>126</v>
      </c>
      <c r="V29">
        <f>SUMIF('Budget Tracker'!$A$4:$A$253,U29,'Budget Tracker'!$B$4:$B$253)</f>
        <v>0</v>
      </c>
      <c r="W29">
        <f>SUMIF('Budget Tracker'!$A$4:$A$253,U29,'Budget Tracker'!$D$4:$D$253)</f>
        <v>0</v>
      </c>
      <c r="Y29" t="s">
        <v>77</v>
      </c>
      <c r="Z29">
        <f>COUNTIF('Master FF&amp;E'!$V$4:$V$253,Y29)</f>
        <v>0</v>
      </c>
      <c r="AE29" t="s">
        <v>55</v>
      </c>
      <c r="AF29">
        <f>SUMIF('Master FF&amp;E'!$C$4:$C$253,AE29,'Master FF&amp;E'!$T$4:$T$253)</f>
        <v>0</v>
      </c>
    </row>
    <row r="30" spans="17:32">
      <c r="Q30">
        <f>'Room List'!A14</f>
        <v>0</v>
      </c>
      <c r="R30">
        <f>'Room List'!F14</f>
        <v>0</v>
      </c>
      <c r="S30">
        <f>'Room List'!H14</f>
        <v>0</v>
      </c>
      <c r="U30" t="s">
        <v>127</v>
      </c>
      <c r="V30">
        <f>SUMIF('Budget Tracker'!$A$4:$A$253,U30,'Budget Tracker'!$B$4:$B$253)</f>
        <v>0</v>
      </c>
      <c r="W30">
        <f>SUMIF('Budget Tracker'!$A$4:$A$253,U30,'Budget Tracker'!$D$4:$D$253)</f>
        <v>0</v>
      </c>
      <c r="AE30" t="s">
        <v>56</v>
      </c>
      <c r="AF30">
        <f>SUMIF('Master FF&amp;E'!$C$4:$C$253,AE30,'Master FF&amp;E'!$T$4:$T$253)</f>
        <v>0</v>
      </c>
    </row>
    <row r="31" spans="17:32">
      <c r="Q31">
        <f>'Room List'!A15</f>
        <v>0</v>
      </c>
      <c r="R31">
        <f>'Room List'!F15</f>
        <v>0</v>
      </c>
      <c r="S31">
        <f>'Room List'!H15</f>
        <v>0</v>
      </c>
      <c r="U31" t="s">
        <v>128</v>
      </c>
      <c r="V31">
        <f>SUMIF('Budget Tracker'!$A$4:$A$253,U31,'Budget Tracker'!$B$4:$B$253)</f>
        <v>0</v>
      </c>
      <c r="W31">
        <f>SUMIF('Budget Tracker'!$A$4:$A$253,U31,'Budget Tracker'!$D$4:$D$253)</f>
        <v>0</v>
      </c>
      <c r="AE31" t="s">
        <v>57</v>
      </c>
      <c r="AF31">
        <f>SUMIF('Master FF&amp;E'!$C$4:$C$253,AE31,'Master FF&amp;E'!$T$4:$T$253)</f>
        <v>0</v>
      </c>
    </row>
    <row r="32" spans="17:32">
      <c r="Q32">
        <f>'Room List'!A16</f>
        <v>0</v>
      </c>
      <c r="R32">
        <f>'Room List'!F16</f>
        <v>0</v>
      </c>
      <c r="S32">
        <f>'Room List'!H16</f>
        <v>0</v>
      </c>
      <c r="U32" t="s">
        <v>129</v>
      </c>
      <c r="V32">
        <f>SUMIF('Budget Tracker'!$A$4:$A$253,U32,'Budget Tracker'!$B$4:$B$253)</f>
        <v>0</v>
      </c>
      <c r="W32">
        <f>SUMIF('Budget Tracker'!$A$4:$A$253,U32,'Budget Tracker'!$D$4:$D$253)</f>
        <v>0</v>
      </c>
      <c r="AE32" t="s">
        <v>58</v>
      </c>
      <c r="AF32">
        <f>SUMIF('Master FF&amp;E'!$C$4:$C$253,AE32,'Master FF&amp;E'!$T$4:$T$253)</f>
        <v>0</v>
      </c>
    </row>
    <row r="33" spans="17:32">
      <c r="Q33">
        <f>'Room List'!A17</f>
        <v>0</v>
      </c>
      <c r="R33">
        <f>'Room List'!F17</f>
        <v>0</v>
      </c>
      <c r="S33">
        <f>'Room List'!H17</f>
        <v>0</v>
      </c>
      <c r="U33" t="s">
        <v>130</v>
      </c>
      <c r="V33">
        <f>SUMIF('Budget Tracker'!$A$4:$A$253,U33,'Budget Tracker'!$B$4:$B$253)</f>
        <v>0</v>
      </c>
      <c r="W33">
        <f>SUMIF('Budget Tracker'!$A$4:$A$253,U33,'Budget Tracker'!$D$4:$D$253)</f>
        <v>0</v>
      </c>
      <c r="AE33" t="s">
        <v>59</v>
      </c>
      <c r="AF33">
        <f>SUMIF('Master FF&amp;E'!$C$4:$C$253,AE33,'Master FF&amp;E'!$T$4:$T$253)</f>
        <v>0</v>
      </c>
    </row>
    <row r="34" spans="17:32">
      <c r="Q34">
        <f>'Room List'!A18</f>
        <v>0</v>
      </c>
      <c r="R34">
        <f>'Room List'!F18</f>
        <v>0</v>
      </c>
      <c r="S34">
        <f>'Room List'!H18</f>
        <v>0</v>
      </c>
      <c r="AE34" t="s">
        <v>60</v>
      </c>
      <c r="AF34">
        <f>SUMIF('Master FF&amp;E'!$C$4:$C$253,AE34,'Master FF&amp;E'!$T$4:$T$253)</f>
        <v>0</v>
      </c>
    </row>
    <row r="35" spans="17:32">
      <c r="AE35" t="s">
        <v>61</v>
      </c>
      <c r="AF35">
        <f>SUMIF('Master FF&amp;E'!$C$4:$C$253,AE35,'Master FF&amp;E'!$T$4:$T$253)</f>
        <v>0</v>
      </c>
    </row>
    <row r="36" spans="17:32">
      <c r="AE36" t="s">
        <v>62</v>
      </c>
      <c r="AF36">
        <f>SUMIF('Master FF&amp;E'!$C$4:$C$253,AE36,'Master FF&amp;E'!$T$4:$T$253)</f>
        <v>0</v>
      </c>
    </row>
    <row r="37" spans="17:32">
      <c r="AE37" t="s">
        <v>11</v>
      </c>
      <c r="AF37">
        <f>SUMIF('Master FF&amp;E'!$C$4:$C$253,AE37,'Master FF&amp;E'!$T$4:$T$253)</f>
        <v>0</v>
      </c>
    </row>
  </sheetData>
  <mergeCells count="34">
    <mergeCell ref="A1:P1"/>
    <mergeCell ref="A2:P2"/>
    <mergeCell ref="A4:C4"/>
    <mergeCell ref="A5:C5"/>
    <mergeCell ref="E4:G4"/>
    <mergeCell ref="E5:G5"/>
    <mergeCell ref="I4:K4"/>
    <mergeCell ref="I5:K5"/>
    <mergeCell ref="M4:O4"/>
    <mergeCell ref="M5:O5"/>
    <mergeCell ref="A7:C7"/>
    <mergeCell ref="A8:C8"/>
    <mergeCell ref="E7:G7"/>
    <mergeCell ref="E8:G8"/>
    <mergeCell ref="I7:K7"/>
    <mergeCell ref="I8:K8"/>
    <mergeCell ref="M7:O7"/>
    <mergeCell ref="M8:O8"/>
    <mergeCell ref="A10:C10"/>
    <mergeCell ref="A11:C11"/>
    <mergeCell ref="E10:G10"/>
    <mergeCell ref="E11:G11"/>
    <mergeCell ref="I10:K10"/>
    <mergeCell ref="I11:K11"/>
    <mergeCell ref="M10:O10"/>
    <mergeCell ref="M11:O11"/>
    <mergeCell ref="A13:C13"/>
    <mergeCell ref="A14:C14"/>
    <mergeCell ref="E13:G13"/>
    <mergeCell ref="E14:G14"/>
    <mergeCell ref="I13:K13"/>
    <mergeCell ref="I14:K14"/>
    <mergeCell ref="M13:O13"/>
    <mergeCell ref="M14:O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showGridLines="0" workbookViewId="0"/>
  </sheetViews>
  <sheetFormatPr defaultRowHeight="15"/>
  <cols>
    <col min="1" max="1" width="23.7109375" customWidth="1"/>
    <col min="2" max="2" width="32.7109375" customWidth="1"/>
    <col min="3" max="3" width="3.7109375" customWidth="1"/>
    <col min="4" max="4" width="23.7109375" customWidth="1"/>
    <col min="5" max="6" width="32.7109375" customWidth="1"/>
  </cols>
  <sheetData>
    <row r="1" spans="1:6" ht="30" customHeight="1">
      <c r="A1" s="1" t="s">
        <v>236</v>
      </c>
      <c r="B1" s="1"/>
      <c r="C1" s="1"/>
      <c r="D1" s="1"/>
      <c r="E1" s="1"/>
      <c r="F1" s="1"/>
    </row>
    <row r="2" spans="1:6" ht="20" customHeight="1">
      <c r="A2" s="2" t="s">
        <v>237</v>
      </c>
      <c r="B2" s="2"/>
      <c r="C2" s="2"/>
      <c r="D2" s="2"/>
      <c r="E2" s="2"/>
      <c r="F2" s="2"/>
    </row>
    <row r="4" spans="1:6">
      <c r="A4" s="4" t="s">
        <v>238</v>
      </c>
      <c r="B4" s="11"/>
      <c r="C4" s="11"/>
      <c r="D4" s="4" t="s">
        <v>253</v>
      </c>
      <c r="E4" s="12"/>
      <c r="F4" s="12"/>
    </row>
    <row r="5" spans="1:6">
      <c r="A5" s="4" t="s">
        <v>239</v>
      </c>
      <c r="B5" s="11"/>
      <c r="C5" s="11"/>
      <c r="E5" s="12"/>
      <c r="F5" s="12"/>
    </row>
    <row r="6" spans="1:6">
      <c r="A6" s="4" t="s">
        <v>240</v>
      </c>
      <c r="B6" s="11"/>
      <c r="C6" s="11"/>
      <c r="E6" s="12"/>
      <c r="F6" s="12"/>
    </row>
    <row r="7" spans="1:6">
      <c r="A7" s="4" t="s">
        <v>241</v>
      </c>
      <c r="B7" s="11"/>
      <c r="C7" s="11"/>
      <c r="E7" s="12"/>
      <c r="F7" s="12"/>
    </row>
    <row r="8" spans="1:6">
      <c r="A8" s="4" t="s">
        <v>242</v>
      </c>
      <c r="B8" s="11"/>
      <c r="C8" s="11"/>
      <c r="E8" s="12"/>
      <c r="F8" s="12"/>
    </row>
    <row r="9" spans="1:6">
      <c r="A9" s="4" t="s">
        <v>243</v>
      </c>
      <c r="B9" s="11"/>
      <c r="C9" s="11"/>
      <c r="E9" s="12"/>
      <c r="F9" s="12"/>
    </row>
    <row r="10" spans="1:6">
      <c r="A10" s="4" t="s">
        <v>244</v>
      </c>
      <c r="B10" s="11"/>
      <c r="C10" s="11"/>
      <c r="E10" s="12"/>
      <c r="F10" s="12"/>
    </row>
    <row r="11" spans="1:6">
      <c r="A11" s="4" t="s">
        <v>245</v>
      </c>
      <c r="B11" s="13"/>
      <c r="C11" s="13"/>
    </row>
    <row r="12" spans="1:6">
      <c r="A12" s="4" t="s">
        <v>246</v>
      </c>
      <c r="B12" s="13"/>
      <c r="C12" s="13"/>
      <c r="D12" s="4" t="s">
        <v>254</v>
      </c>
      <c r="E12" s="12"/>
      <c r="F12" s="12"/>
    </row>
    <row r="13" spans="1:6">
      <c r="A13" s="4" t="s">
        <v>247</v>
      </c>
      <c r="B13" s="14"/>
      <c r="C13" s="14"/>
      <c r="E13" s="12"/>
      <c r="F13" s="12"/>
    </row>
    <row r="14" spans="1:6">
      <c r="A14" s="4" t="s">
        <v>248</v>
      </c>
      <c r="B14" s="11"/>
      <c r="C14" s="11"/>
      <c r="E14" s="12"/>
      <c r="F14" s="12"/>
    </row>
    <row r="15" spans="1:6">
      <c r="A15" s="4" t="s">
        <v>249</v>
      </c>
      <c r="B15" s="11"/>
      <c r="C15" s="11"/>
      <c r="E15" s="12"/>
      <c r="F15" s="12"/>
    </row>
    <row r="16" spans="1:6">
      <c r="A16" s="4" t="s">
        <v>250</v>
      </c>
      <c r="B16" s="11"/>
      <c r="C16" s="11"/>
      <c r="E16" s="12"/>
      <c r="F16" s="12"/>
    </row>
    <row r="17" spans="1:6">
      <c r="A17" s="4" t="s">
        <v>133</v>
      </c>
      <c r="B17" s="11"/>
      <c r="C17" s="11"/>
      <c r="E17" s="12"/>
      <c r="F17" s="12"/>
    </row>
    <row r="18" spans="1:6">
      <c r="A18" s="4" t="s">
        <v>251</v>
      </c>
      <c r="B18" s="11"/>
      <c r="C18" s="11"/>
      <c r="E18" s="12"/>
      <c r="F18" s="12"/>
    </row>
    <row r="19" spans="1:6">
      <c r="A19" s="4" t="s">
        <v>252</v>
      </c>
      <c r="B19" s="11"/>
      <c r="C19" s="11"/>
      <c r="E19" s="12"/>
      <c r="F19" s="12"/>
    </row>
  </sheetData>
  <mergeCells count="20">
    <mergeCell ref="A1:F1"/>
    <mergeCell ref="A2:F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E4:F10"/>
    <mergeCell ref="E12:F19"/>
  </mergeCells>
  <dataValidations count="5">
    <dataValidation type="list" allowBlank="1" showInputMessage="1" showErrorMessage="1" sqref="B9:C9">
      <formula1>ProjectTypes</formula1>
    </dataValidation>
    <dataValidation type="list" allowBlank="1" showInputMessage="1" showErrorMessage="1" sqref="B15:C15">
      <formula1>ProjectStatuses</formula1>
    </dataValidation>
    <dataValidation type="list" allowBlank="1" showInputMessage="1" showErrorMessage="1" sqref="B16:C16">
      <formula1>YesNo</formula1>
    </dataValidation>
    <dataValidation type="list" allowBlank="1" showInputMessage="1" showErrorMessage="1" sqref="B17:C17">
      <formula1>YesNo</formula1>
    </dataValidation>
    <dataValidation type="list" allowBlank="1" showInputMessage="1" showErrorMessage="1" sqref="B19:C19">
      <formula1>BillingMethods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4" width="14.7109375" customWidth="1"/>
    <col min="5" max="5" width="18.7109375" customWidth="1"/>
    <col min="6" max="8" width="16.7109375" customWidth="1"/>
    <col min="9" max="9" width="17.7109375" customWidth="1"/>
    <col min="10" max="10" width="14.7109375" customWidth="1"/>
    <col min="11" max="11" width="30.7109375" customWidth="1"/>
  </cols>
  <sheetData>
    <row r="1" spans="1:11" ht="30" customHeight="1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2" customHeight="1">
      <c r="A3" s="10" t="s">
        <v>257</v>
      </c>
      <c r="B3" s="10" t="s">
        <v>258</v>
      </c>
      <c r="C3" s="10" t="s">
        <v>259</v>
      </c>
      <c r="D3" s="10" t="s">
        <v>260</v>
      </c>
      <c r="E3" s="10" t="s">
        <v>261</v>
      </c>
      <c r="F3" s="10" t="s">
        <v>262</v>
      </c>
      <c r="G3" s="10" t="s">
        <v>263</v>
      </c>
      <c r="H3" s="10" t="s">
        <v>264</v>
      </c>
      <c r="I3" s="10" t="s">
        <v>265</v>
      </c>
      <c r="J3" s="10" t="s">
        <v>266</v>
      </c>
      <c r="K3" s="10" t="s">
        <v>267</v>
      </c>
    </row>
    <row r="4" spans="1:11">
      <c r="A4" s="12"/>
      <c r="B4" s="12"/>
      <c r="C4" s="12"/>
      <c r="D4" s="15"/>
      <c r="E4" s="12"/>
      <c r="F4" s="14"/>
      <c r="G4" s="16">
        <f>IF($A4="","",SUMIF('Master FF&amp;E'!$B$4:$B$253,$A4,'Master FF&amp;E'!$P$4:$P$253))</f>
        <v>0</v>
      </c>
      <c r="H4" s="16">
        <f>IF($A4="","",SUMIF('Master FF&amp;E'!$B$4:$B$253,$A4,'Master FF&amp;E'!$T$4:$T$253))</f>
        <v>0</v>
      </c>
      <c r="I4" s="16">
        <f>IF($A4="","",F4-H4)</f>
        <v>0</v>
      </c>
      <c r="J4" s="12"/>
      <c r="K4" s="12"/>
    </row>
    <row r="5" spans="1:11">
      <c r="A5" s="12"/>
      <c r="B5" s="12"/>
      <c r="C5" s="12"/>
      <c r="D5" s="15"/>
      <c r="E5" s="12"/>
      <c r="F5" s="14"/>
      <c r="G5" s="16">
        <f>IF($A5="","",SUMIF('Master FF&amp;E'!$B$4:$B$253,$A5,'Master FF&amp;E'!$P$4:$P$253))</f>
        <v>0</v>
      </c>
      <c r="H5" s="16">
        <f>IF($A5="","",SUMIF('Master FF&amp;E'!$B$4:$B$253,$A5,'Master FF&amp;E'!$T$4:$T$253))</f>
        <v>0</v>
      </c>
      <c r="I5" s="16">
        <f>IF($A5="","",F5-H5)</f>
        <v>0</v>
      </c>
      <c r="J5" s="12"/>
      <c r="K5" s="12"/>
    </row>
    <row r="6" spans="1:11">
      <c r="A6" s="12"/>
      <c r="B6" s="12"/>
      <c r="C6" s="12"/>
      <c r="D6" s="15"/>
      <c r="E6" s="12"/>
      <c r="F6" s="14"/>
      <c r="G6" s="16">
        <f>IF($A6="","",SUMIF('Master FF&amp;E'!$B$4:$B$253,$A6,'Master FF&amp;E'!$P$4:$P$253))</f>
        <v>0</v>
      </c>
      <c r="H6" s="16">
        <f>IF($A6="","",SUMIF('Master FF&amp;E'!$B$4:$B$253,$A6,'Master FF&amp;E'!$T$4:$T$253))</f>
        <v>0</v>
      </c>
      <c r="I6" s="16">
        <f>IF($A6="","",F6-H6)</f>
        <v>0</v>
      </c>
      <c r="J6" s="12"/>
      <c r="K6" s="12"/>
    </row>
    <row r="7" spans="1:11">
      <c r="A7" s="12"/>
      <c r="B7" s="12"/>
      <c r="C7" s="12"/>
      <c r="D7" s="15"/>
      <c r="E7" s="12"/>
      <c r="F7" s="14"/>
      <c r="G7" s="16">
        <f>IF($A7="","",SUMIF('Master FF&amp;E'!$B$4:$B$253,$A7,'Master FF&amp;E'!$P$4:$P$253))</f>
        <v>0</v>
      </c>
      <c r="H7" s="16">
        <f>IF($A7="","",SUMIF('Master FF&amp;E'!$B$4:$B$253,$A7,'Master FF&amp;E'!$T$4:$T$253))</f>
        <v>0</v>
      </c>
      <c r="I7" s="16">
        <f>IF($A7="","",F7-H7)</f>
        <v>0</v>
      </c>
      <c r="J7" s="12"/>
      <c r="K7" s="12"/>
    </row>
    <row r="8" spans="1:11">
      <c r="A8" s="12"/>
      <c r="B8" s="12"/>
      <c r="C8" s="12"/>
      <c r="D8" s="15"/>
      <c r="E8" s="12"/>
      <c r="F8" s="14"/>
      <c r="G8" s="16">
        <f>IF($A8="","",SUMIF('Master FF&amp;E'!$B$4:$B$253,$A8,'Master FF&amp;E'!$P$4:$P$253))</f>
        <v>0</v>
      </c>
      <c r="H8" s="16">
        <f>IF($A8="","",SUMIF('Master FF&amp;E'!$B$4:$B$253,$A8,'Master FF&amp;E'!$T$4:$T$253))</f>
        <v>0</v>
      </c>
      <c r="I8" s="16">
        <f>IF($A8="","",F8-H8)</f>
        <v>0</v>
      </c>
      <c r="J8" s="12"/>
      <c r="K8" s="12"/>
    </row>
    <row r="9" spans="1:11">
      <c r="A9" s="12"/>
      <c r="B9" s="12"/>
      <c r="C9" s="12"/>
      <c r="D9" s="15"/>
      <c r="E9" s="12"/>
      <c r="F9" s="14"/>
      <c r="G9" s="16">
        <f>IF($A9="","",SUMIF('Master FF&amp;E'!$B$4:$B$253,$A9,'Master FF&amp;E'!$P$4:$P$253))</f>
        <v>0</v>
      </c>
      <c r="H9" s="16">
        <f>IF($A9="","",SUMIF('Master FF&amp;E'!$B$4:$B$253,$A9,'Master FF&amp;E'!$T$4:$T$253))</f>
        <v>0</v>
      </c>
      <c r="I9" s="16">
        <f>IF($A9="","",F9-H9)</f>
        <v>0</v>
      </c>
      <c r="J9" s="12"/>
      <c r="K9" s="12"/>
    </row>
    <row r="10" spans="1:11">
      <c r="A10" s="12"/>
      <c r="B10" s="12"/>
      <c r="C10" s="12"/>
      <c r="D10" s="15"/>
      <c r="E10" s="12"/>
      <c r="F10" s="14"/>
      <c r="G10" s="16">
        <f>IF($A10="","",SUMIF('Master FF&amp;E'!$B$4:$B$253,$A10,'Master FF&amp;E'!$P$4:$P$253))</f>
        <v>0</v>
      </c>
      <c r="H10" s="16">
        <f>IF($A10="","",SUMIF('Master FF&amp;E'!$B$4:$B$253,$A10,'Master FF&amp;E'!$T$4:$T$253))</f>
        <v>0</v>
      </c>
      <c r="I10" s="16">
        <f>IF($A10="","",F10-H10)</f>
        <v>0</v>
      </c>
      <c r="J10" s="12"/>
      <c r="K10" s="12"/>
    </row>
    <row r="11" spans="1:11">
      <c r="A11" s="12"/>
      <c r="B11" s="12"/>
      <c r="C11" s="12"/>
      <c r="D11" s="15"/>
      <c r="E11" s="12"/>
      <c r="F11" s="14"/>
      <c r="G11" s="16">
        <f>IF($A11="","",SUMIF('Master FF&amp;E'!$B$4:$B$253,$A11,'Master FF&amp;E'!$P$4:$P$253))</f>
        <v>0</v>
      </c>
      <c r="H11" s="16">
        <f>IF($A11="","",SUMIF('Master FF&amp;E'!$B$4:$B$253,$A11,'Master FF&amp;E'!$T$4:$T$253))</f>
        <v>0</v>
      </c>
      <c r="I11" s="16">
        <f>IF($A11="","",F11-H11)</f>
        <v>0</v>
      </c>
      <c r="J11" s="12"/>
      <c r="K11" s="12"/>
    </row>
    <row r="12" spans="1:11">
      <c r="A12" s="12"/>
      <c r="B12" s="12"/>
      <c r="C12" s="12"/>
      <c r="D12" s="15"/>
      <c r="E12" s="12"/>
      <c r="F12" s="14"/>
      <c r="G12" s="16">
        <f>IF($A12="","",SUMIF('Master FF&amp;E'!$B$4:$B$253,$A12,'Master FF&amp;E'!$P$4:$P$253))</f>
        <v>0</v>
      </c>
      <c r="H12" s="16">
        <f>IF($A12="","",SUMIF('Master FF&amp;E'!$B$4:$B$253,$A12,'Master FF&amp;E'!$T$4:$T$253))</f>
        <v>0</v>
      </c>
      <c r="I12" s="16">
        <f>IF($A12="","",F12-H12)</f>
        <v>0</v>
      </c>
      <c r="J12" s="12"/>
      <c r="K12" s="12"/>
    </row>
    <row r="13" spans="1:11">
      <c r="A13" s="12"/>
      <c r="B13" s="12"/>
      <c r="C13" s="12"/>
      <c r="D13" s="15"/>
      <c r="E13" s="12"/>
      <c r="F13" s="14"/>
      <c r="G13" s="16">
        <f>IF($A13="","",SUMIF('Master FF&amp;E'!$B$4:$B$253,$A13,'Master FF&amp;E'!$P$4:$P$253))</f>
        <v>0</v>
      </c>
      <c r="H13" s="16">
        <f>IF($A13="","",SUMIF('Master FF&amp;E'!$B$4:$B$253,$A13,'Master FF&amp;E'!$T$4:$T$253))</f>
        <v>0</v>
      </c>
      <c r="I13" s="16">
        <f>IF($A13="","",F13-H13)</f>
        <v>0</v>
      </c>
      <c r="J13" s="12"/>
      <c r="K13" s="12"/>
    </row>
    <row r="14" spans="1:11">
      <c r="A14" s="12"/>
      <c r="B14" s="12"/>
      <c r="C14" s="12"/>
      <c r="D14" s="15"/>
      <c r="E14" s="12"/>
      <c r="F14" s="14"/>
      <c r="G14" s="16">
        <f>IF($A14="","",SUMIF('Master FF&amp;E'!$B$4:$B$253,$A14,'Master FF&amp;E'!$P$4:$P$253))</f>
        <v>0</v>
      </c>
      <c r="H14" s="16">
        <f>IF($A14="","",SUMIF('Master FF&amp;E'!$B$4:$B$253,$A14,'Master FF&amp;E'!$T$4:$T$253))</f>
        <v>0</v>
      </c>
      <c r="I14" s="16">
        <f>IF($A14="","",F14-H14)</f>
        <v>0</v>
      </c>
      <c r="J14" s="12"/>
      <c r="K14" s="12"/>
    </row>
    <row r="15" spans="1:11">
      <c r="A15" s="12"/>
      <c r="B15" s="12"/>
      <c r="C15" s="12"/>
      <c r="D15" s="15"/>
      <c r="E15" s="12"/>
      <c r="F15" s="14"/>
      <c r="G15" s="16">
        <f>IF($A15="","",SUMIF('Master FF&amp;E'!$B$4:$B$253,$A15,'Master FF&amp;E'!$P$4:$P$253))</f>
        <v>0</v>
      </c>
      <c r="H15" s="16">
        <f>IF($A15="","",SUMIF('Master FF&amp;E'!$B$4:$B$253,$A15,'Master FF&amp;E'!$T$4:$T$253))</f>
        <v>0</v>
      </c>
      <c r="I15" s="16">
        <f>IF($A15="","",F15-H15)</f>
        <v>0</v>
      </c>
      <c r="J15" s="12"/>
      <c r="K15" s="12"/>
    </row>
    <row r="16" spans="1:11">
      <c r="A16" s="12"/>
      <c r="B16" s="12"/>
      <c r="C16" s="12"/>
      <c r="D16" s="15"/>
      <c r="E16" s="12"/>
      <c r="F16" s="14"/>
      <c r="G16" s="16">
        <f>IF($A16="","",SUMIF('Master FF&amp;E'!$B$4:$B$253,$A16,'Master FF&amp;E'!$P$4:$P$253))</f>
        <v>0</v>
      </c>
      <c r="H16" s="16">
        <f>IF($A16="","",SUMIF('Master FF&amp;E'!$B$4:$B$253,$A16,'Master FF&amp;E'!$T$4:$T$253))</f>
        <v>0</v>
      </c>
      <c r="I16" s="16">
        <f>IF($A16="","",F16-H16)</f>
        <v>0</v>
      </c>
      <c r="J16" s="12"/>
      <c r="K16" s="12"/>
    </row>
    <row r="17" spans="1:11">
      <c r="A17" s="12"/>
      <c r="B17" s="12"/>
      <c r="C17" s="12"/>
      <c r="D17" s="15"/>
      <c r="E17" s="12"/>
      <c r="F17" s="14"/>
      <c r="G17" s="16">
        <f>IF($A17="","",SUMIF('Master FF&amp;E'!$B$4:$B$253,$A17,'Master FF&amp;E'!$P$4:$P$253))</f>
        <v>0</v>
      </c>
      <c r="H17" s="16">
        <f>IF($A17="","",SUMIF('Master FF&amp;E'!$B$4:$B$253,$A17,'Master FF&amp;E'!$T$4:$T$253))</f>
        <v>0</v>
      </c>
      <c r="I17" s="16">
        <f>IF($A17="","",F17-H17)</f>
        <v>0</v>
      </c>
      <c r="J17" s="12"/>
      <c r="K17" s="12"/>
    </row>
    <row r="18" spans="1:11">
      <c r="A18" s="12"/>
      <c r="B18" s="12"/>
      <c r="C18" s="12"/>
      <c r="D18" s="15"/>
      <c r="E18" s="12"/>
      <c r="F18" s="14"/>
      <c r="G18" s="16">
        <f>IF($A18="","",SUMIF('Master FF&amp;E'!$B$4:$B$253,$A18,'Master FF&amp;E'!$P$4:$P$253))</f>
        <v>0</v>
      </c>
      <c r="H18" s="16">
        <f>IF($A18="","",SUMIF('Master FF&amp;E'!$B$4:$B$253,$A18,'Master FF&amp;E'!$T$4:$T$253))</f>
        <v>0</v>
      </c>
      <c r="I18" s="16">
        <f>IF($A18="","",F18-H18)</f>
        <v>0</v>
      </c>
      <c r="J18" s="12"/>
      <c r="K18" s="12"/>
    </row>
    <row r="19" spans="1:11">
      <c r="A19" s="12"/>
      <c r="B19" s="12"/>
      <c r="C19" s="12"/>
      <c r="D19" s="15"/>
      <c r="E19" s="12"/>
      <c r="F19" s="14"/>
      <c r="G19" s="16">
        <f>IF($A19="","",SUMIF('Master FF&amp;E'!$B$4:$B$253,$A19,'Master FF&amp;E'!$P$4:$P$253))</f>
        <v>0</v>
      </c>
      <c r="H19" s="16">
        <f>IF($A19="","",SUMIF('Master FF&amp;E'!$B$4:$B$253,$A19,'Master FF&amp;E'!$T$4:$T$253))</f>
        <v>0</v>
      </c>
      <c r="I19" s="16">
        <f>IF($A19="","",F19-H19)</f>
        <v>0</v>
      </c>
      <c r="J19" s="12"/>
      <c r="K19" s="12"/>
    </row>
    <row r="20" spans="1:11">
      <c r="A20" s="12"/>
      <c r="B20" s="12"/>
      <c r="C20" s="12"/>
      <c r="D20" s="15"/>
      <c r="E20" s="12"/>
      <c r="F20" s="14"/>
      <c r="G20" s="16">
        <f>IF($A20="","",SUMIF('Master FF&amp;E'!$B$4:$B$253,$A20,'Master FF&amp;E'!$P$4:$P$253))</f>
        <v>0</v>
      </c>
      <c r="H20" s="16">
        <f>IF($A20="","",SUMIF('Master FF&amp;E'!$B$4:$B$253,$A20,'Master FF&amp;E'!$T$4:$T$253))</f>
        <v>0</v>
      </c>
      <c r="I20" s="16">
        <f>IF($A20="","",F20-H20)</f>
        <v>0</v>
      </c>
      <c r="J20" s="12"/>
      <c r="K20" s="12"/>
    </row>
    <row r="21" spans="1:11">
      <c r="A21" s="12"/>
      <c r="B21" s="12"/>
      <c r="C21" s="12"/>
      <c r="D21" s="15"/>
      <c r="E21" s="12"/>
      <c r="F21" s="14"/>
      <c r="G21" s="16">
        <f>IF($A21="","",SUMIF('Master FF&amp;E'!$B$4:$B$253,$A21,'Master FF&amp;E'!$P$4:$P$253))</f>
        <v>0</v>
      </c>
      <c r="H21" s="16">
        <f>IF($A21="","",SUMIF('Master FF&amp;E'!$B$4:$B$253,$A21,'Master FF&amp;E'!$T$4:$T$253))</f>
        <v>0</v>
      </c>
      <c r="I21" s="16">
        <f>IF($A21="","",F21-H21)</f>
        <v>0</v>
      </c>
      <c r="J21" s="12"/>
      <c r="K21" s="12"/>
    </row>
    <row r="22" spans="1:11">
      <c r="A22" s="12"/>
      <c r="B22" s="12"/>
      <c r="C22" s="12"/>
      <c r="D22" s="15"/>
      <c r="E22" s="12"/>
      <c r="F22" s="14"/>
      <c r="G22" s="16">
        <f>IF($A22="","",SUMIF('Master FF&amp;E'!$B$4:$B$253,$A22,'Master FF&amp;E'!$P$4:$P$253))</f>
        <v>0</v>
      </c>
      <c r="H22" s="16">
        <f>IF($A22="","",SUMIF('Master FF&amp;E'!$B$4:$B$253,$A22,'Master FF&amp;E'!$T$4:$T$253))</f>
        <v>0</v>
      </c>
      <c r="I22" s="16">
        <f>IF($A22="","",F22-H22)</f>
        <v>0</v>
      </c>
      <c r="J22" s="12"/>
      <c r="K22" s="12"/>
    </row>
    <row r="23" spans="1:11">
      <c r="A23" s="12"/>
      <c r="B23" s="12"/>
      <c r="C23" s="12"/>
      <c r="D23" s="15"/>
      <c r="E23" s="12"/>
      <c r="F23" s="14"/>
      <c r="G23" s="16">
        <f>IF($A23="","",SUMIF('Master FF&amp;E'!$B$4:$B$253,$A23,'Master FF&amp;E'!$P$4:$P$253))</f>
        <v>0</v>
      </c>
      <c r="H23" s="16">
        <f>IF($A23="","",SUMIF('Master FF&amp;E'!$B$4:$B$253,$A23,'Master FF&amp;E'!$T$4:$T$253))</f>
        <v>0</v>
      </c>
      <c r="I23" s="16">
        <f>IF($A23="","",F23-H23)</f>
        <v>0</v>
      </c>
      <c r="J23" s="12"/>
      <c r="K23" s="12"/>
    </row>
    <row r="24" spans="1:11">
      <c r="A24" s="12"/>
      <c r="B24" s="12"/>
      <c r="C24" s="12"/>
      <c r="D24" s="15"/>
      <c r="E24" s="12"/>
      <c r="F24" s="14"/>
      <c r="G24" s="16">
        <f>IF($A24="","",SUMIF('Master FF&amp;E'!$B$4:$B$253,$A24,'Master FF&amp;E'!$P$4:$P$253))</f>
        <v>0</v>
      </c>
      <c r="H24" s="16">
        <f>IF($A24="","",SUMIF('Master FF&amp;E'!$B$4:$B$253,$A24,'Master FF&amp;E'!$T$4:$T$253))</f>
        <v>0</v>
      </c>
      <c r="I24" s="16">
        <f>IF($A24="","",F24-H24)</f>
        <v>0</v>
      </c>
      <c r="J24" s="12"/>
      <c r="K24" s="12"/>
    </row>
    <row r="25" spans="1:11">
      <c r="A25" s="12"/>
      <c r="B25" s="12"/>
      <c r="C25" s="12"/>
      <c r="D25" s="15"/>
      <c r="E25" s="12"/>
      <c r="F25" s="14"/>
      <c r="G25" s="16">
        <f>IF($A25="","",SUMIF('Master FF&amp;E'!$B$4:$B$253,$A25,'Master FF&amp;E'!$P$4:$P$253))</f>
        <v>0</v>
      </c>
      <c r="H25" s="16">
        <f>IF($A25="","",SUMIF('Master FF&amp;E'!$B$4:$B$253,$A25,'Master FF&amp;E'!$T$4:$T$253))</f>
        <v>0</v>
      </c>
      <c r="I25" s="16">
        <f>IF($A25="","",F25-H25)</f>
        <v>0</v>
      </c>
      <c r="J25" s="12"/>
      <c r="K25" s="12"/>
    </row>
    <row r="26" spans="1:11">
      <c r="A26" s="12"/>
      <c r="B26" s="12"/>
      <c r="C26" s="12"/>
      <c r="D26" s="15"/>
      <c r="E26" s="12"/>
      <c r="F26" s="14"/>
      <c r="G26" s="16">
        <f>IF($A26="","",SUMIF('Master FF&amp;E'!$B$4:$B$253,$A26,'Master FF&amp;E'!$P$4:$P$253))</f>
        <v>0</v>
      </c>
      <c r="H26" s="16">
        <f>IF($A26="","",SUMIF('Master FF&amp;E'!$B$4:$B$253,$A26,'Master FF&amp;E'!$T$4:$T$253))</f>
        <v>0</v>
      </c>
      <c r="I26" s="16">
        <f>IF($A26="","",F26-H26)</f>
        <v>0</v>
      </c>
      <c r="J26" s="12"/>
      <c r="K26" s="12"/>
    </row>
    <row r="27" spans="1:11">
      <c r="A27" s="12"/>
      <c r="B27" s="12"/>
      <c r="C27" s="12"/>
      <c r="D27" s="15"/>
      <c r="E27" s="12"/>
      <c r="F27" s="14"/>
      <c r="G27" s="16">
        <f>IF($A27="","",SUMIF('Master FF&amp;E'!$B$4:$B$253,$A27,'Master FF&amp;E'!$P$4:$P$253))</f>
        <v>0</v>
      </c>
      <c r="H27" s="16">
        <f>IF($A27="","",SUMIF('Master FF&amp;E'!$B$4:$B$253,$A27,'Master FF&amp;E'!$T$4:$T$253))</f>
        <v>0</v>
      </c>
      <c r="I27" s="16">
        <f>IF($A27="","",F27-H27)</f>
        <v>0</v>
      </c>
      <c r="J27" s="12"/>
      <c r="K27" s="12"/>
    </row>
    <row r="28" spans="1:11">
      <c r="A28" s="12"/>
      <c r="B28" s="12"/>
      <c r="C28" s="12"/>
      <c r="D28" s="15"/>
      <c r="E28" s="12"/>
      <c r="F28" s="14"/>
      <c r="G28" s="16">
        <f>IF($A28="","",SUMIF('Master FF&amp;E'!$B$4:$B$253,$A28,'Master FF&amp;E'!$P$4:$P$253))</f>
        <v>0</v>
      </c>
      <c r="H28" s="16">
        <f>IF($A28="","",SUMIF('Master FF&amp;E'!$B$4:$B$253,$A28,'Master FF&amp;E'!$T$4:$T$253))</f>
        <v>0</v>
      </c>
      <c r="I28" s="16">
        <f>IF($A28="","",F28-H28)</f>
        <v>0</v>
      </c>
      <c r="J28" s="12"/>
      <c r="K28" s="12"/>
    </row>
    <row r="29" spans="1:11">
      <c r="A29" s="12"/>
      <c r="B29" s="12"/>
      <c r="C29" s="12"/>
      <c r="D29" s="15"/>
      <c r="E29" s="12"/>
      <c r="F29" s="14"/>
      <c r="G29" s="16">
        <f>IF($A29="","",SUMIF('Master FF&amp;E'!$B$4:$B$253,$A29,'Master FF&amp;E'!$P$4:$P$253))</f>
        <v>0</v>
      </c>
      <c r="H29" s="16">
        <f>IF($A29="","",SUMIF('Master FF&amp;E'!$B$4:$B$253,$A29,'Master FF&amp;E'!$T$4:$T$253))</f>
        <v>0</v>
      </c>
      <c r="I29" s="16">
        <f>IF($A29="","",F29-H29)</f>
        <v>0</v>
      </c>
      <c r="J29" s="12"/>
      <c r="K29" s="12"/>
    </row>
    <row r="30" spans="1:11">
      <c r="A30" s="12"/>
      <c r="B30" s="12"/>
      <c r="C30" s="12"/>
      <c r="D30" s="15"/>
      <c r="E30" s="12"/>
      <c r="F30" s="14"/>
      <c r="G30" s="16">
        <f>IF($A30="","",SUMIF('Master FF&amp;E'!$B$4:$B$253,$A30,'Master FF&amp;E'!$P$4:$P$253))</f>
        <v>0</v>
      </c>
      <c r="H30" s="16">
        <f>IF($A30="","",SUMIF('Master FF&amp;E'!$B$4:$B$253,$A30,'Master FF&amp;E'!$T$4:$T$253))</f>
        <v>0</v>
      </c>
      <c r="I30" s="16">
        <f>IF($A30="","",F30-H30)</f>
        <v>0</v>
      </c>
      <c r="J30" s="12"/>
      <c r="K30" s="12"/>
    </row>
    <row r="31" spans="1:11">
      <c r="A31" s="12"/>
      <c r="B31" s="12"/>
      <c r="C31" s="12"/>
      <c r="D31" s="15"/>
      <c r="E31" s="12"/>
      <c r="F31" s="14"/>
      <c r="G31" s="16">
        <f>IF($A31="","",SUMIF('Master FF&amp;E'!$B$4:$B$253,$A31,'Master FF&amp;E'!$P$4:$P$253))</f>
        <v>0</v>
      </c>
      <c r="H31" s="16">
        <f>IF($A31="","",SUMIF('Master FF&amp;E'!$B$4:$B$253,$A31,'Master FF&amp;E'!$T$4:$T$253))</f>
        <v>0</v>
      </c>
      <c r="I31" s="16">
        <f>IF($A31="","",F31-H31)</f>
        <v>0</v>
      </c>
      <c r="J31" s="12"/>
      <c r="K31" s="12"/>
    </row>
    <row r="32" spans="1:11">
      <c r="A32" s="12"/>
      <c r="B32" s="12"/>
      <c r="C32" s="12"/>
      <c r="D32" s="15"/>
      <c r="E32" s="12"/>
      <c r="F32" s="14"/>
      <c r="G32" s="16">
        <f>IF($A32="","",SUMIF('Master FF&amp;E'!$B$4:$B$253,$A32,'Master FF&amp;E'!$P$4:$P$253))</f>
        <v>0</v>
      </c>
      <c r="H32" s="16">
        <f>IF($A32="","",SUMIF('Master FF&amp;E'!$B$4:$B$253,$A32,'Master FF&amp;E'!$T$4:$T$253))</f>
        <v>0</v>
      </c>
      <c r="I32" s="16">
        <f>IF($A32="","",F32-H32)</f>
        <v>0</v>
      </c>
      <c r="J32" s="12"/>
      <c r="K32" s="12"/>
    </row>
    <row r="33" spans="1:11">
      <c r="A33" s="12"/>
      <c r="B33" s="12"/>
      <c r="C33" s="12"/>
      <c r="D33" s="15"/>
      <c r="E33" s="12"/>
      <c r="F33" s="14"/>
      <c r="G33" s="16">
        <f>IF($A33="","",SUMIF('Master FF&amp;E'!$B$4:$B$253,$A33,'Master FF&amp;E'!$P$4:$P$253))</f>
        <v>0</v>
      </c>
      <c r="H33" s="16">
        <f>IF($A33="","",SUMIF('Master FF&amp;E'!$B$4:$B$253,$A33,'Master FF&amp;E'!$T$4:$T$253))</f>
        <v>0</v>
      </c>
      <c r="I33" s="16">
        <f>IF($A33="","",F33-H33)</f>
        <v>0</v>
      </c>
      <c r="J33" s="12"/>
      <c r="K33" s="12"/>
    </row>
    <row r="34" spans="1:11">
      <c r="A34" s="12"/>
      <c r="B34" s="12"/>
      <c r="C34" s="12"/>
      <c r="D34" s="15"/>
      <c r="E34" s="12"/>
      <c r="F34" s="14"/>
      <c r="G34" s="16">
        <f>IF($A34="","",SUMIF('Master FF&amp;E'!$B$4:$B$253,$A34,'Master FF&amp;E'!$P$4:$P$253))</f>
        <v>0</v>
      </c>
      <c r="H34" s="16">
        <f>IF($A34="","",SUMIF('Master FF&amp;E'!$B$4:$B$253,$A34,'Master FF&amp;E'!$T$4:$T$253))</f>
        <v>0</v>
      </c>
      <c r="I34" s="16">
        <f>IF($A34="","",F34-H34)</f>
        <v>0</v>
      </c>
      <c r="J34" s="12"/>
      <c r="K34" s="12"/>
    </row>
    <row r="35" spans="1:11">
      <c r="A35" s="12"/>
      <c r="B35" s="12"/>
      <c r="C35" s="12"/>
      <c r="D35" s="15"/>
      <c r="E35" s="12"/>
      <c r="F35" s="14"/>
      <c r="G35" s="16">
        <f>IF($A35="","",SUMIF('Master FF&amp;E'!$B$4:$B$253,$A35,'Master FF&amp;E'!$P$4:$P$253))</f>
        <v>0</v>
      </c>
      <c r="H35" s="16">
        <f>IF($A35="","",SUMIF('Master FF&amp;E'!$B$4:$B$253,$A35,'Master FF&amp;E'!$T$4:$T$253))</f>
        <v>0</v>
      </c>
      <c r="I35" s="16">
        <f>IF($A35="","",F35-H35)</f>
        <v>0</v>
      </c>
      <c r="J35" s="12"/>
      <c r="K35" s="12"/>
    </row>
    <row r="36" spans="1:11">
      <c r="A36" s="12"/>
      <c r="B36" s="12"/>
      <c r="C36" s="12"/>
      <c r="D36" s="15"/>
      <c r="E36" s="12"/>
      <c r="F36" s="14"/>
      <c r="G36" s="16">
        <f>IF($A36="","",SUMIF('Master FF&amp;E'!$B$4:$B$253,$A36,'Master FF&amp;E'!$P$4:$P$253))</f>
        <v>0</v>
      </c>
      <c r="H36" s="16">
        <f>IF($A36="","",SUMIF('Master FF&amp;E'!$B$4:$B$253,$A36,'Master FF&amp;E'!$T$4:$T$253))</f>
        <v>0</v>
      </c>
      <c r="I36" s="16">
        <f>IF($A36="","",F36-H36)</f>
        <v>0</v>
      </c>
      <c r="J36" s="12"/>
      <c r="K36" s="12"/>
    </row>
    <row r="37" spans="1:11">
      <c r="A37" s="12"/>
      <c r="B37" s="12"/>
      <c r="C37" s="12"/>
      <c r="D37" s="15"/>
      <c r="E37" s="12"/>
      <c r="F37" s="14"/>
      <c r="G37" s="16">
        <f>IF($A37="","",SUMIF('Master FF&amp;E'!$B$4:$B$253,$A37,'Master FF&amp;E'!$P$4:$P$253))</f>
        <v>0</v>
      </c>
      <c r="H37" s="16">
        <f>IF($A37="","",SUMIF('Master FF&amp;E'!$B$4:$B$253,$A37,'Master FF&amp;E'!$T$4:$T$253))</f>
        <v>0</v>
      </c>
      <c r="I37" s="16">
        <f>IF($A37="","",F37-H37)</f>
        <v>0</v>
      </c>
      <c r="J37" s="12"/>
      <c r="K37" s="12"/>
    </row>
    <row r="38" spans="1:11">
      <c r="A38" s="12"/>
      <c r="B38" s="12"/>
      <c r="C38" s="12"/>
      <c r="D38" s="15"/>
      <c r="E38" s="12"/>
      <c r="F38" s="14"/>
      <c r="G38" s="16">
        <f>IF($A38="","",SUMIF('Master FF&amp;E'!$B$4:$B$253,$A38,'Master FF&amp;E'!$P$4:$P$253))</f>
        <v>0</v>
      </c>
      <c r="H38" s="16">
        <f>IF($A38="","",SUMIF('Master FF&amp;E'!$B$4:$B$253,$A38,'Master FF&amp;E'!$T$4:$T$253))</f>
        <v>0</v>
      </c>
      <c r="I38" s="16">
        <f>IF($A38="","",F38-H38)</f>
        <v>0</v>
      </c>
      <c r="J38" s="12"/>
      <c r="K38" s="12"/>
    </row>
    <row r="39" spans="1:11">
      <c r="A39" s="12"/>
      <c r="B39" s="12"/>
      <c r="C39" s="12"/>
      <c r="D39" s="15"/>
      <c r="E39" s="12"/>
      <c r="F39" s="14"/>
      <c r="G39" s="16">
        <f>IF($A39="","",SUMIF('Master FF&amp;E'!$B$4:$B$253,$A39,'Master FF&amp;E'!$P$4:$P$253))</f>
        <v>0</v>
      </c>
      <c r="H39" s="16">
        <f>IF($A39="","",SUMIF('Master FF&amp;E'!$B$4:$B$253,$A39,'Master FF&amp;E'!$T$4:$T$253))</f>
        <v>0</v>
      </c>
      <c r="I39" s="16">
        <f>IF($A39="","",F39-H39)</f>
        <v>0</v>
      </c>
      <c r="J39" s="12"/>
      <c r="K39" s="12"/>
    </row>
    <row r="40" spans="1:11">
      <c r="A40" s="12"/>
      <c r="B40" s="12"/>
      <c r="C40" s="12"/>
      <c r="D40" s="15"/>
      <c r="E40" s="12"/>
      <c r="F40" s="14"/>
      <c r="G40" s="16">
        <f>IF($A40="","",SUMIF('Master FF&amp;E'!$B$4:$B$253,$A40,'Master FF&amp;E'!$P$4:$P$253))</f>
        <v>0</v>
      </c>
      <c r="H40" s="16">
        <f>IF($A40="","",SUMIF('Master FF&amp;E'!$B$4:$B$253,$A40,'Master FF&amp;E'!$T$4:$T$253))</f>
        <v>0</v>
      </c>
      <c r="I40" s="16">
        <f>IF($A40="","",F40-H40)</f>
        <v>0</v>
      </c>
      <c r="J40" s="12"/>
      <c r="K40" s="12"/>
    </row>
    <row r="41" spans="1:11">
      <c r="A41" s="12"/>
      <c r="B41" s="12"/>
      <c r="C41" s="12"/>
      <c r="D41" s="15"/>
      <c r="E41" s="12"/>
      <c r="F41" s="14"/>
      <c r="G41" s="16">
        <f>IF($A41="","",SUMIF('Master FF&amp;E'!$B$4:$B$253,$A41,'Master FF&amp;E'!$P$4:$P$253))</f>
        <v>0</v>
      </c>
      <c r="H41" s="16">
        <f>IF($A41="","",SUMIF('Master FF&amp;E'!$B$4:$B$253,$A41,'Master FF&amp;E'!$T$4:$T$253))</f>
        <v>0</v>
      </c>
      <c r="I41" s="16">
        <f>IF($A41="","",F41-H41)</f>
        <v>0</v>
      </c>
      <c r="J41" s="12"/>
      <c r="K41" s="12"/>
    </row>
    <row r="42" spans="1:11">
      <c r="A42" s="12"/>
      <c r="B42" s="12"/>
      <c r="C42" s="12"/>
      <c r="D42" s="15"/>
      <c r="E42" s="12"/>
      <c r="F42" s="14"/>
      <c r="G42" s="16">
        <f>IF($A42="","",SUMIF('Master FF&amp;E'!$B$4:$B$253,$A42,'Master FF&amp;E'!$P$4:$P$253))</f>
        <v>0</v>
      </c>
      <c r="H42" s="16">
        <f>IF($A42="","",SUMIF('Master FF&amp;E'!$B$4:$B$253,$A42,'Master FF&amp;E'!$T$4:$T$253))</f>
        <v>0</v>
      </c>
      <c r="I42" s="16">
        <f>IF($A42="","",F42-H42)</f>
        <v>0</v>
      </c>
      <c r="J42" s="12"/>
      <c r="K42" s="12"/>
    </row>
    <row r="43" spans="1:11">
      <c r="A43" s="12"/>
      <c r="B43" s="12"/>
      <c r="C43" s="12"/>
      <c r="D43" s="15"/>
      <c r="E43" s="12"/>
      <c r="F43" s="14"/>
      <c r="G43" s="16">
        <f>IF($A43="","",SUMIF('Master FF&amp;E'!$B$4:$B$253,$A43,'Master FF&amp;E'!$P$4:$P$253))</f>
        <v>0</v>
      </c>
      <c r="H43" s="16">
        <f>IF($A43="","",SUMIF('Master FF&amp;E'!$B$4:$B$253,$A43,'Master FF&amp;E'!$T$4:$T$253))</f>
        <v>0</v>
      </c>
      <c r="I43" s="16">
        <f>IF($A43="","",F43-H43)</f>
        <v>0</v>
      </c>
      <c r="J43" s="12"/>
      <c r="K43" s="12"/>
    </row>
    <row r="44" spans="1:11">
      <c r="A44" s="12"/>
      <c r="B44" s="12"/>
      <c r="C44" s="12"/>
      <c r="D44" s="15"/>
      <c r="E44" s="12"/>
      <c r="F44" s="14"/>
      <c r="G44" s="16">
        <f>IF($A44="","",SUMIF('Master FF&amp;E'!$B$4:$B$253,$A44,'Master FF&amp;E'!$P$4:$P$253))</f>
        <v>0</v>
      </c>
      <c r="H44" s="16">
        <f>IF($A44="","",SUMIF('Master FF&amp;E'!$B$4:$B$253,$A44,'Master FF&amp;E'!$T$4:$T$253))</f>
        <v>0</v>
      </c>
      <c r="I44" s="16">
        <f>IF($A44="","",F44-H44)</f>
        <v>0</v>
      </c>
      <c r="J44" s="12"/>
      <c r="K44" s="12"/>
    </row>
    <row r="45" spans="1:11">
      <c r="A45" s="12"/>
      <c r="B45" s="12"/>
      <c r="C45" s="12"/>
      <c r="D45" s="15"/>
      <c r="E45" s="12"/>
      <c r="F45" s="14"/>
      <c r="G45" s="16">
        <f>IF($A45="","",SUMIF('Master FF&amp;E'!$B$4:$B$253,$A45,'Master FF&amp;E'!$P$4:$P$253))</f>
        <v>0</v>
      </c>
      <c r="H45" s="16">
        <f>IF($A45="","",SUMIF('Master FF&amp;E'!$B$4:$B$253,$A45,'Master FF&amp;E'!$T$4:$T$253))</f>
        <v>0</v>
      </c>
      <c r="I45" s="16">
        <f>IF($A45="","",F45-H45)</f>
        <v>0</v>
      </c>
      <c r="J45" s="12"/>
      <c r="K45" s="12"/>
    </row>
    <row r="46" spans="1:11">
      <c r="A46" s="12"/>
      <c r="B46" s="12"/>
      <c r="C46" s="12"/>
      <c r="D46" s="15"/>
      <c r="E46" s="12"/>
      <c r="F46" s="14"/>
      <c r="G46" s="16">
        <f>IF($A46="","",SUMIF('Master FF&amp;E'!$B$4:$B$253,$A46,'Master FF&amp;E'!$P$4:$P$253))</f>
        <v>0</v>
      </c>
      <c r="H46" s="16">
        <f>IF($A46="","",SUMIF('Master FF&amp;E'!$B$4:$B$253,$A46,'Master FF&amp;E'!$T$4:$T$253))</f>
        <v>0</v>
      </c>
      <c r="I46" s="16">
        <f>IF($A46="","",F46-H46)</f>
        <v>0</v>
      </c>
      <c r="J46" s="12"/>
      <c r="K46" s="12"/>
    </row>
    <row r="47" spans="1:11">
      <c r="A47" s="12"/>
      <c r="B47" s="12"/>
      <c r="C47" s="12"/>
      <c r="D47" s="15"/>
      <c r="E47" s="12"/>
      <c r="F47" s="14"/>
      <c r="G47" s="16">
        <f>IF($A47="","",SUMIF('Master FF&amp;E'!$B$4:$B$253,$A47,'Master FF&amp;E'!$P$4:$P$253))</f>
        <v>0</v>
      </c>
      <c r="H47" s="16">
        <f>IF($A47="","",SUMIF('Master FF&amp;E'!$B$4:$B$253,$A47,'Master FF&amp;E'!$T$4:$T$253))</f>
        <v>0</v>
      </c>
      <c r="I47" s="16">
        <f>IF($A47="","",F47-H47)</f>
        <v>0</v>
      </c>
      <c r="J47" s="12"/>
      <c r="K47" s="12"/>
    </row>
    <row r="48" spans="1:11">
      <c r="A48" s="12"/>
      <c r="B48" s="12"/>
      <c r="C48" s="12"/>
      <c r="D48" s="15"/>
      <c r="E48" s="12"/>
      <c r="F48" s="14"/>
      <c r="G48" s="16">
        <f>IF($A48="","",SUMIF('Master FF&amp;E'!$B$4:$B$253,$A48,'Master FF&amp;E'!$P$4:$P$253))</f>
        <v>0</v>
      </c>
      <c r="H48" s="16">
        <f>IF($A48="","",SUMIF('Master FF&amp;E'!$B$4:$B$253,$A48,'Master FF&amp;E'!$T$4:$T$253))</f>
        <v>0</v>
      </c>
      <c r="I48" s="16">
        <f>IF($A48="","",F48-H48)</f>
        <v>0</v>
      </c>
      <c r="J48" s="12"/>
      <c r="K48" s="12"/>
    </row>
    <row r="49" spans="1:11">
      <c r="A49" s="12"/>
      <c r="B49" s="12"/>
      <c r="C49" s="12"/>
      <c r="D49" s="15"/>
      <c r="E49" s="12"/>
      <c r="F49" s="14"/>
      <c r="G49" s="16">
        <f>IF($A49="","",SUMIF('Master FF&amp;E'!$B$4:$B$253,$A49,'Master FF&amp;E'!$P$4:$P$253))</f>
        <v>0</v>
      </c>
      <c r="H49" s="16">
        <f>IF($A49="","",SUMIF('Master FF&amp;E'!$B$4:$B$253,$A49,'Master FF&amp;E'!$T$4:$T$253))</f>
        <v>0</v>
      </c>
      <c r="I49" s="16">
        <f>IF($A49="","",F49-H49)</f>
        <v>0</v>
      </c>
      <c r="J49" s="12"/>
      <c r="K49" s="12"/>
    </row>
    <row r="50" spans="1:11">
      <c r="A50" s="12"/>
      <c r="B50" s="12"/>
      <c r="C50" s="12"/>
      <c r="D50" s="15"/>
      <c r="E50" s="12"/>
      <c r="F50" s="14"/>
      <c r="G50" s="16">
        <f>IF($A50="","",SUMIF('Master FF&amp;E'!$B$4:$B$253,$A50,'Master FF&amp;E'!$P$4:$P$253))</f>
        <v>0</v>
      </c>
      <c r="H50" s="16">
        <f>IF($A50="","",SUMIF('Master FF&amp;E'!$B$4:$B$253,$A50,'Master FF&amp;E'!$T$4:$T$253))</f>
        <v>0</v>
      </c>
      <c r="I50" s="16">
        <f>IF($A50="","",F50-H50)</f>
        <v>0</v>
      </c>
      <c r="J50" s="12"/>
      <c r="K50" s="12"/>
    </row>
    <row r="51" spans="1:11">
      <c r="A51" s="12"/>
      <c r="B51" s="12"/>
      <c r="C51" s="12"/>
      <c r="D51" s="15"/>
      <c r="E51" s="12"/>
      <c r="F51" s="14"/>
      <c r="G51" s="16">
        <f>IF($A51="","",SUMIF('Master FF&amp;E'!$B$4:$B$253,$A51,'Master FF&amp;E'!$P$4:$P$253))</f>
        <v>0</v>
      </c>
      <c r="H51" s="16">
        <f>IF($A51="","",SUMIF('Master FF&amp;E'!$B$4:$B$253,$A51,'Master FF&amp;E'!$T$4:$T$253))</f>
        <v>0</v>
      </c>
      <c r="I51" s="16">
        <f>IF($A51="","",F51-H51)</f>
        <v>0</v>
      </c>
      <c r="J51" s="12"/>
      <c r="K51" s="12"/>
    </row>
    <row r="52" spans="1:11">
      <c r="A52" s="12"/>
      <c r="B52" s="12"/>
      <c r="C52" s="12"/>
      <c r="D52" s="15"/>
      <c r="E52" s="12"/>
      <c r="F52" s="14"/>
      <c r="G52" s="16">
        <f>IF($A52="","",SUMIF('Master FF&amp;E'!$B$4:$B$253,$A52,'Master FF&amp;E'!$P$4:$P$253))</f>
        <v>0</v>
      </c>
      <c r="H52" s="16">
        <f>IF($A52="","",SUMIF('Master FF&amp;E'!$B$4:$B$253,$A52,'Master FF&amp;E'!$T$4:$T$253))</f>
        <v>0</v>
      </c>
      <c r="I52" s="16">
        <f>IF($A52="","",F52-H52)</f>
        <v>0</v>
      </c>
      <c r="J52" s="12"/>
      <c r="K52" s="12"/>
    </row>
    <row r="53" spans="1:11">
      <c r="A53" s="12"/>
      <c r="B53" s="12"/>
      <c r="C53" s="12"/>
      <c r="D53" s="15"/>
      <c r="E53" s="12"/>
      <c r="F53" s="14"/>
      <c r="G53" s="16">
        <f>IF($A53="","",SUMIF('Master FF&amp;E'!$B$4:$B$253,$A53,'Master FF&amp;E'!$P$4:$P$253))</f>
        <v>0</v>
      </c>
      <c r="H53" s="16">
        <f>IF($A53="","",SUMIF('Master FF&amp;E'!$B$4:$B$253,$A53,'Master FF&amp;E'!$T$4:$T$253))</f>
        <v>0</v>
      </c>
      <c r="I53" s="16">
        <f>IF($A53="","",F53-H53)</f>
        <v>0</v>
      </c>
      <c r="J53" s="12"/>
      <c r="K53" s="12"/>
    </row>
    <row r="54" spans="1:11">
      <c r="A54" s="12"/>
      <c r="B54" s="12"/>
      <c r="C54" s="12"/>
      <c r="D54" s="15"/>
      <c r="E54" s="12"/>
      <c r="F54" s="14"/>
      <c r="G54" s="16">
        <f>IF($A54="","",SUMIF('Master FF&amp;E'!$B$4:$B$253,$A54,'Master FF&amp;E'!$P$4:$P$253))</f>
        <v>0</v>
      </c>
      <c r="H54" s="16">
        <f>IF($A54="","",SUMIF('Master FF&amp;E'!$B$4:$B$253,$A54,'Master FF&amp;E'!$T$4:$T$253))</f>
        <v>0</v>
      </c>
      <c r="I54" s="16">
        <f>IF($A54="","",F54-H54)</f>
        <v>0</v>
      </c>
      <c r="J54" s="12"/>
      <c r="K54" s="12"/>
    </row>
    <row r="55" spans="1:11">
      <c r="A55" s="12"/>
      <c r="B55" s="12"/>
      <c r="C55" s="12"/>
      <c r="D55" s="15"/>
      <c r="E55" s="12"/>
      <c r="F55" s="14"/>
      <c r="G55" s="16">
        <f>IF($A55="","",SUMIF('Master FF&amp;E'!$B$4:$B$253,$A55,'Master FF&amp;E'!$P$4:$P$253))</f>
        <v>0</v>
      </c>
      <c r="H55" s="16">
        <f>IF($A55="","",SUMIF('Master FF&amp;E'!$B$4:$B$253,$A55,'Master FF&amp;E'!$T$4:$T$253))</f>
        <v>0</v>
      </c>
      <c r="I55" s="16">
        <f>IF($A55="","",F55-H55)</f>
        <v>0</v>
      </c>
      <c r="J55" s="12"/>
      <c r="K55" s="12"/>
    </row>
    <row r="56" spans="1:11">
      <c r="A56" s="12"/>
      <c r="B56" s="12"/>
      <c r="C56" s="12"/>
      <c r="D56" s="15"/>
      <c r="E56" s="12"/>
      <c r="F56" s="14"/>
      <c r="G56" s="16">
        <f>IF($A56="","",SUMIF('Master FF&amp;E'!$B$4:$B$253,$A56,'Master FF&amp;E'!$P$4:$P$253))</f>
        <v>0</v>
      </c>
      <c r="H56" s="16">
        <f>IF($A56="","",SUMIF('Master FF&amp;E'!$B$4:$B$253,$A56,'Master FF&amp;E'!$T$4:$T$253))</f>
        <v>0</v>
      </c>
      <c r="I56" s="16">
        <f>IF($A56="","",F56-H56)</f>
        <v>0</v>
      </c>
      <c r="J56" s="12"/>
      <c r="K56" s="12"/>
    </row>
    <row r="57" spans="1:11">
      <c r="A57" s="12"/>
      <c r="B57" s="12"/>
      <c r="C57" s="12"/>
      <c r="D57" s="15"/>
      <c r="E57" s="12"/>
      <c r="F57" s="14"/>
      <c r="G57" s="16">
        <f>IF($A57="","",SUMIF('Master FF&amp;E'!$B$4:$B$253,$A57,'Master FF&amp;E'!$P$4:$P$253))</f>
        <v>0</v>
      </c>
      <c r="H57" s="16">
        <f>IF($A57="","",SUMIF('Master FF&amp;E'!$B$4:$B$253,$A57,'Master FF&amp;E'!$T$4:$T$253))</f>
        <v>0</v>
      </c>
      <c r="I57" s="16">
        <f>IF($A57="","",F57-H57)</f>
        <v>0</v>
      </c>
      <c r="J57" s="12"/>
      <c r="K57" s="12"/>
    </row>
    <row r="58" spans="1:11">
      <c r="A58" s="12"/>
      <c r="B58" s="12"/>
      <c r="C58" s="12"/>
      <c r="D58" s="15"/>
      <c r="E58" s="12"/>
      <c r="F58" s="14"/>
      <c r="G58" s="16">
        <f>IF($A58="","",SUMIF('Master FF&amp;E'!$B$4:$B$253,$A58,'Master FF&amp;E'!$P$4:$P$253))</f>
        <v>0</v>
      </c>
      <c r="H58" s="16">
        <f>IF($A58="","",SUMIF('Master FF&amp;E'!$B$4:$B$253,$A58,'Master FF&amp;E'!$T$4:$T$253))</f>
        <v>0</v>
      </c>
      <c r="I58" s="16">
        <f>IF($A58="","",F58-H58)</f>
        <v>0</v>
      </c>
      <c r="J58" s="12"/>
      <c r="K58" s="12"/>
    </row>
    <row r="59" spans="1:11">
      <c r="A59" s="12"/>
      <c r="B59" s="12"/>
      <c r="C59" s="12"/>
      <c r="D59" s="15"/>
      <c r="E59" s="12"/>
      <c r="F59" s="14"/>
      <c r="G59" s="16">
        <f>IF($A59="","",SUMIF('Master FF&amp;E'!$B$4:$B$253,$A59,'Master FF&amp;E'!$P$4:$P$253))</f>
        <v>0</v>
      </c>
      <c r="H59" s="16">
        <f>IF($A59="","",SUMIF('Master FF&amp;E'!$B$4:$B$253,$A59,'Master FF&amp;E'!$T$4:$T$253))</f>
        <v>0</v>
      </c>
      <c r="I59" s="16">
        <f>IF($A59="","",F59-H59)</f>
        <v>0</v>
      </c>
      <c r="J59" s="12"/>
      <c r="K59" s="12"/>
    </row>
    <row r="60" spans="1:11">
      <c r="A60" s="12"/>
      <c r="B60" s="12"/>
      <c r="C60" s="12"/>
      <c r="D60" s="15"/>
      <c r="E60" s="12"/>
      <c r="F60" s="14"/>
      <c r="G60" s="16">
        <f>IF($A60="","",SUMIF('Master FF&amp;E'!$B$4:$B$253,$A60,'Master FF&amp;E'!$P$4:$P$253))</f>
        <v>0</v>
      </c>
      <c r="H60" s="16">
        <f>IF($A60="","",SUMIF('Master FF&amp;E'!$B$4:$B$253,$A60,'Master FF&amp;E'!$T$4:$T$253))</f>
        <v>0</v>
      </c>
      <c r="I60" s="16">
        <f>IF($A60="","",F60-H60)</f>
        <v>0</v>
      </c>
      <c r="J60" s="12"/>
      <c r="K60" s="12"/>
    </row>
    <row r="61" spans="1:11">
      <c r="A61" s="12"/>
      <c r="B61" s="12"/>
      <c r="C61" s="12"/>
      <c r="D61" s="15"/>
      <c r="E61" s="12"/>
      <c r="F61" s="14"/>
      <c r="G61" s="16">
        <f>IF($A61="","",SUMIF('Master FF&amp;E'!$B$4:$B$253,$A61,'Master FF&amp;E'!$P$4:$P$253))</f>
        <v>0</v>
      </c>
      <c r="H61" s="16">
        <f>IF($A61="","",SUMIF('Master FF&amp;E'!$B$4:$B$253,$A61,'Master FF&amp;E'!$T$4:$T$253))</f>
        <v>0</v>
      </c>
      <c r="I61" s="16">
        <f>IF($A61="","",F61-H61)</f>
        <v>0</v>
      </c>
      <c r="J61" s="12"/>
      <c r="K61" s="12"/>
    </row>
    <row r="62" spans="1:11">
      <c r="A62" s="12"/>
      <c r="B62" s="12"/>
      <c r="C62" s="12"/>
      <c r="D62" s="15"/>
      <c r="E62" s="12"/>
      <c r="F62" s="14"/>
      <c r="G62" s="16">
        <f>IF($A62="","",SUMIF('Master FF&amp;E'!$B$4:$B$253,$A62,'Master FF&amp;E'!$P$4:$P$253))</f>
        <v>0</v>
      </c>
      <c r="H62" s="16">
        <f>IF($A62="","",SUMIF('Master FF&amp;E'!$B$4:$B$253,$A62,'Master FF&amp;E'!$T$4:$T$253))</f>
        <v>0</v>
      </c>
      <c r="I62" s="16">
        <f>IF($A62="","",F62-H62)</f>
        <v>0</v>
      </c>
      <c r="J62" s="12"/>
      <c r="K62" s="12"/>
    </row>
    <row r="63" spans="1:11">
      <c r="A63" s="12"/>
      <c r="B63" s="12"/>
      <c r="C63" s="12"/>
      <c r="D63" s="15"/>
      <c r="E63" s="12"/>
      <c r="F63" s="14"/>
      <c r="G63" s="16">
        <f>IF($A63="","",SUMIF('Master FF&amp;E'!$B$4:$B$253,$A63,'Master FF&amp;E'!$P$4:$P$253))</f>
        <v>0</v>
      </c>
      <c r="H63" s="16">
        <f>IF($A63="","",SUMIF('Master FF&amp;E'!$B$4:$B$253,$A63,'Master FF&amp;E'!$T$4:$T$253))</f>
        <v>0</v>
      </c>
      <c r="I63" s="16">
        <f>IF($A63="","",F63-H63)</f>
        <v>0</v>
      </c>
      <c r="J63" s="12"/>
      <c r="K63" s="12"/>
    </row>
    <row r="64" spans="1:11">
      <c r="A64" s="12"/>
      <c r="B64" s="12"/>
      <c r="C64" s="12"/>
      <c r="D64" s="15"/>
      <c r="E64" s="12"/>
      <c r="F64" s="14"/>
      <c r="G64" s="16">
        <f>IF($A64="","",SUMIF('Master FF&amp;E'!$B$4:$B$253,$A64,'Master FF&amp;E'!$P$4:$P$253))</f>
        <v>0</v>
      </c>
      <c r="H64" s="16">
        <f>IF($A64="","",SUMIF('Master FF&amp;E'!$B$4:$B$253,$A64,'Master FF&amp;E'!$T$4:$T$253))</f>
        <v>0</v>
      </c>
      <c r="I64" s="16">
        <f>IF($A64="","",F64-H64)</f>
        <v>0</v>
      </c>
      <c r="J64" s="12"/>
      <c r="K64" s="12"/>
    </row>
    <row r="65" spans="1:11">
      <c r="A65" s="12"/>
      <c r="B65" s="12"/>
      <c r="C65" s="12"/>
      <c r="D65" s="15"/>
      <c r="E65" s="12"/>
      <c r="F65" s="14"/>
      <c r="G65" s="16">
        <f>IF($A65="","",SUMIF('Master FF&amp;E'!$B$4:$B$253,$A65,'Master FF&amp;E'!$P$4:$P$253))</f>
        <v>0</v>
      </c>
      <c r="H65" s="16">
        <f>IF($A65="","",SUMIF('Master FF&amp;E'!$B$4:$B$253,$A65,'Master FF&amp;E'!$T$4:$T$253))</f>
        <v>0</v>
      </c>
      <c r="I65" s="16">
        <f>IF($A65="","",F65-H65)</f>
        <v>0</v>
      </c>
      <c r="J65" s="12"/>
      <c r="K65" s="12"/>
    </row>
    <row r="66" spans="1:11">
      <c r="A66" s="12"/>
      <c r="B66" s="12"/>
      <c r="C66" s="12"/>
      <c r="D66" s="15"/>
      <c r="E66" s="12"/>
      <c r="F66" s="14"/>
      <c r="G66" s="16">
        <f>IF($A66="","",SUMIF('Master FF&amp;E'!$B$4:$B$253,$A66,'Master FF&amp;E'!$P$4:$P$253))</f>
        <v>0</v>
      </c>
      <c r="H66" s="16">
        <f>IF($A66="","",SUMIF('Master FF&amp;E'!$B$4:$B$253,$A66,'Master FF&amp;E'!$T$4:$T$253))</f>
        <v>0</v>
      </c>
      <c r="I66" s="16">
        <f>IF($A66="","",F66-H66)</f>
        <v>0</v>
      </c>
      <c r="J66" s="12"/>
      <c r="K66" s="12"/>
    </row>
    <row r="67" spans="1:11">
      <c r="A67" s="12"/>
      <c r="B67" s="12"/>
      <c r="C67" s="12"/>
      <c r="D67" s="15"/>
      <c r="E67" s="12"/>
      <c r="F67" s="14"/>
      <c r="G67" s="16">
        <f>IF($A67="","",SUMIF('Master FF&amp;E'!$B$4:$B$253,$A67,'Master FF&amp;E'!$P$4:$P$253))</f>
        <v>0</v>
      </c>
      <c r="H67" s="16">
        <f>IF($A67="","",SUMIF('Master FF&amp;E'!$B$4:$B$253,$A67,'Master FF&amp;E'!$T$4:$T$253))</f>
        <v>0</v>
      </c>
      <c r="I67" s="16">
        <f>IF($A67="","",F67-H67)</f>
        <v>0</v>
      </c>
      <c r="J67" s="12"/>
      <c r="K67" s="12"/>
    </row>
    <row r="68" spans="1:11">
      <c r="A68" s="12"/>
      <c r="B68" s="12"/>
      <c r="C68" s="12"/>
      <c r="D68" s="15"/>
      <c r="E68" s="12"/>
      <c r="F68" s="14"/>
      <c r="G68" s="16">
        <f>IF($A68="","",SUMIF('Master FF&amp;E'!$B$4:$B$253,$A68,'Master FF&amp;E'!$P$4:$P$253))</f>
        <v>0</v>
      </c>
      <c r="H68" s="16">
        <f>IF($A68="","",SUMIF('Master FF&amp;E'!$B$4:$B$253,$A68,'Master FF&amp;E'!$T$4:$T$253))</f>
        <v>0</v>
      </c>
      <c r="I68" s="16">
        <f>IF($A68="","",F68-H68)</f>
        <v>0</v>
      </c>
      <c r="J68" s="12"/>
      <c r="K68" s="12"/>
    </row>
    <row r="69" spans="1:11">
      <c r="A69" s="12"/>
      <c r="B69" s="12"/>
      <c r="C69" s="12"/>
      <c r="D69" s="15"/>
      <c r="E69" s="12"/>
      <c r="F69" s="14"/>
      <c r="G69" s="16">
        <f>IF($A69="","",SUMIF('Master FF&amp;E'!$B$4:$B$253,$A69,'Master FF&amp;E'!$P$4:$P$253))</f>
        <v>0</v>
      </c>
      <c r="H69" s="16">
        <f>IF($A69="","",SUMIF('Master FF&amp;E'!$B$4:$B$253,$A69,'Master FF&amp;E'!$T$4:$T$253))</f>
        <v>0</v>
      </c>
      <c r="I69" s="16">
        <f>IF($A69="","",F69-H69)</f>
        <v>0</v>
      </c>
      <c r="J69" s="12"/>
      <c r="K69" s="12"/>
    </row>
    <row r="70" spans="1:11">
      <c r="A70" s="12"/>
      <c r="B70" s="12"/>
      <c r="C70" s="12"/>
      <c r="D70" s="15"/>
      <c r="E70" s="12"/>
      <c r="F70" s="14"/>
      <c r="G70" s="16">
        <f>IF($A70="","",SUMIF('Master FF&amp;E'!$B$4:$B$253,$A70,'Master FF&amp;E'!$P$4:$P$253))</f>
        <v>0</v>
      </c>
      <c r="H70" s="16">
        <f>IF($A70="","",SUMIF('Master FF&amp;E'!$B$4:$B$253,$A70,'Master FF&amp;E'!$T$4:$T$253))</f>
        <v>0</v>
      </c>
      <c r="I70" s="16">
        <f>IF($A70="","",F70-H70)</f>
        <v>0</v>
      </c>
      <c r="J70" s="12"/>
      <c r="K70" s="12"/>
    </row>
    <row r="71" spans="1:11">
      <c r="A71" s="12"/>
      <c r="B71" s="12"/>
      <c r="C71" s="12"/>
      <c r="D71" s="15"/>
      <c r="E71" s="12"/>
      <c r="F71" s="14"/>
      <c r="G71" s="16">
        <f>IF($A71="","",SUMIF('Master FF&amp;E'!$B$4:$B$253,$A71,'Master FF&amp;E'!$P$4:$P$253))</f>
        <v>0</v>
      </c>
      <c r="H71" s="16">
        <f>IF($A71="","",SUMIF('Master FF&amp;E'!$B$4:$B$253,$A71,'Master FF&amp;E'!$T$4:$T$253))</f>
        <v>0</v>
      </c>
      <c r="I71" s="16">
        <f>IF($A71="","",F71-H71)</f>
        <v>0</v>
      </c>
      <c r="J71" s="12"/>
      <c r="K71" s="12"/>
    </row>
    <row r="72" spans="1:11">
      <c r="A72" s="12"/>
      <c r="B72" s="12"/>
      <c r="C72" s="12"/>
      <c r="D72" s="15"/>
      <c r="E72" s="12"/>
      <c r="F72" s="14"/>
      <c r="G72" s="16">
        <f>IF($A72="","",SUMIF('Master FF&amp;E'!$B$4:$B$253,$A72,'Master FF&amp;E'!$P$4:$P$253))</f>
        <v>0</v>
      </c>
      <c r="H72" s="16">
        <f>IF($A72="","",SUMIF('Master FF&amp;E'!$B$4:$B$253,$A72,'Master FF&amp;E'!$T$4:$T$253))</f>
        <v>0</v>
      </c>
      <c r="I72" s="16">
        <f>IF($A72="","",F72-H72)</f>
        <v>0</v>
      </c>
      <c r="J72" s="12"/>
      <c r="K72" s="12"/>
    </row>
    <row r="73" spans="1:11">
      <c r="A73" s="12"/>
      <c r="B73" s="12"/>
      <c r="C73" s="12"/>
      <c r="D73" s="15"/>
      <c r="E73" s="12"/>
      <c r="F73" s="14"/>
      <c r="G73" s="16">
        <f>IF($A73="","",SUMIF('Master FF&amp;E'!$B$4:$B$253,$A73,'Master FF&amp;E'!$P$4:$P$253))</f>
        <v>0</v>
      </c>
      <c r="H73" s="16">
        <f>IF($A73="","",SUMIF('Master FF&amp;E'!$B$4:$B$253,$A73,'Master FF&amp;E'!$T$4:$T$253))</f>
        <v>0</v>
      </c>
      <c r="I73" s="16">
        <f>IF($A73="","",F73-H73)</f>
        <v>0</v>
      </c>
      <c r="J73" s="12"/>
      <c r="K73" s="12"/>
    </row>
    <row r="74" spans="1:11">
      <c r="A74" s="12"/>
      <c r="B74" s="12"/>
      <c r="C74" s="12"/>
      <c r="D74" s="15"/>
      <c r="E74" s="12"/>
      <c r="F74" s="14"/>
      <c r="G74" s="16">
        <f>IF($A74="","",SUMIF('Master FF&amp;E'!$B$4:$B$253,$A74,'Master FF&amp;E'!$P$4:$P$253))</f>
        <v>0</v>
      </c>
      <c r="H74" s="16">
        <f>IF($A74="","",SUMIF('Master FF&amp;E'!$B$4:$B$253,$A74,'Master FF&amp;E'!$T$4:$T$253))</f>
        <v>0</v>
      </c>
      <c r="I74" s="16">
        <f>IF($A74="","",F74-H74)</f>
        <v>0</v>
      </c>
      <c r="J74" s="12"/>
      <c r="K74" s="12"/>
    </row>
    <row r="75" spans="1:11">
      <c r="A75" s="12"/>
      <c r="B75" s="12"/>
      <c r="C75" s="12"/>
      <c r="D75" s="15"/>
      <c r="E75" s="12"/>
      <c r="F75" s="14"/>
      <c r="G75" s="16">
        <f>IF($A75="","",SUMIF('Master FF&amp;E'!$B$4:$B$253,$A75,'Master FF&amp;E'!$P$4:$P$253))</f>
        <v>0</v>
      </c>
      <c r="H75" s="16">
        <f>IF($A75="","",SUMIF('Master FF&amp;E'!$B$4:$B$253,$A75,'Master FF&amp;E'!$T$4:$T$253))</f>
        <v>0</v>
      </c>
      <c r="I75" s="16">
        <f>IF($A75="","",F75-H75)</f>
        <v>0</v>
      </c>
      <c r="J75" s="12"/>
      <c r="K75" s="12"/>
    </row>
    <row r="76" spans="1:11">
      <c r="A76" s="12"/>
      <c r="B76" s="12"/>
      <c r="C76" s="12"/>
      <c r="D76" s="15"/>
      <c r="E76" s="12"/>
      <c r="F76" s="14"/>
      <c r="G76" s="16">
        <f>IF($A76="","",SUMIF('Master FF&amp;E'!$B$4:$B$253,$A76,'Master FF&amp;E'!$P$4:$P$253))</f>
        <v>0</v>
      </c>
      <c r="H76" s="16">
        <f>IF($A76="","",SUMIF('Master FF&amp;E'!$B$4:$B$253,$A76,'Master FF&amp;E'!$T$4:$T$253))</f>
        <v>0</v>
      </c>
      <c r="I76" s="16">
        <f>IF($A76="","",F76-H76)</f>
        <v>0</v>
      </c>
      <c r="J76" s="12"/>
      <c r="K76" s="12"/>
    </row>
    <row r="77" spans="1:11">
      <c r="A77" s="12"/>
      <c r="B77" s="12"/>
      <c r="C77" s="12"/>
      <c r="D77" s="15"/>
      <c r="E77" s="12"/>
      <c r="F77" s="14"/>
      <c r="G77" s="16">
        <f>IF($A77="","",SUMIF('Master FF&amp;E'!$B$4:$B$253,$A77,'Master FF&amp;E'!$P$4:$P$253))</f>
        <v>0</v>
      </c>
      <c r="H77" s="16">
        <f>IF($A77="","",SUMIF('Master FF&amp;E'!$B$4:$B$253,$A77,'Master FF&amp;E'!$T$4:$T$253))</f>
        <v>0</v>
      </c>
      <c r="I77" s="16">
        <f>IF($A77="","",F77-H77)</f>
        <v>0</v>
      </c>
      <c r="J77" s="12"/>
      <c r="K77" s="12"/>
    </row>
    <row r="78" spans="1:11">
      <c r="A78" s="12"/>
      <c r="B78" s="12"/>
      <c r="C78" s="12"/>
      <c r="D78" s="15"/>
      <c r="E78" s="12"/>
      <c r="F78" s="14"/>
      <c r="G78" s="16">
        <f>IF($A78="","",SUMIF('Master FF&amp;E'!$B$4:$B$253,$A78,'Master FF&amp;E'!$P$4:$P$253))</f>
        <v>0</v>
      </c>
      <c r="H78" s="16">
        <f>IF($A78="","",SUMIF('Master FF&amp;E'!$B$4:$B$253,$A78,'Master FF&amp;E'!$T$4:$T$253))</f>
        <v>0</v>
      </c>
      <c r="I78" s="16">
        <f>IF($A78="","",F78-H78)</f>
        <v>0</v>
      </c>
      <c r="J78" s="12"/>
      <c r="K78" s="12"/>
    </row>
    <row r="79" spans="1:11">
      <c r="A79" s="12"/>
      <c r="B79" s="12"/>
      <c r="C79" s="12"/>
      <c r="D79" s="15"/>
      <c r="E79" s="12"/>
      <c r="F79" s="14"/>
      <c r="G79" s="16">
        <f>IF($A79="","",SUMIF('Master FF&amp;E'!$B$4:$B$253,$A79,'Master FF&amp;E'!$P$4:$P$253))</f>
        <v>0</v>
      </c>
      <c r="H79" s="16">
        <f>IF($A79="","",SUMIF('Master FF&amp;E'!$B$4:$B$253,$A79,'Master FF&amp;E'!$T$4:$T$253))</f>
        <v>0</v>
      </c>
      <c r="I79" s="16">
        <f>IF($A79="","",F79-H79)</f>
        <v>0</v>
      </c>
      <c r="J79" s="12"/>
      <c r="K79" s="12"/>
    </row>
    <row r="80" spans="1:11">
      <c r="A80" s="12"/>
      <c r="B80" s="12"/>
      <c r="C80" s="12"/>
      <c r="D80" s="15"/>
      <c r="E80" s="12"/>
      <c r="F80" s="14"/>
      <c r="G80" s="16">
        <f>IF($A80="","",SUMIF('Master FF&amp;E'!$B$4:$B$253,$A80,'Master FF&amp;E'!$P$4:$P$253))</f>
        <v>0</v>
      </c>
      <c r="H80" s="16">
        <f>IF($A80="","",SUMIF('Master FF&amp;E'!$B$4:$B$253,$A80,'Master FF&amp;E'!$T$4:$T$253))</f>
        <v>0</v>
      </c>
      <c r="I80" s="16">
        <f>IF($A80="","",F80-H80)</f>
        <v>0</v>
      </c>
      <c r="J80" s="12"/>
      <c r="K80" s="12"/>
    </row>
    <row r="81" spans="1:11">
      <c r="A81" s="12"/>
      <c r="B81" s="12"/>
      <c r="C81" s="12"/>
      <c r="D81" s="15"/>
      <c r="E81" s="12"/>
      <c r="F81" s="14"/>
      <c r="G81" s="16">
        <f>IF($A81="","",SUMIF('Master FF&amp;E'!$B$4:$B$253,$A81,'Master FF&amp;E'!$P$4:$P$253))</f>
        <v>0</v>
      </c>
      <c r="H81" s="16">
        <f>IF($A81="","",SUMIF('Master FF&amp;E'!$B$4:$B$253,$A81,'Master FF&amp;E'!$T$4:$T$253))</f>
        <v>0</v>
      </c>
      <c r="I81" s="16">
        <f>IF($A81="","",F81-H81)</f>
        <v>0</v>
      </c>
      <c r="J81" s="12"/>
      <c r="K81" s="12"/>
    </row>
    <row r="82" spans="1:11">
      <c r="A82" s="12"/>
      <c r="B82" s="12"/>
      <c r="C82" s="12"/>
      <c r="D82" s="15"/>
      <c r="E82" s="12"/>
      <c r="F82" s="14"/>
      <c r="G82" s="16">
        <f>IF($A82="","",SUMIF('Master FF&amp;E'!$B$4:$B$253,$A82,'Master FF&amp;E'!$P$4:$P$253))</f>
        <v>0</v>
      </c>
      <c r="H82" s="16">
        <f>IF($A82="","",SUMIF('Master FF&amp;E'!$B$4:$B$253,$A82,'Master FF&amp;E'!$T$4:$T$253))</f>
        <v>0</v>
      </c>
      <c r="I82" s="16">
        <f>IF($A82="","",F82-H82)</f>
        <v>0</v>
      </c>
      <c r="J82" s="12"/>
      <c r="K82" s="12"/>
    </row>
    <row r="83" spans="1:11">
      <c r="A83" s="12"/>
      <c r="B83" s="12"/>
      <c r="C83" s="12"/>
      <c r="D83" s="15"/>
      <c r="E83" s="12"/>
      <c r="F83" s="14"/>
      <c r="G83" s="16">
        <f>IF($A83="","",SUMIF('Master FF&amp;E'!$B$4:$B$253,$A83,'Master FF&amp;E'!$P$4:$P$253))</f>
        <v>0</v>
      </c>
      <c r="H83" s="16">
        <f>IF($A83="","",SUMIF('Master FF&amp;E'!$B$4:$B$253,$A83,'Master FF&amp;E'!$T$4:$T$253))</f>
        <v>0</v>
      </c>
      <c r="I83" s="16">
        <f>IF($A83="","",F83-H83)</f>
        <v>0</v>
      </c>
      <c r="J83" s="12"/>
      <c r="K83" s="12"/>
    </row>
    <row r="84" spans="1:11">
      <c r="A84" s="12"/>
      <c r="B84" s="12"/>
      <c r="C84" s="12"/>
      <c r="D84" s="15"/>
      <c r="E84" s="12"/>
      <c r="F84" s="14"/>
      <c r="G84" s="16">
        <f>IF($A84="","",SUMIF('Master FF&amp;E'!$B$4:$B$253,$A84,'Master FF&amp;E'!$P$4:$P$253))</f>
        <v>0</v>
      </c>
      <c r="H84" s="16">
        <f>IF($A84="","",SUMIF('Master FF&amp;E'!$B$4:$B$253,$A84,'Master FF&amp;E'!$T$4:$T$253))</f>
        <v>0</v>
      </c>
      <c r="I84" s="16">
        <f>IF($A84="","",F84-H84)</f>
        <v>0</v>
      </c>
      <c r="J84" s="12"/>
      <c r="K84" s="12"/>
    </row>
    <row r="85" spans="1:11">
      <c r="A85" s="12"/>
      <c r="B85" s="12"/>
      <c r="C85" s="12"/>
      <c r="D85" s="15"/>
      <c r="E85" s="12"/>
      <c r="F85" s="14"/>
      <c r="G85" s="16">
        <f>IF($A85="","",SUMIF('Master FF&amp;E'!$B$4:$B$253,$A85,'Master FF&amp;E'!$P$4:$P$253))</f>
        <v>0</v>
      </c>
      <c r="H85" s="16">
        <f>IF($A85="","",SUMIF('Master FF&amp;E'!$B$4:$B$253,$A85,'Master FF&amp;E'!$T$4:$T$253))</f>
        <v>0</v>
      </c>
      <c r="I85" s="16">
        <f>IF($A85="","",F85-H85)</f>
        <v>0</v>
      </c>
      <c r="J85" s="12"/>
      <c r="K85" s="12"/>
    </row>
    <row r="86" spans="1:11">
      <c r="A86" s="12"/>
      <c r="B86" s="12"/>
      <c r="C86" s="12"/>
      <c r="D86" s="15"/>
      <c r="E86" s="12"/>
      <c r="F86" s="14"/>
      <c r="G86" s="16">
        <f>IF($A86="","",SUMIF('Master FF&amp;E'!$B$4:$B$253,$A86,'Master FF&amp;E'!$P$4:$P$253))</f>
        <v>0</v>
      </c>
      <c r="H86" s="16">
        <f>IF($A86="","",SUMIF('Master FF&amp;E'!$B$4:$B$253,$A86,'Master FF&amp;E'!$T$4:$T$253))</f>
        <v>0</v>
      </c>
      <c r="I86" s="16">
        <f>IF($A86="","",F86-H86)</f>
        <v>0</v>
      </c>
      <c r="J86" s="12"/>
      <c r="K86" s="12"/>
    </row>
    <row r="87" spans="1:11">
      <c r="A87" s="12"/>
      <c r="B87" s="12"/>
      <c r="C87" s="12"/>
      <c r="D87" s="15"/>
      <c r="E87" s="12"/>
      <c r="F87" s="14"/>
      <c r="G87" s="16">
        <f>IF($A87="","",SUMIF('Master FF&amp;E'!$B$4:$B$253,$A87,'Master FF&amp;E'!$P$4:$P$253))</f>
        <v>0</v>
      </c>
      <c r="H87" s="16">
        <f>IF($A87="","",SUMIF('Master FF&amp;E'!$B$4:$B$253,$A87,'Master FF&amp;E'!$T$4:$T$253))</f>
        <v>0</v>
      </c>
      <c r="I87" s="16">
        <f>IF($A87="","",F87-H87)</f>
        <v>0</v>
      </c>
      <c r="J87" s="12"/>
      <c r="K87" s="12"/>
    </row>
    <row r="88" spans="1:11">
      <c r="A88" s="12"/>
      <c r="B88" s="12"/>
      <c r="C88" s="12"/>
      <c r="D88" s="15"/>
      <c r="E88" s="12"/>
      <c r="F88" s="14"/>
      <c r="G88" s="16">
        <f>IF($A88="","",SUMIF('Master FF&amp;E'!$B$4:$B$253,$A88,'Master FF&amp;E'!$P$4:$P$253))</f>
        <v>0</v>
      </c>
      <c r="H88" s="16">
        <f>IF($A88="","",SUMIF('Master FF&amp;E'!$B$4:$B$253,$A88,'Master FF&amp;E'!$T$4:$T$253))</f>
        <v>0</v>
      </c>
      <c r="I88" s="16">
        <f>IF($A88="","",F88-H88)</f>
        <v>0</v>
      </c>
      <c r="J88" s="12"/>
      <c r="K88" s="12"/>
    </row>
    <row r="89" spans="1:11">
      <c r="A89" s="12"/>
      <c r="B89" s="12"/>
      <c r="C89" s="12"/>
      <c r="D89" s="15"/>
      <c r="E89" s="12"/>
      <c r="F89" s="14"/>
      <c r="G89" s="16">
        <f>IF($A89="","",SUMIF('Master FF&amp;E'!$B$4:$B$253,$A89,'Master FF&amp;E'!$P$4:$P$253))</f>
        <v>0</v>
      </c>
      <c r="H89" s="16">
        <f>IF($A89="","",SUMIF('Master FF&amp;E'!$B$4:$B$253,$A89,'Master FF&amp;E'!$T$4:$T$253))</f>
        <v>0</v>
      </c>
      <c r="I89" s="16">
        <f>IF($A89="","",F89-H89)</f>
        <v>0</v>
      </c>
      <c r="J89" s="12"/>
      <c r="K89" s="12"/>
    </row>
    <row r="90" spans="1:11">
      <c r="A90" s="12"/>
      <c r="B90" s="12"/>
      <c r="C90" s="12"/>
      <c r="D90" s="15"/>
      <c r="E90" s="12"/>
      <c r="F90" s="14"/>
      <c r="G90" s="16">
        <f>IF($A90="","",SUMIF('Master FF&amp;E'!$B$4:$B$253,$A90,'Master FF&amp;E'!$P$4:$P$253))</f>
        <v>0</v>
      </c>
      <c r="H90" s="16">
        <f>IF($A90="","",SUMIF('Master FF&amp;E'!$B$4:$B$253,$A90,'Master FF&amp;E'!$T$4:$T$253))</f>
        <v>0</v>
      </c>
      <c r="I90" s="16">
        <f>IF($A90="","",F90-H90)</f>
        <v>0</v>
      </c>
      <c r="J90" s="12"/>
      <c r="K90" s="12"/>
    </row>
    <row r="91" spans="1:11">
      <c r="A91" s="12"/>
      <c r="B91" s="12"/>
      <c r="C91" s="12"/>
      <c r="D91" s="15"/>
      <c r="E91" s="12"/>
      <c r="F91" s="14"/>
      <c r="G91" s="16">
        <f>IF($A91="","",SUMIF('Master FF&amp;E'!$B$4:$B$253,$A91,'Master FF&amp;E'!$P$4:$P$253))</f>
        <v>0</v>
      </c>
      <c r="H91" s="16">
        <f>IF($A91="","",SUMIF('Master FF&amp;E'!$B$4:$B$253,$A91,'Master FF&amp;E'!$T$4:$T$253))</f>
        <v>0</v>
      </c>
      <c r="I91" s="16">
        <f>IF($A91="","",F91-H91)</f>
        <v>0</v>
      </c>
      <c r="J91" s="12"/>
      <c r="K91" s="12"/>
    </row>
    <row r="92" spans="1:11">
      <c r="A92" s="12"/>
      <c r="B92" s="12"/>
      <c r="C92" s="12"/>
      <c r="D92" s="15"/>
      <c r="E92" s="12"/>
      <c r="F92" s="14"/>
      <c r="G92" s="16">
        <f>IF($A92="","",SUMIF('Master FF&amp;E'!$B$4:$B$253,$A92,'Master FF&amp;E'!$P$4:$P$253))</f>
        <v>0</v>
      </c>
      <c r="H92" s="16">
        <f>IF($A92="","",SUMIF('Master FF&amp;E'!$B$4:$B$253,$A92,'Master FF&amp;E'!$T$4:$T$253))</f>
        <v>0</v>
      </c>
      <c r="I92" s="16">
        <f>IF($A92="","",F92-H92)</f>
        <v>0</v>
      </c>
      <c r="J92" s="12"/>
      <c r="K92" s="12"/>
    </row>
    <row r="93" spans="1:11">
      <c r="A93" s="12"/>
      <c r="B93" s="12"/>
      <c r="C93" s="12"/>
      <c r="D93" s="15"/>
      <c r="E93" s="12"/>
      <c r="F93" s="14"/>
      <c r="G93" s="16">
        <f>IF($A93="","",SUMIF('Master FF&amp;E'!$B$4:$B$253,$A93,'Master FF&amp;E'!$P$4:$P$253))</f>
        <v>0</v>
      </c>
      <c r="H93" s="16">
        <f>IF($A93="","",SUMIF('Master FF&amp;E'!$B$4:$B$253,$A93,'Master FF&amp;E'!$T$4:$T$253))</f>
        <v>0</v>
      </c>
      <c r="I93" s="16">
        <f>IF($A93="","",F93-H93)</f>
        <v>0</v>
      </c>
      <c r="J93" s="12"/>
      <c r="K93" s="12"/>
    </row>
    <row r="94" spans="1:11">
      <c r="A94" s="12"/>
      <c r="B94" s="12"/>
      <c r="C94" s="12"/>
      <c r="D94" s="15"/>
      <c r="E94" s="12"/>
      <c r="F94" s="14"/>
      <c r="G94" s="16">
        <f>IF($A94="","",SUMIF('Master FF&amp;E'!$B$4:$B$253,$A94,'Master FF&amp;E'!$P$4:$P$253))</f>
        <v>0</v>
      </c>
      <c r="H94" s="16">
        <f>IF($A94="","",SUMIF('Master FF&amp;E'!$B$4:$B$253,$A94,'Master FF&amp;E'!$T$4:$T$253))</f>
        <v>0</v>
      </c>
      <c r="I94" s="16">
        <f>IF($A94="","",F94-H94)</f>
        <v>0</v>
      </c>
      <c r="J94" s="12"/>
      <c r="K94" s="12"/>
    </row>
    <row r="95" spans="1:11">
      <c r="A95" s="12"/>
      <c r="B95" s="12"/>
      <c r="C95" s="12"/>
      <c r="D95" s="15"/>
      <c r="E95" s="12"/>
      <c r="F95" s="14"/>
      <c r="G95" s="16">
        <f>IF($A95="","",SUMIF('Master FF&amp;E'!$B$4:$B$253,$A95,'Master FF&amp;E'!$P$4:$P$253))</f>
        <v>0</v>
      </c>
      <c r="H95" s="16">
        <f>IF($A95="","",SUMIF('Master FF&amp;E'!$B$4:$B$253,$A95,'Master FF&amp;E'!$T$4:$T$253))</f>
        <v>0</v>
      </c>
      <c r="I95" s="16">
        <f>IF($A95="","",F95-H95)</f>
        <v>0</v>
      </c>
      <c r="J95" s="12"/>
      <c r="K95" s="12"/>
    </row>
    <row r="96" spans="1:11">
      <c r="A96" s="12"/>
      <c r="B96" s="12"/>
      <c r="C96" s="12"/>
      <c r="D96" s="15"/>
      <c r="E96" s="12"/>
      <c r="F96" s="14"/>
      <c r="G96" s="16">
        <f>IF($A96="","",SUMIF('Master FF&amp;E'!$B$4:$B$253,$A96,'Master FF&amp;E'!$P$4:$P$253))</f>
        <v>0</v>
      </c>
      <c r="H96" s="16">
        <f>IF($A96="","",SUMIF('Master FF&amp;E'!$B$4:$B$253,$A96,'Master FF&amp;E'!$T$4:$T$253))</f>
        <v>0</v>
      </c>
      <c r="I96" s="16">
        <f>IF($A96="","",F96-H96)</f>
        <v>0</v>
      </c>
      <c r="J96" s="12"/>
      <c r="K96" s="12"/>
    </row>
    <row r="97" spans="1:11">
      <c r="A97" s="12"/>
      <c r="B97" s="12"/>
      <c r="C97" s="12"/>
      <c r="D97" s="15"/>
      <c r="E97" s="12"/>
      <c r="F97" s="14"/>
      <c r="G97" s="16">
        <f>IF($A97="","",SUMIF('Master FF&amp;E'!$B$4:$B$253,$A97,'Master FF&amp;E'!$P$4:$P$253))</f>
        <v>0</v>
      </c>
      <c r="H97" s="16">
        <f>IF($A97="","",SUMIF('Master FF&amp;E'!$B$4:$B$253,$A97,'Master FF&amp;E'!$T$4:$T$253))</f>
        <v>0</v>
      </c>
      <c r="I97" s="16">
        <f>IF($A97="","",F97-H97)</f>
        <v>0</v>
      </c>
      <c r="J97" s="12"/>
      <c r="K97" s="12"/>
    </row>
    <row r="98" spans="1:11">
      <c r="A98" s="12"/>
      <c r="B98" s="12"/>
      <c r="C98" s="12"/>
      <c r="D98" s="15"/>
      <c r="E98" s="12"/>
      <c r="F98" s="14"/>
      <c r="G98" s="16">
        <f>IF($A98="","",SUMIF('Master FF&amp;E'!$B$4:$B$253,$A98,'Master FF&amp;E'!$P$4:$P$253))</f>
        <v>0</v>
      </c>
      <c r="H98" s="16">
        <f>IF($A98="","",SUMIF('Master FF&amp;E'!$B$4:$B$253,$A98,'Master FF&amp;E'!$T$4:$T$253))</f>
        <v>0</v>
      </c>
      <c r="I98" s="16">
        <f>IF($A98="","",F98-H98)</f>
        <v>0</v>
      </c>
      <c r="J98" s="12"/>
      <c r="K98" s="12"/>
    </row>
    <row r="99" spans="1:11">
      <c r="A99" s="12"/>
      <c r="B99" s="12"/>
      <c r="C99" s="12"/>
      <c r="D99" s="15"/>
      <c r="E99" s="12"/>
      <c r="F99" s="14"/>
      <c r="G99" s="16">
        <f>IF($A99="","",SUMIF('Master FF&amp;E'!$B$4:$B$253,$A99,'Master FF&amp;E'!$P$4:$P$253))</f>
        <v>0</v>
      </c>
      <c r="H99" s="16">
        <f>IF($A99="","",SUMIF('Master FF&amp;E'!$B$4:$B$253,$A99,'Master FF&amp;E'!$T$4:$T$253))</f>
        <v>0</v>
      </c>
      <c r="I99" s="16">
        <f>IF($A99="","",F99-H99)</f>
        <v>0</v>
      </c>
      <c r="J99" s="12"/>
      <c r="K99" s="12"/>
    </row>
    <row r="100" spans="1:11">
      <c r="A100" s="12"/>
      <c r="B100" s="12"/>
      <c r="C100" s="12"/>
      <c r="D100" s="15"/>
      <c r="E100" s="12"/>
      <c r="F100" s="14"/>
      <c r="G100" s="16">
        <f>IF($A100="","",SUMIF('Master FF&amp;E'!$B$4:$B$253,$A100,'Master FF&amp;E'!$P$4:$P$253))</f>
        <v>0</v>
      </c>
      <c r="H100" s="16">
        <f>IF($A100="","",SUMIF('Master FF&amp;E'!$B$4:$B$253,$A100,'Master FF&amp;E'!$T$4:$T$253))</f>
        <v>0</v>
      </c>
      <c r="I100" s="16">
        <f>IF($A100="","",F100-H100)</f>
        <v>0</v>
      </c>
      <c r="J100" s="12"/>
      <c r="K100" s="12"/>
    </row>
    <row r="101" spans="1:11">
      <c r="A101" s="12"/>
      <c r="B101" s="12"/>
      <c r="C101" s="12"/>
      <c r="D101" s="15"/>
      <c r="E101" s="12"/>
      <c r="F101" s="14"/>
      <c r="G101" s="16">
        <f>IF($A101="","",SUMIF('Master FF&amp;E'!$B$4:$B$253,$A101,'Master FF&amp;E'!$P$4:$P$253))</f>
        <v>0</v>
      </c>
      <c r="H101" s="16">
        <f>IF($A101="","",SUMIF('Master FF&amp;E'!$B$4:$B$253,$A101,'Master FF&amp;E'!$T$4:$T$253))</f>
        <v>0</v>
      </c>
      <c r="I101" s="16">
        <f>IF($A101="","",F101-H101)</f>
        <v>0</v>
      </c>
      <c r="J101" s="12"/>
      <c r="K101" s="12"/>
    </row>
    <row r="102" spans="1:11">
      <c r="A102" s="12"/>
      <c r="B102" s="12"/>
      <c r="C102" s="12"/>
      <c r="D102" s="15"/>
      <c r="E102" s="12"/>
      <c r="F102" s="14"/>
      <c r="G102" s="16">
        <f>IF($A102="","",SUMIF('Master FF&amp;E'!$B$4:$B$253,$A102,'Master FF&amp;E'!$P$4:$P$253))</f>
        <v>0</v>
      </c>
      <c r="H102" s="16">
        <f>IF($A102="","",SUMIF('Master FF&amp;E'!$B$4:$B$253,$A102,'Master FF&amp;E'!$T$4:$T$253))</f>
        <v>0</v>
      </c>
      <c r="I102" s="16">
        <f>IF($A102="","",F102-H102)</f>
        <v>0</v>
      </c>
      <c r="J102" s="12"/>
      <c r="K102" s="12"/>
    </row>
    <row r="103" spans="1:11">
      <c r="A103" s="12"/>
      <c r="B103" s="12"/>
      <c r="C103" s="12"/>
      <c r="D103" s="15"/>
      <c r="E103" s="12"/>
      <c r="F103" s="14"/>
      <c r="G103" s="16">
        <f>IF($A103="","",SUMIF('Master FF&amp;E'!$B$4:$B$253,$A103,'Master FF&amp;E'!$P$4:$P$253))</f>
        <v>0</v>
      </c>
      <c r="H103" s="16">
        <f>IF($A103="","",SUMIF('Master FF&amp;E'!$B$4:$B$253,$A103,'Master FF&amp;E'!$T$4:$T$253))</f>
        <v>0</v>
      </c>
      <c r="I103" s="16">
        <f>IF($A103="","",F103-H103)</f>
        <v>0</v>
      </c>
      <c r="J103" s="12"/>
      <c r="K103" s="12"/>
    </row>
    <row r="104" spans="1:11">
      <c r="A104" s="12"/>
      <c r="B104" s="12"/>
      <c r="C104" s="12"/>
      <c r="D104" s="15"/>
      <c r="E104" s="12"/>
      <c r="F104" s="14"/>
      <c r="G104" s="16">
        <f>IF($A104="","",SUMIF('Master FF&amp;E'!$B$4:$B$253,$A104,'Master FF&amp;E'!$P$4:$P$253))</f>
        <v>0</v>
      </c>
      <c r="H104" s="16">
        <f>IF($A104="","",SUMIF('Master FF&amp;E'!$B$4:$B$253,$A104,'Master FF&amp;E'!$T$4:$T$253))</f>
        <v>0</v>
      </c>
      <c r="I104" s="16">
        <f>IF($A104="","",F104-H104)</f>
        <v>0</v>
      </c>
      <c r="J104" s="12"/>
      <c r="K104" s="12"/>
    </row>
    <row r="105" spans="1:11">
      <c r="A105" s="12"/>
      <c r="B105" s="12"/>
      <c r="C105" s="12"/>
      <c r="D105" s="15"/>
      <c r="E105" s="12"/>
      <c r="F105" s="14"/>
      <c r="G105" s="16">
        <f>IF($A105="","",SUMIF('Master FF&amp;E'!$B$4:$B$253,$A105,'Master FF&amp;E'!$P$4:$P$253))</f>
        <v>0</v>
      </c>
      <c r="H105" s="16">
        <f>IF($A105="","",SUMIF('Master FF&amp;E'!$B$4:$B$253,$A105,'Master FF&amp;E'!$T$4:$T$253))</f>
        <v>0</v>
      </c>
      <c r="I105" s="16">
        <f>IF($A105="","",F105-H105)</f>
        <v>0</v>
      </c>
      <c r="J105" s="12"/>
      <c r="K105" s="12"/>
    </row>
    <row r="106" spans="1:11">
      <c r="A106" s="12"/>
      <c r="B106" s="12"/>
      <c r="C106" s="12"/>
      <c r="D106" s="15"/>
      <c r="E106" s="12"/>
      <c r="F106" s="14"/>
      <c r="G106" s="16">
        <f>IF($A106="","",SUMIF('Master FF&amp;E'!$B$4:$B$253,$A106,'Master FF&amp;E'!$P$4:$P$253))</f>
        <v>0</v>
      </c>
      <c r="H106" s="16">
        <f>IF($A106="","",SUMIF('Master FF&amp;E'!$B$4:$B$253,$A106,'Master FF&amp;E'!$T$4:$T$253))</f>
        <v>0</v>
      </c>
      <c r="I106" s="16">
        <f>IF($A106="","",F106-H106)</f>
        <v>0</v>
      </c>
      <c r="J106" s="12"/>
      <c r="K106" s="12"/>
    </row>
    <row r="107" spans="1:11">
      <c r="A107" s="12"/>
      <c r="B107" s="12"/>
      <c r="C107" s="12"/>
      <c r="D107" s="15"/>
      <c r="E107" s="12"/>
      <c r="F107" s="14"/>
      <c r="G107" s="16">
        <f>IF($A107="","",SUMIF('Master FF&amp;E'!$B$4:$B$253,$A107,'Master FF&amp;E'!$P$4:$P$253))</f>
        <v>0</v>
      </c>
      <c r="H107" s="16">
        <f>IF($A107="","",SUMIF('Master FF&amp;E'!$B$4:$B$253,$A107,'Master FF&amp;E'!$T$4:$T$253))</f>
        <v>0</v>
      </c>
      <c r="I107" s="16">
        <f>IF($A107="","",F107-H107)</f>
        <v>0</v>
      </c>
      <c r="J107" s="12"/>
      <c r="K107" s="12"/>
    </row>
    <row r="108" spans="1:11">
      <c r="A108" s="12"/>
      <c r="B108" s="12"/>
      <c r="C108" s="12"/>
      <c r="D108" s="15"/>
      <c r="E108" s="12"/>
      <c r="F108" s="14"/>
      <c r="G108" s="16">
        <f>IF($A108="","",SUMIF('Master FF&amp;E'!$B$4:$B$253,$A108,'Master FF&amp;E'!$P$4:$P$253))</f>
        <v>0</v>
      </c>
      <c r="H108" s="16">
        <f>IF($A108="","",SUMIF('Master FF&amp;E'!$B$4:$B$253,$A108,'Master FF&amp;E'!$T$4:$T$253))</f>
        <v>0</v>
      </c>
      <c r="I108" s="16">
        <f>IF($A108="","",F108-H108)</f>
        <v>0</v>
      </c>
      <c r="J108" s="12"/>
      <c r="K108" s="12"/>
    </row>
    <row r="109" spans="1:11">
      <c r="A109" s="12"/>
      <c r="B109" s="12"/>
      <c r="C109" s="12"/>
      <c r="D109" s="15"/>
      <c r="E109" s="12"/>
      <c r="F109" s="14"/>
      <c r="G109" s="16">
        <f>IF($A109="","",SUMIF('Master FF&amp;E'!$B$4:$B$253,$A109,'Master FF&amp;E'!$P$4:$P$253))</f>
        <v>0</v>
      </c>
      <c r="H109" s="16">
        <f>IF($A109="","",SUMIF('Master FF&amp;E'!$B$4:$B$253,$A109,'Master FF&amp;E'!$T$4:$T$253))</f>
        <v>0</v>
      </c>
      <c r="I109" s="16">
        <f>IF($A109="","",F109-H109)</f>
        <v>0</v>
      </c>
      <c r="J109" s="12"/>
      <c r="K109" s="12"/>
    </row>
    <row r="110" spans="1:11">
      <c r="A110" s="12"/>
      <c r="B110" s="12"/>
      <c r="C110" s="12"/>
      <c r="D110" s="15"/>
      <c r="E110" s="12"/>
      <c r="F110" s="14"/>
      <c r="G110" s="16">
        <f>IF($A110="","",SUMIF('Master FF&amp;E'!$B$4:$B$253,$A110,'Master FF&amp;E'!$P$4:$P$253))</f>
        <v>0</v>
      </c>
      <c r="H110" s="16">
        <f>IF($A110="","",SUMIF('Master FF&amp;E'!$B$4:$B$253,$A110,'Master FF&amp;E'!$T$4:$T$253))</f>
        <v>0</v>
      </c>
      <c r="I110" s="16">
        <f>IF($A110="","",F110-H110)</f>
        <v>0</v>
      </c>
      <c r="J110" s="12"/>
      <c r="K110" s="12"/>
    </row>
    <row r="111" spans="1:11">
      <c r="A111" s="12"/>
      <c r="B111" s="12"/>
      <c r="C111" s="12"/>
      <c r="D111" s="15"/>
      <c r="E111" s="12"/>
      <c r="F111" s="14"/>
      <c r="G111" s="16">
        <f>IF($A111="","",SUMIF('Master FF&amp;E'!$B$4:$B$253,$A111,'Master FF&amp;E'!$P$4:$P$253))</f>
        <v>0</v>
      </c>
      <c r="H111" s="16">
        <f>IF($A111="","",SUMIF('Master FF&amp;E'!$B$4:$B$253,$A111,'Master FF&amp;E'!$T$4:$T$253))</f>
        <v>0</v>
      </c>
      <c r="I111" s="16">
        <f>IF($A111="","",F111-H111)</f>
        <v>0</v>
      </c>
      <c r="J111" s="12"/>
      <c r="K111" s="12"/>
    </row>
    <row r="112" spans="1:11">
      <c r="A112" s="12"/>
      <c r="B112" s="12"/>
      <c r="C112" s="12"/>
      <c r="D112" s="15"/>
      <c r="E112" s="12"/>
      <c r="F112" s="14"/>
      <c r="G112" s="16">
        <f>IF($A112="","",SUMIF('Master FF&amp;E'!$B$4:$B$253,$A112,'Master FF&amp;E'!$P$4:$P$253))</f>
        <v>0</v>
      </c>
      <c r="H112" s="16">
        <f>IF($A112="","",SUMIF('Master FF&amp;E'!$B$4:$B$253,$A112,'Master FF&amp;E'!$T$4:$T$253))</f>
        <v>0</v>
      </c>
      <c r="I112" s="16">
        <f>IF($A112="","",F112-H112)</f>
        <v>0</v>
      </c>
      <c r="J112" s="12"/>
      <c r="K112" s="12"/>
    </row>
    <row r="113" spans="1:11">
      <c r="A113" s="12"/>
      <c r="B113" s="12"/>
      <c r="C113" s="12"/>
      <c r="D113" s="15"/>
      <c r="E113" s="12"/>
      <c r="F113" s="14"/>
      <c r="G113" s="16">
        <f>IF($A113="","",SUMIF('Master FF&amp;E'!$B$4:$B$253,$A113,'Master FF&amp;E'!$P$4:$P$253))</f>
        <v>0</v>
      </c>
      <c r="H113" s="16">
        <f>IF($A113="","",SUMIF('Master FF&amp;E'!$B$4:$B$253,$A113,'Master FF&amp;E'!$T$4:$T$253))</f>
        <v>0</v>
      </c>
      <c r="I113" s="16">
        <f>IF($A113="","",F113-H113)</f>
        <v>0</v>
      </c>
      <c r="J113" s="12"/>
      <c r="K113" s="12"/>
    </row>
    <row r="114" spans="1:11">
      <c r="A114" s="12"/>
      <c r="B114" s="12"/>
      <c r="C114" s="12"/>
      <c r="D114" s="15"/>
      <c r="E114" s="12"/>
      <c r="F114" s="14"/>
      <c r="G114" s="16">
        <f>IF($A114="","",SUMIF('Master FF&amp;E'!$B$4:$B$253,$A114,'Master FF&amp;E'!$P$4:$P$253))</f>
        <v>0</v>
      </c>
      <c r="H114" s="16">
        <f>IF($A114="","",SUMIF('Master FF&amp;E'!$B$4:$B$253,$A114,'Master FF&amp;E'!$T$4:$T$253))</f>
        <v>0</v>
      </c>
      <c r="I114" s="16">
        <f>IF($A114="","",F114-H114)</f>
        <v>0</v>
      </c>
      <c r="J114" s="12"/>
      <c r="K114" s="12"/>
    </row>
    <row r="115" spans="1:11">
      <c r="A115" s="12"/>
      <c r="B115" s="12"/>
      <c r="C115" s="12"/>
      <c r="D115" s="15"/>
      <c r="E115" s="12"/>
      <c r="F115" s="14"/>
      <c r="G115" s="16">
        <f>IF($A115="","",SUMIF('Master FF&amp;E'!$B$4:$B$253,$A115,'Master FF&amp;E'!$P$4:$P$253))</f>
        <v>0</v>
      </c>
      <c r="H115" s="16">
        <f>IF($A115="","",SUMIF('Master FF&amp;E'!$B$4:$B$253,$A115,'Master FF&amp;E'!$T$4:$T$253))</f>
        <v>0</v>
      </c>
      <c r="I115" s="16">
        <f>IF($A115="","",F115-H115)</f>
        <v>0</v>
      </c>
      <c r="J115" s="12"/>
      <c r="K115" s="12"/>
    </row>
    <row r="116" spans="1:11">
      <c r="A116" s="12"/>
      <c r="B116" s="12"/>
      <c r="C116" s="12"/>
      <c r="D116" s="15"/>
      <c r="E116" s="12"/>
      <c r="F116" s="14"/>
      <c r="G116" s="16">
        <f>IF($A116="","",SUMIF('Master FF&amp;E'!$B$4:$B$253,$A116,'Master FF&amp;E'!$P$4:$P$253))</f>
        <v>0</v>
      </c>
      <c r="H116" s="16">
        <f>IF($A116="","",SUMIF('Master FF&amp;E'!$B$4:$B$253,$A116,'Master FF&amp;E'!$T$4:$T$253))</f>
        <v>0</v>
      </c>
      <c r="I116" s="16">
        <f>IF($A116="","",F116-H116)</f>
        <v>0</v>
      </c>
      <c r="J116" s="12"/>
      <c r="K116" s="12"/>
    </row>
    <row r="117" spans="1:11">
      <c r="A117" s="12"/>
      <c r="B117" s="12"/>
      <c r="C117" s="12"/>
      <c r="D117" s="15"/>
      <c r="E117" s="12"/>
      <c r="F117" s="14"/>
      <c r="G117" s="16">
        <f>IF($A117="","",SUMIF('Master FF&amp;E'!$B$4:$B$253,$A117,'Master FF&amp;E'!$P$4:$P$253))</f>
        <v>0</v>
      </c>
      <c r="H117" s="16">
        <f>IF($A117="","",SUMIF('Master FF&amp;E'!$B$4:$B$253,$A117,'Master FF&amp;E'!$T$4:$T$253))</f>
        <v>0</v>
      </c>
      <c r="I117" s="16">
        <f>IF($A117="","",F117-H117)</f>
        <v>0</v>
      </c>
      <c r="J117" s="12"/>
      <c r="K117" s="12"/>
    </row>
    <row r="118" spans="1:11">
      <c r="A118" s="12"/>
      <c r="B118" s="12"/>
      <c r="C118" s="12"/>
      <c r="D118" s="15"/>
      <c r="E118" s="12"/>
      <c r="F118" s="14"/>
      <c r="G118" s="16">
        <f>IF($A118="","",SUMIF('Master FF&amp;E'!$B$4:$B$253,$A118,'Master FF&amp;E'!$P$4:$P$253))</f>
        <v>0</v>
      </c>
      <c r="H118" s="16">
        <f>IF($A118="","",SUMIF('Master FF&amp;E'!$B$4:$B$253,$A118,'Master FF&amp;E'!$T$4:$T$253))</f>
        <v>0</v>
      </c>
      <c r="I118" s="16">
        <f>IF($A118="","",F118-H118)</f>
        <v>0</v>
      </c>
      <c r="J118" s="12"/>
      <c r="K118" s="12"/>
    </row>
    <row r="119" spans="1:11">
      <c r="A119" s="12"/>
      <c r="B119" s="12"/>
      <c r="C119" s="12"/>
      <c r="D119" s="15"/>
      <c r="E119" s="12"/>
      <c r="F119" s="14"/>
      <c r="G119" s="16">
        <f>IF($A119="","",SUMIF('Master FF&amp;E'!$B$4:$B$253,$A119,'Master FF&amp;E'!$P$4:$P$253))</f>
        <v>0</v>
      </c>
      <c r="H119" s="16">
        <f>IF($A119="","",SUMIF('Master FF&amp;E'!$B$4:$B$253,$A119,'Master FF&amp;E'!$T$4:$T$253))</f>
        <v>0</v>
      </c>
      <c r="I119" s="16">
        <f>IF($A119="","",F119-H119)</f>
        <v>0</v>
      </c>
      <c r="J119" s="12"/>
      <c r="K119" s="12"/>
    </row>
    <row r="120" spans="1:11">
      <c r="A120" s="12"/>
      <c r="B120" s="12"/>
      <c r="C120" s="12"/>
      <c r="D120" s="15"/>
      <c r="E120" s="12"/>
      <c r="F120" s="14"/>
      <c r="G120" s="16">
        <f>IF($A120="","",SUMIF('Master FF&amp;E'!$B$4:$B$253,$A120,'Master FF&amp;E'!$P$4:$P$253))</f>
        <v>0</v>
      </c>
      <c r="H120" s="16">
        <f>IF($A120="","",SUMIF('Master FF&amp;E'!$B$4:$B$253,$A120,'Master FF&amp;E'!$T$4:$T$253))</f>
        <v>0</v>
      </c>
      <c r="I120" s="16">
        <f>IF($A120="","",F120-H120)</f>
        <v>0</v>
      </c>
      <c r="J120" s="12"/>
      <c r="K120" s="12"/>
    </row>
    <row r="121" spans="1:11">
      <c r="A121" s="12"/>
      <c r="B121" s="12"/>
      <c r="C121" s="12"/>
      <c r="D121" s="15"/>
      <c r="E121" s="12"/>
      <c r="F121" s="14"/>
      <c r="G121" s="16">
        <f>IF($A121="","",SUMIF('Master FF&amp;E'!$B$4:$B$253,$A121,'Master FF&amp;E'!$P$4:$P$253))</f>
        <v>0</v>
      </c>
      <c r="H121" s="16">
        <f>IF($A121="","",SUMIF('Master FF&amp;E'!$B$4:$B$253,$A121,'Master FF&amp;E'!$T$4:$T$253))</f>
        <v>0</v>
      </c>
      <c r="I121" s="16">
        <f>IF($A121="","",F121-H121)</f>
        <v>0</v>
      </c>
      <c r="J121" s="12"/>
      <c r="K121" s="12"/>
    </row>
    <row r="122" spans="1:11">
      <c r="A122" s="12"/>
      <c r="B122" s="12"/>
      <c r="C122" s="12"/>
      <c r="D122" s="15"/>
      <c r="E122" s="12"/>
      <c r="F122" s="14"/>
      <c r="G122" s="16">
        <f>IF($A122="","",SUMIF('Master FF&amp;E'!$B$4:$B$253,$A122,'Master FF&amp;E'!$P$4:$P$253))</f>
        <v>0</v>
      </c>
      <c r="H122" s="16">
        <f>IF($A122="","",SUMIF('Master FF&amp;E'!$B$4:$B$253,$A122,'Master FF&amp;E'!$T$4:$T$253))</f>
        <v>0</v>
      </c>
      <c r="I122" s="16">
        <f>IF($A122="","",F122-H122)</f>
        <v>0</v>
      </c>
      <c r="J122" s="12"/>
      <c r="K122" s="12"/>
    </row>
    <row r="123" spans="1:11">
      <c r="A123" s="12"/>
      <c r="B123" s="12"/>
      <c r="C123" s="12"/>
      <c r="D123" s="15"/>
      <c r="E123" s="12"/>
      <c r="F123" s="14"/>
      <c r="G123" s="16">
        <f>IF($A123="","",SUMIF('Master FF&amp;E'!$B$4:$B$253,$A123,'Master FF&amp;E'!$P$4:$P$253))</f>
        <v>0</v>
      </c>
      <c r="H123" s="16">
        <f>IF($A123="","",SUMIF('Master FF&amp;E'!$B$4:$B$253,$A123,'Master FF&amp;E'!$T$4:$T$253))</f>
        <v>0</v>
      </c>
      <c r="I123" s="16">
        <f>IF($A123="","",F123-H123)</f>
        <v>0</v>
      </c>
      <c r="J123" s="12"/>
      <c r="K123" s="12"/>
    </row>
    <row r="124" spans="1:11">
      <c r="A124" s="12"/>
      <c r="B124" s="12"/>
      <c r="C124" s="12"/>
      <c r="D124" s="15"/>
      <c r="E124" s="12"/>
      <c r="F124" s="14"/>
      <c r="G124" s="16">
        <f>IF($A124="","",SUMIF('Master FF&amp;E'!$B$4:$B$253,$A124,'Master FF&amp;E'!$P$4:$P$253))</f>
        <v>0</v>
      </c>
      <c r="H124" s="16">
        <f>IF($A124="","",SUMIF('Master FF&amp;E'!$B$4:$B$253,$A124,'Master FF&amp;E'!$T$4:$T$253))</f>
        <v>0</v>
      </c>
      <c r="I124" s="16">
        <f>IF($A124="","",F124-H124)</f>
        <v>0</v>
      </c>
      <c r="J124" s="12"/>
      <c r="K124" s="12"/>
    </row>
    <row r="125" spans="1:11">
      <c r="A125" s="12"/>
      <c r="B125" s="12"/>
      <c r="C125" s="12"/>
      <c r="D125" s="15"/>
      <c r="E125" s="12"/>
      <c r="F125" s="14"/>
      <c r="G125" s="16">
        <f>IF($A125="","",SUMIF('Master FF&amp;E'!$B$4:$B$253,$A125,'Master FF&amp;E'!$P$4:$P$253))</f>
        <v>0</v>
      </c>
      <c r="H125" s="16">
        <f>IF($A125="","",SUMIF('Master FF&amp;E'!$B$4:$B$253,$A125,'Master FF&amp;E'!$T$4:$T$253))</f>
        <v>0</v>
      </c>
      <c r="I125" s="16">
        <f>IF($A125="","",F125-H125)</f>
        <v>0</v>
      </c>
      <c r="J125" s="12"/>
      <c r="K125" s="12"/>
    </row>
    <row r="126" spans="1:11">
      <c r="A126" s="12"/>
      <c r="B126" s="12"/>
      <c r="C126" s="12"/>
      <c r="D126" s="15"/>
      <c r="E126" s="12"/>
      <c r="F126" s="14"/>
      <c r="G126" s="16">
        <f>IF($A126="","",SUMIF('Master FF&amp;E'!$B$4:$B$253,$A126,'Master FF&amp;E'!$P$4:$P$253))</f>
        <v>0</v>
      </c>
      <c r="H126" s="16">
        <f>IF($A126="","",SUMIF('Master FF&amp;E'!$B$4:$B$253,$A126,'Master FF&amp;E'!$T$4:$T$253))</f>
        <v>0</v>
      </c>
      <c r="I126" s="16">
        <f>IF($A126="","",F126-H126)</f>
        <v>0</v>
      </c>
      <c r="J126" s="12"/>
      <c r="K126" s="12"/>
    </row>
    <row r="127" spans="1:11">
      <c r="A127" s="12"/>
      <c r="B127" s="12"/>
      <c r="C127" s="12"/>
      <c r="D127" s="15"/>
      <c r="E127" s="12"/>
      <c r="F127" s="14"/>
      <c r="G127" s="16">
        <f>IF($A127="","",SUMIF('Master FF&amp;E'!$B$4:$B$253,$A127,'Master FF&amp;E'!$P$4:$P$253))</f>
        <v>0</v>
      </c>
      <c r="H127" s="16">
        <f>IF($A127="","",SUMIF('Master FF&amp;E'!$B$4:$B$253,$A127,'Master FF&amp;E'!$T$4:$T$253))</f>
        <v>0</v>
      </c>
      <c r="I127" s="16">
        <f>IF($A127="","",F127-H127)</f>
        <v>0</v>
      </c>
      <c r="J127" s="12"/>
      <c r="K127" s="12"/>
    </row>
    <row r="128" spans="1:11">
      <c r="A128" s="12"/>
      <c r="B128" s="12"/>
      <c r="C128" s="12"/>
      <c r="D128" s="15"/>
      <c r="E128" s="12"/>
      <c r="F128" s="14"/>
      <c r="G128" s="16">
        <f>IF($A128="","",SUMIF('Master FF&amp;E'!$B$4:$B$253,$A128,'Master FF&amp;E'!$P$4:$P$253))</f>
        <v>0</v>
      </c>
      <c r="H128" s="16">
        <f>IF($A128="","",SUMIF('Master FF&amp;E'!$B$4:$B$253,$A128,'Master FF&amp;E'!$T$4:$T$253))</f>
        <v>0</v>
      </c>
      <c r="I128" s="16">
        <f>IF($A128="","",F128-H128)</f>
        <v>0</v>
      </c>
      <c r="J128" s="12"/>
      <c r="K128" s="12"/>
    </row>
    <row r="129" spans="1:11">
      <c r="A129" s="12"/>
      <c r="B129" s="12"/>
      <c r="C129" s="12"/>
      <c r="D129" s="15"/>
      <c r="E129" s="12"/>
      <c r="F129" s="14"/>
      <c r="G129" s="16">
        <f>IF($A129="","",SUMIF('Master FF&amp;E'!$B$4:$B$253,$A129,'Master FF&amp;E'!$P$4:$P$253))</f>
        <v>0</v>
      </c>
      <c r="H129" s="16">
        <f>IF($A129="","",SUMIF('Master FF&amp;E'!$B$4:$B$253,$A129,'Master FF&amp;E'!$T$4:$T$253))</f>
        <v>0</v>
      </c>
      <c r="I129" s="16">
        <f>IF($A129="","",F129-H129)</f>
        <v>0</v>
      </c>
      <c r="J129" s="12"/>
      <c r="K129" s="12"/>
    </row>
    <row r="130" spans="1:11">
      <c r="A130" s="12"/>
      <c r="B130" s="12"/>
      <c r="C130" s="12"/>
      <c r="D130" s="15"/>
      <c r="E130" s="12"/>
      <c r="F130" s="14"/>
      <c r="G130" s="16">
        <f>IF($A130="","",SUMIF('Master FF&amp;E'!$B$4:$B$253,$A130,'Master FF&amp;E'!$P$4:$P$253))</f>
        <v>0</v>
      </c>
      <c r="H130" s="16">
        <f>IF($A130="","",SUMIF('Master FF&amp;E'!$B$4:$B$253,$A130,'Master FF&amp;E'!$T$4:$T$253))</f>
        <v>0</v>
      </c>
      <c r="I130" s="16">
        <f>IF($A130="","",F130-H130)</f>
        <v>0</v>
      </c>
      <c r="J130" s="12"/>
      <c r="K130" s="12"/>
    </row>
    <row r="131" spans="1:11">
      <c r="A131" s="12"/>
      <c r="B131" s="12"/>
      <c r="C131" s="12"/>
      <c r="D131" s="15"/>
      <c r="E131" s="12"/>
      <c r="F131" s="14"/>
      <c r="G131" s="16">
        <f>IF($A131="","",SUMIF('Master FF&amp;E'!$B$4:$B$253,$A131,'Master FF&amp;E'!$P$4:$P$253))</f>
        <v>0</v>
      </c>
      <c r="H131" s="16">
        <f>IF($A131="","",SUMIF('Master FF&amp;E'!$B$4:$B$253,$A131,'Master FF&amp;E'!$T$4:$T$253))</f>
        <v>0</v>
      </c>
      <c r="I131" s="16">
        <f>IF($A131="","",F131-H131)</f>
        <v>0</v>
      </c>
      <c r="J131" s="12"/>
      <c r="K131" s="12"/>
    </row>
    <row r="132" spans="1:11">
      <c r="A132" s="12"/>
      <c r="B132" s="12"/>
      <c r="C132" s="12"/>
      <c r="D132" s="15"/>
      <c r="E132" s="12"/>
      <c r="F132" s="14"/>
      <c r="G132" s="16">
        <f>IF($A132="","",SUMIF('Master FF&amp;E'!$B$4:$B$253,$A132,'Master FF&amp;E'!$P$4:$P$253))</f>
        <v>0</v>
      </c>
      <c r="H132" s="16">
        <f>IF($A132="","",SUMIF('Master FF&amp;E'!$B$4:$B$253,$A132,'Master FF&amp;E'!$T$4:$T$253))</f>
        <v>0</v>
      </c>
      <c r="I132" s="16">
        <f>IF($A132="","",F132-H132)</f>
        <v>0</v>
      </c>
      <c r="J132" s="12"/>
      <c r="K132" s="12"/>
    </row>
    <row r="133" spans="1:11">
      <c r="A133" s="12"/>
      <c r="B133" s="12"/>
      <c r="C133" s="12"/>
      <c r="D133" s="15"/>
      <c r="E133" s="12"/>
      <c r="F133" s="14"/>
      <c r="G133" s="16">
        <f>IF($A133="","",SUMIF('Master FF&amp;E'!$B$4:$B$253,$A133,'Master FF&amp;E'!$P$4:$P$253))</f>
        <v>0</v>
      </c>
      <c r="H133" s="16">
        <f>IF($A133="","",SUMIF('Master FF&amp;E'!$B$4:$B$253,$A133,'Master FF&amp;E'!$T$4:$T$253))</f>
        <v>0</v>
      </c>
      <c r="I133" s="16">
        <f>IF($A133="","",F133-H133)</f>
        <v>0</v>
      </c>
      <c r="J133" s="12"/>
      <c r="K133" s="12"/>
    </row>
    <row r="134" spans="1:11">
      <c r="A134" s="12"/>
      <c r="B134" s="12"/>
      <c r="C134" s="12"/>
      <c r="D134" s="15"/>
      <c r="E134" s="12"/>
      <c r="F134" s="14"/>
      <c r="G134" s="16">
        <f>IF($A134="","",SUMIF('Master FF&amp;E'!$B$4:$B$253,$A134,'Master FF&amp;E'!$P$4:$P$253))</f>
        <v>0</v>
      </c>
      <c r="H134" s="16">
        <f>IF($A134="","",SUMIF('Master FF&amp;E'!$B$4:$B$253,$A134,'Master FF&amp;E'!$T$4:$T$253))</f>
        <v>0</v>
      </c>
      <c r="I134" s="16">
        <f>IF($A134="","",F134-H134)</f>
        <v>0</v>
      </c>
      <c r="J134" s="12"/>
      <c r="K134" s="12"/>
    </row>
    <row r="135" spans="1:11">
      <c r="A135" s="12"/>
      <c r="B135" s="12"/>
      <c r="C135" s="12"/>
      <c r="D135" s="15"/>
      <c r="E135" s="12"/>
      <c r="F135" s="14"/>
      <c r="G135" s="16">
        <f>IF($A135="","",SUMIF('Master FF&amp;E'!$B$4:$B$253,$A135,'Master FF&amp;E'!$P$4:$P$253))</f>
        <v>0</v>
      </c>
      <c r="H135" s="16">
        <f>IF($A135="","",SUMIF('Master FF&amp;E'!$B$4:$B$253,$A135,'Master FF&amp;E'!$T$4:$T$253))</f>
        <v>0</v>
      </c>
      <c r="I135" s="16">
        <f>IF($A135="","",F135-H135)</f>
        <v>0</v>
      </c>
      <c r="J135" s="12"/>
      <c r="K135" s="12"/>
    </row>
    <row r="136" spans="1:11">
      <c r="A136" s="12"/>
      <c r="B136" s="12"/>
      <c r="C136" s="12"/>
      <c r="D136" s="15"/>
      <c r="E136" s="12"/>
      <c r="F136" s="14"/>
      <c r="G136" s="16">
        <f>IF($A136="","",SUMIF('Master FF&amp;E'!$B$4:$B$253,$A136,'Master FF&amp;E'!$P$4:$P$253))</f>
        <v>0</v>
      </c>
      <c r="H136" s="16">
        <f>IF($A136="","",SUMIF('Master FF&amp;E'!$B$4:$B$253,$A136,'Master FF&amp;E'!$T$4:$T$253))</f>
        <v>0</v>
      </c>
      <c r="I136" s="16">
        <f>IF($A136="","",F136-H136)</f>
        <v>0</v>
      </c>
      <c r="J136" s="12"/>
      <c r="K136" s="12"/>
    </row>
    <row r="137" spans="1:11">
      <c r="A137" s="12"/>
      <c r="B137" s="12"/>
      <c r="C137" s="12"/>
      <c r="D137" s="15"/>
      <c r="E137" s="12"/>
      <c r="F137" s="14"/>
      <c r="G137" s="16">
        <f>IF($A137="","",SUMIF('Master FF&amp;E'!$B$4:$B$253,$A137,'Master FF&amp;E'!$P$4:$P$253))</f>
        <v>0</v>
      </c>
      <c r="H137" s="16">
        <f>IF($A137="","",SUMIF('Master FF&amp;E'!$B$4:$B$253,$A137,'Master FF&amp;E'!$T$4:$T$253))</f>
        <v>0</v>
      </c>
      <c r="I137" s="16">
        <f>IF($A137="","",F137-H137)</f>
        <v>0</v>
      </c>
      <c r="J137" s="12"/>
      <c r="K137" s="12"/>
    </row>
    <row r="138" spans="1:11">
      <c r="A138" s="12"/>
      <c r="B138" s="12"/>
      <c r="C138" s="12"/>
      <c r="D138" s="15"/>
      <c r="E138" s="12"/>
      <c r="F138" s="14"/>
      <c r="G138" s="16">
        <f>IF($A138="","",SUMIF('Master FF&amp;E'!$B$4:$B$253,$A138,'Master FF&amp;E'!$P$4:$P$253))</f>
        <v>0</v>
      </c>
      <c r="H138" s="16">
        <f>IF($A138="","",SUMIF('Master FF&amp;E'!$B$4:$B$253,$A138,'Master FF&amp;E'!$T$4:$T$253))</f>
        <v>0</v>
      </c>
      <c r="I138" s="16">
        <f>IF($A138="","",F138-H138)</f>
        <v>0</v>
      </c>
      <c r="J138" s="12"/>
      <c r="K138" s="12"/>
    </row>
    <row r="139" spans="1:11">
      <c r="A139" s="12"/>
      <c r="B139" s="12"/>
      <c r="C139" s="12"/>
      <c r="D139" s="15"/>
      <c r="E139" s="12"/>
      <c r="F139" s="14"/>
      <c r="G139" s="16">
        <f>IF($A139="","",SUMIF('Master FF&amp;E'!$B$4:$B$253,$A139,'Master FF&amp;E'!$P$4:$P$253))</f>
        <v>0</v>
      </c>
      <c r="H139" s="16">
        <f>IF($A139="","",SUMIF('Master FF&amp;E'!$B$4:$B$253,$A139,'Master FF&amp;E'!$T$4:$T$253))</f>
        <v>0</v>
      </c>
      <c r="I139" s="16">
        <f>IF($A139="","",F139-H139)</f>
        <v>0</v>
      </c>
      <c r="J139" s="12"/>
      <c r="K139" s="12"/>
    </row>
    <row r="140" spans="1:11">
      <c r="A140" s="12"/>
      <c r="B140" s="12"/>
      <c r="C140" s="12"/>
      <c r="D140" s="15"/>
      <c r="E140" s="12"/>
      <c r="F140" s="14"/>
      <c r="G140" s="16">
        <f>IF($A140="","",SUMIF('Master FF&amp;E'!$B$4:$B$253,$A140,'Master FF&amp;E'!$P$4:$P$253))</f>
        <v>0</v>
      </c>
      <c r="H140" s="16">
        <f>IF($A140="","",SUMIF('Master FF&amp;E'!$B$4:$B$253,$A140,'Master FF&amp;E'!$T$4:$T$253))</f>
        <v>0</v>
      </c>
      <c r="I140" s="16">
        <f>IF($A140="","",F140-H140)</f>
        <v>0</v>
      </c>
      <c r="J140" s="12"/>
      <c r="K140" s="12"/>
    </row>
    <row r="141" spans="1:11">
      <c r="A141" s="12"/>
      <c r="B141" s="12"/>
      <c r="C141" s="12"/>
      <c r="D141" s="15"/>
      <c r="E141" s="12"/>
      <c r="F141" s="14"/>
      <c r="G141" s="16">
        <f>IF($A141="","",SUMIF('Master FF&amp;E'!$B$4:$B$253,$A141,'Master FF&amp;E'!$P$4:$P$253))</f>
        <v>0</v>
      </c>
      <c r="H141" s="16">
        <f>IF($A141="","",SUMIF('Master FF&amp;E'!$B$4:$B$253,$A141,'Master FF&amp;E'!$T$4:$T$253))</f>
        <v>0</v>
      </c>
      <c r="I141" s="16">
        <f>IF($A141="","",F141-H141)</f>
        <v>0</v>
      </c>
      <c r="J141" s="12"/>
      <c r="K141" s="12"/>
    </row>
    <row r="142" spans="1:11">
      <c r="A142" s="12"/>
      <c r="B142" s="12"/>
      <c r="C142" s="12"/>
      <c r="D142" s="15"/>
      <c r="E142" s="12"/>
      <c r="F142" s="14"/>
      <c r="G142" s="16">
        <f>IF($A142="","",SUMIF('Master FF&amp;E'!$B$4:$B$253,$A142,'Master FF&amp;E'!$P$4:$P$253))</f>
        <v>0</v>
      </c>
      <c r="H142" s="16">
        <f>IF($A142="","",SUMIF('Master FF&amp;E'!$B$4:$B$253,$A142,'Master FF&amp;E'!$T$4:$T$253))</f>
        <v>0</v>
      </c>
      <c r="I142" s="16">
        <f>IF($A142="","",F142-H142)</f>
        <v>0</v>
      </c>
      <c r="J142" s="12"/>
      <c r="K142" s="12"/>
    </row>
    <row r="143" spans="1:11">
      <c r="A143" s="12"/>
      <c r="B143" s="12"/>
      <c r="C143" s="12"/>
      <c r="D143" s="15"/>
      <c r="E143" s="12"/>
      <c r="F143" s="14"/>
      <c r="G143" s="16">
        <f>IF($A143="","",SUMIF('Master FF&amp;E'!$B$4:$B$253,$A143,'Master FF&amp;E'!$P$4:$P$253))</f>
        <v>0</v>
      </c>
      <c r="H143" s="16">
        <f>IF($A143="","",SUMIF('Master FF&amp;E'!$B$4:$B$253,$A143,'Master FF&amp;E'!$T$4:$T$253))</f>
        <v>0</v>
      </c>
      <c r="I143" s="16">
        <f>IF($A143="","",F143-H143)</f>
        <v>0</v>
      </c>
      <c r="J143" s="12"/>
      <c r="K143" s="12"/>
    </row>
    <row r="144" spans="1:11">
      <c r="A144" s="12"/>
      <c r="B144" s="12"/>
      <c r="C144" s="12"/>
      <c r="D144" s="15"/>
      <c r="E144" s="12"/>
      <c r="F144" s="14"/>
      <c r="G144" s="16">
        <f>IF($A144="","",SUMIF('Master FF&amp;E'!$B$4:$B$253,$A144,'Master FF&amp;E'!$P$4:$P$253))</f>
        <v>0</v>
      </c>
      <c r="H144" s="16">
        <f>IF($A144="","",SUMIF('Master FF&amp;E'!$B$4:$B$253,$A144,'Master FF&amp;E'!$T$4:$T$253))</f>
        <v>0</v>
      </c>
      <c r="I144" s="16">
        <f>IF($A144="","",F144-H144)</f>
        <v>0</v>
      </c>
      <c r="J144" s="12"/>
      <c r="K144" s="12"/>
    </row>
    <row r="145" spans="1:11">
      <c r="A145" s="12"/>
      <c r="B145" s="12"/>
      <c r="C145" s="12"/>
      <c r="D145" s="15"/>
      <c r="E145" s="12"/>
      <c r="F145" s="14"/>
      <c r="G145" s="16">
        <f>IF($A145="","",SUMIF('Master FF&amp;E'!$B$4:$B$253,$A145,'Master FF&amp;E'!$P$4:$P$253))</f>
        <v>0</v>
      </c>
      <c r="H145" s="16">
        <f>IF($A145="","",SUMIF('Master FF&amp;E'!$B$4:$B$253,$A145,'Master FF&amp;E'!$T$4:$T$253))</f>
        <v>0</v>
      </c>
      <c r="I145" s="16">
        <f>IF($A145="","",F145-H145)</f>
        <v>0</v>
      </c>
      <c r="J145" s="12"/>
      <c r="K145" s="12"/>
    </row>
    <row r="146" spans="1:11">
      <c r="A146" s="12"/>
      <c r="B146" s="12"/>
      <c r="C146" s="12"/>
      <c r="D146" s="15"/>
      <c r="E146" s="12"/>
      <c r="F146" s="14"/>
      <c r="G146" s="16">
        <f>IF($A146="","",SUMIF('Master FF&amp;E'!$B$4:$B$253,$A146,'Master FF&amp;E'!$P$4:$P$253))</f>
        <v>0</v>
      </c>
      <c r="H146" s="16">
        <f>IF($A146="","",SUMIF('Master FF&amp;E'!$B$4:$B$253,$A146,'Master FF&amp;E'!$T$4:$T$253))</f>
        <v>0</v>
      </c>
      <c r="I146" s="16">
        <f>IF($A146="","",F146-H146)</f>
        <v>0</v>
      </c>
      <c r="J146" s="12"/>
      <c r="K146" s="12"/>
    </row>
    <row r="147" spans="1:11">
      <c r="A147" s="12"/>
      <c r="B147" s="12"/>
      <c r="C147" s="12"/>
      <c r="D147" s="15"/>
      <c r="E147" s="12"/>
      <c r="F147" s="14"/>
      <c r="G147" s="16">
        <f>IF($A147="","",SUMIF('Master FF&amp;E'!$B$4:$B$253,$A147,'Master FF&amp;E'!$P$4:$P$253))</f>
        <v>0</v>
      </c>
      <c r="H147" s="16">
        <f>IF($A147="","",SUMIF('Master FF&amp;E'!$B$4:$B$253,$A147,'Master FF&amp;E'!$T$4:$T$253))</f>
        <v>0</v>
      </c>
      <c r="I147" s="16">
        <f>IF($A147="","",F147-H147)</f>
        <v>0</v>
      </c>
      <c r="J147" s="12"/>
      <c r="K147" s="12"/>
    </row>
    <row r="148" spans="1:11">
      <c r="A148" s="12"/>
      <c r="B148" s="12"/>
      <c r="C148" s="12"/>
      <c r="D148" s="15"/>
      <c r="E148" s="12"/>
      <c r="F148" s="14"/>
      <c r="G148" s="16">
        <f>IF($A148="","",SUMIF('Master FF&amp;E'!$B$4:$B$253,$A148,'Master FF&amp;E'!$P$4:$P$253))</f>
        <v>0</v>
      </c>
      <c r="H148" s="16">
        <f>IF($A148="","",SUMIF('Master FF&amp;E'!$B$4:$B$253,$A148,'Master FF&amp;E'!$T$4:$T$253))</f>
        <v>0</v>
      </c>
      <c r="I148" s="16">
        <f>IF($A148="","",F148-H148)</f>
        <v>0</v>
      </c>
      <c r="J148" s="12"/>
      <c r="K148" s="12"/>
    </row>
    <row r="149" spans="1:11">
      <c r="A149" s="12"/>
      <c r="B149" s="12"/>
      <c r="C149" s="12"/>
      <c r="D149" s="15"/>
      <c r="E149" s="12"/>
      <c r="F149" s="14"/>
      <c r="G149" s="16">
        <f>IF($A149="","",SUMIF('Master FF&amp;E'!$B$4:$B$253,$A149,'Master FF&amp;E'!$P$4:$P$253))</f>
        <v>0</v>
      </c>
      <c r="H149" s="16">
        <f>IF($A149="","",SUMIF('Master FF&amp;E'!$B$4:$B$253,$A149,'Master FF&amp;E'!$T$4:$T$253))</f>
        <v>0</v>
      </c>
      <c r="I149" s="16">
        <f>IF($A149="","",F149-H149)</f>
        <v>0</v>
      </c>
      <c r="J149" s="12"/>
      <c r="K149" s="12"/>
    </row>
    <row r="150" spans="1:11">
      <c r="A150" s="12"/>
      <c r="B150" s="12"/>
      <c r="C150" s="12"/>
      <c r="D150" s="15"/>
      <c r="E150" s="12"/>
      <c r="F150" s="14"/>
      <c r="G150" s="16">
        <f>IF($A150="","",SUMIF('Master FF&amp;E'!$B$4:$B$253,$A150,'Master FF&amp;E'!$P$4:$P$253))</f>
        <v>0</v>
      </c>
      <c r="H150" s="16">
        <f>IF($A150="","",SUMIF('Master FF&amp;E'!$B$4:$B$253,$A150,'Master FF&amp;E'!$T$4:$T$253))</f>
        <v>0</v>
      </c>
      <c r="I150" s="16">
        <f>IF($A150="","",F150-H150)</f>
        <v>0</v>
      </c>
      <c r="J150" s="12"/>
      <c r="K150" s="12"/>
    </row>
    <row r="151" spans="1:11">
      <c r="A151" s="12"/>
      <c r="B151" s="12"/>
      <c r="C151" s="12"/>
      <c r="D151" s="15"/>
      <c r="E151" s="12"/>
      <c r="F151" s="14"/>
      <c r="G151" s="16">
        <f>IF($A151="","",SUMIF('Master FF&amp;E'!$B$4:$B$253,$A151,'Master FF&amp;E'!$P$4:$P$253))</f>
        <v>0</v>
      </c>
      <c r="H151" s="16">
        <f>IF($A151="","",SUMIF('Master FF&amp;E'!$B$4:$B$253,$A151,'Master FF&amp;E'!$T$4:$T$253))</f>
        <v>0</v>
      </c>
      <c r="I151" s="16">
        <f>IF($A151="","",F151-H151)</f>
        <v>0</v>
      </c>
      <c r="J151" s="12"/>
      <c r="K151" s="12"/>
    </row>
    <row r="152" spans="1:11">
      <c r="A152" s="12"/>
      <c r="B152" s="12"/>
      <c r="C152" s="12"/>
      <c r="D152" s="15"/>
      <c r="E152" s="12"/>
      <c r="F152" s="14"/>
      <c r="G152" s="16">
        <f>IF($A152="","",SUMIF('Master FF&amp;E'!$B$4:$B$253,$A152,'Master FF&amp;E'!$P$4:$P$253))</f>
        <v>0</v>
      </c>
      <c r="H152" s="16">
        <f>IF($A152="","",SUMIF('Master FF&amp;E'!$B$4:$B$253,$A152,'Master FF&amp;E'!$T$4:$T$253))</f>
        <v>0</v>
      </c>
      <c r="I152" s="16">
        <f>IF($A152="","",F152-H152)</f>
        <v>0</v>
      </c>
      <c r="J152" s="12"/>
      <c r="K152" s="12"/>
    </row>
    <row r="153" spans="1:11">
      <c r="A153" s="12"/>
      <c r="B153" s="12"/>
      <c r="C153" s="12"/>
      <c r="D153" s="15"/>
      <c r="E153" s="12"/>
      <c r="F153" s="14"/>
      <c r="G153" s="16">
        <f>IF($A153="","",SUMIF('Master FF&amp;E'!$B$4:$B$253,$A153,'Master FF&amp;E'!$P$4:$P$253))</f>
        <v>0</v>
      </c>
      <c r="H153" s="16">
        <f>IF($A153="","",SUMIF('Master FF&amp;E'!$B$4:$B$253,$A153,'Master FF&amp;E'!$T$4:$T$253))</f>
        <v>0</v>
      </c>
      <c r="I153" s="16">
        <f>IF($A153="","",F153-H153)</f>
        <v>0</v>
      </c>
      <c r="J153" s="12"/>
      <c r="K153" s="12"/>
    </row>
    <row r="154" spans="1:11">
      <c r="A154" s="12"/>
      <c r="B154" s="12"/>
      <c r="C154" s="12"/>
      <c r="D154" s="15"/>
      <c r="E154" s="12"/>
      <c r="F154" s="14"/>
      <c r="G154" s="16">
        <f>IF($A154="","",SUMIF('Master FF&amp;E'!$B$4:$B$253,$A154,'Master FF&amp;E'!$P$4:$P$253))</f>
        <v>0</v>
      </c>
      <c r="H154" s="16">
        <f>IF($A154="","",SUMIF('Master FF&amp;E'!$B$4:$B$253,$A154,'Master FF&amp;E'!$T$4:$T$253))</f>
        <v>0</v>
      </c>
      <c r="I154" s="16">
        <f>IF($A154="","",F154-H154)</f>
        <v>0</v>
      </c>
      <c r="J154" s="12"/>
      <c r="K154" s="12"/>
    </row>
    <row r="155" spans="1:11">
      <c r="A155" s="12"/>
      <c r="B155" s="12"/>
      <c r="C155" s="12"/>
      <c r="D155" s="15"/>
      <c r="E155" s="12"/>
      <c r="F155" s="14"/>
      <c r="G155" s="16">
        <f>IF($A155="","",SUMIF('Master FF&amp;E'!$B$4:$B$253,$A155,'Master FF&amp;E'!$P$4:$P$253))</f>
        <v>0</v>
      </c>
      <c r="H155" s="16">
        <f>IF($A155="","",SUMIF('Master FF&amp;E'!$B$4:$B$253,$A155,'Master FF&amp;E'!$T$4:$T$253))</f>
        <v>0</v>
      </c>
      <c r="I155" s="16">
        <f>IF($A155="","",F155-H155)</f>
        <v>0</v>
      </c>
      <c r="J155" s="12"/>
      <c r="K155" s="12"/>
    </row>
    <row r="156" spans="1:11">
      <c r="A156" s="12"/>
      <c r="B156" s="12"/>
      <c r="C156" s="12"/>
      <c r="D156" s="15"/>
      <c r="E156" s="12"/>
      <c r="F156" s="14"/>
      <c r="G156" s="16">
        <f>IF($A156="","",SUMIF('Master FF&amp;E'!$B$4:$B$253,$A156,'Master FF&amp;E'!$P$4:$P$253))</f>
        <v>0</v>
      </c>
      <c r="H156" s="16">
        <f>IF($A156="","",SUMIF('Master FF&amp;E'!$B$4:$B$253,$A156,'Master FF&amp;E'!$T$4:$T$253))</f>
        <v>0</v>
      </c>
      <c r="I156" s="16">
        <f>IF($A156="","",F156-H156)</f>
        <v>0</v>
      </c>
      <c r="J156" s="12"/>
      <c r="K156" s="12"/>
    </row>
    <row r="157" spans="1:11">
      <c r="A157" s="12"/>
      <c r="B157" s="12"/>
      <c r="C157" s="12"/>
      <c r="D157" s="15"/>
      <c r="E157" s="12"/>
      <c r="F157" s="14"/>
      <c r="G157" s="16">
        <f>IF($A157="","",SUMIF('Master FF&amp;E'!$B$4:$B$253,$A157,'Master FF&amp;E'!$P$4:$P$253))</f>
        <v>0</v>
      </c>
      <c r="H157" s="16">
        <f>IF($A157="","",SUMIF('Master FF&amp;E'!$B$4:$B$253,$A157,'Master FF&amp;E'!$T$4:$T$253))</f>
        <v>0</v>
      </c>
      <c r="I157" s="16">
        <f>IF($A157="","",F157-H157)</f>
        <v>0</v>
      </c>
      <c r="J157" s="12"/>
      <c r="K157" s="12"/>
    </row>
    <row r="158" spans="1:11">
      <c r="A158" s="12"/>
      <c r="B158" s="12"/>
      <c r="C158" s="12"/>
      <c r="D158" s="15"/>
      <c r="E158" s="12"/>
      <c r="F158" s="14"/>
      <c r="G158" s="16">
        <f>IF($A158="","",SUMIF('Master FF&amp;E'!$B$4:$B$253,$A158,'Master FF&amp;E'!$P$4:$P$253))</f>
        <v>0</v>
      </c>
      <c r="H158" s="16">
        <f>IF($A158="","",SUMIF('Master FF&amp;E'!$B$4:$B$253,$A158,'Master FF&amp;E'!$T$4:$T$253))</f>
        <v>0</v>
      </c>
      <c r="I158" s="16">
        <f>IF($A158="","",F158-H158)</f>
        <v>0</v>
      </c>
      <c r="J158" s="12"/>
      <c r="K158" s="12"/>
    </row>
    <row r="159" spans="1:11">
      <c r="A159" s="12"/>
      <c r="B159" s="12"/>
      <c r="C159" s="12"/>
      <c r="D159" s="15"/>
      <c r="E159" s="12"/>
      <c r="F159" s="14"/>
      <c r="G159" s="16">
        <f>IF($A159="","",SUMIF('Master FF&amp;E'!$B$4:$B$253,$A159,'Master FF&amp;E'!$P$4:$P$253))</f>
        <v>0</v>
      </c>
      <c r="H159" s="16">
        <f>IF($A159="","",SUMIF('Master FF&amp;E'!$B$4:$B$253,$A159,'Master FF&amp;E'!$T$4:$T$253))</f>
        <v>0</v>
      </c>
      <c r="I159" s="16">
        <f>IF($A159="","",F159-H159)</f>
        <v>0</v>
      </c>
      <c r="J159" s="12"/>
      <c r="K159" s="12"/>
    </row>
    <row r="160" spans="1:11">
      <c r="A160" s="12"/>
      <c r="B160" s="12"/>
      <c r="C160" s="12"/>
      <c r="D160" s="15"/>
      <c r="E160" s="12"/>
      <c r="F160" s="14"/>
      <c r="G160" s="16">
        <f>IF($A160="","",SUMIF('Master FF&amp;E'!$B$4:$B$253,$A160,'Master FF&amp;E'!$P$4:$P$253))</f>
        <v>0</v>
      </c>
      <c r="H160" s="16">
        <f>IF($A160="","",SUMIF('Master FF&amp;E'!$B$4:$B$253,$A160,'Master FF&amp;E'!$T$4:$T$253))</f>
        <v>0</v>
      </c>
      <c r="I160" s="16">
        <f>IF($A160="","",F160-H160)</f>
        <v>0</v>
      </c>
      <c r="J160" s="12"/>
      <c r="K160" s="12"/>
    </row>
    <row r="161" spans="1:11">
      <c r="A161" s="12"/>
      <c r="B161" s="12"/>
      <c r="C161" s="12"/>
      <c r="D161" s="15"/>
      <c r="E161" s="12"/>
      <c r="F161" s="14"/>
      <c r="G161" s="16">
        <f>IF($A161="","",SUMIF('Master FF&amp;E'!$B$4:$B$253,$A161,'Master FF&amp;E'!$P$4:$P$253))</f>
        <v>0</v>
      </c>
      <c r="H161" s="16">
        <f>IF($A161="","",SUMIF('Master FF&amp;E'!$B$4:$B$253,$A161,'Master FF&amp;E'!$T$4:$T$253))</f>
        <v>0</v>
      </c>
      <c r="I161" s="16">
        <f>IF($A161="","",F161-H161)</f>
        <v>0</v>
      </c>
      <c r="J161" s="12"/>
      <c r="K161" s="12"/>
    </row>
    <row r="162" spans="1:11">
      <c r="A162" s="12"/>
      <c r="B162" s="12"/>
      <c r="C162" s="12"/>
      <c r="D162" s="15"/>
      <c r="E162" s="12"/>
      <c r="F162" s="14"/>
      <c r="G162" s="16">
        <f>IF($A162="","",SUMIF('Master FF&amp;E'!$B$4:$B$253,$A162,'Master FF&amp;E'!$P$4:$P$253))</f>
        <v>0</v>
      </c>
      <c r="H162" s="16">
        <f>IF($A162="","",SUMIF('Master FF&amp;E'!$B$4:$B$253,$A162,'Master FF&amp;E'!$T$4:$T$253))</f>
        <v>0</v>
      </c>
      <c r="I162" s="16">
        <f>IF($A162="","",F162-H162)</f>
        <v>0</v>
      </c>
      <c r="J162" s="12"/>
      <c r="K162" s="12"/>
    </row>
    <row r="163" spans="1:11">
      <c r="A163" s="12"/>
      <c r="B163" s="12"/>
      <c r="C163" s="12"/>
      <c r="D163" s="15"/>
      <c r="E163" s="12"/>
      <c r="F163" s="14"/>
      <c r="G163" s="16">
        <f>IF($A163="","",SUMIF('Master FF&amp;E'!$B$4:$B$253,$A163,'Master FF&amp;E'!$P$4:$P$253))</f>
        <v>0</v>
      </c>
      <c r="H163" s="16">
        <f>IF($A163="","",SUMIF('Master FF&amp;E'!$B$4:$B$253,$A163,'Master FF&amp;E'!$T$4:$T$253))</f>
        <v>0</v>
      </c>
      <c r="I163" s="16">
        <f>IF($A163="","",F163-H163)</f>
        <v>0</v>
      </c>
      <c r="J163" s="12"/>
      <c r="K163" s="12"/>
    </row>
    <row r="164" spans="1:11">
      <c r="A164" s="12"/>
      <c r="B164" s="12"/>
      <c r="C164" s="12"/>
      <c r="D164" s="15"/>
      <c r="E164" s="12"/>
      <c r="F164" s="14"/>
      <c r="G164" s="16">
        <f>IF($A164="","",SUMIF('Master FF&amp;E'!$B$4:$B$253,$A164,'Master FF&amp;E'!$P$4:$P$253))</f>
        <v>0</v>
      </c>
      <c r="H164" s="16">
        <f>IF($A164="","",SUMIF('Master FF&amp;E'!$B$4:$B$253,$A164,'Master FF&amp;E'!$T$4:$T$253))</f>
        <v>0</v>
      </c>
      <c r="I164" s="16">
        <f>IF($A164="","",F164-H164)</f>
        <v>0</v>
      </c>
      <c r="J164" s="12"/>
      <c r="K164" s="12"/>
    </row>
    <row r="165" spans="1:11">
      <c r="A165" s="12"/>
      <c r="B165" s="12"/>
      <c r="C165" s="12"/>
      <c r="D165" s="15"/>
      <c r="E165" s="12"/>
      <c r="F165" s="14"/>
      <c r="G165" s="16">
        <f>IF($A165="","",SUMIF('Master FF&amp;E'!$B$4:$B$253,$A165,'Master FF&amp;E'!$P$4:$P$253))</f>
        <v>0</v>
      </c>
      <c r="H165" s="16">
        <f>IF($A165="","",SUMIF('Master FF&amp;E'!$B$4:$B$253,$A165,'Master FF&amp;E'!$T$4:$T$253))</f>
        <v>0</v>
      </c>
      <c r="I165" s="16">
        <f>IF($A165="","",F165-H165)</f>
        <v>0</v>
      </c>
      <c r="J165" s="12"/>
      <c r="K165" s="12"/>
    </row>
    <row r="166" spans="1:11">
      <c r="A166" s="12"/>
      <c r="B166" s="12"/>
      <c r="C166" s="12"/>
      <c r="D166" s="15"/>
      <c r="E166" s="12"/>
      <c r="F166" s="14"/>
      <c r="G166" s="16">
        <f>IF($A166="","",SUMIF('Master FF&amp;E'!$B$4:$B$253,$A166,'Master FF&amp;E'!$P$4:$P$253))</f>
        <v>0</v>
      </c>
      <c r="H166" s="16">
        <f>IF($A166="","",SUMIF('Master FF&amp;E'!$B$4:$B$253,$A166,'Master FF&amp;E'!$T$4:$T$253))</f>
        <v>0</v>
      </c>
      <c r="I166" s="16">
        <f>IF($A166="","",F166-H166)</f>
        <v>0</v>
      </c>
      <c r="J166" s="12"/>
      <c r="K166" s="12"/>
    </row>
    <row r="167" spans="1:11">
      <c r="A167" s="12"/>
      <c r="B167" s="12"/>
      <c r="C167" s="12"/>
      <c r="D167" s="15"/>
      <c r="E167" s="12"/>
      <c r="F167" s="14"/>
      <c r="G167" s="16">
        <f>IF($A167="","",SUMIF('Master FF&amp;E'!$B$4:$B$253,$A167,'Master FF&amp;E'!$P$4:$P$253))</f>
        <v>0</v>
      </c>
      <c r="H167" s="16">
        <f>IF($A167="","",SUMIF('Master FF&amp;E'!$B$4:$B$253,$A167,'Master FF&amp;E'!$T$4:$T$253))</f>
        <v>0</v>
      </c>
      <c r="I167" s="16">
        <f>IF($A167="","",F167-H167)</f>
        <v>0</v>
      </c>
      <c r="J167" s="12"/>
      <c r="K167" s="12"/>
    </row>
    <row r="168" spans="1:11">
      <c r="A168" s="12"/>
      <c r="B168" s="12"/>
      <c r="C168" s="12"/>
      <c r="D168" s="15"/>
      <c r="E168" s="12"/>
      <c r="F168" s="14"/>
      <c r="G168" s="16">
        <f>IF($A168="","",SUMIF('Master FF&amp;E'!$B$4:$B$253,$A168,'Master FF&amp;E'!$P$4:$P$253))</f>
        <v>0</v>
      </c>
      <c r="H168" s="16">
        <f>IF($A168="","",SUMIF('Master FF&amp;E'!$B$4:$B$253,$A168,'Master FF&amp;E'!$T$4:$T$253))</f>
        <v>0</v>
      </c>
      <c r="I168" s="16">
        <f>IF($A168="","",F168-H168)</f>
        <v>0</v>
      </c>
      <c r="J168" s="12"/>
      <c r="K168" s="12"/>
    </row>
    <row r="169" spans="1:11">
      <c r="A169" s="12"/>
      <c r="B169" s="12"/>
      <c r="C169" s="12"/>
      <c r="D169" s="15"/>
      <c r="E169" s="12"/>
      <c r="F169" s="14"/>
      <c r="G169" s="16">
        <f>IF($A169="","",SUMIF('Master FF&amp;E'!$B$4:$B$253,$A169,'Master FF&amp;E'!$P$4:$P$253))</f>
        <v>0</v>
      </c>
      <c r="H169" s="16">
        <f>IF($A169="","",SUMIF('Master FF&amp;E'!$B$4:$B$253,$A169,'Master FF&amp;E'!$T$4:$T$253))</f>
        <v>0</v>
      </c>
      <c r="I169" s="16">
        <f>IF($A169="","",F169-H169)</f>
        <v>0</v>
      </c>
      <c r="J169" s="12"/>
      <c r="K169" s="12"/>
    </row>
    <row r="170" spans="1:11">
      <c r="A170" s="12"/>
      <c r="B170" s="12"/>
      <c r="C170" s="12"/>
      <c r="D170" s="15"/>
      <c r="E170" s="12"/>
      <c r="F170" s="14"/>
      <c r="G170" s="16">
        <f>IF($A170="","",SUMIF('Master FF&amp;E'!$B$4:$B$253,$A170,'Master FF&amp;E'!$P$4:$P$253))</f>
        <v>0</v>
      </c>
      <c r="H170" s="16">
        <f>IF($A170="","",SUMIF('Master FF&amp;E'!$B$4:$B$253,$A170,'Master FF&amp;E'!$T$4:$T$253))</f>
        <v>0</v>
      </c>
      <c r="I170" s="16">
        <f>IF($A170="","",F170-H170)</f>
        <v>0</v>
      </c>
      <c r="J170" s="12"/>
      <c r="K170" s="12"/>
    </row>
    <row r="171" spans="1:11">
      <c r="A171" s="12"/>
      <c r="B171" s="12"/>
      <c r="C171" s="12"/>
      <c r="D171" s="15"/>
      <c r="E171" s="12"/>
      <c r="F171" s="14"/>
      <c r="G171" s="16">
        <f>IF($A171="","",SUMIF('Master FF&amp;E'!$B$4:$B$253,$A171,'Master FF&amp;E'!$P$4:$P$253))</f>
        <v>0</v>
      </c>
      <c r="H171" s="16">
        <f>IF($A171="","",SUMIF('Master FF&amp;E'!$B$4:$B$253,$A171,'Master FF&amp;E'!$T$4:$T$253))</f>
        <v>0</v>
      </c>
      <c r="I171" s="16">
        <f>IF($A171="","",F171-H171)</f>
        <v>0</v>
      </c>
      <c r="J171" s="12"/>
      <c r="K171" s="12"/>
    </row>
    <row r="172" spans="1:11">
      <c r="A172" s="12"/>
      <c r="B172" s="12"/>
      <c r="C172" s="12"/>
      <c r="D172" s="15"/>
      <c r="E172" s="12"/>
      <c r="F172" s="14"/>
      <c r="G172" s="16">
        <f>IF($A172="","",SUMIF('Master FF&amp;E'!$B$4:$B$253,$A172,'Master FF&amp;E'!$P$4:$P$253))</f>
        <v>0</v>
      </c>
      <c r="H172" s="16">
        <f>IF($A172="","",SUMIF('Master FF&amp;E'!$B$4:$B$253,$A172,'Master FF&amp;E'!$T$4:$T$253))</f>
        <v>0</v>
      </c>
      <c r="I172" s="16">
        <f>IF($A172="","",F172-H172)</f>
        <v>0</v>
      </c>
      <c r="J172" s="12"/>
      <c r="K172" s="12"/>
    </row>
    <row r="173" spans="1:11">
      <c r="A173" s="12"/>
      <c r="B173" s="12"/>
      <c r="C173" s="12"/>
      <c r="D173" s="15"/>
      <c r="E173" s="12"/>
      <c r="F173" s="14"/>
      <c r="G173" s="16">
        <f>IF($A173="","",SUMIF('Master FF&amp;E'!$B$4:$B$253,$A173,'Master FF&amp;E'!$P$4:$P$253))</f>
        <v>0</v>
      </c>
      <c r="H173" s="16">
        <f>IF($A173="","",SUMIF('Master FF&amp;E'!$B$4:$B$253,$A173,'Master FF&amp;E'!$T$4:$T$253))</f>
        <v>0</v>
      </c>
      <c r="I173" s="16">
        <f>IF($A173="","",F173-H173)</f>
        <v>0</v>
      </c>
      <c r="J173" s="12"/>
      <c r="K173" s="12"/>
    </row>
    <row r="174" spans="1:11">
      <c r="A174" s="12"/>
      <c r="B174" s="12"/>
      <c r="C174" s="12"/>
      <c r="D174" s="15"/>
      <c r="E174" s="12"/>
      <c r="F174" s="14"/>
      <c r="G174" s="16">
        <f>IF($A174="","",SUMIF('Master FF&amp;E'!$B$4:$B$253,$A174,'Master FF&amp;E'!$P$4:$P$253))</f>
        <v>0</v>
      </c>
      <c r="H174" s="16">
        <f>IF($A174="","",SUMIF('Master FF&amp;E'!$B$4:$B$253,$A174,'Master FF&amp;E'!$T$4:$T$253))</f>
        <v>0</v>
      </c>
      <c r="I174" s="16">
        <f>IF($A174="","",F174-H174)</f>
        <v>0</v>
      </c>
      <c r="J174" s="12"/>
      <c r="K174" s="12"/>
    </row>
    <row r="175" spans="1:11">
      <c r="A175" s="12"/>
      <c r="B175" s="12"/>
      <c r="C175" s="12"/>
      <c r="D175" s="15"/>
      <c r="E175" s="12"/>
      <c r="F175" s="14"/>
      <c r="G175" s="16">
        <f>IF($A175="","",SUMIF('Master FF&amp;E'!$B$4:$B$253,$A175,'Master FF&amp;E'!$P$4:$P$253))</f>
        <v>0</v>
      </c>
      <c r="H175" s="16">
        <f>IF($A175="","",SUMIF('Master FF&amp;E'!$B$4:$B$253,$A175,'Master FF&amp;E'!$T$4:$T$253))</f>
        <v>0</v>
      </c>
      <c r="I175" s="16">
        <f>IF($A175="","",F175-H175)</f>
        <v>0</v>
      </c>
      <c r="J175" s="12"/>
      <c r="K175" s="12"/>
    </row>
    <row r="176" spans="1:11">
      <c r="A176" s="12"/>
      <c r="B176" s="12"/>
      <c r="C176" s="12"/>
      <c r="D176" s="15"/>
      <c r="E176" s="12"/>
      <c r="F176" s="14"/>
      <c r="G176" s="16">
        <f>IF($A176="","",SUMIF('Master FF&amp;E'!$B$4:$B$253,$A176,'Master FF&amp;E'!$P$4:$P$253))</f>
        <v>0</v>
      </c>
      <c r="H176" s="16">
        <f>IF($A176="","",SUMIF('Master FF&amp;E'!$B$4:$B$253,$A176,'Master FF&amp;E'!$T$4:$T$253))</f>
        <v>0</v>
      </c>
      <c r="I176" s="16">
        <f>IF($A176="","",F176-H176)</f>
        <v>0</v>
      </c>
      <c r="J176" s="12"/>
      <c r="K176" s="12"/>
    </row>
    <row r="177" spans="1:11">
      <c r="A177" s="12"/>
      <c r="B177" s="12"/>
      <c r="C177" s="12"/>
      <c r="D177" s="15"/>
      <c r="E177" s="12"/>
      <c r="F177" s="14"/>
      <c r="G177" s="16">
        <f>IF($A177="","",SUMIF('Master FF&amp;E'!$B$4:$B$253,$A177,'Master FF&amp;E'!$P$4:$P$253))</f>
        <v>0</v>
      </c>
      <c r="H177" s="16">
        <f>IF($A177="","",SUMIF('Master FF&amp;E'!$B$4:$B$253,$A177,'Master FF&amp;E'!$T$4:$T$253))</f>
        <v>0</v>
      </c>
      <c r="I177" s="16">
        <f>IF($A177="","",F177-H177)</f>
        <v>0</v>
      </c>
      <c r="J177" s="12"/>
      <c r="K177" s="12"/>
    </row>
    <row r="178" spans="1:11">
      <c r="A178" s="12"/>
      <c r="B178" s="12"/>
      <c r="C178" s="12"/>
      <c r="D178" s="15"/>
      <c r="E178" s="12"/>
      <c r="F178" s="14"/>
      <c r="G178" s="16">
        <f>IF($A178="","",SUMIF('Master FF&amp;E'!$B$4:$B$253,$A178,'Master FF&amp;E'!$P$4:$P$253))</f>
        <v>0</v>
      </c>
      <c r="H178" s="16">
        <f>IF($A178="","",SUMIF('Master FF&amp;E'!$B$4:$B$253,$A178,'Master FF&amp;E'!$T$4:$T$253))</f>
        <v>0</v>
      </c>
      <c r="I178" s="16">
        <f>IF($A178="","",F178-H178)</f>
        <v>0</v>
      </c>
      <c r="J178" s="12"/>
      <c r="K178" s="12"/>
    </row>
    <row r="179" spans="1:11">
      <c r="A179" s="12"/>
      <c r="B179" s="12"/>
      <c r="C179" s="12"/>
      <c r="D179" s="15"/>
      <c r="E179" s="12"/>
      <c r="F179" s="14"/>
      <c r="G179" s="16">
        <f>IF($A179="","",SUMIF('Master FF&amp;E'!$B$4:$B$253,$A179,'Master FF&amp;E'!$P$4:$P$253))</f>
        <v>0</v>
      </c>
      <c r="H179" s="16">
        <f>IF($A179="","",SUMIF('Master FF&amp;E'!$B$4:$B$253,$A179,'Master FF&amp;E'!$T$4:$T$253))</f>
        <v>0</v>
      </c>
      <c r="I179" s="16">
        <f>IF($A179="","",F179-H179)</f>
        <v>0</v>
      </c>
      <c r="J179" s="12"/>
      <c r="K179" s="12"/>
    </row>
    <row r="180" spans="1:11">
      <c r="A180" s="12"/>
      <c r="B180" s="12"/>
      <c r="C180" s="12"/>
      <c r="D180" s="15"/>
      <c r="E180" s="12"/>
      <c r="F180" s="14"/>
      <c r="G180" s="16">
        <f>IF($A180="","",SUMIF('Master FF&amp;E'!$B$4:$B$253,$A180,'Master FF&amp;E'!$P$4:$P$253))</f>
        <v>0</v>
      </c>
      <c r="H180" s="16">
        <f>IF($A180="","",SUMIF('Master FF&amp;E'!$B$4:$B$253,$A180,'Master FF&amp;E'!$T$4:$T$253))</f>
        <v>0</v>
      </c>
      <c r="I180" s="16">
        <f>IF($A180="","",F180-H180)</f>
        <v>0</v>
      </c>
      <c r="J180" s="12"/>
      <c r="K180" s="12"/>
    </row>
    <row r="181" spans="1:11">
      <c r="A181" s="12"/>
      <c r="B181" s="12"/>
      <c r="C181" s="12"/>
      <c r="D181" s="15"/>
      <c r="E181" s="12"/>
      <c r="F181" s="14"/>
      <c r="G181" s="16">
        <f>IF($A181="","",SUMIF('Master FF&amp;E'!$B$4:$B$253,$A181,'Master FF&amp;E'!$P$4:$P$253))</f>
        <v>0</v>
      </c>
      <c r="H181" s="16">
        <f>IF($A181="","",SUMIF('Master FF&amp;E'!$B$4:$B$253,$A181,'Master FF&amp;E'!$T$4:$T$253))</f>
        <v>0</v>
      </c>
      <c r="I181" s="16">
        <f>IF($A181="","",F181-H181)</f>
        <v>0</v>
      </c>
      <c r="J181" s="12"/>
      <c r="K181" s="12"/>
    </row>
    <row r="182" spans="1:11">
      <c r="A182" s="12"/>
      <c r="B182" s="12"/>
      <c r="C182" s="12"/>
      <c r="D182" s="15"/>
      <c r="E182" s="12"/>
      <c r="F182" s="14"/>
      <c r="G182" s="16">
        <f>IF($A182="","",SUMIF('Master FF&amp;E'!$B$4:$B$253,$A182,'Master FF&amp;E'!$P$4:$P$253))</f>
        <v>0</v>
      </c>
      <c r="H182" s="16">
        <f>IF($A182="","",SUMIF('Master FF&amp;E'!$B$4:$B$253,$A182,'Master FF&amp;E'!$T$4:$T$253))</f>
        <v>0</v>
      </c>
      <c r="I182" s="16">
        <f>IF($A182="","",F182-H182)</f>
        <v>0</v>
      </c>
      <c r="J182" s="12"/>
      <c r="K182" s="12"/>
    </row>
    <row r="183" spans="1:11">
      <c r="A183" s="12"/>
      <c r="B183" s="12"/>
      <c r="C183" s="12"/>
      <c r="D183" s="15"/>
      <c r="E183" s="12"/>
      <c r="F183" s="14"/>
      <c r="G183" s="16">
        <f>IF($A183="","",SUMIF('Master FF&amp;E'!$B$4:$B$253,$A183,'Master FF&amp;E'!$P$4:$P$253))</f>
        <v>0</v>
      </c>
      <c r="H183" s="16">
        <f>IF($A183="","",SUMIF('Master FF&amp;E'!$B$4:$B$253,$A183,'Master FF&amp;E'!$T$4:$T$253))</f>
        <v>0</v>
      </c>
      <c r="I183" s="16">
        <f>IF($A183="","",F183-H183)</f>
        <v>0</v>
      </c>
      <c r="J183" s="12"/>
      <c r="K183" s="12"/>
    </row>
    <row r="184" spans="1:11">
      <c r="A184" s="12"/>
      <c r="B184" s="12"/>
      <c r="C184" s="12"/>
      <c r="D184" s="15"/>
      <c r="E184" s="12"/>
      <c r="F184" s="14"/>
      <c r="G184" s="16">
        <f>IF($A184="","",SUMIF('Master FF&amp;E'!$B$4:$B$253,$A184,'Master FF&amp;E'!$P$4:$P$253))</f>
        <v>0</v>
      </c>
      <c r="H184" s="16">
        <f>IF($A184="","",SUMIF('Master FF&amp;E'!$B$4:$B$253,$A184,'Master FF&amp;E'!$T$4:$T$253))</f>
        <v>0</v>
      </c>
      <c r="I184" s="16">
        <f>IF($A184="","",F184-H184)</f>
        <v>0</v>
      </c>
      <c r="J184" s="12"/>
      <c r="K184" s="12"/>
    </row>
    <row r="185" spans="1:11">
      <c r="A185" s="12"/>
      <c r="B185" s="12"/>
      <c r="C185" s="12"/>
      <c r="D185" s="15"/>
      <c r="E185" s="12"/>
      <c r="F185" s="14"/>
      <c r="G185" s="16">
        <f>IF($A185="","",SUMIF('Master FF&amp;E'!$B$4:$B$253,$A185,'Master FF&amp;E'!$P$4:$P$253))</f>
        <v>0</v>
      </c>
      <c r="H185" s="16">
        <f>IF($A185="","",SUMIF('Master FF&amp;E'!$B$4:$B$253,$A185,'Master FF&amp;E'!$T$4:$T$253))</f>
        <v>0</v>
      </c>
      <c r="I185" s="16">
        <f>IF($A185="","",F185-H185)</f>
        <v>0</v>
      </c>
      <c r="J185" s="12"/>
      <c r="K185" s="12"/>
    </row>
    <row r="186" spans="1:11">
      <c r="A186" s="12"/>
      <c r="B186" s="12"/>
      <c r="C186" s="12"/>
      <c r="D186" s="15"/>
      <c r="E186" s="12"/>
      <c r="F186" s="14"/>
      <c r="G186" s="16">
        <f>IF($A186="","",SUMIF('Master FF&amp;E'!$B$4:$B$253,$A186,'Master FF&amp;E'!$P$4:$P$253))</f>
        <v>0</v>
      </c>
      <c r="H186" s="16">
        <f>IF($A186="","",SUMIF('Master FF&amp;E'!$B$4:$B$253,$A186,'Master FF&amp;E'!$T$4:$T$253))</f>
        <v>0</v>
      </c>
      <c r="I186" s="16">
        <f>IF($A186="","",F186-H186)</f>
        <v>0</v>
      </c>
      <c r="J186" s="12"/>
      <c r="K186" s="12"/>
    </row>
    <row r="187" spans="1:11">
      <c r="A187" s="12"/>
      <c r="B187" s="12"/>
      <c r="C187" s="12"/>
      <c r="D187" s="15"/>
      <c r="E187" s="12"/>
      <c r="F187" s="14"/>
      <c r="G187" s="16">
        <f>IF($A187="","",SUMIF('Master FF&amp;E'!$B$4:$B$253,$A187,'Master FF&amp;E'!$P$4:$P$253))</f>
        <v>0</v>
      </c>
      <c r="H187" s="16">
        <f>IF($A187="","",SUMIF('Master FF&amp;E'!$B$4:$B$253,$A187,'Master FF&amp;E'!$T$4:$T$253))</f>
        <v>0</v>
      </c>
      <c r="I187" s="16">
        <f>IF($A187="","",F187-H187)</f>
        <v>0</v>
      </c>
      <c r="J187" s="12"/>
      <c r="K187" s="12"/>
    </row>
    <row r="188" spans="1:11">
      <c r="A188" s="12"/>
      <c r="B188" s="12"/>
      <c r="C188" s="12"/>
      <c r="D188" s="15"/>
      <c r="E188" s="12"/>
      <c r="F188" s="14"/>
      <c r="G188" s="16">
        <f>IF($A188="","",SUMIF('Master FF&amp;E'!$B$4:$B$253,$A188,'Master FF&amp;E'!$P$4:$P$253))</f>
        <v>0</v>
      </c>
      <c r="H188" s="16">
        <f>IF($A188="","",SUMIF('Master FF&amp;E'!$B$4:$B$253,$A188,'Master FF&amp;E'!$T$4:$T$253))</f>
        <v>0</v>
      </c>
      <c r="I188" s="16">
        <f>IF($A188="","",F188-H188)</f>
        <v>0</v>
      </c>
      <c r="J188" s="12"/>
      <c r="K188" s="12"/>
    </row>
    <row r="189" spans="1:11">
      <c r="A189" s="12"/>
      <c r="B189" s="12"/>
      <c r="C189" s="12"/>
      <c r="D189" s="15"/>
      <c r="E189" s="12"/>
      <c r="F189" s="14"/>
      <c r="G189" s="16">
        <f>IF($A189="","",SUMIF('Master FF&amp;E'!$B$4:$B$253,$A189,'Master FF&amp;E'!$P$4:$P$253))</f>
        <v>0</v>
      </c>
      <c r="H189" s="16">
        <f>IF($A189="","",SUMIF('Master FF&amp;E'!$B$4:$B$253,$A189,'Master FF&amp;E'!$T$4:$T$253))</f>
        <v>0</v>
      </c>
      <c r="I189" s="16">
        <f>IF($A189="","",F189-H189)</f>
        <v>0</v>
      </c>
      <c r="J189" s="12"/>
      <c r="K189" s="12"/>
    </row>
    <row r="190" spans="1:11">
      <c r="A190" s="12"/>
      <c r="B190" s="12"/>
      <c r="C190" s="12"/>
      <c r="D190" s="15"/>
      <c r="E190" s="12"/>
      <c r="F190" s="14"/>
      <c r="G190" s="16">
        <f>IF($A190="","",SUMIF('Master FF&amp;E'!$B$4:$B$253,$A190,'Master FF&amp;E'!$P$4:$P$253))</f>
        <v>0</v>
      </c>
      <c r="H190" s="16">
        <f>IF($A190="","",SUMIF('Master FF&amp;E'!$B$4:$B$253,$A190,'Master FF&amp;E'!$T$4:$T$253))</f>
        <v>0</v>
      </c>
      <c r="I190" s="16">
        <f>IF($A190="","",F190-H190)</f>
        <v>0</v>
      </c>
      <c r="J190" s="12"/>
      <c r="K190" s="12"/>
    </row>
    <row r="191" spans="1:11">
      <c r="A191" s="12"/>
      <c r="B191" s="12"/>
      <c r="C191" s="12"/>
      <c r="D191" s="15"/>
      <c r="E191" s="12"/>
      <c r="F191" s="14"/>
      <c r="G191" s="16">
        <f>IF($A191="","",SUMIF('Master FF&amp;E'!$B$4:$B$253,$A191,'Master FF&amp;E'!$P$4:$P$253))</f>
        <v>0</v>
      </c>
      <c r="H191" s="16">
        <f>IF($A191="","",SUMIF('Master FF&amp;E'!$B$4:$B$253,$A191,'Master FF&amp;E'!$T$4:$T$253))</f>
        <v>0</v>
      </c>
      <c r="I191" s="16">
        <f>IF($A191="","",F191-H191)</f>
        <v>0</v>
      </c>
      <c r="J191" s="12"/>
      <c r="K191" s="12"/>
    </row>
    <row r="192" spans="1:11">
      <c r="A192" s="12"/>
      <c r="B192" s="12"/>
      <c r="C192" s="12"/>
      <c r="D192" s="15"/>
      <c r="E192" s="12"/>
      <c r="F192" s="14"/>
      <c r="G192" s="16">
        <f>IF($A192="","",SUMIF('Master FF&amp;E'!$B$4:$B$253,$A192,'Master FF&amp;E'!$P$4:$P$253))</f>
        <v>0</v>
      </c>
      <c r="H192" s="16">
        <f>IF($A192="","",SUMIF('Master FF&amp;E'!$B$4:$B$253,$A192,'Master FF&amp;E'!$T$4:$T$253))</f>
        <v>0</v>
      </c>
      <c r="I192" s="16">
        <f>IF($A192="","",F192-H192)</f>
        <v>0</v>
      </c>
      <c r="J192" s="12"/>
      <c r="K192" s="12"/>
    </row>
    <row r="193" spans="1:11">
      <c r="A193" s="12"/>
      <c r="B193" s="12"/>
      <c r="C193" s="12"/>
      <c r="D193" s="15"/>
      <c r="E193" s="12"/>
      <c r="F193" s="14"/>
      <c r="G193" s="16">
        <f>IF($A193="","",SUMIF('Master FF&amp;E'!$B$4:$B$253,$A193,'Master FF&amp;E'!$P$4:$P$253))</f>
        <v>0</v>
      </c>
      <c r="H193" s="16">
        <f>IF($A193="","",SUMIF('Master FF&amp;E'!$B$4:$B$253,$A193,'Master FF&amp;E'!$T$4:$T$253))</f>
        <v>0</v>
      </c>
      <c r="I193" s="16">
        <f>IF($A193="","",F193-H193)</f>
        <v>0</v>
      </c>
      <c r="J193" s="12"/>
      <c r="K193" s="12"/>
    </row>
    <row r="194" spans="1:11">
      <c r="A194" s="12"/>
      <c r="B194" s="12"/>
      <c r="C194" s="12"/>
      <c r="D194" s="15"/>
      <c r="E194" s="12"/>
      <c r="F194" s="14"/>
      <c r="G194" s="16">
        <f>IF($A194="","",SUMIF('Master FF&amp;E'!$B$4:$B$253,$A194,'Master FF&amp;E'!$P$4:$P$253))</f>
        <v>0</v>
      </c>
      <c r="H194" s="16">
        <f>IF($A194="","",SUMIF('Master FF&amp;E'!$B$4:$B$253,$A194,'Master FF&amp;E'!$T$4:$T$253))</f>
        <v>0</v>
      </c>
      <c r="I194" s="16">
        <f>IF($A194="","",F194-H194)</f>
        <v>0</v>
      </c>
      <c r="J194" s="12"/>
      <c r="K194" s="12"/>
    </row>
    <row r="195" spans="1:11">
      <c r="A195" s="12"/>
      <c r="B195" s="12"/>
      <c r="C195" s="12"/>
      <c r="D195" s="15"/>
      <c r="E195" s="12"/>
      <c r="F195" s="14"/>
      <c r="G195" s="16">
        <f>IF($A195="","",SUMIF('Master FF&amp;E'!$B$4:$B$253,$A195,'Master FF&amp;E'!$P$4:$P$253))</f>
        <v>0</v>
      </c>
      <c r="H195" s="16">
        <f>IF($A195="","",SUMIF('Master FF&amp;E'!$B$4:$B$253,$A195,'Master FF&amp;E'!$T$4:$T$253))</f>
        <v>0</v>
      </c>
      <c r="I195" s="16">
        <f>IF($A195="","",F195-H195)</f>
        <v>0</v>
      </c>
      <c r="J195" s="12"/>
      <c r="K195" s="12"/>
    </row>
    <row r="196" spans="1:11">
      <c r="A196" s="12"/>
      <c r="B196" s="12"/>
      <c r="C196" s="12"/>
      <c r="D196" s="15"/>
      <c r="E196" s="12"/>
      <c r="F196" s="14"/>
      <c r="G196" s="16">
        <f>IF($A196="","",SUMIF('Master FF&amp;E'!$B$4:$B$253,$A196,'Master FF&amp;E'!$P$4:$P$253))</f>
        <v>0</v>
      </c>
      <c r="H196" s="16">
        <f>IF($A196="","",SUMIF('Master FF&amp;E'!$B$4:$B$253,$A196,'Master FF&amp;E'!$T$4:$T$253))</f>
        <v>0</v>
      </c>
      <c r="I196" s="16">
        <f>IF($A196="","",F196-H196)</f>
        <v>0</v>
      </c>
      <c r="J196" s="12"/>
      <c r="K196" s="12"/>
    </row>
    <row r="197" spans="1:11">
      <c r="A197" s="12"/>
      <c r="B197" s="12"/>
      <c r="C197" s="12"/>
      <c r="D197" s="15"/>
      <c r="E197" s="12"/>
      <c r="F197" s="14"/>
      <c r="G197" s="16">
        <f>IF($A197="","",SUMIF('Master FF&amp;E'!$B$4:$B$253,$A197,'Master FF&amp;E'!$P$4:$P$253))</f>
        <v>0</v>
      </c>
      <c r="H197" s="16">
        <f>IF($A197="","",SUMIF('Master FF&amp;E'!$B$4:$B$253,$A197,'Master FF&amp;E'!$T$4:$T$253))</f>
        <v>0</v>
      </c>
      <c r="I197" s="16">
        <f>IF($A197="","",F197-H197)</f>
        <v>0</v>
      </c>
      <c r="J197" s="12"/>
      <c r="K197" s="12"/>
    </row>
    <row r="198" spans="1:11">
      <c r="A198" s="12"/>
      <c r="B198" s="12"/>
      <c r="C198" s="12"/>
      <c r="D198" s="15"/>
      <c r="E198" s="12"/>
      <c r="F198" s="14"/>
      <c r="G198" s="16">
        <f>IF($A198="","",SUMIF('Master FF&amp;E'!$B$4:$B$253,$A198,'Master FF&amp;E'!$P$4:$P$253))</f>
        <v>0</v>
      </c>
      <c r="H198" s="16">
        <f>IF($A198="","",SUMIF('Master FF&amp;E'!$B$4:$B$253,$A198,'Master FF&amp;E'!$T$4:$T$253))</f>
        <v>0</v>
      </c>
      <c r="I198" s="16">
        <f>IF($A198="","",F198-H198)</f>
        <v>0</v>
      </c>
      <c r="J198" s="12"/>
      <c r="K198" s="12"/>
    </row>
    <row r="199" spans="1:11">
      <c r="A199" s="12"/>
      <c r="B199" s="12"/>
      <c r="C199" s="12"/>
      <c r="D199" s="15"/>
      <c r="E199" s="12"/>
      <c r="F199" s="14"/>
      <c r="G199" s="16">
        <f>IF($A199="","",SUMIF('Master FF&amp;E'!$B$4:$B$253,$A199,'Master FF&amp;E'!$P$4:$P$253))</f>
        <v>0</v>
      </c>
      <c r="H199" s="16">
        <f>IF($A199="","",SUMIF('Master FF&amp;E'!$B$4:$B$253,$A199,'Master FF&amp;E'!$T$4:$T$253))</f>
        <v>0</v>
      </c>
      <c r="I199" s="16">
        <f>IF($A199="","",F199-H199)</f>
        <v>0</v>
      </c>
      <c r="J199" s="12"/>
      <c r="K199" s="12"/>
    </row>
    <row r="200" spans="1:11">
      <c r="A200" s="12"/>
      <c r="B200" s="12"/>
      <c r="C200" s="12"/>
      <c r="D200" s="15"/>
      <c r="E200" s="12"/>
      <c r="F200" s="14"/>
      <c r="G200" s="16">
        <f>IF($A200="","",SUMIF('Master FF&amp;E'!$B$4:$B$253,$A200,'Master FF&amp;E'!$P$4:$P$253))</f>
        <v>0</v>
      </c>
      <c r="H200" s="16">
        <f>IF($A200="","",SUMIF('Master FF&amp;E'!$B$4:$B$253,$A200,'Master FF&amp;E'!$T$4:$T$253))</f>
        <v>0</v>
      </c>
      <c r="I200" s="16">
        <f>IF($A200="","",F200-H200)</f>
        <v>0</v>
      </c>
      <c r="J200" s="12"/>
      <c r="K200" s="12"/>
    </row>
    <row r="201" spans="1:11">
      <c r="A201" s="12"/>
      <c r="B201" s="12"/>
      <c r="C201" s="12"/>
      <c r="D201" s="15"/>
      <c r="E201" s="12"/>
      <c r="F201" s="14"/>
      <c r="G201" s="16">
        <f>IF($A201="","",SUMIF('Master FF&amp;E'!$B$4:$B$253,$A201,'Master FF&amp;E'!$P$4:$P$253))</f>
        <v>0</v>
      </c>
      <c r="H201" s="16">
        <f>IF($A201="","",SUMIF('Master FF&amp;E'!$B$4:$B$253,$A201,'Master FF&amp;E'!$T$4:$T$253))</f>
        <v>0</v>
      </c>
      <c r="I201" s="16">
        <f>IF($A201="","",F201-H201)</f>
        <v>0</v>
      </c>
      <c r="J201" s="12"/>
      <c r="K201" s="12"/>
    </row>
    <row r="202" spans="1:11">
      <c r="A202" s="12"/>
      <c r="B202" s="12"/>
      <c r="C202" s="12"/>
      <c r="D202" s="15"/>
      <c r="E202" s="12"/>
      <c r="F202" s="14"/>
      <c r="G202" s="16">
        <f>IF($A202="","",SUMIF('Master FF&amp;E'!$B$4:$B$253,$A202,'Master FF&amp;E'!$P$4:$P$253))</f>
        <v>0</v>
      </c>
      <c r="H202" s="16">
        <f>IF($A202="","",SUMIF('Master FF&amp;E'!$B$4:$B$253,$A202,'Master FF&amp;E'!$T$4:$T$253))</f>
        <v>0</v>
      </c>
      <c r="I202" s="16">
        <f>IF($A202="","",F202-H202)</f>
        <v>0</v>
      </c>
      <c r="J202" s="12"/>
      <c r="K202" s="12"/>
    </row>
    <row r="203" spans="1:11">
      <c r="A203" s="12"/>
      <c r="B203" s="12"/>
      <c r="C203" s="12"/>
      <c r="D203" s="15"/>
      <c r="E203" s="12"/>
      <c r="F203" s="14"/>
      <c r="G203" s="16">
        <f>IF($A203="","",SUMIF('Master FF&amp;E'!$B$4:$B$253,$A203,'Master FF&amp;E'!$P$4:$P$253))</f>
        <v>0</v>
      </c>
      <c r="H203" s="16">
        <f>IF($A203="","",SUMIF('Master FF&amp;E'!$B$4:$B$253,$A203,'Master FF&amp;E'!$T$4:$T$253))</f>
        <v>0</v>
      </c>
      <c r="I203" s="16">
        <f>IF($A203="","",F203-H203)</f>
        <v>0</v>
      </c>
      <c r="J203" s="12"/>
      <c r="K203" s="12"/>
    </row>
    <row r="204" spans="1:11">
      <c r="A204" s="12"/>
      <c r="B204" s="12"/>
      <c r="C204" s="12"/>
      <c r="D204" s="15"/>
      <c r="E204" s="12"/>
      <c r="F204" s="14"/>
      <c r="G204" s="16">
        <f>IF($A204="","",SUMIF('Master FF&amp;E'!$B$4:$B$253,$A204,'Master FF&amp;E'!$P$4:$P$253))</f>
        <v>0</v>
      </c>
      <c r="H204" s="16">
        <f>IF($A204="","",SUMIF('Master FF&amp;E'!$B$4:$B$253,$A204,'Master FF&amp;E'!$T$4:$T$253))</f>
        <v>0</v>
      </c>
      <c r="I204" s="16">
        <f>IF($A204="","",F204-H204)</f>
        <v>0</v>
      </c>
      <c r="J204" s="12"/>
      <c r="K204" s="12"/>
    </row>
    <row r="205" spans="1:11">
      <c r="A205" s="12"/>
      <c r="B205" s="12"/>
      <c r="C205" s="12"/>
      <c r="D205" s="15"/>
      <c r="E205" s="12"/>
      <c r="F205" s="14"/>
      <c r="G205" s="16">
        <f>IF($A205="","",SUMIF('Master FF&amp;E'!$B$4:$B$253,$A205,'Master FF&amp;E'!$P$4:$P$253))</f>
        <v>0</v>
      </c>
      <c r="H205" s="16">
        <f>IF($A205="","",SUMIF('Master FF&amp;E'!$B$4:$B$253,$A205,'Master FF&amp;E'!$T$4:$T$253))</f>
        <v>0</v>
      </c>
      <c r="I205" s="16">
        <f>IF($A205="","",F205-H205)</f>
        <v>0</v>
      </c>
      <c r="J205" s="12"/>
      <c r="K205" s="12"/>
    </row>
    <row r="206" spans="1:11">
      <c r="A206" s="12"/>
      <c r="B206" s="12"/>
      <c r="C206" s="12"/>
      <c r="D206" s="15"/>
      <c r="E206" s="12"/>
      <c r="F206" s="14"/>
      <c r="G206" s="16">
        <f>IF($A206="","",SUMIF('Master FF&amp;E'!$B$4:$B$253,$A206,'Master FF&amp;E'!$P$4:$P$253))</f>
        <v>0</v>
      </c>
      <c r="H206" s="16">
        <f>IF($A206="","",SUMIF('Master FF&amp;E'!$B$4:$B$253,$A206,'Master FF&amp;E'!$T$4:$T$253))</f>
        <v>0</v>
      </c>
      <c r="I206" s="16">
        <f>IF($A206="","",F206-H206)</f>
        <v>0</v>
      </c>
      <c r="J206" s="12"/>
      <c r="K206" s="12"/>
    </row>
    <row r="207" spans="1:11">
      <c r="A207" s="12"/>
      <c r="B207" s="12"/>
      <c r="C207" s="12"/>
      <c r="D207" s="15"/>
      <c r="E207" s="12"/>
      <c r="F207" s="14"/>
      <c r="G207" s="16">
        <f>IF($A207="","",SUMIF('Master FF&amp;E'!$B$4:$B$253,$A207,'Master FF&amp;E'!$P$4:$P$253))</f>
        <v>0</v>
      </c>
      <c r="H207" s="16">
        <f>IF($A207="","",SUMIF('Master FF&amp;E'!$B$4:$B$253,$A207,'Master FF&amp;E'!$T$4:$T$253))</f>
        <v>0</v>
      </c>
      <c r="I207" s="16">
        <f>IF($A207="","",F207-H207)</f>
        <v>0</v>
      </c>
      <c r="J207" s="12"/>
      <c r="K207" s="12"/>
    </row>
    <row r="208" spans="1:11">
      <c r="A208" s="12"/>
      <c r="B208" s="12"/>
      <c r="C208" s="12"/>
      <c r="D208" s="15"/>
      <c r="E208" s="12"/>
      <c r="F208" s="14"/>
      <c r="G208" s="16">
        <f>IF($A208="","",SUMIF('Master FF&amp;E'!$B$4:$B$253,$A208,'Master FF&amp;E'!$P$4:$P$253))</f>
        <v>0</v>
      </c>
      <c r="H208" s="16">
        <f>IF($A208="","",SUMIF('Master FF&amp;E'!$B$4:$B$253,$A208,'Master FF&amp;E'!$T$4:$T$253))</f>
        <v>0</v>
      </c>
      <c r="I208" s="16">
        <f>IF($A208="","",F208-H208)</f>
        <v>0</v>
      </c>
      <c r="J208" s="12"/>
      <c r="K208" s="12"/>
    </row>
    <row r="209" spans="1:11">
      <c r="A209" s="12"/>
      <c r="B209" s="12"/>
      <c r="C209" s="12"/>
      <c r="D209" s="15"/>
      <c r="E209" s="12"/>
      <c r="F209" s="14"/>
      <c r="G209" s="16">
        <f>IF($A209="","",SUMIF('Master FF&amp;E'!$B$4:$B$253,$A209,'Master FF&amp;E'!$P$4:$P$253))</f>
        <v>0</v>
      </c>
      <c r="H209" s="16">
        <f>IF($A209="","",SUMIF('Master FF&amp;E'!$B$4:$B$253,$A209,'Master FF&amp;E'!$T$4:$T$253))</f>
        <v>0</v>
      </c>
      <c r="I209" s="16">
        <f>IF($A209="","",F209-H209)</f>
        <v>0</v>
      </c>
      <c r="J209" s="12"/>
      <c r="K209" s="12"/>
    </row>
    <row r="210" spans="1:11">
      <c r="A210" s="12"/>
      <c r="B210" s="12"/>
      <c r="C210" s="12"/>
      <c r="D210" s="15"/>
      <c r="E210" s="12"/>
      <c r="F210" s="14"/>
      <c r="G210" s="16">
        <f>IF($A210="","",SUMIF('Master FF&amp;E'!$B$4:$B$253,$A210,'Master FF&amp;E'!$P$4:$P$253))</f>
        <v>0</v>
      </c>
      <c r="H210" s="16">
        <f>IF($A210="","",SUMIF('Master FF&amp;E'!$B$4:$B$253,$A210,'Master FF&amp;E'!$T$4:$T$253))</f>
        <v>0</v>
      </c>
      <c r="I210" s="16">
        <f>IF($A210="","",F210-H210)</f>
        <v>0</v>
      </c>
      <c r="J210" s="12"/>
      <c r="K210" s="12"/>
    </row>
    <row r="211" spans="1:11">
      <c r="A211" s="12"/>
      <c r="B211" s="12"/>
      <c r="C211" s="12"/>
      <c r="D211" s="15"/>
      <c r="E211" s="12"/>
      <c r="F211" s="14"/>
      <c r="G211" s="16">
        <f>IF($A211="","",SUMIF('Master FF&amp;E'!$B$4:$B$253,$A211,'Master FF&amp;E'!$P$4:$P$253))</f>
        <v>0</v>
      </c>
      <c r="H211" s="16">
        <f>IF($A211="","",SUMIF('Master FF&amp;E'!$B$4:$B$253,$A211,'Master FF&amp;E'!$T$4:$T$253))</f>
        <v>0</v>
      </c>
      <c r="I211" s="16">
        <f>IF($A211="","",F211-H211)</f>
        <v>0</v>
      </c>
      <c r="J211" s="12"/>
      <c r="K211" s="12"/>
    </row>
    <row r="212" spans="1:11">
      <c r="A212" s="12"/>
      <c r="B212" s="12"/>
      <c r="C212" s="12"/>
      <c r="D212" s="15"/>
      <c r="E212" s="12"/>
      <c r="F212" s="14"/>
      <c r="G212" s="16">
        <f>IF($A212="","",SUMIF('Master FF&amp;E'!$B$4:$B$253,$A212,'Master FF&amp;E'!$P$4:$P$253))</f>
        <v>0</v>
      </c>
      <c r="H212" s="16">
        <f>IF($A212="","",SUMIF('Master FF&amp;E'!$B$4:$B$253,$A212,'Master FF&amp;E'!$T$4:$T$253))</f>
        <v>0</v>
      </c>
      <c r="I212" s="16">
        <f>IF($A212="","",F212-H212)</f>
        <v>0</v>
      </c>
      <c r="J212" s="12"/>
      <c r="K212" s="12"/>
    </row>
    <row r="213" spans="1:11">
      <c r="A213" s="12"/>
      <c r="B213" s="12"/>
      <c r="C213" s="12"/>
      <c r="D213" s="15"/>
      <c r="E213" s="12"/>
      <c r="F213" s="14"/>
      <c r="G213" s="16">
        <f>IF($A213="","",SUMIF('Master FF&amp;E'!$B$4:$B$253,$A213,'Master FF&amp;E'!$P$4:$P$253))</f>
        <v>0</v>
      </c>
      <c r="H213" s="16">
        <f>IF($A213="","",SUMIF('Master FF&amp;E'!$B$4:$B$253,$A213,'Master FF&amp;E'!$T$4:$T$253))</f>
        <v>0</v>
      </c>
      <c r="I213" s="16">
        <f>IF($A213="","",F213-H213)</f>
        <v>0</v>
      </c>
      <c r="J213" s="12"/>
      <c r="K213" s="12"/>
    </row>
    <row r="214" spans="1:11">
      <c r="A214" s="12"/>
      <c r="B214" s="12"/>
      <c r="C214" s="12"/>
      <c r="D214" s="15"/>
      <c r="E214" s="12"/>
      <c r="F214" s="14"/>
      <c r="G214" s="16">
        <f>IF($A214="","",SUMIF('Master FF&amp;E'!$B$4:$B$253,$A214,'Master FF&amp;E'!$P$4:$P$253))</f>
        <v>0</v>
      </c>
      <c r="H214" s="16">
        <f>IF($A214="","",SUMIF('Master FF&amp;E'!$B$4:$B$253,$A214,'Master FF&amp;E'!$T$4:$T$253))</f>
        <v>0</v>
      </c>
      <c r="I214" s="16">
        <f>IF($A214="","",F214-H214)</f>
        <v>0</v>
      </c>
      <c r="J214" s="12"/>
      <c r="K214" s="12"/>
    </row>
    <row r="215" spans="1:11">
      <c r="A215" s="12"/>
      <c r="B215" s="12"/>
      <c r="C215" s="12"/>
      <c r="D215" s="15"/>
      <c r="E215" s="12"/>
      <c r="F215" s="14"/>
      <c r="G215" s="16">
        <f>IF($A215="","",SUMIF('Master FF&amp;E'!$B$4:$B$253,$A215,'Master FF&amp;E'!$P$4:$P$253))</f>
        <v>0</v>
      </c>
      <c r="H215" s="16">
        <f>IF($A215="","",SUMIF('Master FF&amp;E'!$B$4:$B$253,$A215,'Master FF&amp;E'!$T$4:$T$253))</f>
        <v>0</v>
      </c>
      <c r="I215" s="16">
        <f>IF($A215="","",F215-H215)</f>
        <v>0</v>
      </c>
      <c r="J215" s="12"/>
      <c r="K215" s="12"/>
    </row>
    <row r="216" spans="1:11">
      <c r="A216" s="12"/>
      <c r="B216" s="12"/>
      <c r="C216" s="12"/>
      <c r="D216" s="15"/>
      <c r="E216" s="12"/>
      <c r="F216" s="14"/>
      <c r="G216" s="16">
        <f>IF($A216="","",SUMIF('Master FF&amp;E'!$B$4:$B$253,$A216,'Master FF&amp;E'!$P$4:$P$253))</f>
        <v>0</v>
      </c>
      <c r="H216" s="16">
        <f>IF($A216="","",SUMIF('Master FF&amp;E'!$B$4:$B$253,$A216,'Master FF&amp;E'!$T$4:$T$253))</f>
        <v>0</v>
      </c>
      <c r="I216" s="16">
        <f>IF($A216="","",F216-H216)</f>
        <v>0</v>
      </c>
      <c r="J216" s="12"/>
      <c r="K216" s="12"/>
    </row>
    <row r="217" spans="1:11">
      <c r="A217" s="12"/>
      <c r="B217" s="12"/>
      <c r="C217" s="12"/>
      <c r="D217" s="15"/>
      <c r="E217" s="12"/>
      <c r="F217" s="14"/>
      <c r="G217" s="16">
        <f>IF($A217="","",SUMIF('Master FF&amp;E'!$B$4:$B$253,$A217,'Master FF&amp;E'!$P$4:$P$253))</f>
        <v>0</v>
      </c>
      <c r="H217" s="16">
        <f>IF($A217="","",SUMIF('Master FF&amp;E'!$B$4:$B$253,$A217,'Master FF&amp;E'!$T$4:$T$253))</f>
        <v>0</v>
      </c>
      <c r="I217" s="16">
        <f>IF($A217="","",F217-H217)</f>
        <v>0</v>
      </c>
      <c r="J217" s="12"/>
      <c r="K217" s="12"/>
    </row>
    <row r="218" spans="1:11">
      <c r="A218" s="12"/>
      <c r="B218" s="12"/>
      <c r="C218" s="12"/>
      <c r="D218" s="15"/>
      <c r="E218" s="12"/>
      <c r="F218" s="14"/>
      <c r="G218" s="16">
        <f>IF($A218="","",SUMIF('Master FF&amp;E'!$B$4:$B$253,$A218,'Master FF&amp;E'!$P$4:$P$253))</f>
        <v>0</v>
      </c>
      <c r="H218" s="16">
        <f>IF($A218="","",SUMIF('Master FF&amp;E'!$B$4:$B$253,$A218,'Master FF&amp;E'!$T$4:$T$253))</f>
        <v>0</v>
      </c>
      <c r="I218" s="16">
        <f>IF($A218="","",F218-H218)</f>
        <v>0</v>
      </c>
      <c r="J218" s="12"/>
      <c r="K218" s="12"/>
    </row>
    <row r="219" spans="1:11">
      <c r="A219" s="12"/>
      <c r="B219" s="12"/>
      <c r="C219" s="12"/>
      <c r="D219" s="15"/>
      <c r="E219" s="12"/>
      <c r="F219" s="14"/>
      <c r="G219" s="16">
        <f>IF($A219="","",SUMIF('Master FF&amp;E'!$B$4:$B$253,$A219,'Master FF&amp;E'!$P$4:$P$253))</f>
        <v>0</v>
      </c>
      <c r="H219" s="16">
        <f>IF($A219="","",SUMIF('Master FF&amp;E'!$B$4:$B$253,$A219,'Master FF&amp;E'!$T$4:$T$253))</f>
        <v>0</v>
      </c>
      <c r="I219" s="16">
        <f>IF($A219="","",F219-H219)</f>
        <v>0</v>
      </c>
      <c r="J219" s="12"/>
      <c r="K219" s="12"/>
    </row>
    <row r="220" spans="1:11">
      <c r="A220" s="12"/>
      <c r="B220" s="12"/>
      <c r="C220" s="12"/>
      <c r="D220" s="15"/>
      <c r="E220" s="12"/>
      <c r="F220" s="14"/>
      <c r="G220" s="16">
        <f>IF($A220="","",SUMIF('Master FF&amp;E'!$B$4:$B$253,$A220,'Master FF&amp;E'!$P$4:$P$253))</f>
        <v>0</v>
      </c>
      <c r="H220" s="16">
        <f>IF($A220="","",SUMIF('Master FF&amp;E'!$B$4:$B$253,$A220,'Master FF&amp;E'!$T$4:$T$253))</f>
        <v>0</v>
      </c>
      <c r="I220" s="16">
        <f>IF($A220="","",F220-H220)</f>
        <v>0</v>
      </c>
      <c r="J220" s="12"/>
      <c r="K220" s="12"/>
    </row>
    <row r="221" spans="1:11">
      <c r="A221" s="12"/>
      <c r="B221" s="12"/>
      <c r="C221" s="12"/>
      <c r="D221" s="15"/>
      <c r="E221" s="12"/>
      <c r="F221" s="14"/>
      <c r="G221" s="16">
        <f>IF($A221="","",SUMIF('Master FF&amp;E'!$B$4:$B$253,$A221,'Master FF&amp;E'!$P$4:$P$253))</f>
        <v>0</v>
      </c>
      <c r="H221" s="16">
        <f>IF($A221="","",SUMIF('Master FF&amp;E'!$B$4:$B$253,$A221,'Master FF&amp;E'!$T$4:$T$253))</f>
        <v>0</v>
      </c>
      <c r="I221" s="16">
        <f>IF($A221="","",F221-H221)</f>
        <v>0</v>
      </c>
      <c r="J221" s="12"/>
      <c r="K221" s="12"/>
    </row>
    <row r="222" spans="1:11">
      <c r="A222" s="12"/>
      <c r="B222" s="12"/>
      <c r="C222" s="12"/>
      <c r="D222" s="15"/>
      <c r="E222" s="12"/>
      <c r="F222" s="14"/>
      <c r="G222" s="16">
        <f>IF($A222="","",SUMIF('Master FF&amp;E'!$B$4:$B$253,$A222,'Master FF&amp;E'!$P$4:$P$253))</f>
        <v>0</v>
      </c>
      <c r="H222" s="16">
        <f>IF($A222="","",SUMIF('Master FF&amp;E'!$B$4:$B$253,$A222,'Master FF&amp;E'!$T$4:$T$253))</f>
        <v>0</v>
      </c>
      <c r="I222" s="16">
        <f>IF($A222="","",F222-H222)</f>
        <v>0</v>
      </c>
      <c r="J222" s="12"/>
      <c r="K222" s="12"/>
    </row>
    <row r="223" spans="1:11">
      <c r="A223" s="12"/>
      <c r="B223" s="12"/>
      <c r="C223" s="12"/>
      <c r="D223" s="15"/>
      <c r="E223" s="12"/>
      <c r="F223" s="14"/>
      <c r="G223" s="16">
        <f>IF($A223="","",SUMIF('Master FF&amp;E'!$B$4:$B$253,$A223,'Master FF&amp;E'!$P$4:$P$253))</f>
        <v>0</v>
      </c>
      <c r="H223" s="16">
        <f>IF($A223="","",SUMIF('Master FF&amp;E'!$B$4:$B$253,$A223,'Master FF&amp;E'!$T$4:$T$253))</f>
        <v>0</v>
      </c>
      <c r="I223" s="16">
        <f>IF($A223="","",F223-H223)</f>
        <v>0</v>
      </c>
      <c r="J223" s="12"/>
      <c r="K223" s="12"/>
    </row>
    <row r="224" spans="1:11">
      <c r="A224" s="12"/>
      <c r="B224" s="12"/>
      <c r="C224" s="12"/>
      <c r="D224" s="15"/>
      <c r="E224" s="12"/>
      <c r="F224" s="14"/>
      <c r="G224" s="16">
        <f>IF($A224="","",SUMIF('Master FF&amp;E'!$B$4:$B$253,$A224,'Master FF&amp;E'!$P$4:$P$253))</f>
        <v>0</v>
      </c>
      <c r="H224" s="16">
        <f>IF($A224="","",SUMIF('Master FF&amp;E'!$B$4:$B$253,$A224,'Master FF&amp;E'!$T$4:$T$253))</f>
        <v>0</v>
      </c>
      <c r="I224" s="16">
        <f>IF($A224="","",F224-H224)</f>
        <v>0</v>
      </c>
      <c r="J224" s="12"/>
      <c r="K224" s="12"/>
    </row>
    <row r="225" spans="1:11">
      <c r="A225" s="12"/>
      <c r="B225" s="12"/>
      <c r="C225" s="12"/>
      <c r="D225" s="15"/>
      <c r="E225" s="12"/>
      <c r="F225" s="14"/>
      <c r="G225" s="16">
        <f>IF($A225="","",SUMIF('Master FF&amp;E'!$B$4:$B$253,$A225,'Master FF&amp;E'!$P$4:$P$253))</f>
        <v>0</v>
      </c>
      <c r="H225" s="16">
        <f>IF($A225="","",SUMIF('Master FF&amp;E'!$B$4:$B$253,$A225,'Master FF&amp;E'!$T$4:$T$253))</f>
        <v>0</v>
      </c>
      <c r="I225" s="16">
        <f>IF($A225="","",F225-H225)</f>
        <v>0</v>
      </c>
      <c r="J225" s="12"/>
      <c r="K225" s="12"/>
    </row>
    <row r="226" spans="1:11">
      <c r="A226" s="12"/>
      <c r="B226" s="12"/>
      <c r="C226" s="12"/>
      <c r="D226" s="15"/>
      <c r="E226" s="12"/>
      <c r="F226" s="14"/>
      <c r="G226" s="16">
        <f>IF($A226="","",SUMIF('Master FF&amp;E'!$B$4:$B$253,$A226,'Master FF&amp;E'!$P$4:$P$253))</f>
        <v>0</v>
      </c>
      <c r="H226" s="16">
        <f>IF($A226="","",SUMIF('Master FF&amp;E'!$B$4:$B$253,$A226,'Master FF&amp;E'!$T$4:$T$253))</f>
        <v>0</v>
      </c>
      <c r="I226" s="16">
        <f>IF($A226="","",F226-H226)</f>
        <v>0</v>
      </c>
      <c r="J226" s="12"/>
      <c r="K226" s="12"/>
    </row>
    <row r="227" spans="1:11">
      <c r="A227" s="12"/>
      <c r="B227" s="12"/>
      <c r="C227" s="12"/>
      <c r="D227" s="15"/>
      <c r="E227" s="12"/>
      <c r="F227" s="14"/>
      <c r="G227" s="16">
        <f>IF($A227="","",SUMIF('Master FF&amp;E'!$B$4:$B$253,$A227,'Master FF&amp;E'!$P$4:$P$253))</f>
        <v>0</v>
      </c>
      <c r="H227" s="16">
        <f>IF($A227="","",SUMIF('Master FF&amp;E'!$B$4:$B$253,$A227,'Master FF&amp;E'!$T$4:$T$253))</f>
        <v>0</v>
      </c>
      <c r="I227" s="16">
        <f>IF($A227="","",F227-H227)</f>
        <v>0</v>
      </c>
      <c r="J227" s="12"/>
      <c r="K227" s="12"/>
    </row>
    <row r="228" spans="1:11">
      <c r="A228" s="12"/>
      <c r="B228" s="12"/>
      <c r="C228" s="12"/>
      <c r="D228" s="15"/>
      <c r="E228" s="12"/>
      <c r="F228" s="14"/>
      <c r="G228" s="16">
        <f>IF($A228="","",SUMIF('Master FF&amp;E'!$B$4:$B$253,$A228,'Master FF&amp;E'!$P$4:$P$253))</f>
        <v>0</v>
      </c>
      <c r="H228" s="16">
        <f>IF($A228="","",SUMIF('Master FF&amp;E'!$B$4:$B$253,$A228,'Master FF&amp;E'!$T$4:$T$253))</f>
        <v>0</v>
      </c>
      <c r="I228" s="16">
        <f>IF($A228="","",F228-H228)</f>
        <v>0</v>
      </c>
      <c r="J228" s="12"/>
      <c r="K228" s="12"/>
    </row>
    <row r="229" spans="1:11">
      <c r="A229" s="12"/>
      <c r="B229" s="12"/>
      <c r="C229" s="12"/>
      <c r="D229" s="15"/>
      <c r="E229" s="12"/>
      <c r="F229" s="14"/>
      <c r="G229" s="16">
        <f>IF($A229="","",SUMIF('Master FF&amp;E'!$B$4:$B$253,$A229,'Master FF&amp;E'!$P$4:$P$253))</f>
        <v>0</v>
      </c>
      <c r="H229" s="16">
        <f>IF($A229="","",SUMIF('Master FF&amp;E'!$B$4:$B$253,$A229,'Master FF&amp;E'!$T$4:$T$253))</f>
        <v>0</v>
      </c>
      <c r="I229" s="16">
        <f>IF($A229="","",F229-H229)</f>
        <v>0</v>
      </c>
      <c r="J229" s="12"/>
      <c r="K229" s="12"/>
    </row>
    <row r="230" spans="1:11">
      <c r="A230" s="12"/>
      <c r="B230" s="12"/>
      <c r="C230" s="12"/>
      <c r="D230" s="15"/>
      <c r="E230" s="12"/>
      <c r="F230" s="14"/>
      <c r="G230" s="16">
        <f>IF($A230="","",SUMIF('Master FF&amp;E'!$B$4:$B$253,$A230,'Master FF&amp;E'!$P$4:$P$253))</f>
        <v>0</v>
      </c>
      <c r="H230" s="16">
        <f>IF($A230="","",SUMIF('Master FF&amp;E'!$B$4:$B$253,$A230,'Master FF&amp;E'!$T$4:$T$253))</f>
        <v>0</v>
      </c>
      <c r="I230" s="16">
        <f>IF($A230="","",F230-H230)</f>
        <v>0</v>
      </c>
      <c r="J230" s="12"/>
      <c r="K230" s="12"/>
    </row>
    <row r="231" spans="1:11">
      <c r="A231" s="12"/>
      <c r="B231" s="12"/>
      <c r="C231" s="12"/>
      <c r="D231" s="15"/>
      <c r="E231" s="12"/>
      <c r="F231" s="14"/>
      <c r="G231" s="16">
        <f>IF($A231="","",SUMIF('Master FF&amp;E'!$B$4:$B$253,$A231,'Master FF&amp;E'!$P$4:$P$253))</f>
        <v>0</v>
      </c>
      <c r="H231" s="16">
        <f>IF($A231="","",SUMIF('Master FF&amp;E'!$B$4:$B$253,$A231,'Master FF&amp;E'!$T$4:$T$253))</f>
        <v>0</v>
      </c>
      <c r="I231" s="16">
        <f>IF($A231="","",F231-H231)</f>
        <v>0</v>
      </c>
      <c r="J231" s="12"/>
      <c r="K231" s="12"/>
    </row>
    <row r="232" spans="1:11">
      <c r="A232" s="12"/>
      <c r="B232" s="12"/>
      <c r="C232" s="12"/>
      <c r="D232" s="15"/>
      <c r="E232" s="12"/>
      <c r="F232" s="14"/>
      <c r="G232" s="16">
        <f>IF($A232="","",SUMIF('Master FF&amp;E'!$B$4:$B$253,$A232,'Master FF&amp;E'!$P$4:$P$253))</f>
        <v>0</v>
      </c>
      <c r="H232" s="16">
        <f>IF($A232="","",SUMIF('Master FF&amp;E'!$B$4:$B$253,$A232,'Master FF&amp;E'!$T$4:$T$253))</f>
        <v>0</v>
      </c>
      <c r="I232" s="16">
        <f>IF($A232="","",F232-H232)</f>
        <v>0</v>
      </c>
      <c r="J232" s="12"/>
      <c r="K232" s="12"/>
    </row>
    <row r="233" spans="1:11">
      <c r="A233" s="12"/>
      <c r="B233" s="12"/>
      <c r="C233" s="12"/>
      <c r="D233" s="15"/>
      <c r="E233" s="12"/>
      <c r="F233" s="14"/>
      <c r="G233" s="16">
        <f>IF($A233="","",SUMIF('Master FF&amp;E'!$B$4:$B$253,$A233,'Master FF&amp;E'!$P$4:$P$253))</f>
        <v>0</v>
      </c>
      <c r="H233" s="16">
        <f>IF($A233="","",SUMIF('Master FF&amp;E'!$B$4:$B$253,$A233,'Master FF&amp;E'!$T$4:$T$253))</f>
        <v>0</v>
      </c>
      <c r="I233" s="16">
        <f>IF($A233="","",F233-H233)</f>
        <v>0</v>
      </c>
      <c r="J233" s="12"/>
      <c r="K233" s="12"/>
    </row>
    <row r="234" spans="1:11">
      <c r="A234" s="12"/>
      <c r="B234" s="12"/>
      <c r="C234" s="12"/>
      <c r="D234" s="15"/>
      <c r="E234" s="12"/>
      <c r="F234" s="14"/>
      <c r="G234" s="16">
        <f>IF($A234="","",SUMIF('Master FF&amp;E'!$B$4:$B$253,$A234,'Master FF&amp;E'!$P$4:$P$253))</f>
        <v>0</v>
      </c>
      <c r="H234" s="16">
        <f>IF($A234="","",SUMIF('Master FF&amp;E'!$B$4:$B$253,$A234,'Master FF&amp;E'!$T$4:$T$253))</f>
        <v>0</v>
      </c>
      <c r="I234" s="16">
        <f>IF($A234="","",F234-H234)</f>
        <v>0</v>
      </c>
      <c r="J234" s="12"/>
      <c r="K234" s="12"/>
    </row>
    <row r="235" spans="1:11">
      <c r="A235" s="12"/>
      <c r="B235" s="12"/>
      <c r="C235" s="12"/>
      <c r="D235" s="15"/>
      <c r="E235" s="12"/>
      <c r="F235" s="14"/>
      <c r="G235" s="16">
        <f>IF($A235="","",SUMIF('Master FF&amp;E'!$B$4:$B$253,$A235,'Master FF&amp;E'!$P$4:$P$253))</f>
        <v>0</v>
      </c>
      <c r="H235" s="16">
        <f>IF($A235="","",SUMIF('Master FF&amp;E'!$B$4:$B$253,$A235,'Master FF&amp;E'!$T$4:$T$253))</f>
        <v>0</v>
      </c>
      <c r="I235" s="16">
        <f>IF($A235="","",F235-H235)</f>
        <v>0</v>
      </c>
      <c r="J235" s="12"/>
      <c r="K235" s="12"/>
    </row>
    <row r="236" spans="1:11">
      <c r="A236" s="12"/>
      <c r="B236" s="12"/>
      <c r="C236" s="12"/>
      <c r="D236" s="15"/>
      <c r="E236" s="12"/>
      <c r="F236" s="14"/>
      <c r="G236" s="16">
        <f>IF($A236="","",SUMIF('Master FF&amp;E'!$B$4:$B$253,$A236,'Master FF&amp;E'!$P$4:$P$253))</f>
        <v>0</v>
      </c>
      <c r="H236" s="16">
        <f>IF($A236="","",SUMIF('Master FF&amp;E'!$B$4:$B$253,$A236,'Master FF&amp;E'!$T$4:$T$253))</f>
        <v>0</v>
      </c>
      <c r="I236" s="16">
        <f>IF($A236="","",F236-H236)</f>
        <v>0</v>
      </c>
      <c r="J236" s="12"/>
      <c r="K236" s="12"/>
    </row>
    <row r="237" spans="1:11">
      <c r="A237" s="12"/>
      <c r="B237" s="12"/>
      <c r="C237" s="12"/>
      <c r="D237" s="15"/>
      <c r="E237" s="12"/>
      <c r="F237" s="14"/>
      <c r="G237" s="16">
        <f>IF($A237="","",SUMIF('Master FF&amp;E'!$B$4:$B$253,$A237,'Master FF&amp;E'!$P$4:$P$253))</f>
        <v>0</v>
      </c>
      <c r="H237" s="16">
        <f>IF($A237="","",SUMIF('Master FF&amp;E'!$B$4:$B$253,$A237,'Master FF&amp;E'!$T$4:$T$253))</f>
        <v>0</v>
      </c>
      <c r="I237" s="16">
        <f>IF($A237="","",F237-H237)</f>
        <v>0</v>
      </c>
      <c r="J237" s="12"/>
      <c r="K237" s="12"/>
    </row>
    <row r="238" spans="1:11">
      <c r="A238" s="12"/>
      <c r="B238" s="12"/>
      <c r="C238" s="12"/>
      <c r="D238" s="15"/>
      <c r="E238" s="12"/>
      <c r="F238" s="14"/>
      <c r="G238" s="16">
        <f>IF($A238="","",SUMIF('Master FF&amp;E'!$B$4:$B$253,$A238,'Master FF&amp;E'!$P$4:$P$253))</f>
        <v>0</v>
      </c>
      <c r="H238" s="16">
        <f>IF($A238="","",SUMIF('Master FF&amp;E'!$B$4:$B$253,$A238,'Master FF&amp;E'!$T$4:$T$253))</f>
        <v>0</v>
      </c>
      <c r="I238" s="16">
        <f>IF($A238="","",F238-H238)</f>
        <v>0</v>
      </c>
      <c r="J238" s="12"/>
      <c r="K238" s="12"/>
    </row>
    <row r="239" spans="1:11">
      <c r="A239" s="12"/>
      <c r="B239" s="12"/>
      <c r="C239" s="12"/>
      <c r="D239" s="15"/>
      <c r="E239" s="12"/>
      <c r="F239" s="14"/>
      <c r="G239" s="16">
        <f>IF($A239="","",SUMIF('Master FF&amp;E'!$B$4:$B$253,$A239,'Master FF&amp;E'!$P$4:$P$253))</f>
        <v>0</v>
      </c>
      <c r="H239" s="16">
        <f>IF($A239="","",SUMIF('Master FF&amp;E'!$B$4:$B$253,$A239,'Master FF&amp;E'!$T$4:$T$253))</f>
        <v>0</v>
      </c>
      <c r="I239" s="16">
        <f>IF($A239="","",F239-H239)</f>
        <v>0</v>
      </c>
      <c r="J239" s="12"/>
      <c r="K239" s="12"/>
    </row>
    <row r="240" spans="1:11">
      <c r="A240" s="12"/>
      <c r="B240" s="12"/>
      <c r="C240" s="12"/>
      <c r="D240" s="15"/>
      <c r="E240" s="12"/>
      <c r="F240" s="14"/>
      <c r="G240" s="16">
        <f>IF($A240="","",SUMIF('Master FF&amp;E'!$B$4:$B$253,$A240,'Master FF&amp;E'!$P$4:$P$253))</f>
        <v>0</v>
      </c>
      <c r="H240" s="16">
        <f>IF($A240="","",SUMIF('Master FF&amp;E'!$B$4:$B$253,$A240,'Master FF&amp;E'!$T$4:$T$253))</f>
        <v>0</v>
      </c>
      <c r="I240" s="16">
        <f>IF($A240="","",F240-H240)</f>
        <v>0</v>
      </c>
      <c r="J240" s="12"/>
      <c r="K240" s="12"/>
    </row>
    <row r="241" spans="1:11">
      <c r="A241" s="12"/>
      <c r="B241" s="12"/>
      <c r="C241" s="12"/>
      <c r="D241" s="15"/>
      <c r="E241" s="12"/>
      <c r="F241" s="14"/>
      <c r="G241" s="16">
        <f>IF($A241="","",SUMIF('Master FF&amp;E'!$B$4:$B$253,$A241,'Master FF&amp;E'!$P$4:$P$253))</f>
        <v>0</v>
      </c>
      <c r="H241" s="16">
        <f>IF($A241="","",SUMIF('Master FF&amp;E'!$B$4:$B$253,$A241,'Master FF&amp;E'!$T$4:$T$253))</f>
        <v>0</v>
      </c>
      <c r="I241" s="16">
        <f>IF($A241="","",F241-H241)</f>
        <v>0</v>
      </c>
      <c r="J241" s="12"/>
      <c r="K241" s="12"/>
    </row>
    <row r="242" spans="1:11">
      <c r="A242" s="12"/>
      <c r="B242" s="12"/>
      <c r="C242" s="12"/>
      <c r="D242" s="15"/>
      <c r="E242" s="12"/>
      <c r="F242" s="14"/>
      <c r="G242" s="16">
        <f>IF($A242="","",SUMIF('Master FF&amp;E'!$B$4:$B$253,$A242,'Master FF&amp;E'!$P$4:$P$253))</f>
        <v>0</v>
      </c>
      <c r="H242" s="16">
        <f>IF($A242="","",SUMIF('Master FF&amp;E'!$B$4:$B$253,$A242,'Master FF&amp;E'!$T$4:$T$253))</f>
        <v>0</v>
      </c>
      <c r="I242" s="16">
        <f>IF($A242="","",F242-H242)</f>
        <v>0</v>
      </c>
      <c r="J242" s="12"/>
      <c r="K242" s="12"/>
    </row>
    <row r="243" spans="1:11">
      <c r="A243" s="12"/>
      <c r="B243" s="12"/>
      <c r="C243" s="12"/>
      <c r="D243" s="15"/>
      <c r="E243" s="12"/>
      <c r="F243" s="14"/>
      <c r="G243" s="16">
        <f>IF($A243="","",SUMIF('Master FF&amp;E'!$B$4:$B$253,$A243,'Master FF&amp;E'!$P$4:$P$253))</f>
        <v>0</v>
      </c>
      <c r="H243" s="16">
        <f>IF($A243="","",SUMIF('Master FF&amp;E'!$B$4:$B$253,$A243,'Master FF&amp;E'!$T$4:$T$253))</f>
        <v>0</v>
      </c>
      <c r="I243" s="16">
        <f>IF($A243="","",F243-H243)</f>
        <v>0</v>
      </c>
      <c r="J243" s="12"/>
      <c r="K243" s="12"/>
    </row>
    <row r="244" spans="1:11">
      <c r="A244" s="12"/>
      <c r="B244" s="12"/>
      <c r="C244" s="12"/>
      <c r="D244" s="15"/>
      <c r="E244" s="12"/>
      <c r="F244" s="14"/>
      <c r="G244" s="16">
        <f>IF($A244="","",SUMIF('Master FF&amp;E'!$B$4:$B$253,$A244,'Master FF&amp;E'!$P$4:$P$253))</f>
        <v>0</v>
      </c>
      <c r="H244" s="16">
        <f>IF($A244="","",SUMIF('Master FF&amp;E'!$B$4:$B$253,$A244,'Master FF&amp;E'!$T$4:$T$253))</f>
        <v>0</v>
      </c>
      <c r="I244" s="16">
        <f>IF($A244="","",F244-H244)</f>
        <v>0</v>
      </c>
      <c r="J244" s="12"/>
      <c r="K244" s="12"/>
    </row>
    <row r="245" spans="1:11">
      <c r="A245" s="12"/>
      <c r="B245" s="12"/>
      <c r="C245" s="12"/>
      <c r="D245" s="15"/>
      <c r="E245" s="12"/>
      <c r="F245" s="14"/>
      <c r="G245" s="16">
        <f>IF($A245="","",SUMIF('Master FF&amp;E'!$B$4:$B$253,$A245,'Master FF&amp;E'!$P$4:$P$253))</f>
        <v>0</v>
      </c>
      <c r="H245" s="16">
        <f>IF($A245="","",SUMIF('Master FF&amp;E'!$B$4:$B$253,$A245,'Master FF&amp;E'!$T$4:$T$253))</f>
        <v>0</v>
      </c>
      <c r="I245" s="16">
        <f>IF($A245="","",F245-H245)</f>
        <v>0</v>
      </c>
      <c r="J245" s="12"/>
      <c r="K245" s="12"/>
    </row>
    <row r="246" spans="1:11">
      <c r="A246" s="12"/>
      <c r="B246" s="12"/>
      <c r="C246" s="12"/>
      <c r="D246" s="15"/>
      <c r="E246" s="12"/>
      <c r="F246" s="14"/>
      <c r="G246" s="16">
        <f>IF($A246="","",SUMIF('Master FF&amp;E'!$B$4:$B$253,$A246,'Master FF&amp;E'!$P$4:$P$253))</f>
        <v>0</v>
      </c>
      <c r="H246" s="16">
        <f>IF($A246="","",SUMIF('Master FF&amp;E'!$B$4:$B$253,$A246,'Master FF&amp;E'!$T$4:$T$253))</f>
        <v>0</v>
      </c>
      <c r="I246" s="16">
        <f>IF($A246="","",F246-H246)</f>
        <v>0</v>
      </c>
      <c r="J246" s="12"/>
      <c r="K246" s="12"/>
    </row>
    <row r="247" spans="1:11">
      <c r="A247" s="12"/>
      <c r="B247" s="12"/>
      <c r="C247" s="12"/>
      <c r="D247" s="15"/>
      <c r="E247" s="12"/>
      <c r="F247" s="14"/>
      <c r="G247" s="16">
        <f>IF($A247="","",SUMIF('Master FF&amp;E'!$B$4:$B$253,$A247,'Master FF&amp;E'!$P$4:$P$253))</f>
        <v>0</v>
      </c>
      <c r="H247" s="16">
        <f>IF($A247="","",SUMIF('Master FF&amp;E'!$B$4:$B$253,$A247,'Master FF&amp;E'!$T$4:$T$253))</f>
        <v>0</v>
      </c>
      <c r="I247" s="16">
        <f>IF($A247="","",F247-H247)</f>
        <v>0</v>
      </c>
      <c r="J247" s="12"/>
      <c r="K247" s="12"/>
    </row>
    <row r="248" spans="1:11">
      <c r="A248" s="12"/>
      <c r="B248" s="12"/>
      <c r="C248" s="12"/>
      <c r="D248" s="15"/>
      <c r="E248" s="12"/>
      <c r="F248" s="14"/>
      <c r="G248" s="16">
        <f>IF($A248="","",SUMIF('Master FF&amp;E'!$B$4:$B$253,$A248,'Master FF&amp;E'!$P$4:$P$253))</f>
        <v>0</v>
      </c>
      <c r="H248" s="16">
        <f>IF($A248="","",SUMIF('Master FF&amp;E'!$B$4:$B$253,$A248,'Master FF&amp;E'!$T$4:$T$253))</f>
        <v>0</v>
      </c>
      <c r="I248" s="16">
        <f>IF($A248="","",F248-H248)</f>
        <v>0</v>
      </c>
      <c r="J248" s="12"/>
      <c r="K248" s="12"/>
    </row>
    <row r="249" spans="1:11">
      <c r="A249" s="12"/>
      <c r="B249" s="12"/>
      <c r="C249" s="12"/>
      <c r="D249" s="15"/>
      <c r="E249" s="12"/>
      <c r="F249" s="14"/>
      <c r="G249" s="16">
        <f>IF($A249="","",SUMIF('Master FF&amp;E'!$B$4:$B$253,$A249,'Master FF&amp;E'!$P$4:$P$253))</f>
        <v>0</v>
      </c>
      <c r="H249" s="16">
        <f>IF($A249="","",SUMIF('Master FF&amp;E'!$B$4:$B$253,$A249,'Master FF&amp;E'!$T$4:$T$253))</f>
        <v>0</v>
      </c>
      <c r="I249" s="16">
        <f>IF($A249="","",F249-H249)</f>
        <v>0</v>
      </c>
      <c r="J249" s="12"/>
      <c r="K249" s="12"/>
    </row>
    <row r="250" spans="1:11">
      <c r="A250" s="12"/>
      <c r="B250" s="12"/>
      <c r="C250" s="12"/>
      <c r="D250" s="15"/>
      <c r="E250" s="12"/>
      <c r="F250" s="14"/>
      <c r="G250" s="16">
        <f>IF($A250="","",SUMIF('Master FF&amp;E'!$B$4:$B$253,$A250,'Master FF&amp;E'!$P$4:$P$253))</f>
        <v>0</v>
      </c>
      <c r="H250" s="16">
        <f>IF($A250="","",SUMIF('Master FF&amp;E'!$B$4:$B$253,$A250,'Master FF&amp;E'!$T$4:$T$253))</f>
        <v>0</v>
      </c>
      <c r="I250" s="16">
        <f>IF($A250="","",F250-H250)</f>
        <v>0</v>
      </c>
      <c r="J250" s="12"/>
      <c r="K250" s="12"/>
    </row>
    <row r="251" spans="1:11">
      <c r="A251" s="12"/>
      <c r="B251" s="12"/>
      <c r="C251" s="12"/>
      <c r="D251" s="15"/>
      <c r="E251" s="12"/>
      <c r="F251" s="14"/>
      <c r="G251" s="16">
        <f>IF($A251="","",SUMIF('Master FF&amp;E'!$B$4:$B$253,$A251,'Master FF&amp;E'!$P$4:$P$253))</f>
        <v>0</v>
      </c>
      <c r="H251" s="16">
        <f>IF($A251="","",SUMIF('Master FF&amp;E'!$B$4:$B$253,$A251,'Master FF&amp;E'!$T$4:$T$253))</f>
        <v>0</v>
      </c>
      <c r="I251" s="16">
        <f>IF($A251="","",F251-H251)</f>
        <v>0</v>
      </c>
      <c r="J251" s="12"/>
      <c r="K251" s="12"/>
    </row>
    <row r="252" spans="1:11">
      <c r="A252" s="12"/>
      <c r="B252" s="12"/>
      <c r="C252" s="12"/>
      <c r="D252" s="15"/>
      <c r="E252" s="12"/>
      <c r="F252" s="14"/>
      <c r="G252" s="16">
        <f>IF($A252="","",SUMIF('Master FF&amp;E'!$B$4:$B$253,$A252,'Master FF&amp;E'!$P$4:$P$253))</f>
        <v>0</v>
      </c>
      <c r="H252" s="16">
        <f>IF($A252="","",SUMIF('Master FF&amp;E'!$B$4:$B$253,$A252,'Master FF&amp;E'!$T$4:$T$253))</f>
        <v>0</v>
      </c>
      <c r="I252" s="16">
        <f>IF($A252="","",F252-H252)</f>
        <v>0</v>
      </c>
      <c r="J252" s="12"/>
      <c r="K252" s="12"/>
    </row>
    <row r="253" spans="1:11">
      <c r="A253" s="12"/>
      <c r="B253" s="12"/>
      <c r="C253" s="12"/>
      <c r="D253" s="15"/>
      <c r="E253" s="12"/>
      <c r="F253" s="14"/>
      <c r="G253" s="16">
        <f>IF($A253="","",SUMIF('Master FF&amp;E'!$B$4:$B$253,$A253,'Master FF&amp;E'!$P$4:$P$253))</f>
        <v>0</v>
      </c>
      <c r="H253" s="16">
        <f>IF($A253="","",SUMIF('Master FF&amp;E'!$B$4:$B$253,$A253,'Master FF&amp;E'!$T$4:$T$253))</f>
        <v>0</v>
      </c>
      <c r="I253" s="16">
        <f>IF($A253="","",F253-H253)</f>
        <v>0</v>
      </c>
      <c r="J253" s="12"/>
      <c r="K253" s="12"/>
    </row>
  </sheetData>
  <autoFilter ref="A3:K253"/>
  <mergeCells count="2">
    <mergeCell ref="A1:K1"/>
    <mergeCell ref="A2:K2"/>
  </mergeCells>
  <conditionalFormatting sqref="E4:E253">
    <cfRule type="expression" dxfId="0" priority="1">
      <formula>OR(ISNUMBER(SEARCH("approved",E4)),ISNUMBER(SEARCH("complete",E4)),ISNUMBER(SEARCH("delivered",E4)),ISNUMBER(SEARCH("installed",E4)),ISNUMBER(SEARCH("paid",E4)),ISNUMBER(SEARCH("good condition",E4)))</formula>
    </cfRule>
    <cfRule type="expression" dxfId="1" priority="2">
      <formula>OR(ISNUMBER(SEARCH("pending",E4)),ISNUMBER(SEARCH("progress",E4)),ISNUMBER(SEARCH("review",E4)),ISNUMBER(SEARCH("sent",E4)),ISNUMBER(SEARCH("scheduled",E4)),ISNUMBER(SEARCH("waiting",E4)),ISNUMBER(SEARCH("ordered",E4)),ISNUMBER(SEARCH("shipped",E4)))</formula>
    </cfRule>
    <cfRule type="expression" dxfId="2" priority="3">
      <formula>OR(ISNUMBER(SEARCH("overdue",E4)),ISNUMBER(SEARCH("delayed",E4)),ISNUMBER(SEARCH("rejected",E4)),ISNUMBER(SEARCH("damaged",E4)),ISNUMBER(SEARCH("missing",E4)),ISNUMBER(SEARCH("wrong",E4)),ISNUMBER(SEARCH("backordered",E4)))</formula>
    </cfRule>
    <cfRule type="expression" dxfId="3" priority="4">
      <formula>OR(ISNUMBER(SEARCH("cancelled",E4)),ISNUMBER(SEARCH("on hold",E4)),ISNUMBER(SEARCH("returned",E4)))</formula>
    </cfRule>
  </conditionalFormatting>
  <conditionalFormatting sqref="I4:I253">
    <cfRule type="cellIs" dxfId="4" priority="9" operator="lessThan">
      <formula>0</formula>
    </cfRule>
  </conditionalFormatting>
  <conditionalFormatting sqref="J4:J253">
    <cfRule type="expression" dxfId="0" priority="5">
      <formula>OR(ISNUMBER(SEARCH("approved",J4)),ISNUMBER(SEARCH("complete",J4)),ISNUMBER(SEARCH("delivered",J4)),ISNUMBER(SEARCH("installed",J4)),ISNUMBER(SEARCH("paid",J4)),ISNUMBER(SEARCH("good condition",J4)))</formula>
    </cfRule>
    <cfRule type="expression" dxfId="1" priority="6">
      <formula>OR(ISNUMBER(SEARCH("pending",J4)),ISNUMBER(SEARCH("progress",J4)),ISNUMBER(SEARCH("review",J4)),ISNUMBER(SEARCH("sent",J4)),ISNUMBER(SEARCH("scheduled",J4)),ISNUMBER(SEARCH("waiting",J4)),ISNUMBER(SEARCH("ordered",J4)),ISNUMBER(SEARCH("shipped",J4)))</formula>
    </cfRule>
    <cfRule type="expression" dxfId="2" priority="7">
      <formula>OR(ISNUMBER(SEARCH("overdue",J4)),ISNUMBER(SEARCH("delayed",J4)),ISNUMBER(SEARCH("rejected",J4)),ISNUMBER(SEARCH("damaged",J4)),ISNUMBER(SEARCH("missing",J4)),ISNUMBER(SEARCH("wrong",J4)),ISNUMBER(SEARCH("backordered",J4)))</formula>
    </cfRule>
    <cfRule type="expression" dxfId="3" priority="8">
      <formula>OR(ISNUMBER(SEARCH("cancelled",J4)),ISNUMBER(SEARCH("on hold",J4)),ISNUMBER(SEARCH("returned",J4)))</formula>
    </cfRule>
  </conditionalFormatting>
  <dataValidations count="3">
    <dataValidation type="list" allowBlank="1" showInputMessage="1" showErrorMessage="1" errorTitle="Choose a listed value" error="Please select an option from the dropdown." promptTitle="Room Type" prompt="Select from the dropdown list." sqref="B4:B253">
      <formula1>RoomTypes</formula1>
    </dataValidation>
    <dataValidation type="list" allowBlank="1" showInputMessage="1" showErrorMessage="1" errorTitle="Choose a listed value" error="Please select an option from the dropdown." promptTitle="Design Status" prompt="Select from the dropdown list." sqref="E4:E253">
      <formula1>DesignStatuses</formula1>
    </dataValidation>
    <dataValidation type="list" allowBlank="1" showInputMessage="1" showErrorMessage="1" errorTitle="Choose a listed value" error="Please select an option from the dropdown." promptTitle="Priority Level" prompt="Select from the dropdown list." sqref="J4:J253">
      <formula1>Priorities</formula1>
    </dataValidation>
  </dataValidations>
  <pageMargins left="0.25" right="0.25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F75B5"/>
    <pageSetUpPr fitToPage="1"/>
  </sheetPr>
  <dimension ref="A1:AA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4" width="22.7109375" customWidth="1"/>
    <col min="5" max="5" width="28.7109375" customWidth="1"/>
    <col min="6" max="6" width="10.7109375" customWidth="1"/>
    <col min="7" max="7" width="18.7109375" customWidth="1"/>
    <col min="8" max="9" width="16.7109375" customWidth="1"/>
    <col min="10" max="10" width="14.7109375" customWidth="1"/>
    <col min="11" max="11" width="20.7109375" customWidth="1"/>
    <col min="12" max="12" width="16.7109375" customWidth="1"/>
    <col min="13" max="13" width="28.7109375" customWidth="1"/>
    <col min="14" max="14" width="18.7109375" customWidth="1"/>
    <col min="15" max="16" width="14.7109375" customWidth="1"/>
    <col min="17" max="17" width="12.7109375" customWidth="1"/>
    <col min="18" max="21" width="14.7109375" customWidth="1"/>
    <col min="22" max="25" width="18.7109375" customWidth="1"/>
    <col min="26" max="27" width="28.7109375" customWidth="1"/>
  </cols>
  <sheetData>
    <row r="1" spans="1:27" ht="30" customHeight="1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customHeight="1">
      <c r="A2" s="2" t="s">
        <v>269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2" customHeight="1">
      <c r="A3" s="10" t="s">
        <v>270</v>
      </c>
      <c r="B3" s="10" t="s">
        <v>167</v>
      </c>
      <c r="C3" s="10" t="s">
        <v>271</v>
      </c>
      <c r="D3" s="10" t="s">
        <v>272</v>
      </c>
      <c r="E3" s="10" t="s">
        <v>273</v>
      </c>
      <c r="F3" s="10" t="s">
        <v>274</v>
      </c>
      <c r="G3" s="10" t="s">
        <v>275</v>
      </c>
      <c r="H3" s="10" t="s">
        <v>276</v>
      </c>
      <c r="I3" s="10" t="s">
        <v>145</v>
      </c>
      <c r="J3" s="10" t="s">
        <v>277</v>
      </c>
      <c r="K3" s="10" t="s">
        <v>150</v>
      </c>
      <c r="L3" s="10" t="s">
        <v>278</v>
      </c>
      <c r="M3" s="10" t="s">
        <v>279</v>
      </c>
      <c r="N3" s="10" t="s">
        <v>280</v>
      </c>
      <c r="O3" s="10" t="s">
        <v>281</v>
      </c>
      <c r="P3" s="10" t="s">
        <v>282</v>
      </c>
      <c r="Q3" s="10" t="s">
        <v>283</v>
      </c>
      <c r="R3" s="10" t="s">
        <v>284</v>
      </c>
      <c r="S3" s="10" t="s">
        <v>285</v>
      </c>
      <c r="T3" s="10" t="s">
        <v>286</v>
      </c>
      <c r="U3" s="10" t="s">
        <v>287</v>
      </c>
      <c r="V3" s="10" t="s">
        <v>288</v>
      </c>
      <c r="W3" s="10" t="s">
        <v>289</v>
      </c>
      <c r="X3" s="10" t="s">
        <v>290</v>
      </c>
      <c r="Y3" s="10" t="s">
        <v>291</v>
      </c>
      <c r="Z3" s="10" t="s">
        <v>267</v>
      </c>
      <c r="AA3" s="10" t="s">
        <v>292</v>
      </c>
    </row>
    <row r="4" spans="1:27">
      <c r="A4" s="12"/>
      <c r="B4" s="12"/>
      <c r="C4" s="12"/>
      <c r="D4" s="12"/>
      <c r="E4" s="12"/>
      <c r="F4" s="17"/>
      <c r="G4" s="12"/>
      <c r="H4" s="12"/>
      <c r="I4" s="12"/>
      <c r="J4" s="12"/>
      <c r="K4" s="12"/>
      <c r="L4" s="12"/>
      <c r="M4" s="18"/>
      <c r="N4" s="12"/>
      <c r="O4" s="14"/>
      <c r="P4" s="16">
        <f>IF(OR(F4="",O4=""),"",F4*O4)</f>
        <v>0</v>
      </c>
      <c r="Q4" s="14"/>
      <c r="R4" s="14"/>
      <c r="S4" s="14"/>
      <c r="T4" s="16">
        <f>IF(P4="","",P4+N(Q4)+N(R4)-N(S4))</f>
        <v>0</v>
      </c>
      <c r="U4" s="12"/>
      <c r="V4" s="12"/>
      <c r="W4" s="12"/>
      <c r="X4" s="12"/>
      <c r="Y4" s="12"/>
      <c r="Z4" s="12"/>
      <c r="AA4" s="18"/>
    </row>
    <row r="5" spans="1:27">
      <c r="A5" s="12"/>
      <c r="B5" s="12"/>
      <c r="C5" s="12"/>
      <c r="D5" s="12"/>
      <c r="E5" s="12"/>
      <c r="F5" s="17"/>
      <c r="G5" s="12"/>
      <c r="H5" s="12"/>
      <c r="I5" s="12"/>
      <c r="J5" s="12"/>
      <c r="K5" s="12"/>
      <c r="L5" s="12"/>
      <c r="M5" s="18"/>
      <c r="N5" s="12"/>
      <c r="O5" s="14"/>
      <c r="P5" s="16">
        <f>IF(OR(F5="",O5=""),"",F5*O5)</f>
        <v>0</v>
      </c>
      <c r="Q5" s="14"/>
      <c r="R5" s="14"/>
      <c r="S5" s="14"/>
      <c r="T5" s="16">
        <f>IF(P5="","",P5+N(Q5)+N(R5)-N(S5))</f>
        <v>0</v>
      </c>
      <c r="U5" s="12"/>
      <c r="V5" s="12"/>
      <c r="W5" s="12"/>
      <c r="X5" s="12"/>
      <c r="Y5" s="12"/>
      <c r="Z5" s="12"/>
      <c r="AA5" s="18"/>
    </row>
    <row r="6" spans="1:27">
      <c r="A6" s="12"/>
      <c r="B6" s="12"/>
      <c r="C6" s="12"/>
      <c r="D6" s="12"/>
      <c r="E6" s="12"/>
      <c r="F6" s="17"/>
      <c r="G6" s="12"/>
      <c r="H6" s="12"/>
      <c r="I6" s="12"/>
      <c r="J6" s="12"/>
      <c r="K6" s="12"/>
      <c r="L6" s="12"/>
      <c r="M6" s="18"/>
      <c r="N6" s="12"/>
      <c r="O6" s="14"/>
      <c r="P6" s="16">
        <f>IF(OR(F6="",O6=""),"",F6*O6)</f>
        <v>0</v>
      </c>
      <c r="Q6" s="14"/>
      <c r="R6" s="14"/>
      <c r="S6" s="14"/>
      <c r="T6" s="16">
        <f>IF(P6="","",P6+N(Q6)+N(R6)-N(S6))</f>
        <v>0</v>
      </c>
      <c r="U6" s="12"/>
      <c r="V6" s="12"/>
      <c r="W6" s="12"/>
      <c r="X6" s="12"/>
      <c r="Y6" s="12"/>
      <c r="Z6" s="12"/>
      <c r="AA6" s="18"/>
    </row>
    <row r="7" spans="1:27">
      <c r="A7" s="12"/>
      <c r="B7" s="12"/>
      <c r="C7" s="12"/>
      <c r="D7" s="12"/>
      <c r="E7" s="12"/>
      <c r="F7" s="17"/>
      <c r="G7" s="12"/>
      <c r="H7" s="12"/>
      <c r="I7" s="12"/>
      <c r="J7" s="12"/>
      <c r="K7" s="12"/>
      <c r="L7" s="12"/>
      <c r="M7" s="18"/>
      <c r="N7" s="12"/>
      <c r="O7" s="14"/>
      <c r="P7" s="16">
        <f>IF(OR(F7="",O7=""),"",F7*O7)</f>
        <v>0</v>
      </c>
      <c r="Q7" s="14"/>
      <c r="R7" s="14"/>
      <c r="S7" s="14"/>
      <c r="T7" s="16">
        <f>IF(P7="","",P7+N(Q7)+N(R7)-N(S7))</f>
        <v>0</v>
      </c>
      <c r="U7" s="12"/>
      <c r="V7" s="12"/>
      <c r="W7" s="12"/>
      <c r="X7" s="12"/>
      <c r="Y7" s="12"/>
      <c r="Z7" s="12"/>
      <c r="AA7" s="18"/>
    </row>
    <row r="8" spans="1:27">
      <c r="A8" s="12"/>
      <c r="B8" s="12"/>
      <c r="C8" s="12"/>
      <c r="D8" s="12"/>
      <c r="E8" s="12"/>
      <c r="F8" s="17"/>
      <c r="G8" s="12"/>
      <c r="H8" s="12"/>
      <c r="I8" s="12"/>
      <c r="J8" s="12"/>
      <c r="K8" s="12"/>
      <c r="L8" s="12"/>
      <c r="M8" s="18"/>
      <c r="N8" s="12"/>
      <c r="O8" s="14"/>
      <c r="P8" s="16">
        <f>IF(OR(F8="",O8=""),"",F8*O8)</f>
        <v>0</v>
      </c>
      <c r="Q8" s="14"/>
      <c r="R8" s="14"/>
      <c r="S8" s="14"/>
      <c r="T8" s="16">
        <f>IF(P8="","",P8+N(Q8)+N(R8)-N(S8))</f>
        <v>0</v>
      </c>
      <c r="U8" s="12"/>
      <c r="V8" s="12"/>
      <c r="W8" s="12"/>
      <c r="X8" s="12"/>
      <c r="Y8" s="12"/>
      <c r="Z8" s="12"/>
      <c r="AA8" s="18"/>
    </row>
    <row r="9" spans="1:27">
      <c r="A9" s="12"/>
      <c r="B9" s="12"/>
      <c r="C9" s="12"/>
      <c r="D9" s="12"/>
      <c r="E9" s="12"/>
      <c r="F9" s="17"/>
      <c r="G9" s="12"/>
      <c r="H9" s="12"/>
      <c r="I9" s="12"/>
      <c r="J9" s="12"/>
      <c r="K9" s="12"/>
      <c r="L9" s="12"/>
      <c r="M9" s="18"/>
      <c r="N9" s="12"/>
      <c r="O9" s="14"/>
      <c r="P9" s="16">
        <f>IF(OR(F9="",O9=""),"",F9*O9)</f>
        <v>0</v>
      </c>
      <c r="Q9" s="14"/>
      <c r="R9" s="14"/>
      <c r="S9" s="14"/>
      <c r="T9" s="16">
        <f>IF(P9="","",P9+N(Q9)+N(R9)-N(S9))</f>
        <v>0</v>
      </c>
      <c r="U9" s="12"/>
      <c r="V9" s="12"/>
      <c r="W9" s="12"/>
      <c r="X9" s="12"/>
      <c r="Y9" s="12"/>
      <c r="Z9" s="12"/>
      <c r="AA9" s="18"/>
    </row>
    <row r="10" spans="1:27">
      <c r="A10" s="12"/>
      <c r="B10" s="12"/>
      <c r="C10" s="12"/>
      <c r="D10" s="12"/>
      <c r="E10" s="12"/>
      <c r="F10" s="17"/>
      <c r="G10" s="12"/>
      <c r="H10" s="12"/>
      <c r="I10" s="12"/>
      <c r="J10" s="12"/>
      <c r="K10" s="12"/>
      <c r="L10" s="12"/>
      <c r="M10" s="18"/>
      <c r="N10" s="12"/>
      <c r="O10" s="14"/>
      <c r="P10" s="16">
        <f>IF(OR(F10="",O10=""),"",F10*O10)</f>
        <v>0</v>
      </c>
      <c r="Q10" s="14"/>
      <c r="R10" s="14"/>
      <c r="S10" s="14"/>
      <c r="T10" s="16">
        <f>IF(P10="","",P10+N(Q10)+N(R10)-N(S10))</f>
        <v>0</v>
      </c>
      <c r="U10" s="12"/>
      <c r="V10" s="12"/>
      <c r="W10" s="12"/>
      <c r="X10" s="12"/>
      <c r="Y10" s="12"/>
      <c r="Z10" s="12"/>
      <c r="AA10" s="18"/>
    </row>
    <row r="11" spans="1:27">
      <c r="A11" s="12"/>
      <c r="B11" s="12"/>
      <c r="C11" s="12"/>
      <c r="D11" s="12"/>
      <c r="E11" s="12"/>
      <c r="F11" s="17"/>
      <c r="G11" s="12"/>
      <c r="H11" s="12"/>
      <c r="I11" s="12"/>
      <c r="J11" s="12"/>
      <c r="K11" s="12"/>
      <c r="L11" s="12"/>
      <c r="M11" s="18"/>
      <c r="N11" s="12"/>
      <c r="O11" s="14"/>
      <c r="P11" s="16">
        <f>IF(OR(F11="",O11=""),"",F11*O11)</f>
        <v>0</v>
      </c>
      <c r="Q11" s="14"/>
      <c r="R11" s="14"/>
      <c r="S11" s="14"/>
      <c r="T11" s="16">
        <f>IF(P11="","",P11+N(Q11)+N(R11)-N(S11))</f>
        <v>0</v>
      </c>
      <c r="U11" s="12"/>
      <c r="V11" s="12"/>
      <c r="W11" s="12"/>
      <c r="X11" s="12"/>
      <c r="Y11" s="12"/>
      <c r="Z11" s="12"/>
      <c r="AA11" s="18"/>
    </row>
    <row r="12" spans="1:27">
      <c r="A12" s="12"/>
      <c r="B12" s="12"/>
      <c r="C12" s="12"/>
      <c r="D12" s="12"/>
      <c r="E12" s="12"/>
      <c r="F12" s="17"/>
      <c r="G12" s="12"/>
      <c r="H12" s="12"/>
      <c r="I12" s="12"/>
      <c r="J12" s="12"/>
      <c r="K12" s="12"/>
      <c r="L12" s="12"/>
      <c r="M12" s="18"/>
      <c r="N12" s="12"/>
      <c r="O12" s="14"/>
      <c r="P12" s="16">
        <f>IF(OR(F12="",O12=""),"",F12*O12)</f>
        <v>0</v>
      </c>
      <c r="Q12" s="14"/>
      <c r="R12" s="14"/>
      <c r="S12" s="14"/>
      <c r="T12" s="16">
        <f>IF(P12="","",P12+N(Q12)+N(R12)-N(S12))</f>
        <v>0</v>
      </c>
      <c r="U12" s="12"/>
      <c r="V12" s="12"/>
      <c r="W12" s="12"/>
      <c r="X12" s="12"/>
      <c r="Y12" s="12"/>
      <c r="Z12" s="12"/>
      <c r="AA12" s="18"/>
    </row>
    <row r="13" spans="1:27">
      <c r="A13" s="12"/>
      <c r="B13" s="12"/>
      <c r="C13" s="12"/>
      <c r="D13" s="12"/>
      <c r="E13" s="12"/>
      <c r="F13" s="17"/>
      <c r="G13" s="12"/>
      <c r="H13" s="12"/>
      <c r="I13" s="12"/>
      <c r="J13" s="12"/>
      <c r="K13" s="12"/>
      <c r="L13" s="12"/>
      <c r="M13" s="18"/>
      <c r="N13" s="12"/>
      <c r="O13" s="14"/>
      <c r="P13" s="16">
        <f>IF(OR(F13="",O13=""),"",F13*O13)</f>
        <v>0</v>
      </c>
      <c r="Q13" s="14"/>
      <c r="R13" s="14"/>
      <c r="S13" s="14"/>
      <c r="T13" s="16">
        <f>IF(P13="","",P13+N(Q13)+N(R13)-N(S13))</f>
        <v>0</v>
      </c>
      <c r="U13" s="12"/>
      <c r="V13" s="12"/>
      <c r="W13" s="12"/>
      <c r="X13" s="12"/>
      <c r="Y13" s="12"/>
      <c r="Z13" s="12"/>
      <c r="AA13" s="18"/>
    </row>
    <row r="14" spans="1:27">
      <c r="A14" s="12"/>
      <c r="B14" s="12"/>
      <c r="C14" s="12"/>
      <c r="D14" s="12"/>
      <c r="E14" s="12"/>
      <c r="F14" s="17"/>
      <c r="G14" s="12"/>
      <c r="H14" s="12"/>
      <c r="I14" s="12"/>
      <c r="J14" s="12"/>
      <c r="K14" s="12"/>
      <c r="L14" s="12"/>
      <c r="M14" s="18"/>
      <c r="N14" s="12"/>
      <c r="O14" s="14"/>
      <c r="P14" s="16">
        <f>IF(OR(F14="",O14=""),"",F14*O14)</f>
        <v>0</v>
      </c>
      <c r="Q14" s="14"/>
      <c r="R14" s="14"/>
      <c r="S14" s="14"/>
      <c r="T14" s="16">
        <f>IF(P14="","",P14+N(Q14)+N(R14)-N(S14))</f>
        <v>0</v>
      </c>
      <c r="U14" s="12"/>
      <c r="V14" s="12"/>
      <c r="W14" s="12"/>
      <c r="X14" s="12"/>
      <c r="Y14" s="12"/>
      <c r="Z14" s="12"/>
      <c r="AA14" s="18"/>
    </row>
    <row r="15" spans="1:27">
      <c r="A15" s="12"/>
      <c r="B15" s="12"/>
      <c r="C15" s="12"/>
      <c r="D15" s="12"/>
      <c r="E15" s="12"/>
      <c r="F15" s="17"/>
      <c r="G15" s="12"/>
      <c r="H15" s="12"/>
      <c r="I15" s="12"/>
      <c r="J15" s="12"/>
      <c r="K15" s="12"/>
      <c r="L15" s="12"/>
      <c r="M15" s="18"/>
      <c r="N15" s="12"/>
      <c r="O15" s="14"/>
      <c r="P15" s="16">
        <f>IF(OR(F15="",O15=""),"",F15*O15)</f>
        <v>0</v>
      </c>
      <c r="Q15" s="14"/>
      <c r="R15" s="14"/>
      <c r="S15" s="14"/>
      <c r="T15" s="16">
        <f>IF(P15="","",P15+N(Q15)+N(R15)-N(S15))</f>
        <v>0</v>
      </c>
      <c r="U15" s="12"/>
      <c r="V15" s="12"/>
      <c r="W15" s="12"/>
      <c r="X15" s="12"/>
      <c r="Y15" s="12"/>
      <c r="Z15" s="12"/>
      <c r="AA15" s="18"/>
    </row>
    <row r="16" spans="1:27">
      <c r="A16" s="12"/>
      <c r="B16" s="12"/>
      <c r="C16" s="12"/>
      <c r="D16" s="12"/>
      <c r="E16" s="12"/>
      <c r="F16" s="17"/>
      <c r="G16" s="12"/>
      <c r="H16" s="12"/>
      <c r="I16" s="12"/>
      <c r="J16" s="12"/>
      <c r="K16" s="12"/>
      <c r="L16" s="12"/>
      <c r="M16" s="18"/>
      <c r="N16" s="12"/>
      <c r="O16" s="14"/>
      <c r="P16" s="16">
        <f>IF(OR(F16="",O16=""),"",F16*O16)</f>
        <v>0</v>
      </c>
      <c r="Q16" s="14"/>
      <c r="R16" s="14"/>
      <c r="S16" s="14"/>
      <c r="T16" s="16">
        <f>IF(P16="","",P16+N(Q16)+N(R16)-N(S16))</f>
        <v>0</v>
      </c>
      <c r="U16" s="12"/>
      <c r="V16" s="12"/>
      <c r="W16" s="12"/>
      <c r="X16" s="12"/>
      <c r="Y16" s="12"/>
      <c r="Z16" s="12"/>
      <c r="AA16" s="18"/>
    </row>
    <row r="17" spans="1:27">
      <c r="A17" s="12"/>
      <c r="B17" s="12"/>
      <c r="C17" s="12"/>
      <c r="D17" s="12"/>
      <c r="E17" s="12"/>
      <c r="F17" s="17"/>
      <c r="G17" s="12"/>
      <c r="H17" s="12"/>
      <c r="I17" s="12"/>
      <c r="J17" s="12"/>
      <c r="K17" s="12"/>
      <c r="L17" s="12"/>
      <c r="M17" s="18"/>
      <c r="N17" s="12"/>
      <c r="O17" s="14"/>
      <c r="P17" s="16">
        <f>IF(OR(F17="",O17=""),"",F17*O17)</f>
        <v>0</v>
      </c>
      <c r="Q17" s="14"/>
      <c r="R17" s="14"/>
      <c r="S17" s="14"/>
      <c r="T17" s="16">
        <f>IF(P17="","",P17+N(Q17)+N(R17)-N(S17))</f>
        <v>0</v>
      </c>
      <c r="U17" s="12"/>
      <c r="V17" s="12"/>
      <c r="W17" s="12"/>
      <c r="X17" s="12"/>
      <c r="Y17" s="12"/>
      <c r="Z17" s="12"/>
      <c r="AA17" s="18"/>
    </row>
    <row r="18" spans="1:27">
      <c r="A18" s="12"/>
      <c r="B18" s="12"/>
      <c r="C18" s="12"/>
      <c r="D18" s="12"/>
      <c r="E18" s="12"/>
      <c r="F18" s="17"/>
      <c r="G18" s="12"/>
      <c r="H18" s="12"/>
      <c r="I18" s="12"/>
      <c r="J18" s="12"/>
      <c r="K18" s="12"/>
      <c r="L18" s="12"/>
      <c r="M18" s="18"/>
      <c r="N18" s="12"/>
      <c r="O18" s="14"/>
      <c r="P18" s="16">
        <f>IF(OR(F18="",O18=""),"",F18*O18)</f>
        <v>0</v>
      </c>
      <c r="Q18" s="14"/>
      <c r="R18" s="14"/>
      <c r="S18" s="14"/>
      <c r="T18" s="16">
        <f>IF(P18="","",P18+N(Q18)+N(R18)-N(S18))</f>
        <v>0</v>
      </c>
      <c r="U18" s="12"/>
      <c r="V18" s="12"/>
      <c r="W18" s="12"/>
      <c r="X18" s="12"/>
      <c r="Y18" s="12"/>
      <c r="Z18" s="12"/>
      <c r="AA18" s="18"/>
    </row>
    <row r="19" spans="1:27">
      <c r="A19" s="12"/>
      <c r="B19" s="12"/>
      <c r="C19" s="12"/>
      <c r="D19" s="12"/>
      <c r="E19" s="12"/>
      <c r="F19" s="17"/>
      <c r="G19" s="12"/>
      <c r="H19" s="12"/>
      <c r="I19" s="12"/>
      <c r="J19" s="12"/>
      <c r="K19" s="12"/>
      <c r="L19" s="12"/>
      <c r="M19" s="18"/>
      <c r="N19" s="12"/>
      <c r="O19" s="14"/>
      <c r="P19" s="16">
        <f>IF(OR(F19="",O19=""),"",F19*O19)</f>
        <v>0</v>
      </c>
      <c r="Q19" s="14"/>
      <c r="R19" s="14"/>
      <c r="S19" s="14"/>
      <c r="T19" s="16">
        <f>IF(P19="","",P19+N(Q19)+N(R19)-N(S19))</f>
        <v>0</v>
      </c>
      <c r="U19" s="12"/>
      <c r="V19" s="12"/>
      <c r="W19" s="12"/>
      <c r="X19" s="12"/>
      <c r="Y19" s="12"/>
      <c r="Z19" s="12"/>
      <c r="AA19" s="18"/>
    </row>
    <row r="20" spans="1:27">
      <c r="A20" s="12"/>
      <c r="B20" s="12"/>
      <c r="C20" s="12"/>
      <c r="D20" s="12"/>
      <c r="E20" s="12"/>
      <c r="F20" s="17"/>
      <c r="G20" s="12"/>
      <c r="H20" s="12"/>
      <c r="I20" s="12"/>
      <c r="J20" s="12"/>
      <c r="K20" s="12"/>
      <c r="L20" s="12"/>
      <c r="M20" s="18"/>
      <c r="N20" s="12"/>
      <c r="O20" s="14"/>
      <c r="P20" s="16">
        <f>IF(OR(F20="",O20=""),"",F20*O20)</f>
        <v>0</v>
      </c>
      <c r="Q20" s="14"/>
      <c r="R20" s="14"/>
      <c r="S20" s="14"/>
      <c r="T20" s="16">
        <f>IF(P20="","",P20+N(Q20)+N(R20)-N(S20))</f>
        <v>0</v>
      </c>
      <c r="U20" s="12"/>
      <c r="V20" s="12"/>
      <c r="W20" s="12"/>
      <c r="X20" s="12"/>
      <c r="Y20" s="12"/>
      <c r="Z20" s="12"/>
      <c r="AA20" s="18"/>
    </row>
    <row r="21" spans="1:27">
      <c r="A21" s="12"/>
      <c r="B21" s="12"/>
      <c r="C21" s="12"/>
      <c r="D21" s="12"/>
      <c r="E21" s="12"/>
      <c r="F21" s="17"/>
      <c r="G21" s="12"/>
      <c r="H21" s="12"/>
      <c r="I21" s="12"/>
      <c r="J21" s="12"/>
      <c r="K21" s="12"/>
      <c r="L21" s="12"/>
      <c r="M21" s="18"/>
      <c r="N21" s="12"/>
      <c r="O21" s="14"/>
      <c r="P21" s="16">
        <f>IF(OR(F21="",O21=""),"",F21*O21)</f>
        <v>0</v>
      </c>
      <c r="Q21" s="14"/>
      <c r="R21" s="14"/>
      <c r="S21" s="14"/>
      <c r="T21" s="16">
        <f>IF(P21="","",P21+N(Q21)+N(R21)-N(S21))</f>
        <v>0</v>
      </c>
      <c r="U21" s="12"/>
      <c r="V21" s="12"/>
      <c r="W21" s="12"/>
      <c r="X21" s="12"/>
      <c r="Y21" s="12"/>
      <c r="Z21" s="12"/>
      <c r="AA21" s="18"/>
    </row>
    <row r="22" spans="1:27">
      <c r="A22" s="12"/>
      <c r="B22" s="12"/>
      <c r="C22" s="12"/>
      <c r="D22" s="12"/>
      <c r="E22" s="12"/>
      <c r="F22" s="17"/>
      <c r="G22" s="12"/>
      <c r="H22" s="12"/>
      <c r="I22" s="12"/>
      <c r="J22" s="12"/>
      <c r="K22" s="12"/>
      <c r="L22" s="12"/>
      <c r="M22" s="18"/>
      <c r="N22" s="12"/>
      <c r="O22" s="14"/>
      <c r="P22" s="16">
        <f>IF(OR(F22="",O22=""),"",F22*O22)</f>
        <v>0</v>
      </c>
      <c r="Q22" s="14"/>
      <c r="R22" s="14"/>
      <c r="S22" s="14"/>
      <c r="T22" s="16">
        <f>IF(P22="","",P22+N(Q22)+N(R22)-N(S22))</f>
        <v>0</v>
      </c>
      <c r="U22" s="12"/>
      <c r="V22" s="12"/>
      <c r="W22" s="12"/>
      <c r="X22" s="12"/>
      <c r="Y22" s="12"/>
      <c r="Z22" s="12"/>
      <c r="AA22" s="18"/>
    </row>
    <row r="23" spans="1:27">
      <c r="A23" s="12"/>
      <c r="B23" s="12"/>
      <c r="C23" s="12"/>
      <c r="D23" s="12"/>
      <c r="E23" s="12"/>
      <c r="F23" s="17"/>
      <c r="G23" s="12"/>
      <c r="H23" s="12"/>
      <c r="I23" s="12"/>
      <c r="J23" s="12"/>
      <c r="K23" s="12"/>
      <c r="L23" s="12"/>
      <c r="M23" s="18"/>
      <c r="N23" s="12"/>
      <c r="O23" s="14"/>
      <c r="P23" s="16">
        <f>IF(OR(F23="",O23=""),"",F23*O23)</f>
        <v>0</v>
      </c>
      <c r="Q23" s="14"/>
      <c r="R23" s="14"/>
      <c r="S23" s="14"/>
      <c r="T23" s="16">
        <f>IF(P23="","",P23+N(Q23)+N(R23)-N(S23))</f>
        <v>0</v>
      </c>
      <c r="U23" s="12"/>
      <c r="V23" s="12"/>
      <c r="W23" s="12"/>
      <c r="X23" s="12"/>
      <c r="Y23" s="12"/>
      <c r="Z23" s="12"/>
      <c r="AA23" s="18"/>
    </row>
    <row r="24" spans="1:27">
      <c r="A24" s="12"/>
      <c r="B24" s="12"/>
      <c r="C24" s="12"/>
      <c r="D24" s="12"/>
      <c r="E24" s="12"/>
      <c r="F24" s="17"/>
      <c r="G24" s="12"/>
      <c r="H24" s="12"/>
      <c r="I24" s="12"/>
      <c r="J24" s="12"/>
      <c r="K24" s="12"/>
      <c r="L24" s="12"/>
      <c r="M24" s="18"/>
      <c r="N24" s="12"/>
      <c r="O24" s="14"/>
      <c r="P24" s="16">
        <f>IF(OR(F24="",O24=""),"",F24*O24)</f>
        <v>0</v>
      </c>
      <c r="Q24" s="14"/>
      <c r="R24" s="14"/>
      <c r="S24" s="14"/>
      <c r="T24" s="16">
        <f>IF(P24="","",P24+N(Q24)+N(R24)-N(S24))</f>
        <v>0</v>
      </c>
      <c r="U24" s="12"/>
      <c r="V24" s="12"/>
      <c r="W24" s="12"/>
      <c r="X24" s="12"/>
      <c r="Y24" s="12"/>
      <c r="Z24" s="12"/>
      <c r="AA24" s="18"/>
    </row>
    <row r="25" spans="1:27">
      <c r="A25" s="12"/>
      <c r="B25" s="12"/>
      <c r="C25" s="12"/>
      <c r="D25" s="12"/>
      <c r="E25" s="12"/>
      <c r="F25" s="17"/>
      <c r="G25" s="12"/>
      <c r="H25" s="12"/>
      <c r="I25" s="12"/>
      <c r="J25" s="12"/>
      <c r="K25" s="12"/>
      <c r="L25" s="12"/>
      <c r="M25" s="18"/>
      <c r="N25" s="12"/>
      <c r="O25" s="14"/>
      <c r="P25" s="16">
        <f>IF(OR(F25="",O25=""),"",F25*O25)</f>
        <v>0</v>
      </c>
      <c r="Q25" s="14"/>
      <c r="R25" s="14"/>
      <c r="S25" s="14"/>
      <c r="T25" s="16">
        <f>IF(P25="","",P25+N(Q25)+N(R25)-N(S25))</f>
        <v>0</v>
      </c>
      <c r="U25" s="12"/>
      <c r="V25" s="12"/>
      <c r="W25" s="12"/>
      <c r="X25" s="12"/>
      <c r="Y25" s="12"/>
      <c r="Z25" s="12"/>
      <c r="AA25" s="18"/>
    </row>
    <row r="26" spans="1:27">
      <c r="A26" s="12"/>
      <c r="B26" s="12"/>
      <c r="C26" s="12"/>
      <c r="D26" s="12"/>
      <c r="E26" s="12"/>
      <c r="F26" s="17"/>
      <c r="G26" s="12"/>
      <c r="H26" s="12"/>
      <c r="I26" s="12"/>
      <c r="J26" s="12"/>
      <c r="K26" s="12"/>
      <c r="L26" s="12"/>
      <c r="M26" s="18"/>
      <c r="N26" s="12"/>
      <c r="O26" s="14"/>
      <c r="P26" s="16">
        <f>IF(OR(F26="",O26=""),"",F26*O26)</f>
        <v>0</v>
      </c>
      <c r="Q26" s="14"/>
      <c r="R26" s="14"/>
      <c r="S26" s="14"/>
      <c r="T26" s="16">
        <f>IF(P26="","",P26+N(Q26)+N(R26)-N(S26))</f>
        <v>0</v>
      </c>
      <c r="U26" s="12"/>
      <c r="V26" s="12"/>
      <c r="W26" s="12"/>
      <c r="X26" s="12"/>
      <c r="Y26" s="12"/>
      <c r="Z26" s="12"/>
      <c r="AA26" s="18"/>
    </row>
    <row r="27" spans="1:27">
      <c r="A27" s="12"/>
      <c r="B27" s="12"/>
      <c r="C27" s="12"/>
      <c r="D27" s="12"/>
      <c r="E27" s="12"/>
      <c r="F27" s="17"/>
      <c r="G27" s="12"/>
      <c r="H27" s="12"/>
      <c r="I27" s="12"/>
      <c r="J27" s="12"/>
      <c r="K27" s="12"/>
      <c r="L27" s="12"/>
      <c r="M27" s="18"/>
      <c r="N27" s="12"/>
      <c r="O27" s="14"/>
      <c r="P27" s="16">
        <f>IF(OR(F27="",O27=""),"",F27*O27)</f>
        <v>0</v>
      </c>
      <c r="Q27" s="14"/>
      <c r="R27" s="14"/>
      <c r="S27" s="14"/>
      <c r="T27" s="16">
        <f>IF(P27="","",P27+N(Q27)+N(R27)-N(S27))</f>
        <v>0</v>
      </c>
      <c r="U27" s="12"/>
      <c r="V27" s="12"/>
      <c r="W27" s="12"/>
      <c r="X27" s="12"/>
      <c r="Y27" s="12"/>
      <c r="Z27" s="12"/>
      <c r="AA27" s="18"/>
    </row>
    <row r="28" spans="1:27">
      <c r="A28" s="12"/>
      <c r="B28" s="12"/>
      <c r="C28" s="12"/>
      <c r="D28" s="12"/>
      <c r="E28" s="12"/>
      <c r="F28" s="17"/>
      <c r="G28" s="12"/>
      <c r="H28" s="12"/>
      <c r="I28" s="12"/>
      <c r="J28" s="12"/>
      <c r="K28" s="12"/>
      <c r="L28" s="12"/>
      <c r="M28" s="18"/>
      <c r="N28" s="12"/>
      <c r="O28" s="14"/>
      <c r="P28" s="16">
        <f>IF(OR(F28="",O28=""),"",F28*O28)</f>
        <v>0</v>
      </c>
      <c r="Q28" s="14"/>
      <c r="R28" s="14"/>
      <c r="S28" s="14"/>
      <c r="T28" s="16">
        <f>IF(P28="","",P28+N(Q28)+N(R28)-N(S28))</f>
        <v>0</v>
      </c>
      <c r="U28" s="12"/>
      <c r="V28" s="12"/>
      <c r="W28" s="12"/>
      <c r="X28" s="12"/>
      <c r="Y28" s="12"/>
      <c r="Z28" s="12"/>
      <c r="AA28" s="18"/>
    </row>
    <row r="29" spans="1:27">
      <c r="A29" s="12"/>
      <c r="B29" s="12"/>
      <c r="C29" s="12"/>
      <c r="D29" s="12"/>
      <c r="E29" s="12"/>
      <c r="F29" s="17"/>
      <c r="G29" s="12"/>
      <c r="H29" s="12"/>
      <c r="I29" s="12"/>
      <c r="J29" s="12"/>
      <c r="K29" s="12"/>
      <c r="L29" s="12"/>
      <c r="M29" s="18"/>
      <c r="N29" s="12"/>
      <c r="O29" s="14"/>
      <c r="P29" s="16">
        <f>IF(OR(F29="",O29=""),"",F29*O29)</f>
        <v>0</v>
      </c>
      <c r="Q29" s="14"/>
      <c r="R29" s="14"/>
      <c r="S29" s="14"/>
      <c r="T29" s="16">
        <f>IF(P29="","",P29+N(Q29)+N(R29)-N(S29))</f>
        <v>0</v>
      </c>
      <c r="U29" s="12"/>
      <c r="V29" s="12"/>
      <c r="W29" s="12"/>
      <c r="X29" s="12"/>
      <c r="Y29" s="12"/>
      <c r="Z29" s="12"/>
      <c r="AA29" s="18"/>
    </row>
    <row r="30" spans="1:27">
      <c r="A30" s="12"/>
      <c r="B30" s="12"/>
      <c r="C30" s="12"/>
      <c r="D30" s="12"/>
      <c r="E30" s="12"/>
      <c r="F30" s="17"/>
      <c r="G30" s="12"/>
      <c r="H30" s="12"/>
      <c r="I30" s="12"/>
      <c r="J30" s="12"/>
      <c r="K30" s="12"/>
      <c r="L30" s="12"/>
      <c r="M30" s="18"/>
      <c r="N30" s="12"/>
      <c r="O30" s="14"/>
      <c r="P30" s="16">
        <f>IF(OR(F30="",O30=""),"",F30*O30)</f>
        <v>0</v>
      </c>
      <c r="Q30" s="14"/>
      <c r="R30" s="14"/>
      <c r="S30" s="14"/>
      <c r="T30" s="16">
        <f>IF(P30="","",P30+N(Q30)+N(R30)-N(S30))</f>
        <v>0</v>
      </c>
      <c r="U30" s="12"/>
      <c r="V30" s="12"/>
      <c r="W30" s="12"/>
      <c r="X30" s="12"/>
      <c r="Y30" s="12"/>
      <c r="Z30" s="12"/>
      <c r="AA30" s="18"/>
    </row>
    <row r="31" spans="1:27">
      <c r="A31" s="12"/>
      <c r="B31" s="12"/>
      <c r="C31" s="12"/>
      <c r="D31" s="12"/>
      <c r="E31" s="12"/>
      <c r="F31" s="17"/>
      <c r="G31" s="12"/>
      <c r="H31" s="12"/>
      <c r="I31" s="12"/>
      <c r="J31" s="12"/>
      <c r="K31" s="12"/>
      <c r="L31" s="12"/>
      <c r="M31" s="18"/>
      <c r="N31" s="12"/>
      <c r="O31" s="14"/>
      <c r="P31" s="16">
        <f>IF(OR(F31="",O31=""),"",F31*O31)</f>
        <v>0</v>
      </c>
      <c r="Q31" s="14"/>
      <c r="R31" s="14"/>
      <c r="S31" s="14"/>
      <c r="T31" s="16">
        <f>IF(P31="","",P31+N(Q31)+N(R31)-N(S31))</f>
        <v>0</v>
      </c>
      <c r="U31" s="12"/>
      <c r="V31" s="12"/>
      <c r="W31" s="12"/>
      <c r="X31" s="12"/>
      <c r="Y31" s="12"/>
      <c r="Z31" s="12"/>
      <c r="AA31" s="18"/>
    </row>
    <row r="32" spans="1:27">
      <c r="A32" s="12"/>
      <c r="B32" s="12"/>
      <c r="C32" s="12"/>
      <c r="D32" s="12"/>
      <c r="E32" s="12"/>
      <c r="F32" s="17"/>
      <c r="G32" s="12"/>
      <c r="H32" s="12"/>
      <c r="I32" s="12"/>
      <c r="J32" s="12"/>
      <c r="K32" s="12"/>
      <c r="L32" s="12"/>
      <c r="M32" s="18"/>
      <c r="N32" s="12"/>
      <c r="O32" s="14"/>
      <c r="P32" s="16">
        <f>IF(OR(F32="",O32=""),"",F32*O32)</f>
        <v>0</v>
      </c>
      <c r="Q32" s="14"/>
      <c r="R32" s="14"/>
      <c r="S32" s="14"/>
      <c r="T32" s="16">
        <f>IF(P32="","",P32+N(Q32)+N(R32)-N(S32))</f>
        <v>0</v>
      </c>
      <c r="U32" s="12"/>
      <c r="V32" s="12"/>
      <c r="W32" s="12"/>
      <c r="X32" s="12"/>
      <c r="Y32" s="12"/>
      <c r="Z32" s="12"/>
      <c r="AA32" s="18"/>
    </row>
    <row r="33" spans="1:27">
      <c r="A33" s="12"/>
      <c r="B33" s="12"/>
      <c r="C33" s="12"/>
      <c r="D33" s="12"/>
      <c r="E33" s="12"/>
      <c r="F33" s="17"/>
      <c r="G33" s="12"/>
      <c r="H33" s="12"/>
      <c r="I33" s="12"/>
      <c r="J33" s="12"/>
      <c r="K33" s="12"/>
      <c r="L33" s="12"/>
      <c r="M33" s="18"/>
      <c r="N33" s="12"/>
      <c r="O33" s="14"/>
      <c r="P33" s="16">
        <f>IF(OR(F33="",O33=""),"",F33*O33)</f>
        <v>0</v>
      </c>
      <c r="Q33" s="14"/>
      <c r="R33" s="14"/>
      <c r="S33" s="14"/>
      <c r="T33" s="16">
        <f>IF(P33="","",P33+N(Q33)+N(R33)-N(S33))</f>
        <v>0</v>
      </c>
      <c r="U33" s="12"/>
      <c r="V33" s="12"/>
      <c r="W33" s="12"/>
      <c r="X33" s="12"/>
      <c r="Y33" s="12"/>
      <c r="Z33" s="12"/>
      <c r="AA33" s="18"/>
    </row>
    <row r="34" spans="1:27">
      <c r="A34" s="12"/>
      <c r="B34" s="12"/>
      <c r="C34" s="12"/>
      <c r="D34" s="12"/>
      <c r="E34" s="12"/>
      <c r="F34" s="17"/>
      <c r="G34" s="12"/>
      <c r="H34" s="12"/>
      <c r="I34" s="12"/>
      <c r="J34" s="12"/>
      <c r="K34" s="12"/>
      <c r="L34" s="12"/>
      <c r="M34" s="18"/>
      <c r="N34" s="12"/>
      <c r="O34" s="14"/>
      <c r="P34" s="16">
        <f>IF(OR(F34="",O34=""),"",F34*O34)</f>
        <v>0</v>
      </c>
      <c r="Q34" s="14"/>
      <c r="R34" s="14"/>
      <c r="S34" s="14"/>
      <c r="T34" s="16">
        <f>IF(P34="","",P34+N(Q34)+N(R34)-N(S34))</f>
        <v>0</v>
      </c>
      <c r="U34" s="12"/>
      <c r="V34" s="12"/>
      <c r="W34" s="12"/>
      <c r="X34" s="12"/>
      <c r="Y34" s="12"/>
      <c r="Z34" s="12"/>
      <c r="AA34" s="18"/>
    </row>
    <row r="35" spans="1:27">
      <c r="A35" s="12"/>
      <c r="B35" s="12"/>
      <c r="C35" s="12"/>
      <c r="D35" s="12"/>
      <c r="E35" s="12"/>
      <c r="F35" s="17"/>
      <c r="G35" s="12"/>
      <c r="H35" s="12"/>
      <c r="I35" s="12"/>
      <c r="J35" s="12"/>
      <c r="K35" s="12"/>
      <c r="L35" s="12"/>
      <c r="M35" s="18"/>
      <c r="N35" s="12"/>
      <c r="O35" s="14"/>
      <c r="P35" s="16">
        <f>IF(OR(F35="",O35=""),"",F35*O35)</f>
        <v>0</v>
      </c>
      <c r="Q35" s="14"/>
      <c r="R35" s="14"/>
      <c r="S35" s="14"/>
      <c r="T35" s="16">
        <f>IF(P35="","",P35+N(Q35)+N(R35)-N(S35))</f>
        <v>0</v>
      </c>
      <c r="U35" s="12"/>
      <c r="V35" s="12"/>
      <c r="W35" s="12"/>
      <c r="X35" s="12"/>
      <c r="Y35" s="12"/>
      <c r="Z35" s="12"/>
      <c r="AA35" s="18"/>
    </row>
    <row r="36" spans="1:27">
      <c r="A36" s="12"/>
      <c r="B36" s="12"/>
      <c r="C36" s="12"/>
      <c r="D36" s="12"/>
      <c r="E36" s="12"/>
      <c r="F36" s="17"/>
      <c r="G36" s="12"/>
      <c r="H36" s="12"/>
      <c r="I36" s="12"/>
      <c r="J36" s="12"/>
      <c r="K36" s="12"/>
      <c r="L36" s="12"/>
      <c r="M36" s="18"/>
      <c r="N36" s="12"/>
      <c r="O36" s="14"/>
      <c r="P36" s="16">
        <f>IF(OR(F36="",O36=""),"",F36*O36)</f>
        <v>0</v>
      </c>
      <c r="Q36" s="14"/>
      <c r="R36" s="14"/>
      <c r="S36" s="14"/>
      <c r="T36" s="16">
        <f>IF(P36="","",P36+N(Q36)+N(R36)-N(S36))</f>
        <v>0</v>
      </c>
      <c r="U36" s="12"/>
      <c r="V36" s="12"/>
      <c r="W36" s="12"/>
      <c r="X36" s="12"/>
      <c r="Y36" s="12"/>
      <c r="Z36" s="12"/>
      <c r="AA36" s="18"/>
    </row>
    <row r="37" spans="1:27">
      <c r="A37" s="12"/>
      <c r="B37" s="12"/>
      <c r="C37" s="12"/>
      <c r="D37" s="12"/>
      <c r="E37" s="12"/>
      <c r="F37" s="17"/>
      <c r="G37" s="12"/>
      <c r="H37" s="12"/>
      <c r="I37" s="12"/>
      <c r="J37" s="12"/>
      <c r="K37" s="12"/>
      <c r="L37" s="12"/>
      <c r="M37" s="18"/>
      <c r="N37" s="12"/>
      <c r="O37" s="14"/>
      <c r="P37" s="16">
        <f>IF(OR(F37="",O37=""),"",F37*O37)</f>
        <v>0</v>
      </c>
      <c r="Q37" s="14"/>
      <c r="R37" s="14"/>
      <c r="S37" s="14"/>
      <c r="T37" s="16">
        <f>IF(P37="","",P37+N(Q37)+N(R37)-N(S37))</f>
        <v>0</v>
      </c>
      <c r="U37" s="12"/>
      <c r="V37" s="12"/>
      <c r="W37" s="12"/>
      <c r="X37" s="12"/>
      <c r="Y37" s="12"/>
      <c r="Z37" s="12"/>
      <c r="AA37" s="18"/>
    </row>
    <row r="38" spans="1:27">
      <c r="A38" s="12"/>
      <c r="B38" s="12"/>
      <c r="C38" s="12"/>
      <c r="D38" s="12"/>
      <c r="E38" s="12"/>
      <c r="F38" s="17"/>
      <c r="G38" s="12"/>
      <c r="H38" s="12"/>
      <c r="I38" s="12"/>
      <c r="J38" s="12"/>
      <c r="K38" s="12"/>
      <c r="L38" s="12"/>
      <c r="M38" s="18"/>
      <c r="N38" s="12"/>
      <c r="O38" s="14"/>
      <c r="P38" s="16">
        <f>IF(OR(F38="",O38=""),"",F38*O38)</f>
        <v>0</v>
      </c>
      <c r="Q38" s="14"/>
      <c r="R38" s="14"/>
      <c r="S38" s="14"/>
      <c r="T38" s="16">
        <f>IF(P38="","",P38+N(Q38)+N(R38)-N(S38))</f>
        <v>0</v>
      </c>
      <c r="U38" s="12"/>
      <c r="V38" s="12"/>
      <c r="W38" s="12"/>
      <c r="X38" s="12"/>
      <c r="Y38" s="12"/>
      <c r="Z38" s="12"/>
      <c r="AA38" s="18"/>
    </row>
    <row r="39" spans="1:27">
      <c r="A39" s="12"/>
      <c r="B39" s="12"/>
      <c r="C39" s="12"/>
      <c r="D39" s="12"/>
      <c r="E39" s="12"/>
      <c r="F39" s="17"/>
      <c r="G39" s="12"/>
      <c r="H39" s="12"/>
      <c r="I39" s="12"/>
      <c r="J39" s="12"/>
      <c r="K39" s="12"/>
      <c r="L39" s="12"/>
      <c r="M39" s="18"/>
      <c r="N39" s="12"/>
      <c r="O39" s="14"/>
      <c r="P39" s="16">
        <f>IF(OR(F39="",O39=""),"",F39*O39)</f>
        <v>0</v>
      </c>
      <c r="Q39" s="14"/>
      <c r="R39" s="14"/>
      <c r="S39" s="14"/>
      <c r="T39" s="16">
        <f>IF(P39="","",P39+N(Q39)+N(R39)-N(S39))</f>
        <v>0</v>
      </c>
      <c r="U39" s="12"/>
      <c r="V39" s="12"/>
      <c r="W39" s="12"/>
      <c r="X39" s="12"/>
      <c r="Y39" s="12"/>
      <c r="Z39" s="12"/>
      <c r="AA39" s="18"/>
    </row>
    <row r="40" spans="1:27">
      <c r="A40" s="12"/>
      <c r="B40" s="12"/>
      <c r="C40" s="12"/>
      <c r="D40" s="12"/>
      <c r="E40" s="12"/>
      <c r="F40" s="17"/>
      <c r="G40" s="12"/>
      <c r="H40" s="12"/>
      <c r="I40" s="12"/>
      <c r="J40" s="12"/>
      <c r="K40" s="12"/>
      <c r="L40" s="12"/>
      <c r="M40" s="18"/>
      <c r="N40" s="12"/>
      <c r="O40" s="14"/>
      <c r="P40" s="16">
        <f>IF(OR(F40="",O40=""),"",F40*O40)</f>
        <v>0</v>
      </c>
      <c r="Q40" s="14"/>
      <c r="R40" s="14"/>
      <c r="S40" s="14"/>
      <c r="T40" s="16">
        <f>IF(P40="","",P40+N(Q40)+N(R40)-N(S40))</f>
        <v>0</v>
      </c>
      <c r="U40" s="12"/>
      <c r="V40" s="12"/>
      <c r="W40" s="12"/>
      <c r="X40" s="12"/>
      <c r="Y40" s="12"/>
      <c r="Z40" s="12"/>
      <c r="AA40" s="18"/>
    </row>
    <row r="41" spans="1:27">
      <c r="A41" s="12"/>
      <c r="B41" s="12"/>
      <c r="C41" s="12"/>
      <c r="D41" s="12"/>
      <c r="E41" s="12"/>
      <c r="F41" s="17"/>
      <c r="G41" s="12"/>
      <c r="H41" s="12"/>
      <c r="I41" s="12"/>
      <c r="J41" s="12"/>
      <c r="K41" s="12"/>
      <c r="L41" s="12"/>
      <c r="M41" s="18"/>
      <c r="N41" s="12"/>
      <c r="O41" s="14"/>
      <c r="P41" s="16">
        <f>IF(OR(F41="",O41=""),"",F41*O41)</f>
        <v>0</v>
      </c>
      <c r="Q41" s="14"/>
      <c r="R41" s="14"/>
      <c r="S41" s="14"/>
      <c r="T41" s="16">
        <f>IF(P41="","",P41+N(Q41)+N(R41)-N(S41))</f>
        <v>0</v>
      </c>
      <c r="U41" s="12"/>
      <c r="V41" s="12"/>
      <c r="W41" s="12"/>
      <c r="X41" s="12"/>
      <c r="Y41" s="12"/>
      <c r="Z41" s="12"/>
      <c r="AA41" s="18"/>
    </row>
    <row r="42" spans="1:27">
      <c r="A42" s="12"/>
      <c r="B42" s="12"/>
      <c r="C42" s="12"/>
      <c r="D42" s="12"/>
      <c r="E42" s="12"/>
      <c r="F42" s="17"/>
      <c r="G42" s="12"/>
      <c r="H42" s="12"/>
      <c r="I42" s="12"/>
      <c r="J42" s="12"/>
      <c r="K42" s="12"/>
      <c r="L42" s="12"/>
      <c r="M42" s="18"/>
      <c r="N42" s="12"/>
      <c r="O42" s="14"/>
      <c r="P42" s="16">
        <f>IF(OR(F42="",O42=""),"",F42*O42)</f>
        <v>0</v>
      </c>
      <c r="Q42" s="14"/>
      <c r="R42" s="14"/>
      <c r="S42" s="14"/>
      <c r="T42" s="16">
        <f>IF(P42="","",P42+N(Q42)+N(R42)-N(S42))</f>
        <v>0</v>
      </c>
      <c r="U42" s="12"/>
      <c r="V42" s="12"/>
      <c r="W42" s="12"/>
      <c r="X42" s="12"/>
      <c r="Y42" s="12"/>
      <c r="Z42" s="12"/>
      <c r="AA42" s="18"/>
    </row>
    <row r="43" spans="1:27">
      <c r="A43" s="12"/>
      <c r="B43" s="12"/>
      <c r="C43" s="12"/>
      <c r="D43" s="12"/>
      <c r="E43" s="12"/>
      <c r="F43" s="17"/>
      <c r="G43" s="12"/>
      <c r="H43" s="12"/>
      <c r="I43" s="12"/>
      <c r="J43" s="12"/>
      <c r="K43" s="12"/>
      <c r="L43" s="12"/>
      <c r="M43" s="18"/>
      <c r="N43" s="12"/>
      <c r="O43" s="14"/>
      <c r="P43" s="16">
        <f>IF(OR(F43="",O43=""),"",F43*O43)</f>
        <v>0</v>
      </c>
      <c r="Q43" s="14"/>
      <c r="R43" s="14"/>
      <c r="S43" s="14"/>
      <c r="T43" s="16">
        <f>IF(P43="","",P43+N(Q43)+N(R43)-N(S43))</f>
        <v>0</v>
      </c>
      <c r="U43" s="12"/>
      <c r="V43" s="12"/>
      <c r="W43" s="12"/>
      <c r="X43" s="12"/>
      <c r="Y43" s="12"/>
      <c r="Z43" s="12"/>
      <c r="AA43" s="18"/>
    </row>
    <row r="44" spans="1:27">
      <c r="A44" s="12"/>
      <c r="B44" s="12"/>
      <c r="C44" s="12"/>
      <c r="D44" s="12"/>
      <c r="E44" s="12"/>
      <c r="F44" s="17"/>
      <c r="G44" s="12"/>
      <c r="H44" s="12"/>
      <c r="I44" s="12"/>
      <c r="J44" s="12"/>
      <c r="K44" s="12"/>
      <c r="L44" s="12"/>
      <c r="M44" s="18"/>
      <c r="N44" s="12"/>
      <c r="O44" s="14"/>
      <c r="P44" s="16">
        <f>IF(OR(F44="",O44=""),"",F44*O44)</f>
        <v>0</v>
      </c>
      <c r="Q44" s="14"/>
      <c r="R44" s="14"/>
      <c r="S44" s="14"/>
      <c r="T44" s="16">
        <f>IF(P44="","",P44+N(Q44)+N(R44)-N(S44))</f>
        <v>0</v>
      </c>
      <c r="U44" s="12"/>
      <c r="V44" s="12"/>
      <c r="W44" s="12"/>
      <c r="X44" s="12"/>
      <c r="Y44" s="12"/>
      <c r="Z44" s="12"/>
      <c r="AA44" s="18"/>
    </row>
    <row r="45" spans="1:27">
      <c r="A45" s="12"/>
      <c r="B45" s="12"/>
      <c r="C45" s="12"/>
      <c r="D45" s="12"/>
      <c r="E45" s="12"/>
      <c r="F45" s="17"/>
      <c r="G45" s="12"/>
      <c r="H45" s="12"/>
      <c r="I45" s="12"/>
      <c r="J45" s="12"/>
      <c r="K45" s="12"/>
      <c r="L45" s="12"/>
      <c r="M45" s="18"/>
      <c r="N45" s="12"/>
      <c r="O45" s="14"/>
      <c r="P45" s="16">
        <f>IF(OR(F45="",O45=""),"",F45*O45)</f>
        <v>0</v>
      </c>
      <c r="Q45" s="14"/>
      <c r="R45" s="14"/>
      <c r="S45" s="14"/>
      <c r="T45" s="16">
        <f>IF(P45="","",P45+N(Q45)+N(R45)-N(S45))</f>
        <v>0</v>
      </c>
      <c r="U45" s="12"/>
      <c r="V45" s="12"/>
      <c r="W45" s="12"/>
      <c r="X45" s="12"/>
      <c r="Y45" s="12"/>
      <c r="Z45" s="12"/>
      <c r="AA45" s="18"/>
    </row>
    <row r="46" spans="1:27">
      <c r="A46" s="12"/>
      <c r="B46" s="12"/>
      <c r="C46" s="12"/>
      <c r="D46" s="12"/>
      <c r="E46" s="12"/>
      <c r="F46" s="17"/>
      <c r="G46" s="12"/>
      <c r="H46" s="12"/>
      <c r="I46" s="12"/>
      <c r="J46" s="12"/>
      <c r="K46" s="12"/>
      <c r="L46" s="12"/>
      <c r="M46" s="18"/>
      <c r="N46" s="12"/>
      <c r="O46" s="14"/>
      <c r="P46" s="16">
        <f>IF(OR(F46="",O46=""),"",F46*O46)</f>
        <v>0</v>
      </c>
      <c r="Q46" s="14"/>
      <c r="R46" s="14"/>
      <c r="S46" s="14"/>
      <c r="T46" s="16">
        <f>IF(P46="","",P46+N(Q46)+N(R46)-N(S46))</f>
        <v>0</v>
      </c>
      <c r="U46" s="12"/>
      <c r="V46" s="12"/>
      <c r="W46" s="12"/>
      <c r="X46" s="12"/>
      <c r="Y46" s="12"/>
      <c r="Z46" s="12"/>
      <c r="AA46" s="18"/>
    </row>
    <row r="47" spans="1:27">
      <c r="A47" s="12"/>
      <c r="B47" s="12"/>
      <c r="C47" s="12"/>
      <c r="D47" s="12"/>
      <c r="E47" s="12"/>
      <c r="F47" s="17"/>
      <c r="G47" s="12"/>
      <c r="H47" s="12"/>
      <c r="I47" s="12"/>
      <c r="J47" s="12"/>
      <c r="K47" s="12"/>
      <c r="L47" s="12"/>
      <c r="M47" s="18"/>
      <c r="N47" s="12"/>
      <c r="O47" s="14"/>
      <c r="P47" s="16">
        <f>IF(OR(F47="",O47=""),"",F47*O47)</f>
        <v>0</v>
      </c>
      <c r="Q47" s="14"/>
      <c r="R47" s="14"/>
      <c r="S47" s="14"/>
      <c r="T47" s="16">
        <f>IF(P47="","",P47+N(Q47)+N(R47)-N(S47))</f>
        <v>0</v>
      </c>
      <c r="U47" s="12"/>
      <c r="V47" s="12"/>
      <c r="W47" s="12"/>
      <c r="X47" s="12"/>
      <c r="Y47" s="12"/>
      <c r="Z47" s="12"/>
      <c r="AA47" s="18"/>
    </row>
    <row r="48" spans="1:27">
      <c r="A48" s="12"/>
      <c r="B48" s="12"/>
      <c r="C48" s="12"/>
      <c r="D48" s="12"/>
      <c r="E48" s="12"/>
      <c r="F48" s="17"/>
      <c r="G48" s="12"/>
      <c r="H48" s="12"/>
      <c r="I48" s="12"/>
      <c r="J48" s="12"/>
      <c r="K48" s="12"/>
      <c r="L48" s="12"/>
      <c r="M48" s="18"/>
      <c r="N48" s="12"/>
      <c r="O48" s="14"/>
      <c r="P48" s="16">
        <f>IF(OR(F48="",O48=""),"",F48*O48)</f>
        <v>0</v>
      </c>
      <c r="Q48" s="14"/>
      <c r="R48" s="14"/>
      <c r="S48" s="14"/>
      <c r="T48" s="16">
        <f>IF(P48="","",P48+N(Q48)+N(R48)-N(S48))</f>
        <v>0</v>
      </c>
      <c r="U48" s="12"/>
      <c r="V48" s="12"/>
      <c r="W48" s="12"/>
      <c r="X48" s="12"/>
      <c r="Y48" s="12"/>
      <c r="Z48" s="12"/>
      <c r="AA48" s="18"/>
    </row>
    <row r="49" spans="1:27">
      <c r="A49" s="12"/>
      <c r="B49" s="12"/>
      <c r="C49" s="12"/>
      <c r="D49" s="12"/>
      <c r="E49" s="12"/>
      <c r="F49" s="17"/>
      <c r="G49" s="12"/>
      <c r="H49" s="12"/>
      <c r="I49" s="12"/>
      <c r="J49" s="12"/>
      <c r="K49" s="12"/>
      <c r="L49" s="12"/>
      <c r="M49" s="18"/>
      <c r="N49" s="12"/>
      <c r="O49" s="14"/>
      <c r="P49" s="16">
        <f>IF(OR(F49="",O49=""),"",F49*O49)</f>
        <v>0</v>
      </c>
      <c r="Q49" s="14"/>
      <c r="R49" s="14"/>
      <c r="S49" s="14"/>
      <c r="T49" s="16">
        <f>IF(P49="","",P49+N(Q49)+N(R49)-N(S49))</f>
        <v>0</v>
      </c>
      <c r="U49" s="12"/>
      <c r="V49" s="12"/>
      <c r="W49" s="12"/>
      <c r="X49" s="12"/>
      <c r="Y49" s="12"/>
      <c r="Z49" s="12"/>
      <c r="AA49" s="18"/>
    </row>
    <row r="50" spans="1:27">
      <c r="A50" s="12"/>
      <c r="B50" s="12"/>
      <c r="C50" s="12"/>
      <c r="D50" s="12"/>
      <c r="E50" s="12"/>
      <c r="F50" s="17"/>
      <c r="G50" s="12"/>
      <c r="H50" s="12"/>
      <c r="I50" s="12"/>
      <c r="J50" s="12"/>
      <c r="K50" s="12"/>
      <c r="L50" s="12"/>
      <c r="M50" s="18"/>
      <c r="N50" s="12"/>
      <c r="O50" s="14"/>
      <c r="P50" s="16">
        <f>IF(OR(F50="",O50=""),"",F50*O50)</f>
        <v>0</v>
      </c>
      <c r="Q50" s="14"/>
      <c r="R50" s="14"/>
      <c r="S50" s="14"/>
      <c r="T50" s="16">
        <f>IF(P50="","",P50+N(Q50)+N(R50)-N(S50))</f>
        <v>0</v>
      </c>
      <c r="U50" s="12"/>
      <c r="V50" s="12"/>
      <c r="W50" s="12"/>
      <c r="X50" s="12"/>
      <c r="Y50" s="12"/>
      <c r="Z50" s="12"/>
      <c r="AA50" s="18"/>
    </row>
    <row r="51" spans="1:27">
      <c r="A51" s="12"/>
      <c r="B51" s="12"/>
      <c r="C51" s="12"/>
      <c r="D51" s="12"/>
      <c r="E51" s="12"/>
      <c r="F51" s="17"/>
      <c r="G51" s="12"/>
      <c r="H51" s="12"/>
      <c r="I51" s="12"/>
      <c r="J51" s="12"/>
      <c r="K51" s="12"/>
      <c r="L51" s="12"/>
      <c r="M51" s="18"/>
      <c r="N51" s="12"/>
      <c r="O51" s="14"/>
      <c r="P51" s="16">
        <f>IF(OR(F51="",O51=""),"",F51*O51)</f>
        <v>0</v>
      </c>
      <c r="Q51" s="14"/>
      <c r="R51" s="14"/>
      <c r="S51" s="14"/>
      <c r="T51" s="16">
        <f>IF(P51="","",P51+N(Q51)+N(R51)-N(S51))</f>
        <v>0</v>
      </c>
      <c r="U51" s="12"/>
      <c r="V51" s="12"/>
      <c r="W51" s="12"/>
      <c r="X51" s="12"/>
      <c r="Y51" s="12"/>
      <c r="Z51" s="12"/>
      <c r="AA51" s="18"/>
    </row>
    <row r="52" spans="1:27">
      <c r="A52" s="12"/>
      <c r="B52" s="12"/>
      <c r="C52" s="12"/>
      <c r="D52" s="12"/>
      <c r="E52" s="12"/>
      <c r="F52" s="17"/>
      <c r="G52" s="12"/>
      <c r="H52" s="12"/>
      <c r="I52" s="12"/>
      <c r="J52" s="12"/>
      <c r="K52" s="12"/>
      <c r="L52" s="12"/>
      <c r="M52" s="18"/>
      <c r="N52" s="12"/>
      <c r="O52" s="14"/>
      <c r="P52" s="16">
        <f>IF(OR(F52="",O52=""),"",F52*O52)</f>
        <v>0</v>
      </c>
      <c r="Q52" s="14"/>
      <c r="R52" s="14"/>
      <c r="S52" s="14"/>
      <c r="T52" s="16">
        <f>IF(P52="","",P52+N(Q52)+N(R52)-N(S52))</f>
        <v>0</v>
      </c>
      <c r="U52" s="12"/>
      <c r="V52" s="12"/>
      <c r="W52" s="12"/>
      <c r="X52" s="12"/>
      <c r="Y52" s="12"/>
      <c r="Z52" s="12"/>
      <c r="AA52" s="18"/>
    </row>
    <row r="53" spans="1:27">
      <c r="A53" s="12"/>
      <c r="B53" s="12"/>
      <c r="C53" s="12"/>
      <c r="D53" s="12"/>
      <c r="E53" s="12"/>
      <c r="F53" s="17"/>
      <c r="G53" s="12"/>
      <c r="H53" s="12"/>
      <c r="I53" s="12"/>
      <c r="J53" s="12"/>
      <c r="K53" s="12"/>
      <c r="L53" s="12"/>
      <c r="M53" s="18"/>
      <c r="N53" s="12"/>
      <c r="O53" s="14"/>
      <c r="P53" s="16">
        <f>IF(OR(F53="",O53=""),"",F53*O53)</f>
        <v>0</v>
      </c>
      <c r="Q53" s="14"/>
      <c r="R53" s="14"/>
      <c r="S53" s="14"/>
      <c r="T53" s="16">
        <f>IF(P53="","",P53+N(Q53)+N(R53)-N(S53))</f>
        <v>0</v>
      </c>
      <c r="U53" s="12"/>
      <c r="V53" s="12"/>
      <c r="W53" s="12"/>
      <c r="X53" s="12"/>
      <c r="Y53" s="12"/>
      <c r="Z53" s="12"/>
      <c r="AA53" s="18"/>
    </row>
    <row r="54" spans="1:27">
      <c r="A54" s="12"/>
      <c r="B54" s="12"/>
      <c r="C54" s="12"/>
      <c r="D54" s="12"/>
      <c r="E54" s="12"/>
      <c r="F54" s="17"/>
      <c r="G54" s="12"/>
      <c r="H54" s="12"/>
      <c r="I54" s="12"/>
      <c r="J54" s="12"/>
      <c r="K54" s="12"/>
      <c r="L54" s="12"/>
      <c r="M54" s="18"/>
      <c r="N54" s="12"/>
      <c r="O54" s="14"/>
      <c r="P54" s="16">
        <f>IF(OR(F54="",O54=""),"",F54*O54)</f>
        <v>0</v>
      </c>
      <c r="Q54" s="14"/>
      <c r="R54" s="14"/>
      <c r="S54" s="14"/>
      <c r="T54" s="16">
        <f>IF(P54="","",P54+N(Q54)+N(R54)-N(S54))</f>
        <v>0</v>
      </c>
      <c r="U54" s="12"/>
      <c r="V54" s="12"/>
      <c r="W54" s="12"/>
      <c r="X54" s="12"/>
      <c r="Y54" s="12"/>
      <c r="Z54" s="12"/>
      <c r="AA54" s="18"/>
    </row>
    <row r="55" spans="1:27">
      <c r="A55" s="12"/>
      <c r="B55" s="12"/>
      <c r="C55" s="12"/>
      <c r="D55" s="12"/>
      <c r="E55" s="12"/>
      <c r="F55" s="17"/>
      <c r="G55" s="12"/>
      <c r="H55" s="12"/>
      <c r="I55" s="12"/>
      <c r="J55" s="12"/>
      <c r="K55" s="12"/>
      <c r="L55" s="12"/>
      <c r="M55" s="18"/>
      <c r="N55" s="12"/>
      <c r="O55" s="14"/>
      <c r="P55" s="16">
        <f>IF(OR(F55="",O55=""),"",F55*O55)</f>
        <v>0</v>
      </c>
      <c r="Q55" s="14"/>
      <c r="R55" s="14"/>
      <c r="S55" s="14"/>
      <c r="T55" s="16">
        <f>IF(P55="","",P55+N(Q55)+N(R55)-N(S55))</f>
        <v>0</v>
      </c>
      <c r="U55" s="12"/>
      <c r="V55" s="12"/>
      <c r="W55" s="12"/>
      <c r="X55" s="12"/>
      <c r="Y55" s="12"/>
      <c r="Z55" s="12"/>
      <c r="AA55" s="18"/>
    </row>
    <row r="56" spans="1:27">
      <c r="A56" s="12"/>
      <c r="B56" s="12"/>
      <c r="C56" s="12"/>
      <c r="D56" s="12"/>
      <c r="E56" s="12"/>
      <c r="F56" s="17"/>
      <c r="G56" s="12"/>
      <c r="H56" s="12"/>
      <c r="I56" s="12"/>
      <c r="J56" s="12"/>
      <c r="K56" s="12"/>
      <c r="L56" s="12"/>
      <c r="M56" s="18"/>
      <c r="N56" s="12"/>
      <c r="O56" s="14"/>
      <c r="P56" s="16">
        <f>IF(OR(F56="",O56=""),"",F56*O56)</f>
        <v>0</v>
      </c>
      <c r="Q56" s="14"/>
      <c r="R56" s="14"/>
      <c r="S56" s="14"/>
      <c r="T56" s="16">
        <f>IF(P56="","",P56+N(Q56)+N(R56)-N(S56))</f>
        <v>0</v>
      </c>
      <c r="U56" s="12"/>
      <c r="V56" s="12"/>
      <c r="W56" s="12"/>
      <c r="X56" s="12"/>
      <c r="Y56" s="12"/>
      <c r="Z56" s="12"/>
      <c r="AA56" s="18"/>
    </row>
    <row r="57" spans="1:27">
      <c r="A57" s="12"/>
      <c r="B57" s="12"/>
      <c r="C57" s="12"/>
      <c r="D57" s="12"/>
      <c r="E57" s="12"/>
      <c r="F57" s="17"/>
      <c r="G57" s="12"/>
      <c r="H57" s="12"/>
      <c r="I57" s="12"/>
      <c r="J57" s="12"/>
      <c r="K57" s="12"/>
      <c r="L57" s="12"/>
      <c r="M57" s="18"/>
      <c r="N57" s="12"/>
      <c r="O57" s="14"/>
      <c r="P57" s="16">
        <f>IF(OR(F57="",O57=""),"",F57*O57)</f>
        <v>0</v>
      </c>
      <c r="Q57" s="14"/>
      <c r="R57" s="14"/>
      <c r="S57" s="14"/>
      <c r="T57" s="16">
        <f>IF(P57="","",P57+N(Q57)+N(R57)-N(S57))</f>
        <v>0</v>
      </c>
      <c r="U57" s="12"/>
      <c r="V57" s="12"/>
      <c r="W57" s="12"/>
      <c r="X57" s="12"/>
      <c r="Y57" s="12"/>
      <c r="Z57" s="12"/>
      <c r="AA57" s="18"/>
    </row>
    <row r="58" spans="1:27">
      <c r="A58" s="12"/>
      <c r="B58" s="12"/>
      <c r="C58" s="12"/>
      <c r="D58" s="12"/>
      <c r="E58" s="12"/>
      <c r="F58" s="17"/>
      <c r="G58" s="12"/>
      <c r="H58" s="12"/>
      <c r="I58" s="12"/>
      <c r="J58" s="12"/>
      <c r="K58" s="12"/>
      <c r="L58" s="12"/>
      <c r="M58" s="18"/>
      <c r="N58" s="12"/>
      <c r="O58" s="14"/>
      <c r="P58" s="16">
        <f>IF(OR(F58="",O58=""),"",F58*O58)</f>
        <v>0</v>
      </c>
      <c r="Q58" s="14"/>
      <c r="R58" s="14"/>
      <c r="S58" s="14"/>
      <c r="T58" s="16">
        <f>IF(P58="","",P58+N(Q58)+N(R58)-N(S58))</f>
        <v>0</v>
      </c>
      <c r="U58" s="12"/>
      <c r="V58" s="12"/>
      <c r="W58" s="12"/>
      <c r="X58" s="12"/>
      <c r="Y58" s="12"/>
      <c r="Z58" s="12"/>
      <c r="AA58" s="18"/>
    </row>
    <row r="59" spans="1:27">
      <c r="A59" s="12"/>
      <c r="B59" s="12"/>
      <c r="C59" s="12"/>
      <c r="D59" s="12"/>
      <c r="E59" s="12"/>
      <c r="F59" s="17"/>
      <c r="G59" s="12"/>
      <c r="H59" s="12"/>
      <c r="I59" s="12"/>
      <c r="J59" s="12"/>
      <c r="K59" s="12"/>
      <c r="L59" s="12"/>
      <c r="M59" s="18"/>
      <c r="N59" s="12"/>
      <c r="O59" s="14"/>
      <c r="P59" s="16">
        <f>IF(OR(F59="",O59=""),"",F59*O59)</f>
        <v>0</v>
      </c>
      <c r="Q59" s="14"/>
      <c r="R59" s="14"/>
      <c r="S59" s="14"/>
      <c r="T59" s="16">
        <f>IF(P59="","",P59+N(Q59)+N(R59)-N(S59))</f>
        <v>0</v>
      </c>
      <c r="U59" s="12"/>
      <c r="V59" s="12"/>
      <c r="W59" s="12"/>
      <c r="X59" s="12"/>
      <c r="Y59" s="12"/>
      <c r="Z59" s="12"/>
      <c r="AA59" s="18"/>
    </row>
    <row r="60" spans="1:27">
      <c r="A60" s="12"/>
      <c r="B60" s="12"/>
      <c r="C60" s="12"/>
      <c r="D60" s="12"/>
      <c r="E60" s="12"/>
      <c r="F60" s="17"/>
      <c r="G60" s="12"/>
      <c r="H60" s="12"/>
      <c r="I60" s="12"/>
      <c r="J60" s="12"/>
      <c r="K60" s="12"/>
      <c r="L60" s="12"/>
      <c r="M60" s="18"/>
      <c r="N60" s="12"/>
      <c r="O60" s="14"/>
      <c r="P60" s="16">
        <f>IF(OR(F60="",O60=""),"",F60*O60)</f>
        <v>0</v>
      </c>
      <c r="Q60" s="14"/>
      <c r="R60" s="14"/>
      <c r="S60" s="14"/>
      <c r="T60" s="16">
        <f>IF(P60="","",P60+N(Q60)+N(R60)-N(S60))</f>
        <v>0</v>
      </c>
      <c r="U60" s="12"/>
      <c r="V60" s="12"/>
      <c r="W60" s="12"/>
      <c r="X60" s="12"/>
      <c r="Y60" s="12"/>
      <c r="Z60" s="12"/>
      <c r="AA60" s="18"/>
    </row>
    <row r="61" spans="1:27">
      <c r="A61" s="12"/>
      <c r="B61" s="12"/>
      <c r="C61" s="12"/>
      <c r="D61" s="12"/>
      <c r="E61" s="12"/>
      <c r="F61" s="17"/>
      <c r="G61" s="12"/>
      <c r="H61" s="12"/>
      <c r="I61" s="12"/>
      <c r="J61" s="12"/>
      <c r="K61" s="12"/>
      <c r="L61" s="12"/>
      <c r="M61" s="18"/>
      <c r="N61" s="12"/>
      <c r="O61" s="14"/>
      <c r="P61" s="16">
        <f>IF(OR(F61="",O61=""),"",F61*O61)</f>
        <v>0</v>
      </c>
      <c r="Q61" s="14"/>
      <c r="R61" s="14"/>
      <c r="S61" s="14"/>
      <c r="T61" s="16">
        <f>IF(P61="","",P61+N(Q61)+N(R61)-N(S61))</f>
        <v>0</v>
      </c>
      <c r="U61" s="12"/>
      <c r="V61" s="12"/>
      <c r="W61" s="12"/>
      <c r="X61" s="12"/>
      <c r="Y61" s="12"/>
      <c r="Z61" s="12"/>
      <c r="AA61" s="18"/>
    </row>
    <row r="62" spans="1:27">
      <c r="A62" s="12"/>
      <c r="B62" s="12"/>
      <c r="C62" s="12"/>
      <c r="D62" s="12"/>
      <c r="E62" s="12"/>
      <c r="F62" s="17"/>
      <c r="G62" s="12"/>
      <c r="H62" s="12"/>
      <c r="I62" s="12"/>
      <c r="J62" s="12"/>
      <c r="K62" s="12"/>
      <c r="L62" s="12"/>
      <c r="M62" s="18"/>
      <c r="N62" s="12"/>
      <c r="O62" s="14"/>
      <c r="P62" s="16">
        <f>IF(OR(F62="",O62=""),"",F62*O62)</f>
        <v>0</v>
      </c>
      <c r="Q62" s="14"/>
      <c r="R62" s="14"/>
      <c r="S62" s="14"/>
      <c r="T62" s="16">
        <f>IF(P62="","",P62+N(Q62)+N(R62)-N(S62))</f>
        <v>0</v>
      </c>
      <c r="U62" s="12"/>
      <c r="V62" s="12"/>
      <c r="W62" s="12"/>
      <c r="X62" s="12"/>
      <c r="Y62" s="12"/>
      <c r="Z62" s="12"/>
      <c r="AA62" s="18"/>
    </row>
    <row r="63" spans="1:27">
      <c r="A63" s="12"/>
      <c r="B63" s="12"/>
      <c r="C63" s="12"/>
      <c r="D63" s="12"/>
      <c r="E63" s="12"/>
      <c r="F63" s="17"/>
      <c r="G63" s="12"/>
      <c r="H63" s="12"/>
      <c r="I63" s="12"/>
      <c r="J63" s="12"/>
      <c r="K63" s="12"/>
      <c r="L63" s="12"/>
      <c r="M63" s="18"/>
      <c r="N63" s="12"/>
      <c r="O63" s="14"/>
      <c r="P63" s="16">
        <f>IF(OR(F63="",O63=""),"",F63*O63)</f>
        <v>0</v>
      </c>
      <c r="Q63" s="14"/>
      <c r="R63" s="14"/>
      <c r="S63" s="14"/>
      <c r="T63" s="16">
        <f>IF(P63="","",P63+N(Q63)+N(R63)-N(S63))</f>
        <v>0</v>
      </c>
      <c r="U63" s="12"/>
      <c r="V63" s="12"/>
      <c r="W63" s="12"/>
      <c r="X63" s="12"/>
      <c r="Y63" s="12"/>
      <c r="Z63" s="12"/>
      <c r="AA63" s="18"/>
    </row>
    <row r="64" spans="1:27">
      <c r="A64" s="12"/>
      <c r="B64" s="12"/>
      <c r="C64" s="12"/>
      <c r="D64" s="12"/>
      <c r="E64" s="12"/>
      <c r="F64" s="17"/>
      <c r="G64" s="12"/>
      <c r="H64" s="12"/>
      <c r="I64" s="12"/>
      <c r="J64" s="12"/>
      <c r="K64" s="12"/>
      <c r="L64" s="12"/>
      <c r="M64" s="18"/>
      <c r="N64" s="12"/>
      <c r="O64" s="14"/>
      <c r="P64" s="16">
        <f>IF(OR(F64="",O64=""),"",F64*O64)</f>
        <v>0</v>
      </c>
      <c r="Q64" s="14"/>
      <c r="R64" s="14"/>
      <c r="S64" s="14"/>
      <c r="T64" s="16">
        <f>IF(P64="","",P64+N(Q64)+N(R64)-N(S64))</f>
        <v>0</v>
      </c>
      <c r="U64" s="12"/>
      <c r="V64" s="12"/>
      <c r="W64" s="12"/>
      <c r="X64" s="12"/>
      <c r="Y64" s="12"/>
      <c r="Z64" s="12"/>
      <c r="AA64" s="18"/>
    </row>
    <row r="65" spans="1:27">
      <c r="A65" s="12"/>
      <c r="B65" s="12"/>
      <c r="C65" s="12"/>
      <c r="D65" s="12"/>
      <c r="E65" s="12"/>
      <c r="F65" s="17"/>
      <c r="G65" s="12"/>
      <c r="H65" s="12"/>
      <c r="I65" s="12"/>
      <c r="J65" s="12"/>
      <c r="K65" s="12"/>
      <c r="L65" s="12"/>
      <c r="M65" s="18"/>
      <c r="N65" s="12"/>
      <c r="O65" s="14"/>
      <c r="P65" s="16">
        <f>IF(OR(F65="",O65=""),"",F65*O65)</f>
        <v>0</v>
      </c>
      <c r="Q65" s="14"/>
      <c r="R65" s="14"/>
      <c r="S65" s="14"/>
      <c r="T65" s="16">
        <f>IF(P65="","",P65+N(Q65)+N(R65)-N(S65))</f>
        <v>0</v>
      </c>
      <c r="U65" s="12"/>
      <c r="V65" s="12"/>
      <c r="W65" s="12"/>
      <c r="X65" s="12"/>
      <c r="Y65" s="12"/>
      <c r="Z65" s="12"/>
      <c r="AA65" s="18"/>
    </row>
    <row r="66" spans="1:27">
      <c r="A66" s="12"/>
      <c r="B66" s="12"/>
      <c r="C66" s="12"/>
      <c r="D66" s="12"/>
      <c r="E66" s="12"/>
      <c r="F66" s="17"/>
      <c r="G66" s="12"/>
      <c r="H66" s="12"/>
      <c r="I66" s="12"/>
      <c r="J66" s="12"/>
      <c r="K66" s="12"/>
      <c r="L66" s="12"/>
      <c r="M66" s="18"/>
      <c r="N66" s="12"/>
      <c r="O66" s="14"/>
      <c r="P66" s="16">
        <f>IF(OR(F66="",O66=""),"",F66*O66)</f>
        <v>0</v>
      </c>
      <c r="Q66" s="14"/>
      <c r="R66" s="14"/>
      <c r="S66" s="14"/>
      <c r="T66" s="16">
        <f>IF(P66="","",P66+N(Q66)+N(R66)-N(S66))</f>
        <v>0</v>
      </c>
      <c r="U66" s="12"/>
      <c r="V66" s="12"/>
      <c r="W66" s="12"/>
      <c r="X66" s="12"/>
      <c r="Y66" s="12"/>
      <c r="Z66" s="12"/>
      <c r="AA66" s="18"/>
    </row>
    <row r="67" spans="1:27">
      <c r="A67" s="12"/>
      <c r="B67" s="12"/>
      <c r="C67" s="12"/>
      <c r="D67" s="12"/>
      <c r="E67" s="12"/>
      <c r="F67" s="17"/>
      <c r="G67" s="12"/>
      <c r="H67" s="12"/>
      <c r="I67" s="12"/>
      <c r="J67" s="12"/>
      <c r="K67" s="12"/>
      <c r="L67" s="12"/>
      <c r="M67" s="18"/>
      <c r="N67" s="12"/>
      <c r="O67" s="14"/>
      <c r="P67" s="16">
        <f>IF(OR(F67="",O67=""),"",F67*O67)</f>
        <v>0</v>
      </c>
      <c r="Q67" s="14"/>
      <c r="R67" s="14"/>
      <c r="S67" s="14"/>
      <c r="T67" s="16">
        <f>IF(P67="","",P67+N(Q67)+N(R67)-N(S67))</f>
        <v>0</v>
      </c>
      <c r="U67" s="12"/>
      <c r="V67" s="12"/>
      <c r="W67" s="12"/>
      <c r="X67" s="12"/>
      <c r="Y67" s="12"/>
      <c r="Z67" s="12"/>
      <c r="AA67" s="18"/>
    </row>
    <row r="68" spans="1:27">
      <c r="A68" s="12"/>
      <c r="B68" s="12"/>
      <c r="C68" s="12"/>
      <c r="D68" s="12"/>
      <c r="E68" s="12"/>
      <c r="F68" s="17"/>
      <c r="G68" s="12"/>
      <c r="H68" s="12"/>
      <c r="I68" s="12"/>
      <c r="J68" s="12"/>
      <c r="K68" s="12"/>
      <c r="L68" s="12"/>
      <c r="M68" s="18"/>
      <c r="N68" s="12"/>
      <c r="O68" s="14"/>
      <c r="P68" s="16">
        <f>IF(OR(F68="",O68=""),"",F68*O68)</f>
        <v>0</v>
      </c>
      <c r="Q68" s="14"/>
      <c r="R68" s="14"/>
      <c r="S68" s="14"/>
      <c r="T68" s="16">
        <f>IF(P68="","",P68+N(Q68)+N(R68)-N(S68))</f>
        <v>0</v>
      </c>
      <c r="U68" s="12"/>
      <c r="V68" s="12"/>
      <c r="W68" s="12"/>
      <c r="X68" s="12"/>
      <c r="Y68" s="12"/>
      <c r="Z68" s="12"/>
      <c r="AA68" s="18"/>
    </row>
    <row r="69" spans="1:27">
      <c r="A69" s="12"/>
      <c r="B69" s="12"/>
      <c r="C69" s="12"/>
      <c r="D69" s="12"/>
      <c r="E69" s="12"/>
      <c r="F69" s="17"/>
      <c r="G69" s="12"/>
      <c r="H69" s="12"/>
      <c r="I69" s="12"/>
      <c r="J69" s="12"/>
      <c r="K69" s="12"/>
      <c r="L69" s="12"/>
      <c r="M69" s="18"/>
      <c r="N69" s="12"/>
      <c r="O69" s="14"/>
      <c r="P69" s="16">
        <f>IF(OR(F69="",O69=""),"",F69*O69)</f>
        <v>0</v>
      </c>
      <c r="Q69" s="14"/>
      <c r="R69" s="14"/>
      <c r="S69" s="14"/>
      <c r="T69" s="16">
        <f>IF(P69="","",P69+N(Q69)+N(R69)-N(S69))</f>
        <v>0</v>
      </c>
      <c r="U69" s="12"/>
      <c r="V69" s="12"/>
      <c r="W69" s="12"/>
      <c r="X69" s="12"/>
      <c r="Y69" s="12"/>
      <c r="Z69" s="12"/>
      <c r="AA69" s="18"/>
    </row>
    <row r="70" spans="1:27">
      <c r="A70" s="12"/>
      <c r="B70" s="12"/>
      <c r="C70" s="12"/>
      <c r="D70" s="12"/>
      <c r="E70" s="12"/>
      <c r="F70" s="17"/>
      <c r="G70" s="12"/>
      <c r="H70" s="12"/>
      <c r="I70" s="12"/>
      <c r="J70" s="12"/>
      <c r="K70" s="12"/>
      <c r="L70" s="12"/>
      <c r="M70" s="18"/>
      <c r="N70" s="12"/>
      <c r="O70" s="14"/>
      <c r="P70" s="16">
        <f>IF(OR(F70="",O70=""),"",F70*O70)</f>
        <v>0</v>
      </c>
      <c r="Q70" s="14"/>
      <c r="R70" s="14"/>
      <c r="S70" s="14"/>
      <c r="T70" s="16">
        <f>IF(P70="","",P70+N(Q70)+N(R70)-N(S70))</f>
        <v>0</v>
      </c>
      <c r="U70" s="12"/>
      <c r="V70" s="12"/>
      <c r="W70" s="12"/>
      <c r="X70" s="12"/>
      <c r="Y70" s="12"/>
      <c r="Z70" s="12"/>
      <c r="AA70" s="18"/>
    </row>
    <row r="71" spans="1:27">
      <c r="A71" s="12"/>
      <c r="B71" s="12"/>
      <c r="C71" s="12"/>
      <c r="D71" s="12"/>
      <c r="E71" s="12"/>
      <c r="F71" s="17"/>
      <c r="G71" s="12"/>
      <c r="H71" s="12"/>
      <c r="I71" s="12"/>
      <c r="J71" s="12"/>
      <c r="K71" s="12"/>
      <c r="L71" s="12"/>
      <c r="M71" s="18"/>
      <c r="N71" s="12"/>
      <c r="O71" s="14"/>
      <c r="P71" s="16">
        <f>IF(OR(F71="",O71=""),"",F71*O71)</f>
        <v>0</v>
      </c>
      <c r="Q71" s="14"/>
      <c r="R71" s="14"/>
      <c r="S71" s="14"/>
      <c r="T71" s="16">
        <f>IF(P71="","",P71+N(Q71)+N(R71)-N(S71))</f>
        <v>0</v>
      </c>
      <c r="U71" s="12"/>
      <c r="V71" s="12"/>
      <c r="W71" s="12"/>
      <c r="X71" s="12"/>
      <c r="Y71" s="12"/>
      <c r="Z71" s="12"/>
      <c r="AA71" s="18"/>
    </row>
    <row r="72" spans="1:27">
      <c r="A72" s="12"/>
      <c r="B72" s="12"/>
      <c r="C72" s="12"/>
      <c r="D72" s="12"/>
      <c r="E72" s="12"/>
      <c r="F72" s="17"/>
      <c r="G72" s="12"/>
      <c r="H72" s="12"/>
      <c r="I72" s="12"/>
      <c r="J72" s="12"/>
      <c r="K72" s="12"/>
      <c r="L72" s="12"/>
      <c r="M72" s="18"/>
      <c r="N72" s="12"/>
      <c r="O72" s="14"/>
      <c r="P72" s="16">
        <f>IF(OR(F72="",O72=""),"",F72*O72)</f>
        <v>0</v>
      </c>
      <c r="Q72" s="14"/>
      <c r="R72" s="14"/>
      <c r="S72" s="14"/>
      <c r="T72" s="16">
        <f>IF(P72="","",P72+N(Q72)+N(R72)-N(S72))</f>
        <v>0</v>
      </c>
      <c r="U72" s="12"/>
      <c r="V72" s="12"/>
      <c r="W72" s="12"/>
      <c r="X72" s="12"/>
      <c r="Y72" s="12"/>
      <c r="Z72" s="12"/>
      <c r="AA72" s="18"/>
    </row>
    <row r="73" spans="1:27">
      <c r="A73" s="12"/>
      <c r="B73" s="12"/>
      <c r="C73" s="12"/>
      <c r="D73" s="12"/>
      <c r="E73" s="12"/>
      <c r="F73" s="17"/>
      <c r="G73" s="12"/>
      <c r="H73" s="12"/>
      <c r="I73" s="12"/>
      <c r="J73" s="12"/>
      <c r="K73" s="12"/>
      <c r="L73" s="12"/>
      <c r="M73" s="18"/>
      <c r="N73" s="12"/>
      <c r="O73" s="14"/>
      <c r="P73" s="16">
        <f>IF(OR(F73="",O73=""),"",F73*O73)</f>
        <v>0</v>
      </c>
      <c r="Q73" s="14"/>
      <c r="R73" s="14"/>
      <c r="S73" s="14"/>
      <c r="T73" s="16">
        <f>IF(P73="","",P73+N(Q73)+N(R73)-N(S73))</f>
        <v>0</v>
      </c>
      <c r="U73" s="12"/>
      <c r="V73" s="12"/>
      <c r="W73" s="12"/>
      <c r="X73" s="12"/>
      <c r="Y73" s="12"/>
      <c r="Z73" s="12"/>
      <c r="AA73" s="18"/>
    </row>
    <row r="74" spans="1:27">
      <c r="A74" s="12"/>
      <c r="B74" s="12"/>
      <c r="C74" s="12"/>
      <c r="D74" s="12"/>
      <c r="E74" s="12"/>
      <c r="F74" s="17"/>
      <c r="G74" s="12"/>
      <c r="H74" s="12"/>
      <c r="I74" s="12"/>
      <c r="J74" s="12"/>
      <c r="K74" s="12"/>
      <c r="L74" s="12"/>
      <c r="M74" s="18"/>
      <c r="N74" s="12"/>
      <c r="O74" s="14"/>
      <c r="P74" s="16">
        <f>IF(OR(F74="",O74=""),"",F74*O74)</f>
        <v>0</v>
      </c>
      <c r="Q74" s="14"/>
      <c r="R74" s="14"/>
      <c r="S74" s="14"/>
      <c r="T74" s="16">
        <f>IF(P74="","",P74+N(Q74)+N(R74)-N(S74))</f>
        <v>0</v>
      </c>
      <c r="U74" s="12"/>
      <c r="V74" s="12"/>
      <c r="W74" s="12"/>
      <c r="X74" s="12"/>
      <c r="Y74" s="12"/>
      <c r="Z74" s="12"/>
      <c r="AA74" s="18"/>
    </row>
    <row r="75" spans="1:27">
      <c r="A75" s="12"/>
      <c r="B75" s="12"/>
      <c r="C75" s="12"/>
      <c r="D75" s="12"/>
      <c r="E75" s="12"/>
      <c r="F75" s="17"/>
      <c r="G75" s="12"/>
      <c r="H75" s="12"/>
      <c r="I75" s="12"/>
      <c r="J75" s="12"/>
      <c r="K75" s="12"/>
      <c r="L75" s="12"/>
      <c r="M75" s="18"/>
      <c r="N75" s="12"/>
      <c r="O75" s="14"/>
      <c r="P75" s="16">
        <f>IF(OR(F75="",O75=""),"",F75*O75)</f>
        <v>0</v>
      </c>
      <c r="Q75" s="14"/>
      <c r="R75" s="14"/>
      <c r="S75" s="14"/>
      <c r="T75" s="16">
        <f>IF(P75="","",P75+N(Q75)+N(R75)-N(S75))</f>
        <v>0</v>
      </c>
      <c r="U75" s="12"/>
      <c r="V75" s="12"/>
      <c r="W75" s="12"/>
      <c r="X75" s="12"/>
      <c r="Y75" s="12"/>
      <c r="Z75" s="12"/>
      <c r="AA75" s="18"/>
    </row>
    <row r="76" spans="1:27">
      <c r="A76" s="12"/>
      <c r="B76" s="12"/>
      <c r="C76" s="12"/>
      <c r="D76" s="12"/>
      <c r="E76" s="12"/>
      <c r="F76" s="17"/>
      <c r="G76" s="12"/>
      <c r="H76" s="12"/>
      <c r="I76" s="12"/>
      <c r="J76" s="12"/>
      <c r="K76" s="12"/>
      <c r="L76" s="12"/>
      <c r="M76" s="18"/>
      <c r="N76" s="12"/>
      <c r="O76" s="14"/>
      <c r="P76" s="16">
        <f>IF(OR(F76="",O76=""),"",F76*O76)</f>
        <v>0</v>
      </c>
      <c r="Q76" s="14"/>
      <c r="R76" s="14"/>
      <c r="S76" s="14"/>
      <c r="T76" s="16">
        <f>IF(P76="","",P76+N(Q76)+N(R76)-N(S76))</f>
        <v>0</v>
      </c>
      <c r="U76" s="12"/>
      <c r="V76" s="12"/>
      <c r="W76" s="12"/>
      <c r="X76" s="12"/>
      <c r="Y76" s="12"/>
      <c r="Z76" s="12"/>
      <c r="AA76" s="18"/>
    </row>
    <row r="77" spans="1:27">
      <c r="A77" s="12"/>
      <c r="B77" s="12"/>
      <c r="C77" s="12"/>
      <c r="D77" s="12"/>
      <c r="E77" s="12"/>
      <c r="F77" s="17"/>
      <c r="G77" s="12"/>
      <c r="H77" s="12"/>
      <c r="I77" s="12"/>
      <c r="J77" s="12"/>
      <c r="K77" s="12"/>
      <c r="L77" s="12"/>
      <c r="M77" s="18"/>
      <c r="N77" s="12"/>
      <c r="O77" s="14"/>
      <c r="P77" s="16">
        <f>IF(OR(F77="",O77=""),"",F77*O77)</f>
        <v>0</v>
      </c>
      <c r="Q77" s="14"/>
      <c r="R77" s="14"/>
      <c r="S77" s="14"/>
      <c r="T77" s="16">
        <f>IF(P77="","",P77+N(Q77)+N(R77)-N(S77))</f>
        <v>0</v>
      </c>
      <c r="U77" s="12"/>
      <c r="V77" s="12"/>
      <c r="W77" s="12"/>
      <c r="X77" s="12"/>
      <c r="Y77" s="12"/>
      <c r="Z77" s="12"/>
      <c r="AA77" s="18"/>
    </row>
    <row r="78" spans="1:27">
      <c r="A78" s="12"/>
      <c r="B78" s="12"/>
      <c r="C78" s="12"/>
      <c r="D78" s="12"/>
      <c r="E78" s="12"/>
      <c r="F78" s="17"/>
      <c r="G78" s="12"/>
      <c r="H78" s="12"/>
      <c r="I78" s="12"/>
      <c r="J78" s="12"/>
      <c r="K78" s="12"/>
      <c r="L78" s="12"/>
      <c r="M78" s="18"/>
      <c r="N78" s="12"/>
      <c r="O78" s="14"/>
      <c r="P78" s="16">
        <f>IF(OR(F78="",O78=""),"",F78*O78)</f>
        <v>0</v>
      </c>
      <c r="Q78" s="14"/>
      <c r="R78" s="14"/>
      <c r="S78" s="14"/>
      <c r="T78" s="16">
        <f>IF(P78="","",P78+N(Q78)+N(R78)-N(S78))</f>
        <v>0</v>
      </c>
      <c r="U78" s="12"/>
      <c r="V78" s="12"/>
      <c r="W78" s="12"/>
      <c r="X78" s="12"/>
      <c r="Y78" s="12"/>
      <c r="Z78" s="12"/>
      <c r="AA78" s="18"/>
    </row>
    <row r="79" spans="1:27">
      <c r="A79" s="12"/>
      <c r="B79" s="12"/>
      <c r="C79" s="12"/>
      <c r="D79" s="12"/>
      <c r="E79" s="12"/>
      <c r="F79" s="17"/>
      <c r="G79" s="12"/>
      <c r="H79" s="12"/>
      <c r="I79" s="12"/>
      <c r="J79" s="12"/>
      <c r="K79" s="12"/>
      <c r="L79" s="12"/>
      <c r="M79" s="18"/>
      <c r="N79" s="12"/>
      <c r="O79" s="14"/>
      <c r="P79" s="16">
        <f>IF(OR(F79="",O79=""),"",F79*O79)</f>
        <v>0</v>
      </c>
      <c r="Q79" s="14"/>
      <c r="R79" s="14"/>
      <c r="S79" s="14"/>
      <c r="T79" s="16">
        <f>IF(P79="","",P79+N(Q79)+N(R79)-N(S79))</f>
        <v>0</v>
      </c>
      <c r="U79" s="12"/>
      <c r="V79" s="12"/>
      <c r="W79" s="12"/>
      <c r="X79" s="12"/>
      <c r="Y79" s="12"/>
      <c r="Z79" s="12"/>
      <c r="AA79" s="18"/>
    </row>
    <row r="80" spans="1:27">
      <c r="A80" s="12"/>
      <c r="B80" s="12"/>
      <c r="C80" s="12"/>
      <c r="D80" s="12"/>
      <c r="E80" s="12"/>
      <c r="F80" s="17"/>
      <c r="G80" s="12"/>
      <c r="H80" s="12"/>
      <c r="I80" s="12"/>
      <c r="J80" s="12"/>
      <c r="K80" s="12"/>
      <c r="L80" s="12"/>
      <c r="M80" s="18"/>
      <c r="N80" s="12"/>
      <c r="O80" s="14"/>
      <c r="P80" s="16">
        <f>IF(OR(F80="",O80=""),"",F80*O80)</f>
        <v>0</v>
      </c>
      <c r="Q80" s="14"/>
      <c r="R80" s="14"/>
      <c r="S80" s="14"/>
      <c r="T80" s="16">
        <f>IF(P80="","",P80+N(Q80)+N(R80)-N(S80))</f>
        <v>0</v>
      </c>
      <c r="U80" s="12"/>
      <c r="V80" s="12"/>
      <c r="W80" s="12"/>
      <c r="X80" s="12"/>
      <c r="Y80" s="12"/>
      <c r="Z80" s="12"/>
      <c r="AA80" s="18"/>
    </row>
    <row r="81" spans="1:27">
      <c r="A81" s="12"/>
      <c r="B81" s="12"/>
      <c r="C81" s="12"/>
      <c r="D81" s="12"/>
      <c r="E81" s="12"/>
      <c r="F81" s="17"/>
      <c r="G81" s="12"/>
      <c r="H81" s="12"/>
      <c r="I81" s="12"/>
      <c r="J81" s="12"/>
      <c r="K81" s="12"/>
      <c r="L81" s="12"/>
      <c r="M81" s="18"/>
      <c r="N81" s="12"/>
      <c r="O81" s="14"/>
      <c r="P81" s="16">
        <f>IF(OR(F81="",O81=""),"",F81*O81)</f>
        <v>0</v>
      </c>
      <c r="Q81" s="14"/>
      <c r="R81" s="14"/>
      <c r="S81" s="14"/>
      <c r="T81" s="16">
        <f>IF(P81="","",P81+N(Q81)+N(R81)-N(S81))</f>
        <v>0</v>
      </c>
      <c r="U81" s="12"/>
      <c r="V81" s="12"/>
      <c r="W81" s="12"/>
      <c r="X81" s="12"/>
      <c r="Y81" s="12"/>
      <c r="Z81" s="12"/>
      <c r="AA81" s="18"/>
    </row>
    <row r="82" spans="1:27">
      <c r="A82" s="12"/>
      <c r="B82" s="12"/>
      <c r="C82" s="12"/>
      <c r="D82" s="12"/>
      <c r="E82" s="12"/>
      <c r="F82" s="17"/>
      <c r="G82" s="12"/>
      <c r="H82" s="12"/>
      <c r="I82" s="12"/>
      <c r="J82" s="12"/>
      <c r="K82" s="12"/>
      <c r="L82" s="12"/>
      <c r="M82" s="18"/>
      <c r="N82" s="12"/>
      <c r="O82" s="14"/>
      <c r="P82" s="16">
        <f>IF(OR(F82="",O82=""),"",F82*O82)</f>
        <v>0</v>
      </c>
      <c r="Q82" s="14"/>
      <c r="R82" s="14"/>
      <c r="S82" s="14"/>
      <c r="T82" s="16">
        <f>IF(P82="","",P82+N(Q82)+N(R82)-N(S82))</f>
        <v>0</v>
      </c>
      <c r="U82" s="12"/>
      <c r="V82" s="12"/>
      <c r="W82" s="12"/>
      <c r="X82" s="12"/>
      <c r="Y82" s="12"/>
      <c r="Z82" s="12"/>
      <c r="AA82" s="18"/>
    </row>
    <row r="83" spans="1:27">
      <c r="A83" s="12"/>
      <c r="B83" s="12"/>
      <c r="C83" s="12"/>
      <c r="D83" s="12"/>
      <c r="E83" s="12"/>
      <c r="F83" s="17"/>
      <c r="G83" s="12"/>
      <c r="H83" s="12"/>
      <c r="I83" s="12"/>
      <c r="J83" s="12"/>
      <c r="K83" s="12"/>
      <c r="L83" s="12"/>
      <c r="M83" s="18"/>
      <c r="N83" s="12"/>
      <c r="O83" s="14"/>
      <c r="P83" s="16">
        <f>IF(OR(F83="",O83=""),"",F83*O83)</f>
        <v>0</v>
      </c>
      <c r="Q83" s="14"/>
      <c r="R83" s="14"/>
      <c r="S83" s="14"/>
      <c r="T83" s="16">
        <f>IF(P83="","",P83+N(Q83)+N(R83)-N(S83))</f>
        <v>0</v>
      </c>
      <c r="U83" s="12"/>
      <c r="V83" s="12"/>
      <c r="W83" s="12"/>
      <c r="X83" s="12"/>
      <c r="Y83" s="12"/>
      <c r="Z83" s="12"/>
      <c r="AA83" s="18"/>
    </row>
    <row r="84" spans="1:27">
      <c r="A84" s="12"/>
      <c r="B84" s="12"/>
      <c r="C84" s="12"/>
      <c r="D84" s="12"/>
      <c r="E84" s="12"/>
      <c r="F84" s="17"/>
      <c r="G84" s="12"/>
      <c r="H84" s="12"/>
      <c r="I84" s="12"/>
      <c r="J84" s="12"/>
      <c r="K84" s="12"/>
      <c r="L84" s="12"/>
      <c r="M84" s="18"/>
      <c r="N84" s="12"/>
      <c r="O84" s="14"/>
      <c r="P84" s="16">
        <f>IF(OR(F84="",O84=""),"",F84*O84)</f>
        <v>0</v>
      </c>
      <c r="Q84" s="14"/>
      <c r="R84" s="14"/>
      <c r="S84" s="14"/>
      <c r="T84" s="16">
        <f>IF(P84="","",P84+N(Q84)+N(R84)-N(S84))</f>
        <v>0</v>
      </c>
      <c r="U84" s="12"/>
      <c r="V84" s="12"/>
      <c r="W84" s="12"/>
      <c r="X84" s="12"/>
      <c r="Y84" s="12"/>
      <c r="Z84" s="12"/>
      <c r="AA84" s="18"/>
    </row>
    <row r="85" spans="1:27">
      <c r="A85" s="12"/>
      <c r="B85" s="12"/>
      <c r="C85" s="12"/>
      <c r="D85" s="12"/>
      <c r="E85" s="12"/>
      <c r="F85" s="17"/>
      <c r="G85" s="12"/>
      <c r="H85" s="12"/>
      <c r="I85" s="12"/>
      <c r="J85" s="12"/>
      <c r="K85" s="12"/>
      <c r="L85" s="12"/>
      <c r="M85" s="18"/>
      <c r="N85" s="12"/>
      <c r="O85" s="14"/>
      <c r="P85" s="16">
        <f>IF(OR(F85="",O85=""),"",F85*O85)</f>
        <v>0</v>
      </c>
      <c r="Q85" s="14"/>
      <c r="R85" s="14"/>
      <c r="S85" s="14"/>
      <c r="T85" s="16">
        <f>IF(P85="","",P85+N(Q85)+N(R85)-N(S85))</f>
        <v>0</v>
      </c>
      <c r="U85" s="12"/>
      <c r="V85" s="12"/>
      <c r="W85" s="12"/>
      <c r="X85" s="12"/>
      <c r="Y85" s="12"/>
      <c r="Z85" s="12"/>
      <c r="AA85" s="18"/>
    </row>
    <row r="86" spans="1:27">
      <c r="A86" s="12"/>
      <c r="B86" s="12"/>
      <c r="C86" s="12"/>
      <c r="D86" s="12"/>
      <c r="E86" s="12"/>
      <c r="F86" s="17"/>
      <c r="G86" s="12"/>
      <c r="H86" s="12"/>
      <c r="I86" s="12"/>
      <c r="J86" s="12"/>
      <c r="K86" s="12"/>
      <c r="L86" s="12"/>
      <c r="M86" s="18"/>
      <c r="N86" s="12"/>
      <c r="O86" s="14"/>
      <c r="P86" s="16">
        <f>IF(OR(F86="",O86=""),"",F86*O86)</f>
        <v>0</v>
      </c>
      <c r="Q86" s="14"/>
      <c r="R86" s="14"/>
      <c r="S86" s="14"/>
      <c r="T86" s="16">
        <f>IF(P86="","",P86+N(Q86)+N(R86)-N(S86))</f>
        <v>0</v>
      </c>
      <c r="U86" s="12"/>
      <c r="V86" s="12"/>
      <c r="W86" s="12"/>
      <c r="X86" s="12"/>
      <c r="Y86" s="12"/>
      <c r="Z86" s="12"/>
      <c r="AA86" s="18"/>
    </row>
    <row r="87" spans="1:27">
      <c r="A87" s="12"/>
      <c r="B87" s="12"/>
      <c r="C87" s="12"/>
      <c r="D87" s="12"/>
      <c r="E87" s="12"/>
      <c r="F87" s="17"/>
      <c r="G87" s="12"/>
      <c r="H87" s="12"/>
      <c r="I87" s="12"/>
      <c r="J87" s="12"/>
      <c r="K87" s="12"/>
      <c r="L87" s="12"/>
      <c r="M87" s="18"/>
      <c r="N87" s="12"/>
      <c r="O87" s="14"/>
      <c r="P87" s="16">
        <f>IF(OR(F87="",O87=""),"",F87*O87)</f>
        <v>0</v>
      </c>
      <c r="Q87" s="14"/>
      <c r="R87" s="14"/>
      <c r="S87" s="14"/>
      <c r="T87" s="16">
        <f>IF(P87="","",P87+N(Q87)+N(R87)-N(S87))</f>
        <v>0</v>
      </c>
      <c r="U87" s="12"/>
      <c r="V87" s="12"/>
      <c r="W87" s="12"/>
      <c r="X87" s="12"/>
      <c r="Y87" s="12"/>
      <c r="Z87" s="12"/>
      <c r="AA87" s="18"/>
    </row>
    <row r="88" spans="1:27">
      <c r="A88" s="12"/>
      <c r="B88" s="12"/>
      <c r="C88" s="12"/>
      <c r="D88" s="12"/>
      <c r="E88" s="12"/>
      <c r="F88" s="17"/>
      <c r="G88" s="12"/>
      <c r="H88" s="12"/>
      <c r="I88" s="12"/>
      <c r="J88" s="12"/>
      <c r="K88" s="12"/>
      <c r="L88" s="12"/>
      <c r="M88" s="18"/>
      <c r="N88" s="12"/>
      <c r="O88" s="14"/>
      <c r="P88" s="16">
        <f>IF(OR(F88="",O88=""),"",F88*O88)</f>
        <v>0</v>
      </c>
      <c r="Q88" s="14"/>
      <c r="R88" s="14"/>
      <c r="S88" s="14"/>
      <c r="T88" s="16">
        <f>IF(P88="","",P88+N(Q88)+N(R88)-N(S88))</f>
        <v>0</v>
      </c>
      <c r="U88" s="12"/>
      <c r="V88" s="12"/>
      <c r="W88" s="12"/>
      <c r="X88" s="12"/>
      <c r="Y88" s="12"/>
      <c r="Z88" s="12"/>
      <c r="AA88" s="18"/>
    </row>
    <row r="89" spans="1:27">
      <c r="A89" s="12"/>
      <c r="B89" s="12"/>
      <c r="C89" s="12"/>
      <c r="D89" s="12"/>
      <c r="E89" s="12"/>
      <c r="F89" s="17"/>
      <c r="G89" s="12"/>
      <c r="H89" s="12"/>
      <c r="I89" s="12"/>
      <c r="J89" s="12"/>
      <c r="K89" s="12"/>
      <c r="L89" s="12"/>
      <c r="M89" s="18"/>
      <c r="N89" s="12"/>
      <c r="O89" s="14"/>
      <c r="P89" s="16">
        <f>IF(OR(F89="",O89=""),"",F89*O89)</f>
        <v>0</v>
      </c>
      <c r="Q89" s="14"/>
      <c r="R89" s="14"/>
      <c r="S89" s="14"/>
      <c r="T89" s="16">
        <f>IF(P89="","",P89+N(Q89)+N(R89)-N(S89))</f>
        <v>0</v>
      </c>
      <c r="U89" s="12"/>
      <c r="V89" s="12"/>
      <c r="W89" s="12"/>
      <c r="X89" s="12"/>
      <c r="Y89" s="12"/>
      <c r="Z89" s="12"/>
      <c r="AA89" s="18"/>
    </row>
    <row r="90" spans="1:27">
      <c r="A90" s="12"/>
      <c r="B90" s="12"/>
      <c r="C90" s="12"/>
      <c r="D90" s="12"/>
      <c r="E90" s="12"/>
      <c r="F90" s="17"/>
      <c r="G90" s="12"/>
      <c r="H90" s="12"/>
      <c r="I90" s="12"/>
      <c r="J90" s="12"/>
      <c r="K90" s="12"/>
      <c r="L90" s="12"/>
      <c r="M90" s="18"/>
      <c r="N90" s="12"/>
      <c r="O90" s="14"/>
      <c r="P90" s="16">
        <f>IF(OR(F90="",O90=""),"",F90*O90)</f>
        <v>0</v>
      </c>
      <c r="Q90" s="14"/>
      <c r="R90" s="14"/>
      <c r="S90" s="14"/>
      <c r="T90" s="16">
        <f>IF(P90="","",P90+N(Q90)+N(R90)-N(S90))</f>
        <v>0</v>
      </c>
      <c r="U90" s="12"/>
      <c r="V90" s="12"/>
      <c r="W90" s="12"/>
      <c r="X90" s="12"/>
      <c r="Y90" s="12"/>
      <c r="Z90" s="12"/>
      <c r="AA90" s="18"/>
    </row>
    <row r="91" spans="1:27">
      <c r="A91" s="12"/>
      <c r="B91" s="12"/>
      <c r="C91" s="12"/>
      <c r="D91" s="12"/>
      <c r="E91" s="12"/>
      <c r="F91" s="17"/>
      <c r="G91" s="12"/>
      <c r="H91" s="12"/>
      <c r="I91" s="12"/>
      <c r="J91" s="12"/>
      <c r="K91" s="12"/>
      <c r="L91" s="12"/>
      <c r="M91" s="18"/>
      <c r="N91" s="12"/>
      <c r="O91" s="14"/>
      <c r="P91" s="16">
        <f>IF(OR(F91="",O91=""),"",F91*O91)</f>
        <v>0</v>
      </c>
      <c r="Q91" s="14"/>
      <c r="R91" s="14"/>
      <c r="S91" s="14"/>
      <c r="T91" s="16">
        <f>IF(P91="","",P91+N(Q91)+N(R91)-N(S91))</f>
        <v>0</v>
      </c>
      <c r="U91" s="12"/>
      <c r="V91" s="12"/>
      <c r="W91" s="12"/>
      <c r="X91" s="12"/>
      <c r="Y91" s="12"/>
      <c r="Z91" s="12"/>
      <c r="AA91" s="18"/>
    </row>
    <row r="92" spans="1:27">
      <c r="A92" s="12"/>
      <c r="B92" s="12"/>
      <c r="C92" s="12"/>
      <c r="D92" s="12"/>
      <c r="E92" s="12"/>
      <c r="F92" s="17"/>
      <c r="G92" s="12"/>
      <c r="H92" s="12"/>
      <c r="I92" s="12"/>
      <c r="J92" s="12"/>
      <c r="K92" s="12"/>
      <c r="L92" s="12"/>
      <c r="M92" s="18"/>
      <c r="N92" s="12"/>
      <c r="O92" s="14"/>
      <c r="P92" s="16">
        <f>IF(OR(F92="",O92=""),"",F92*O92)</f>
        <v>0</v>
      </c>
      <c r="Q92" s="14"/>
      <c r="R92" s="14"/>
      <c r="S92" s="14"/>
      <c r="T92" s="16">
        <f>IF(P92="","",P92+N(Q92)+N(R92)-N(S92))</f>
        <v>0</v>
      </c>
      <c r="U92" s="12"/>
      <c r="V92" s="12"/>
      <c r="W92" s="12"/>
      <c r="X92" s="12"/>
      <c r="Y92" s="12"/>
      <c r="Z92" s="12"/>
      <c r="AA92" s="18"/>
    </row>
    <row r="93" spans="1:27">
      <c r="A93" s="12"/>
      <c r="B93" s="12"/>
      <c r="C93" s="12"/>
      <c r="D93" s="12"/>
      <c r="E93" s="12"/>
      <c r="F93" s="17"/>
      <c r="G93" s="12"/>
      <c r="H93" s="12"/>
      <c r="I93" s="12"/>
      <c r="J93" s="12"/>
      <c r="K93" s="12"/>
      <c r="L93" s="12"/>
      <c r="M93" s="18"/>
      <c r="N93" s="12"/>
      <c r="O93" s="14"/>
      <c r="P93" s="16">
        <f>IF(OR(F93="",O93=""),"",F93*O93)</f>
        <v>0</v>
      </c>
      <c r="Q93" s="14"/>
      <c r="R93" s="14"/>
      <c r="S93" s="14"/>
      <c r="T93" s="16">
        <f>IF(P93="","",P93+N(Q93)+N(R93)-N(S93))</f>
        <v>0</v>
      </c>
      <c r="U93" s="12"/>
      <c r="V93" s="12"/>
      <c r="W93" s="12"/>
      <c r="X93" s="12"/>
      <c r="Y93" s="12"/>
      <c r="Z93" s="12"/>
      <c r="AA93" s="18"/>
    </row>
    <row r="94" spans="1:27">
      <c r="A94" s="12"/>
      <c r="B94" s="12"/>
      <c r="C94" s="12"/>
      <c r="D94" s="12"/>
      <c r="E94" s="12"/>
      <c r="F94" s="17"/>
      <c r="G94" s="12"/>
      <c r="H94" s="12"/>
      <c r="I94" s="12"/>
      <c r="J94" s="12"/>
      <c r="K94" s="12"/>
      <c r="L94" s="12"/>
      <c r="M94" s="18"/>
      <c r="N94" s="12"/>
      <c r="O94" s="14"/>
      <c r="P94" s="16">
        <f>IF(OR(F94="",O94=""),"",F94*O94)</f>
        <v>0</v>
      </c>
      <c r="Q94" s="14"/>
      <c r="R94" s="14"/>
      <c r="S94" s="14"/>
      <c r="T94" s="16">
        <f>IF(P94="","",P94+N(Q94)+N(R94)-N(S94))</f>
        <v>0</v>
      </c>
      <c r="U94" s="12"/>
      <c r="V94" s="12"/>
      <c r="W94" s="12"/>
      <c r="X94" s="12"/>
      <c r="Y94" s="12"/>
      <c r="Z94" s="12"/>
      <c r="AA94" s="18"/>
    </row>
    <row r="95" spans="1:27">
      <c r="A95" s="12"/>
      <c r="B95" s="12"/>
      <c r="C95" s="12"/>
      <c r="D95" s="12"/>
      <c r="E95" s="12"/>
      <c r="F95" s="17"/>
      <c r="G95" s="12"/>
      <c r="H95" s="12"/>
      <c r="I95" s="12"/>
      <c r="J95" s="12"/>
      <c r="K95" s="12"/>
      <c r="L95" s="12"/>
      <c r="M95" s="18"/>
      <c r="N95" s="12"/>
      <c r="O95" s="14"/>
      <c r="P95" s="16">
        <f>IF(OR(F95="",O95=""),"",F95*O95)</f>
        <v>0</v>
      </c>
      <c r="Q95" s="14"/>
      <c r="R95" s="14"/>
      <c r="S95" s="14"/>
      <c r="T95" s="16">
        <f>IF(P95="","",P95+N(Q95)+N(R95)-N(S95))</f>
        <v>0</v>
      </c>
      <c r="U95" s="12"/>
      <c r="V95" s="12"/>
      <c r="W95" s="12"/>
      <c r="X95" s="12"/>
      <c r="Y95" s="12"/>
      <c r="Z95" s="12"/>
      <c r="AA95" s="18"/>
    </row>
    <row r="96" spans="1:27">
      <c r="A96" s="12"/>
      <c r="B96" s="12"/>
      <c r="C96" s="12"/>
      <c r="D96" s="12"/>
      <c r="E96" s="12"/>
      <c r="F96" s="17"/>
      <c r="G96" s="12"/>
      <c r="H96" s="12"/>
      <c r="I96" s="12"/>
      <c r="J96" s="12"/>
      <c r="K96" s="12"/>
      <c r="L96" s="12"/>
      <c r="M96" s="18"/>
      <c r="N96" s="12"/>
      <c r="O96" s="14"/>
      <c r="P96" s="16">
        <f>IF(OR(F96="",O96=""),"",F96*O96)</f>
        <v>0</v>
      </c>
      <c r="Q96" s="14"/>
      <c r="R96" s="14"/>
      <c r="S96" s="14"/>
      <c r="T96" s="16">
        <f>IF(P96="","",P96+N(Q96)+N(R96)-N(S96))</f>
        <v>0</v>
      </c>
      <c r="U96" s="12"/>
      <c r="V96" s="12"/>
      <c r="W96" s="12"/>
      <c r="X96" s="12"/>
      <c r="Y96" s="12"/>
      <c r="Z96" s="12"/>
      <c r="AA96" s="18"/>
    </row>
    <row r="97" spans="1:27">
      <c r="A97" s="12"/>
      <c r="B97" s="12"/>
      <c r="C97" s="12"/>
      <c r="D97" s="12"/>
      <c r="E97" s="12"/>
      <c r="F97" s="17"/>
      <c r="G97" s="12"/>
      <c r="H97" s="12"/>
      <c r="I97" s="12"/>
      <c r="J97" s="12"/>
      <c r="K97" s="12"/>
      <c r="L97" s="12"/>
      <c r="M97" s="18"/>
      <c r="N97" s="12"/>
      <c r="O97" s="14"/>
      <c r="P97" s="16">
        <f>IF(OR(F97="",O97=""),"",F97*O97)</f>
        <v>0</v>
      </c>
      <c r="Q97" s="14"/>
      <c r="R97" s="14"/>
      <c r="S97" s="14"/>
      <c r="T97" s="16">
        <f>IF(P97="","",P97+N(Q97)+N(R97)-N(S97))</f>
        <v>0</v>
      </c>
      <c r="U97" s="12"/>
      <c r="V97" s="12"/>
      <c r="W97" s="12"/>
      <c r="X97" s="12"/>
      <c r="Y97" s="12"/>
      <c r="Z97" s="12"/>
      <c r="AA97" s="18"/>
    </row>
    <row r="98" spans="1:27">
      <c r="A98" s="12"/>
      <c r="B98" s="12"/>
      <c r="C98" s="12"/>
      <c r="D98" s="12"/>
      <c r="E98" s="12"/>
      <c r="F98" s="17"/>
      <c r="G98" s="12"/>
      <c r="H98" s="12"/>
      <c r="I98" s="12"/>
      <c r="J98" s="12"/>
      <c r="K98" s="12"/>
      <c r="L98" s="12"/>
      <c r="M98" s="18"/>
      <c r="N98" s="12"/>
      <c r="O98" s="14"/>
      <c r="P98" s="16">
        <f>IF(OR(F98="",O98=""),"",F98*O98)</f>
        <v>0</v>
      </c>
      <c r="Q98" s="14"/>
      <c r="R98" s="14"/>
      <c r="S98" s="14"/>
      <c r="T98" s="16">
        <f>IF(P98="","",P98+N(Q98)+N(R98)-N(S98))</f>
        <v>0</v>
      </c>
      <c r="U98" s="12"/>
      <c r="V98" s="12"/>
      <c r="W98" s="12"/>
      <c r="X98" s="12"/>
      <c r="Y98" s="12"/>
      <c r="Z98" s="12"/>
      <c r="AA98" s="18"/>
    </row>
    <row r="99" spans="1:27">
      <c r="A99" s="12"/>
      <c r="B99" s="12"/>
      <c r="C99" s="12"/>
      <c r="D99" s="12"/>
      <c r="E99" s="12"/>
      <c r="F99" s="17"/>
      <c r="G99" s="12"/>
      <c r="H99" s="12"/>
      <c r="I99" s="12"/>
      <c r="J99" s="12"/>
      <c r="K99" s="12"/>
      <c r="L99" s="12"/>
      <c r="M99" s="18"/>
      <c r="N99" s="12"/>
      <c r="O99" s="14"/>
      <c r="P99" s="16">
        <f>IF(OR(F99="",O99=""),"",F99*O99)</f>
        <v>0</v>
      </c>
      <c r="Q99" s="14"/>
      <c r="R99" s="14"/>
      <c r="S99" s="14"/>
      <c r="T99" s="16">
        <f>IF(P99="","",P99+N(Q99)+N(R99)-N(S99))</f>
        <v>0</v>
      </c>
      <c r="U99" s="12"/>
      <c r="V99" s="12"/>
      <c r="W99" s="12"/>
      <c r="X99" s="12"/>
      <c r="Y99" s="12"/>
      <c r="Z99" s="12"/>
      <c r="AA99" s="18"/>
    </row>
    <row r="100" spans="1:27">
      <c r="A100" s="12"/>
      <c r="B100" s="12"/>
      <c r="C100" s="12"/>
      <c r="D100" s="12"/>
      <c r="E100" s="12"/>
      <c r="F100" s="17"/>
      <c r="G100" s="12"/>
      <c r="H100" s="12"/>
      <c r="I100" s="12"/>
      <c r="J100" s="12"/>
      <c r="K100" s="12"/>
      <c r="L100" s="12"/>
      <c r="M100" s="18"/>
      <c r="N100" s="12"/>
      <c r="O100" s="14"/>
      <c r="P100" s="16">
        <f>IF(OR(F100="",O100=""),"",F100*O100)</f>
        <v>0</v>
      </c>
      <c r="Q100" s="14"/>
      <c r="R100" s="14"/>
      <c r="S100" s="14"/>
      <c r="T100" s="16">
        <f>IF(P100="","",P100+N(Q100)+N(R100)-N(S100))</f>
        <v>0</v>
      </c>
      <c r="U100" s="12"/>
      <c r="V100" s="12"/>
      <c r="W100" s="12"/>
      <c r="X100" s="12"/>
      <c r="Y100" s="12"/>
      <c r="Z100" s="12"/>
      <c r="AA100" s="18"/>
    </row>
    <row r="101" spans="1:27">
      <c r="A101" s="12"/>
      <c r="B101" s="12"/>
      <c r="C101" s="12"/>
      <c r="D101" s="12"/>
      <c r="E101" s="12"/>
      <c r="F101" s="17"/>
      <c r="G101" s="12"/>
      <c r="H101" s="12"/>
      <c r="I101" s="12"/>
      <c r="J101" s="12"/>
      <c r="K101" s="12"/>
      <c r="L101" s="12"/>
      <c r="M101" s="18"/>
      <c r="N101" s="12"/>
      <c r="O101" s="14"/>
      <c r="P101" s="16">
        <f>IF(OR(F101="",O101=""),"",F101*O101)</f>
        <v>0</v>
      </c>
      <c r="Q101" s="14"/>
      <c r="R101" s="14"/>
      <c r="S101" s="14"/>
      <c r="T101" s="16">
        <f>IF(P101="","",P101+N(Q101)+N(R101)-N(S101))</f>
        <v>0</v>
      </c>
      <c r="U101" s="12"/>
      <c r="V101" s="12"/>
      <c r="W101" s="12"/>
      <c r="X101" s="12"/>
      <c r="Y101" s="12"/>
      <c r="Z101" s="12"/>
      <c r="AA101" s="18"/>
    </row>
    <row r="102" spans="1:27">
      <c r="A102" s="12"/>
      <c r="B102" s="12"/>
      <c r="C102" s="12"/>
      <c r="D102" s="12"/>
      <c r="E102" s="12"/>
      <c r="F102" s="17"/>
      <c r="G102" s="12"/>
      <c r="H102" s="12"/>
      <c r="I102" s="12"/>
      <c r="J102" s="12"/>
      <c r="K102" s="12"/>
      <c r="L102" s="12"/>
      <c r="M102" s="18"/>
      <c r="N102" s="12"/>
      <c r="O102" s="14"/>
      <c r="P102" s="16">
        <f>IF(OR(F102="",O102=""),"",F102*O102)</f>
        <v>0</v>
      </c>
      <c r="Q102" s="14"/>
      <c r="R102" s="14"/>
      <c r="S102" s="14"/>
      <c r="T102" s="16">
        <f>IF(P102="","",P102+N(Q102)+N(R102)-N(S102))</f>
        <v>0</v>
      </c>
      <c r="U102" s="12"/>
      <c r="V102" s="12"/>
      <c r="W102" s="12"/>
      <c r="X102" s="12"/>
      <c r="Y102" s="12"/>
      <c r="Z102" s="12"/>
      <c r="AA102" s="18"/>
    </row>
    <row r="103" spans="1:27">
      <c r="A103" s="12"/>
      <c r="B103" s="12"/>
      <c r="C103" s="12"/>
      <c r="D103" s="12"/>
      <c r="E103" s="12"/>
      <c r="F103" s="17"/>
      <c r="G103" s="12"/>
      <c r="H103" s="12"/>
      <c r="I103" s="12"/>
      <c r="J103" s="12"/>
      <c r="K103" s="12"/>
      <c r="L103" s="12"/>
      <c r="M103" s="18"/>
      <c r="N103" s="12"/>
      <c r="O103" s="14"/>
      <c r="P103" s="16">
        <f>IF(OR(F103="",O103=""),"",F103*O103)</f>
        <v>0</v>
      </c>
      <c r="Q103" s="14"/>
      <c r="R103" s="14"/>
      <c r="S103" s="14"/>
      <c r="T103" s="16">
        <f>IF(P103="","",P103+N(Q103)+N(R103)-N(S103))</f>
        <v>0</v>
      </c>
      <c r="U103" s="12"/>
      <c r="V103" s="12"/>
      <c r="W103" s="12"/>
      <c r="X103" s="12"/>
      <c r="Y103" s="12"/>
      <c r="Z103" s="12"/>
      <c r="AA103" s="18"/>
    </row>
    <row r="104" spans="1:27">
      <c r="A104" s="12"/>
      <c r="B104" s="12"/>
      <c r="C104" s="12"/>
      <c r="D104" s="12"/>
      <c r="E104" s="12"/>
      <c r="F104" s="17"/>
      <c r="G104" s="12"/>
      <c r="H104" s="12"/>
      <c r="I104" s="12"/>
      <c r="J104" s="12"/>
      <c r="K104" s="12"/>
      <c r="L104" s="12"/>
      <c r="M104" s="18"/>
      <c r="N104" s="12"/>
      <c r="O104" s="14"/>
      <c r="P104" s="16">
        <f>IF(OR(F104="",O104=""),"",F104*O104)</f>
        <v>0</v>
      </c>
      <c r="Q104" s="14"/>
      <c r="R104" s="14"/>
      <c r="S104" s="14"/>
      <c r="T104" s="16">
        <f>IF(P104="","",P104+N(Q104)+N(R104)-N(S104))</f>
        <v>0</v>
      </c>
      <c r="U104" s="12"/>
      <c r="V104" s="12"/>
      <c r="W104" s="12"/>
      <c r="X104" s="12"/>
      <c r="Y104" s="12"/>
      <c r="Z104" s="12"/>
      <c r="AA104" s="18"/>
    </row>
    <row r="105" spans="1:27">
      <c r="A105" s="12"/>
      <c r="B105" s="12"/>
      <c r="C105" s="12"/>
      <c r="D105" s="12"/>
      <c r="E105" s="12"/>
      <c r="F105" s="17"/>
      <c r="G105" s="12"/>
      <c r="H105" s="12"/>
      <c r="I105" s="12"/>
      <c r="J105" s="12"/>
      <c r="K105" s="12"/>
      <c r="L105" s="12"/>
      <c r="M105" s="18"/>
      <c r="N105" s="12"/>
      <c r="O105" s="14"/>
      <c r="P105" s="16">
        <f>IF(OR(F105="",O105=""),"",F105*O105)</f>
        <v>0</v>
      </c>
      <c r="Q105" s="14"/>
      <c r="R105" s="14"/>
      <c r="S105" s="14"/>
      <c r="T105" s="16">
        <f>IF(P105="","",P105+N(Q105)+N(R105)-N(S105))</f>
        <v>0</v>
      </c>
      <c r="U105" s="12"/>
      <c r="V105" s="12"/>
      <c r="W105" s="12"/>
      <c r="X105" s="12"/>
      <c r="Y105" s="12"/>
      <c r="Z105" s="12"/>
      <c r="AA105" s="18"/>
    </row>
    <row r="106" spans="1:27">
      <c r="A106" s="12"/>
      <c r="B106" s="12"/>
      <c r="C106" s="12"/>
      <c r="D106" s="12"/>
      <c r="E106" s="12"/>
      <c r="F106" s="17"/>
      <c r="G106" s="12"/>
      <c r="H106" s="12"/>
      <c r="I106" s="12"/>
      <c r="J106" s="12"/>
      <c r="K106" s="12"/>
      <c r="L106" s="12"/>
      <c r="M106" s="18"/>
      <c r="N106" s="12"/>
      <c r="O106" s="14"/>
      <c r="P106" s="16">
        <f>IF(OR(F106="",O106=""),"",F106*O106)</f>
        <v>0</v>
      </c>
      <c r="Q106" s="14"/>
      <c r="R106" s="14"/>
      <c r="S106" s="14"/>
      <c r="T106" s="16">
        <f>IF(P106="","",P106+N(Q106)+N(R106)-N(S106))</f>
        <v>0</v>
      </c>
      <c r="U106" s="12"/>
      <c r="V106" s="12"/>
      <c r="W106" s="12"/>
      <c r="X106" s="12"/>
      <c r="Y106" s="12"/>
      <c r="Z106" s="12"/>
      <c r="AA106" s="18"/>
    </row>
    <row r="107" spans="1:27">
      <c r="A107" s="12"/>
      <c r="B107" s="12"/>
      <c r="C107" s="12"/>
      <c r="D107" s="12"/>
      <c r="E107" s="12"/>
      <c r="F107" s="17"/>
      <c r="G107" s="12"/>
      <c r="H107" s="12"/>
      <c r="I107" s="12"/>
      <c r="J107" s="12"/>
      <c r="K107" s="12"/>
      <c r="L107" s="12"/>
      <c r="M107" s="18"/>
      <c r="N107" s="12"/>
      <c r="O107" s="14"/>
      <c r="P107" s="16">
        <f>IF(OR(F107="",O107=""),"",F107*O107)</f>
        <v>0</v>
      </c>
      <c r="Q107" s="14"/>
      <c r="R107" s="14"/>
      <c r="S107" s="14"/>
      <c r="T107" s="16">
        <f>IF(P107="","",P107+N(Q107)+N(R107)-N(S107))</f>
        <v>0</v>
      </c>
      <c r="U107" s="12"/>
      <c r="V107" s="12"/>
      <c r="W107" s="12"/>
      <c r="X107" s="12"/>
      <c r="Y107" s="12"/>
      <c r="Z107" s="12"/>
      <c r="AA107" s="18"/>
    </row>
    <row r="108" spans="1:27">
      <c r="A108" s="12"/>
      <c r="B108" s="12"/>
      <c r="C108" s="12"/>
      <c r="D108" s="12"/>
      <c r="E108" s="12"/>
      <c r="F108" s="17"/>
      <c r="G108" s="12"/>
      <c r="H108" s="12"/>
      <c r="I108" s="12"/>
      <c r="J108" s="12"/>
      <c r="K108" s="12"/>
      <c r="L108" s="12"/>
      <c r="M108" s="18"/>
      <c r="N108" s="12"/>
      <c r="O108" s="14"/>
      <c r="P108" s="16">
        <f>IF(OR(F108="",O108=""),"",F108*O108)</f>
        <v>0</v>
      </c>
      <c r="Q108" s="14"/>
      <c r="R108" s="14"/>
      <c r="S108" s="14"/>
      <c r="T108" s="16">
        <f>IF(P108="","",P108+N(Q108)+N(R108)-N(S108))</f>
        <v>0</v>
      </c>
      <c r="U108" s="12"/>
      <c r="V108" s="12"/>
      <c r="W108" s="12"/>
      <c r="X108" s="12"/>
      <c r="Y108" s="12"/>
      <c r="Z108" s="12"/>
      <c r="AA108" s="18"/>
    </row>
    <row r="109" spans="1:27">
      <c r="A109" s="12"/>
      <c r="B109" s="12"/>
      <c r="C109" s="12"/>
      <c r="D109" s="12"/>
      <c r="E109" s="12"/>
      <c r="F109" s="17"/>
      <c r="G109" s="12"/>
      <c r="H109" s="12"/>
      <c r="I109" s="12"/>
      <c r="J109" s="12"/>
      <c r="K109" s="12"/>
      <c r="L109" s="12"/>
      <c r="M109" s="18"/>
      <c r="N109" s="12"/>
      <c r="O109" s="14"/>
      <c r="P109" s="16">
        <f>IF(OR(F109="",O109=""),"",F109*O109)</f>
        <v>0</v>
      </c>
      <c r="Q109" s="14"/>
      <c r="R109" s="14"/>
      <c r="S109" s="14"/>
      <c r="T109" s="16">
        <f>IF(P109="","",P109+N(Q109)+N(R109)-N(S109))</f>
        <v>0</v>
      </c>
      <c r="U109" s="12"/>
      <c r="V109" s="12"/>
      <c r="W109" s="12"/>
      <c r="X109" s="12"/>
      <c r="Y109" s="12"/>
      <c r="Z109" s="12"/>
      <c r="AA109" s="18"/>
    </row>
    <row r="110" spans="1:27">
      <c r="A110" s="12"/>
      <c r="B110" s="12"/>
      <c r="C110" s="12"/>
      <c r="D110" s="12"/>
      <c r="E110" s="12"/>
      <c r="F110" s="17"/>
      <c r="G110" s="12"/>
      <c r="H110" s="12"/>
      <c r="I110" s="12"/>
      <c r="J110" s="12"/>
      <c r="K110" s="12"/>
      <c r="L110" s="12"/>
      <c r="M110" s="18"/>
      <c r="N110" s="12"/>
      <c r="O110" s="14"/>
      <c r="P110" s="16">
        <f>IF(OR(F110="",O110=""),"",F110*O110)</f>
        <v>0</v>
      </c>
      <c r="Q110" s="14"/>
      <c r="R110" s="14"/>
      <c r="S110" s="14"/>
      <c r="T110" s="16">
        <f>IF(P110="","",P110+N(Q110)+N(R110)-N(S110))</f>
        <v>0</v>
      </c>
      <c r="U110" s="12"/>
      <c r="V110" s="12"/>
      <c r="W110" s="12"/>
      <c r="X110" s="12"/>
      <c r="Y110" s="12"/>
      <c r="Z110" s="12"/>
      <c r="AA110" s="18"/>
    </row>
    <row r="111" spans="1:27">
      <c r="A111" s="12"/>
      <c r="B111" s="12"/>
      <c r="C111" s="12"/>
      <c r="D111" s="12"/>
      <c r="E111" s="12"/>
      <c r="F111" s="17"/>
      <c r="G111" s="12"/>
      <c r="H111" s="12"/>
      <c r="I111" s="12"/>
      <c r="J111" s="12"/>
      <c r="K111" s="12"/>
      <c r="L111" s="12"/>
      <c r="M111" s="18"/>
      <c r="N111" s="12"/>
      <c r="O111" s="14"/>
      <c r="P111" s="16">
        <f>IF(OR(F111="",O111=""),"",F111*O111)</f>
        <v>0</v>
      </c>
      <c r="Q111" s="14"/>
      <c r="R111" s="14"/>
      <c r="S111" s="14"/>
      <c r="T111" s="16">
        <f>IF(P111="","",P111+N(Q111)+N(R111)-N(S111))</f>
        <v>0</v>
      </c>
      <c r="U111" s="12"/>
      <c r="V111" s="12"/>
      <c r="W111" s="12"/>
      <c r="X111" s="12"/>
      <c r="Y111" s="12"/>
      <c r="Z111" s="12"/>
      <c r="AA111" s="18"/>
    </row>
    <row r="112" spans="1:27">
      <c r="A112" s="12"/>
      <c r="B112" s="12"/>
      <c r="C112" s="12"/>
      <c r="D112" s="12"/>
      <c r="E112" s="12"/>
      <c r="F112" s="17"/>
      <c r="G112" s="12"/>
      <c r="H112" s="12"/>
      <c r="I112" s="12"/>
      <c r="J112" s="12"/>
      <c r="K112" s="12"/>
      <c r="L112" s="12"/>
      <c r="M112" s="18"/>
      <c r="N112" s="12"/>
      <c r="O112" s="14"/>
      <c r="P112" s="16">
        <f>IF(OR(F112="",O112=""),"",F112*O112)</f>
        <v>0</v>
      </c>
      <c r="Q112" s="14"/>
      <c r="R112" s="14"/>
      <c r="S112" s="14"/>
      <c r="T112" s="16">
        <f>IF(P112="","",P112+N(Q112)+N(R112)-N(S112))</f>
        <v>0</v>
      </c>
      <c r="U112" s="12"/>
      <c r="V112" s="12"/>
      <c r="W112" s="12"/>
      <c r="X112" s="12"/>
      <c r="Y112" s="12"/>
      <c r="Z112" s="12"/>
      <c r="AA112" s="18"/>
    </row>
    <row r="113" spans="1:27">
      <c r="A113" s="12"/>
      <c r="B113" s="12"/>
      <c r="C113" s="12"/>
      <c r="D113" s="12"/>
      <c r="E113" s="12"/>
      <c r="F113" s="17"/>
      <c r="G113" s="12"/>
      <c r="H113" s="12"/>
      <c r="I113" s="12"/>
      <c r="J113" s="12"/>
      <c r="K113" s="12"/>
      <c r="L113" s="12"/>
      <c r="M113" s="18"/>
      <c r="N113" s="12"/>
      <c r="O113" s="14"/>
      <c r="P113" s="16">
        <f>IF(OR(F113="",O113=""),"",F113*O113)</f>
        <v>0</v>
      </c>
      <c r="Q113" s="14"/>
      <c r="R113" s="14"/>
      <c r="S113" s="14"/>
      <c r="T113" s="16">
        <f>IF(P113="","",P113+N(Q113)+N(R113)-N(S113))</f>
        <v>0</v>
      </c>
      <c r="U113" s="12"/>
      <c r="V113" s="12"/>
      <c r="W113" s="12"/>
      <c r="X113" s="12"/>
      <c r="Y113" s="12"/>
      <c r="Z113" s="12"/>
      <c r="AA113" s="18"/>
    </row>
    <row r="114" spans="1:27">
      <c r="A114" s="12"/>
      <c r="B114" s="12"/>
      <c r="C114" s="12"/>
      <c r="D114" s="12"/>
      <c r="E114" s="12"/>
      <c r="F114" s="17"/>
      <c r="G114" s="12"/>
      <c r="H114" s="12"/>
      <c r="I114" s="12"/>
      <c r="J114" s="12"/>
      <c r="K114" s="12"/>
      <c r="L114" s="12"/>
      <c r="M114" s="18"/>
      <c r="N114" s="12"/>
      <c r="O114" s="14"/>
      <c r="P114" s="16">
        <f>IF(OR(F114="",O114=""),"",F114*O114)</f>
        <v>0</v>
      </c>
      <c r="Q114" s="14"/>
      <c r="R114" s="14"/>
      <c r="S114" s="14"/>
      <c r="T114" s="16">
        <f>IF(P114="","",P114+N(Q114)+N(R114)-N(S114))</f>
        <v>0</v>
      </c>
      <c r="U114" s="12"/>
      <c r="V114" s="12"/>
      <c r="W114" s="12"/>
      <c r="X114" s="12"/>
      <c r="Y114" s="12"/>
      <c r="Z114" s="12"/>
      <c r="AA114" s="18"/>
    </row>
    <row r="115" spans="1:27">
      <c r="A115" s="12"/>
      <c r="B115" s="12"/>
      <c r="C115" s="12"/>
      <c r="D115" s="12"/>
      <c r="E115" s="12"/>
      <c r="F115" s="17"/>
      <c r="G115" s="12"/>
      <c r="H115" s="12"/>
      <c r="I115" s="12"/>
      <c r="J115" s="12"/>
      <c r="K115" s="12"/>
      <c r="L115" s="12"/>
      <c r="M115" s="18"/>
      <c r="N115" s="12"/>
      <c r="O115" s="14"/>
      <c r="P115" s="16">
        <f>IF(OR(F115="",O115=""),"",F115*O115)</f>
        <v>0</v>
      </c>
      <c r="Q115" s="14"/>
      <c r="R115" s="14"/>
      <c r="S115" s="14"/>
      <c r="T115" s="16">
        <f>IF(P115="","",P115+N(Q115)+N(R115)-N(S115))</f>
        <v>0</v>
      </c>
      <c r="U115" s="12"/>
      <c r="V115" s="12"/>
      <c r="W115" s="12"/>
      <c r="X115" s="12"/>
      <c r="Y115" s="12"/>
      <c r="Z115" s="12"/>
      <c r="AA115" s="18"/>
    </row>
    <row r="116" spans="1:27">
      <c r="A116" s="12"/>
      <c r="B116" s="12"/>
      <c r="C116" s="12"/>
      <c r="D116" s="12"/>
      <c r="E116" s="12"/>
      <c r="F116" s="17"/>
      <c r="G116" s="12"/>
      <c r="H116" s="12"/>
      <c r="I116" s="12"/>
      <c r="J116" s="12"/>
      <c r="K116" s="12"/>
      <c r="L116" s="12"/>
      <c r="M116" s="18"/>
      <c r="N116" s="12"/>
      <c r="O116" s="14"/>
      <c r="P116" s="16">
        <f>IF(OR(F116="",O116=""),"",F116*O116)</f>
        <v>0</v>
      </c>
      <c r="Q116" s="14"/>
      <c r="R116" s="14"/>
      <c r="S116" s="14"/>
      <c r="T116" s="16">
        <f>IF(P116="","",P116+N(Q116)+N(R116)-N(S116))</f>
        <v>0</v>
      </c>
      <c r="U116" s="12"/>
      <c r="V116" s="12"/>
      <c r="W116" s="12"/>
      <c r="X116" s="12"/>
      <c r="Y116" s="12"/>
      <c r="Z116" s="12"/>
      <c r="AA116" s="18"/>
    </row>
    <row r="117" spans="1:27">
      <c r="A117" s="12"/>
      <c r="B117" s="12"/>
      <c r="C117" s="12"/>
      <c r="D117" s="12"/>
      <c r="E117" s="12"/>
      <c r="F117" s="17"/>
      <c r="G117" s="12"/>
      <c r="H117" s="12"/>
      <c r="I117" s="12"/>
      <c r="J117" s="12"/>
      <c r="K117" s="12"/>
      <c r="L117" s="12"/>
      <c r="M117" s="18"/>
      <c r="N117" s="12"/>
      <c r="O117" s="14"/>
      <c r="P117" s="16">
        <f>IF(OR(F117="",O117=""),"",F117*O117)</f>
        <v>0</v>
      </c>
      <c r="Q117" s="14"/>
      <c r="R117" s="14"/>
      <c r="S117" s="14"/>
      <c r="T117" s="16">
        <f>IF(P117="","",P117+N(Q117)+N(R117)-N(S117))</f>
        <v>0</v>
      </c>
      <c r="U117" s="12"/>
      <c r="V117" s="12"/>
      <c r="W117" s="12"/>
      <c r="X117" s="12"/>
      <c r="Y117" s="12"/>
      <c r="Z117" s="12"/>
      <c r="AA117" s="18"/>
    </row>
    <row r="118" spans="1:27">
      <c r="A118" s="12"/>
      <c r="B118" s="12"/>
      <c r="C118" s="12"/>
      <c r="D118" s="12"/>
      <c r="E118" s="12"/>
      <c r="F118" s="17"/>
      <c r="G118" s="12"/>
      <c r="H118" s="12"/>
      <c r="I118" s="12"/>
      <c r="J118" s="12"/>
      <c r="K118" s="12"/>
      <c r="L118" s="12"/>
      <c r="M118" s="18"/>
      <c r="N118" s="12"/>
      <c r="O118" s="14"/>
      <c r="P118" s="16">
        <f>IF(OR(F118="",O118=""),"",F118*O118)</f>
        <v>0</v>
      </c>
      <c r="Q118" s="14"/>
      <c r="R118" s="14"/>
      <c r="S118" s="14"/>
      <c r="T118" s="16">
        <f>IF(P118="","",P118+N(Q118)+N(R118)-N(S118))</f>
        <v>0</v>
      </c>
      <c r="U118" s="12"/>
      <c r="V118" s="12"/>
      <c r="W118" s="12"/>
      <c r="X118" s="12"/>
      <c r="Y118" s="12"/>
      <c r="Z118" s="12"/>
      <c r="AA118" s="18"/>
    </row>
    <row r="119" spans="1:27">
      <c r="A119" s="12"/>
      <c r="B119" s="12"/>
      <c r="C119" s="12"/>
      <c r="D119" s="12"/>
      <c r="E119" s="12"/>
      <c r="F119" s="17"/>
      <c r="G119" s="12"/>
      <c r="H119" s="12"/>
      <c r="I119" s="12"/>
      <c r="J119" s="12"/>
      <c r="K119" s="12"/>
      <c r="L119" s="12"/>
      <c r="M119" s="18"/>
      <c r="N119" s="12"/>
      <c r="O119" s="14"/>
      <c r="P119" s="16">
        <f>IF(OR(F119="",O119=""),"",F119*O119)</f>
        <v>0</v>
      </c>
      <c r="Q119" s="14"/>
      <c r="R119" s="14"/>
      <c r="S119" s="14"/>
      <c r="T119" s="16">
        <f>IF(P119="","",P119+N(Q119)+N(R119)-N(S119))</f>
        <v>0</v>
      </c>
      <c r="U119" s="12"/>
      <c r="V119" s="12"/>
      <c r="W119" s="12"/>
      <c r="X119" s="12"/>
      <c r="Y119" s="12"/>
      <c r="Z119" s="12"/>
      <c r="AA119" s="18"/>
    </row>
    <row r="120" spans="1:27">
      <c r="A120" s="12"/>
      <c r="B120" s="12"/>
      <c r="C120" s="12"/>
      <c r="D120" s="12"/>
      <c r="E120" s="12"/>
      <c r="F120" s="17"/>
      <c r="G120" s="12"/>
      <c r="H120" s="12"/>
      <c r="I120" s="12"/>
      <c r="J120" s="12"/>
      <c r="K120" s="12"/>
      <c r="L120" s="12"/>
      <c r="M120" s="18"/>
      <c r="N120" s="12"/>
      <c r="O120" s="14"/>
      <c r="P120" s="16">
        <f>IF(OR(F120="",O120=""),"",F120*O120)</f>
        <v>0</v>
      </c>
      <c r="Q120" s="14"/>
      <c r="R120" s="14"/>
      <c r="S120" s="14"/>
      <c r="T120" s="16">
        <f>IF(P120="","",P120+N(Q120)+N(R120)-N(S120))</f>
        <v>0</v>
      </c>
      <c r="U120" s="12"/>
      <c r="V120" s="12"/>
      <c r="W120" s="12"/>
      <c r="X120" s="12"/>
      <c r="Y120" s="12"/>
      <c r="Z120" s="12"/>
      <c r="AA120" s="18"/>
    </row>
    <row r="121" spans="1:27">
      <c r="A121" s="12"/>
      <c r="B121" s="12"/>
      <c r="C121" s="12"/>
      <c r="D121" s="12"/>
      <c r="E121" s="12"/>
      <c r="F121" s="17"/>
      <c r="G121" s="12"/>
      <c r="H121" s="12"/>
      <c r="I121" s="12"/>
      <c r="J121" s="12"/>
      <c r="K121" s="12"/>
      <c r="L121" s="12"/>
      <c r="M121" s="18"/>
      <c r="N121" s="12"/>
      <c r="O121" s="14"/>
      <c r="P121" s="16">
        <f>IF(OR(F121="",O121=""),"",F121*O121)</f>
        <v>0</v>
      </c>
      <c r="Q121" s="14"/>
      <c r="R121" s="14"/>
      <c r="S121" s="14"/>
      <c r="T121" s="16">
        <f>IF(P121="","",P121+N(Q121)+N(R121)-N(S121))</f>
        <v>0</v>
      </c>
      <c r="U121" s="12"/>
      <c r="V121" s="12"/>
      <c r="W121" s="12"/>
      <c r="X121" s="12"/>
      <c r="Y121" s="12"/>
      <c r="Z121" s="12"/>
      <c r="AA121" s="18"/>
    </row>
    <row r="122" spans="1:27">
      <c r="A122" s="12"/>
      <c r="B122" s="12"/>
      <c r="C122" s="12"/>
      <c r="D122" s="12"/>
      <c r="E122" s="12"/>
      <c r="F122" s="17"/>
      <c r="G122" s="12"/>
      <c r="H122" s="12"/>
      <c r="I122" s="12"/>
      <c r="J122" s="12"/>
      <c r="K122" s="12"/>
      <c r="L122" s="12"/>
      <c r="M122" s="18"/>
      <c r="N122" s="12"/>
      <c r="O122" s="14"/>
      <c r="P122" s="16">
        <f>IF(OR(F122="",O122=""),"",F122*O122)</f>
        <v>0</v>
      </c>
      <c r="Q122" s="14"/>
      <c r="R122" s="14"/>
      <c r="S122" s="14"/>
      <c r="T122" s="16">
        <f>IF(P122="","",P122+N(Q122)+N(R122)-N(S122))</f>
        <v>0</v>
      </c>
      <c r="U122" s="12"/>
      <c r="V122" s="12"/>
      <c r="W122" s="12"/>
      <c r="X122" s="12"/>
      <c r="Y122" s="12"/>
      <c r="Z122" s="12"/>
      <c r="AA122" s="18"/>
    </row>
    <row r="123" spans="1:27">
      <c r="A123" s="12"/>
      <c r="B123" s="12"/>
      <c r="C123" s="12"/>
      <c r="D123" s="12"/>
      <c r="E123" s="12"/>
      <c r="F123" s="17"/>
      <c r="G123" s="12"/>
      <c r="H123" s="12"/>
      <c r="I123" s="12"/>
      <c r="J123" s="12"/>
      <c r="K123" s="12"/>
      <c r="L123" s="12"/>
      <c r="M123" s="18"/>
      <c r="N123" s="12"/>
      <c r="O123" s="14"/>
      <c r="P123" s="16">
        <f>IF(OR(F123="",O123=""),"",F123*O123)</f>
        <v>0</v>
      </c>
      <c r="Q123" s="14"/>
      <c r="R123" s="14"/>
      <c r="S123" s="14"/>
      <c r="T123" s="16">
        <f>IF(P123="","",P123+N(Q123)+N(R123)-N(S123))</f>
        <v>0</v>
      </c>
      <c r="U123" s="12"/>
      <c r="V123" s="12"/>
      <c r="W123" s="12"/>
      <c r="X123" s="12"/>
      <c r="Y123" s="12"/>
      <c r="Z123" s="12"/>
      <c r="AA123" s="18"/>
    </row>
    <row r="124" spans="1:27">
      <c r="A124" s="12"/>
      <c r="B124" s="12"/>
      <c r="C124" s="12"/>
      <c r="D124" s="12"/>
      <c r="E124" s="12"/>
      <c r="F124" s="17"/>
      <c r="G124" s="12"/>
      <c r="H124" s="12"/>
      <c r="I124" s="12"/>
      <c r="J124" s="12"/>
      <c r="K124" s="12"/>
      <c r="L124" s="12"/>
      <c r="M124" s="18"/>
      <c r="N124" s="12"/>
      <c r="O124" s="14"/>
      <c r="P124" s="16">
        <f>IF(OR(F124="",O124=""),"",F124*O124)</f>
        <v>0</v>
      </c>
      <c r="Q124" s="14"/>
      <c r="R124" s="14"/>
      <c r="S124" s="14"/>
      <c r="T124" s="16">
        <f>IF(P124="","",P124+N(Q124)+N(R124)-N(S124))</f>
        <v>0</v>
      </c>
      <c r="U124" s="12"/>
      <c r="V124" s="12"/>
      <c r="W124" s="12"/>
      <c r="X124" s="12"/>
      <c r="Y124" s="12"/>
      <c r="Z124" s="12"/>
      <c r="AA124" s="18"/>
    </row>
    <row r="125" spans="1:27">
      <c r="A125" s="12"/>
      <c r="B125" s="12"/>
      <c r="C125" s="12"/>
      <c r="D125" s="12"/>
      <c r="E125" s="12"/>
      <c r="F125" s="17"/>
      <c r="G125" s="12"/>
      <c r="H125" s="12"/>
      <c r="I125" s="12"/>
      <c r="J125" s="12"/>
      <c r="K125" s="12"/>
      <c r="L125" s="12"/>
      <c r="M125" s="18"/>
      <c r="N125" s="12"/>
      <c r="O125" s="14"/>
      <c r="P125" s="16">
        <f>IF(OR(F125="",O125=""),"",F125*O125)</f>
        <v>0</v>
      </c>
      <c r="Q125" s="14"/>
      <c r="R125" s="14"/>
      <c r="S125" s="14"/>
      <c r="T125" s="16">
        <f>IF(P125="","",P125+N(Q125)+N(R125)-N(S125))</f>
        <v>0</v>
      </c>
      <c r="U125" s="12"/>
      <c r="V125" s="12"/>
      <c r="W125" s="12"/>
      <c r="X125" s="12"/>
      <c r="Y125" s="12"/>
      <c r="Z125" s="12"/>
      <c r="AA125" s="18"/>
    </row>
    <row r="126" spans="1:27">
      <c r="A126" s="12"/>
      <c r="B126" s="12"/>
      <c r="C126" s="12"/>
      <c r="D126" s="12"/>
      <c r="E126" s="12"/>
      <c r="F126" s="17"/>
      <c r="G126" s="12"/>
      <c r="H126" s="12"/>
      <c r="I126" s="12"/>
      <c r="J126" s="12"/>
      <c r="K126" s="12"/>
      <c r="L126" s="12"/>
      <c r="M126" s="18"/>
      <c r="N126" s="12"/>
      <c r="O126" s="14"/>
      <c r="P126" s="16">
        <f>IF(OR(F126="",O126=""),"",F126*O126)</f>
        <v>0</v>
      </c>
      <c r="Q126" s="14"/>
      <c r="R126" s="14"/>
      <c r="S126" s="14"/>
      <c r="T126" s="16">
        <f>IF(P126="","",P126+N(Q126)+N(R126)-N(S126))</f>
        <v>0</v>
      </c>
      <c r="U126" s="12"/>
      <c r="V126" s="12"/>
      <c r="W126" s="12"/>
      <c r="X126" s="12"/>
      <c r="Y126" s="12"/>
      <c r="Z126" s="12"/>
      <c r="AA126" s="18"/>
    </row>
    <row r="127" spans="1:27">
      <c r="A127" s="12"/>
      <c r="B127" s="12"/>
      <c r="C127" s="12"/>
      <c r="D127" s="12"/>
      <c r="E127" s="12"/>
      <c r="F127" s="17"/>
      <c r="G127" s="12"/>
      <c r="H127" s="12"/>
      <c r="I127" s="12"/>
      <c r="J127" s="12"/>
      <c r="K127" s="12"/>
      <c r="L127" s="12"/>
      <c r="M127" s="18"/>
      <c r="N127" s="12"/>
      <c r="O127" s="14"/>
      <c r="P127" s="16">
        <f>IF(OR(F127="",O127=""),"",F127*O127)</f>
        <v>0</v>
      </c>
      <c r="Q127" s="14"/>
      <c r="R127" s="14"/>
      <c r="S127" s="14"/>
      <c r="T127" s="16">
        <f>IF(P127="","",P127+N(Q127)+N(R127)-N(S127))</f>
        <v>0</v>
      </c>
      <c r="U127" s="12"/>
      <c r="V127" s="12"/>
      <c r="W127" s="12"/>
      <c r="X127" s="12"/>
      <c r="Y127" s="12"/>
      <c r="Z127" s="12"/>
      <c r="AA127" s="18"/>
    </row>
    <row r="128" spans="1:27">
      <c r="A128" s="12"/>
      <c r="B128" s="12"/>
      <c r="C128" s="12"/>
      <c r="D128" s="12"/>
      <c r="E128" s="12"/>
      <c r="F128" s="17"/>
      <c r="G128" s="12"/>
      <c r="H128" s="12"/>
      <c r="I128" s="12"/>
      <c r="J128" s="12"/>
      <c r="K128" s="12"/>
      <c r="L128" s="12"/>
      <c r="M128" s="18"/>
      <c r="N128" s="12"/>
      <c r="O128" s="14"/>
      <c r="P128" s="16">
        <f>IF(OR(F128="",O128=""),"",F128*O128)</f>
        <v>0</v>
      </c>
      <c r="Q128" s="14"/>
      <c r="R128" s="14"/>
      <c r="S128" s="14"/>
      <c r="T128" s="16">
        <f>IF(P128="","",P128+N(Q128)+N(R128)-N(S128))</f>
        <v>0</v>
      </c>
      <c r="U128" s="12"/>
      <c r="V128" s="12"/>
      <c r="W128" s="12"/>
      <c r="X128" s="12"/>
      <c r="Y128" s="12"/>
      <c r="Z128" s="12"/>
      <c r="AA128" s="18"/>
    </row>
    <row r="129" spans="1:27">
      <c r="A129" s="12"/>
      <c r="B129" s="12"/>
      <c r="C129" s="12"/>
      <c r="D129" s="12"/>
      <c r="E129" s="12"/>
      <c r="F129" s="17"/>
      <c r="G129" s="12"/>
      <c r="H129" s="12"/>
      <c r="I129" s="12"/>
      <c r="J129" s="12"/>
      <c r="K129" s="12"/>
      <c r="L129" s="12"/>
      <c r="M129" s="18"/>
      <c r="N129" s="12"/>
      <c r="O129" s="14"/>
      <c r="P129" s="16">
        <f>IF(OR(F129="",O129=""),"",F129*O129)</f>
        <v>0</v>
      </c>
      <c r="Q129" s="14"/>
      <c r="R129" s="14"/>
      <c r="S129" s="14"/>
      <c r="T129" s="16">
        <f>IF(P129="","",P129+N(Q129)+N(R129)-N(S129))</f>
        <v>0</v>
      </c>
      <c r="U129" s="12"/>
      <c r="V129" s="12"/>
      <c r="W129" s="12"/>
      <c r="X129" s="12"/>
      <c r="Y129" s="12"/>
      <c r="Z129" s="12"/>
      <c r="AA129" s="18"/>
    </row>
    <row r="130" spans="1:27">
      <c r="A130" s="12"/>
      <c r="B130" s="12"/>
      <c r="C130" s="12"/>
      <c r="D130" s="12"/>
      <c r="E130" s="12"/>
      <c r="F130" s="17"/>
      <c r="G130" s="12"/>
      <c r="H130" s="12"/>
      <c r="I130" s="12"/>
      <c r="J130" s="12"/>
      <c r="K130" s="12"/>
      <c r="L130" s="12"/>
      <c r="M130" s="18"/>
      <c r="N130" s="12"/>
      <c r="O130" s="14"/>
      <c r="P130" s="16">
        <f>IF(OR(F130="",O130=""),"",F130*O130)</f>
        <v>0</v>
      </c>
      <c r="Q130" s="14"/>
      <c r="R130" s="14"/>
      <c r="S130" s="14"/>
      <c r="T130" s="16">
        <f>IF(P130="","",P130+N(Q130)+N(R130)-N(S130))</f>
        <v>0</v>
      </c>
      <c r="U130" s="12"/>
      <c r="V130" s="12"/>
      <c r="W130" s="12"/>
      <c r="X130" s="12"/>
      <c r="Y130" s="12"/>
      <c r="Z130" s="12"/>
      <c r="AA130" s="18"/>
    </row>
    <row r="131" spans="1:27">
      <c r="A131" s="12"/>
      <c r="B131" s="12"/>
      <c r="C131" s="12"/>
      <c r="D131" s="12"/>
      <c r="E131" s="12"/>
      <c r="F131" s="17"/>
      <c r="G131" s="12"/>
      <c r="H131" s="12"/>
      <c r="I131" s="12"/>
      <c r="J131" s="12"/>
      <c r="K131" s="12"/>
      <c r="L131" s="12"/>
      <c r="M131" s="18"/>
      <c r="N131" s="12"/>
      <c r="O131" s="14"/>
      <c r="P131" s="16">
        <f>IF(OR(F131="",O131=""),"",F131*O131)</f>
        <v>0</v>
      </c>
      <c r="Q131" s="14"/>
      <c r="R131" s="14"/>
      <c r="S131" s="14"/>
      <c r="T131" s="16">
        <f>IF(P131="","",P131+N(Q131)+N(R131)-N(S131))</f>
        <v>0</v>
      </c>
      <c r="U131" s="12"/>
      <c r="V131" s="12"/>
      <c r="W131" s="12"/>
      <c r="X131" s="12"/>
      <c r="Y131" s="12"/>
      <c r="Z131" s="12"/>
      <c r="AA131" s="18"/>
    </row>
    <row r="132" spans="1:27">
      <c r="A132" s="12"/>
      <c r="B132" s="12"/>
      <c r="C132" s="12"/>
      <c r="D132" s="12"/>
      <c r="E132" s="12"/>
      <c r="F132" s="17"/>
      <c r="G132" s="12"/>
      <c r="H132" s="12"/>
      <c r="I132" s="12"/>
      <c r="J132" s="12"/>
      <c r="K132" s="12"/>
      <c r="L132" s="12"/>
      <c r="M132" s="18"/>
      <c r="N132" s="12"/>
      <c r="O132" s="14"/>
      <c r="P132" s="16">
        <f>IF(OR(F132="",O132=""),"",F132*O132)</f>
        <v>0</v>
      </c>
      <c r="Q132" s="14"/>
      <c r="R132" s="14"/>
      <c r="S132" s="14"/>
      <c r="T132" s="16">
        <f>IF(P132="","",P132+N(Q132)+N(R132)-N(S132))</f>
        <v>0</v>
      </c>
      <c r="U132" s="12"/>
      <c r="V132" s="12"/>
      <c r="W132" s="12"/>
      <c r="X132" s="12"/>
      <c r="Y132" s="12"/>
      <c r="Z132" s="12"/>
      <c r="AA132" s="18"/>
    </row>
    <row r="133" spans="1:27">
      <c r="A133" s="12"/>
      <c r="B133" s="12"/>
      <c r="C133" s="12"/>
      <c r="D133" s="12"/>
      <c r="E133" s="12"/>
      <c r="F133" s="17"/>
      <c r="G133" s="12"/>
      <c r="H133" s="12"/>
      <c r="I133" s="12"/>
      <c r="J133" s="12"/>
      <c r="K133" s="12"/>
      <c r="L133" s="12"/>
      <c r="M133" s="18"/>
      <c r="N133" s="12"/>
      <c r="O133" s="14"/>
      <c r="P133" s="16">
        <f>IF(OR(F133="",O133=""),"",F133*O133)</f>
        <v>0</v>
      </c>
      <c r="Q133" s="14"/>
      <c r="R133" s="14"/>
      <c r="S133" s="14"/>
      <c r="T133" s="16">
        <f>IF(P133="","",P133+N(Q133)+N(R133)-N(S133))</f>
        <v>0</v>
      </c>
      <c r="U133" s="12"/>
      <c r="V133" s="12"/>
      <c r="W133" s="12"/>
      <c r="X133" s="12"/>
      <c r="Y133" s="12"/>
      <c r="Z133" s="12"/>
      <c r="AA133" s="18"/>
    </row>
    <row r="134" spans="1:27">
      <c r="A134" s="12"/>
      <c r="B134" s="12"/>
      <c r="C134" s="12"/>
      <c r="D134" s="12"/>
      <c r="E134" s="12"/>
      <c r="F134" s="17"/>
      <c r="G134" s="12"/>
      <c r="H134" s="12"/>
      <c r="I134" s="12"/>
      <c r="J134" s="12"/>
      <c r="K134" s="12"/>
      <c r="L134" s="12"/>
      <c r="M134" s="18"/>
      <c r="N134" s="12"/>
      <c r="O134" s="14"/>
      <c r="P134" s="16">
        <f>IF(OR(F134="",O134=""),"",F134*O134)</f>
        <v>0</v>
      </c>
      <c r="Q134" s="14"/>
      <c r="R134" s="14"/>
      <c r="S134" s="14"/>
      <c r="T134" s="16">
        <f>IF(P134="","",P134+N(Q134)+N(R134)-N(S134))</f>
        <v>0</v>
      </c>
      <c r="U134" s="12"/>
      <c r="V134" s="12"/>
      <c r="W134" s="12"/>
      <c r="X134" s="12"/>
      <c r="Y134" s="12"/>
      <c r="Z134" s="12"/>
      <c r="AA134" s="18"/>
    </row>
    <row r="135" spans="1:27">
      <c r="A135" s="12"/>
      <c r="B135" s="12"/>
      <c r="C135" s="12"/>
      <c r="D135" s="12"/>
      <c r="E135" s="12"/>
      <c r="F135" s="17"/>
      <c r="G135" s="12"/>
      <c r="H135" s="12"/>
      <c r="I135" s="12"/>
      <c r="J135" s="12"/>
      <c r="K135" s="12"/>
      <c r="L135" s="12"/>
      <c r="M135" s="18"/>
      <c r="N135" s="12"/>
      <c r="O135" s="14"/>
      <c r="P135" s="16">
        <f>IF(OR(F135="",O135=""),"",F135*O135)</f>
        <v>0</v>
      </c>
      <c r="Q135" s="14"/>
      <c r="R135" s="14"/>
      <c r="S135" s="14"/>
      <c r="T135" s="16">
        <f>IF(P135="","",P135+N(Q135)+N(R135)-N(S135))</f>
        <v>0</v>
      </c>
      <c r="U135" s="12"/>
      <c r="V135" s="12"/>
      <c r="W135" s="12"/>
      <c r="X135" s="12"/>
      <c r="Y135" s="12"/>
      <c r="Z135" s="12"/>
      <c r="AA135" s="18"/>
    </row>
    <row r="136" spans="1:27">
      <c r="A136" s="12"/>
      <c r="B136" s="12"/>
      <c r="C136" s="12"/>
      <c r="D136" s="12"/>
      <c r="E136" s="12"/>
      <c r="F136" s="17"/>
      <c r="G136" s="12"/>
      <c r="H136" s="12"/>
      <c r="I136" s="12"/>
      <c r="J136" s="12"/>
      <c r="K136" s="12"/>
      <c r="L136" s="12"/>
      <c r="M136" s="18"/>
      <c r="N136" s="12"/>
      <c r="O136" s="14"/>
      <c r="P136" s="16">
        <f>IF(OR(F136="",O136=""),"",F136*O136)</f>
        <v>0</v>
      </c>
      <c r="Q136" s="14"/>
      <c r="R136" s="14"/>
      <c r="S136" s="14"/>
      <c r="T136" s="16">
        <f>IF(P136="","",P136+N(Q136)+N(R136)-N(S136))</f>
        <v>0</v>
      </c>
      <c r="U136" s="12"/>
      <c r="V136" s="12"/>
      <c r="W136" s="12"/>
      <c r="X136" s="12"/>
      <c r="Y136" s="12"/>
      <c r="Z136" s="12"/>
      <c r="AA136" s="18"/>
    </row>
    <row r="137" spans="1:27">
      <c r="A137" s="12"/>
      <c r="B137" s="12"/>
      <c r="C137" s="12"/>
      <c r="D137" s="12"/>
      <c r="E137" s="12"/>
      <c r="F137" s="17"/>
      <c r="G137" s="12"/>
      <c r="H137" s="12"/>
      <c r="I137" s="12"/>
      <c r="J137" s="12"/>
      <c r="K137" s="12"/>
      <c r="L137" s="12"/>
      <c r="M137" s="18"/>
      <c r="N137" s="12"/>
      <c r="O137" s="14"/>
      <c r="P137" s="16">
        <f>IF(OR(F137="",O137=""),"",F137*O137)</f>
        <v>0</v>
      </c>
      <c r="Q137" s="14"/>
      <c r="R137" s="14"/>
      <c r="S137" s="14"/>
      <c r="T137" s="16">
        <f>IF(P137="","",P137+N(Q137)+N(R137)-N(S137))</f>
        <v>0</v>
      </c>
      <c r="U137" s="12"/>
      <c r="V137" s="12"/>
      <c r="W137" s="12"/>
      <c r="X137" s="12"/>
      <c r="Y137" s="12"/>
      <c r="Z137" s="12"/>
      <c r="AA137" s="18"/>
    </row>
    <row r="138" spans="1:27">
      <c r="A138" s="12"/>
      <c r="B138" s="12"/>
      <c r="C138" s="12"/>
      <c r="D138" s="12"/>
      <c r="E138" s="12"/>
      <c r="F138" s="17"/>
      <c r="G138" s="12"/>
      <c r="H138" s="12"/>
      <c r="I138" s="12"/>
      <c r="J138" s="12"/>
      <c r="K138" s="12"/>
      <c r="L138" s="12"/>
      <c r="M138" s="18"/>
      <c r="N138" s="12"/>
      <c r="O138" s="14"/>
      <c r="P138" s="16">
        <f>IF(OR(F138="",O138=""),"",F138*O138)</f>
        <v>0</v>
      </c>
      <c r="Q138" s="14"/>
      <c r="R138" s="14"/>
      <c r="S138" s="14"/>
      <c r="T138" s="16">
        <f>IF(P138="","",P138+N(Q138)+N(R138)-N(S138))</f>
        <v>0</v>
      </c>
      <c r="U138" s="12"/>
      <c r="V138" s="12"/>
      <c r="W138" s="12"/>
      <c r="X138" s="12"/>
      <c r="Y138" s="12"/>
      <c r="Z138" s="12"/>
      <c r="AA138" s="18"/>
    </row>
    <row r="139" spans="1:27">
      <c r="A139" s="12"/>
      <c r="B139" s="12"/>
      <c r="C139" s="12"/>
      <c r="D139" s="12"/>
      <c r="E139" s="12"/>
      <c r="F139" s="17"/>
      <c r="G139" s="12"/>
      <c r="H139" s="12"/>
      <c r="I139" s="12"/>
      <c r="J139" s="12"/>
      <c r="K139" s="12"/>
      <c r="L139" s="12"/>
      <c r="M139" s="18"/>
      <c r="N139" s="12"/>
      <c r="O139" s="14"/>
      <c r="P139" s="16">
        <f>IF(OR(F139="",O139=""),"",F139*O139)</f>
        <v>0</v>
      </c>
      <c r="Q139" s="14"/>
      <c r="R139" s="14"/>
      <c r="S139" s="14"/>
      <c r="T139" s="16">
        <f>IF(P139="","",P139+N(Q139)+N(R139)-N(S139))</f>
        <v>0</v>
      </c>
      <c r="U139" s="12"/>
      <c r="V139" s="12"/>
      <c r="W139" s="12"/>
      <c r="X139" s="12"/>
      <c r="Y139" s="12"/>
      <c r="Z139" s="12"/>
      <c r="AA139" s="18"/>
    </row>
    <row r="140" spans="1:27">
      <c r="A140" s="12"/>
      <c r="B140" s="12"/>
      <c r="C140" s="12"/>
      <c r="D140" s="12"/>
      <c r="E140" s="12"/>
      <c r="F140" s="17"/>
      <c r="G140" s="12"/>
      <c r="H140" s="12"/>
      <c r="I140" s="12"/>
      <c r="J140" s="12"/>
      <c r="K140" s="12"/>
      <c r="L140" s="12"/>
      <c r="M140" s="18"/>
      <c r="N140" s="12"/>
      <c r="O140" s="14"/>
      <c r="P140" s="16">
        <f>IF(OR(F140="",O140=""),"",F140*O140)</f>
        <v>0</v>
      </c>
      <c r="Q140" s="14"/>
      <c r="R140" s="14"/>
      <c r="S140" s="14"/>
      <c r="T140" s="16">
        <f>IF(P140="","",P140+N(Q140)+N(R140)-N(S140))</f>
        <v>0</v>
      </c>
      <c r="U140" s="12"/>
      <c r="V140" s="12"/>
      <c r="W140" s="12"/>
      <c r="X140" s="12"/>
      <c r="Y140" s="12"/>
      <c r="Z140" s="12"/>
      <c r="AA140" s="18"/>
    </row>
    <row r="141" spans="1:27">
      <c r="A141" s="12"/>
      <c r="B141" s="12"/>
      <c r="C141" s="12"/>
      <c r="D141" s="12"/>
      <c r="E141" s="12"/>
      <c r="F141" s="17"/>
      <c r="G141" s="12"/>
      <c r="H141" s="12"/>
      <c r="I141" s="12"/>
      <c r="J141" s="12"/>
      <c r="K141" s="12"/>
      <c r="L141" s="12"/>
      <c r="M141" s="18"/>
      <c r="N141" s="12"/>
      <c r="O141" s="14"/>
      <c r="P141" s="16">
        <f>IF(OR(F141="",O141=""),"",F141*O141)</f>
        <v>0</v>
      </c>
      <c r="Q141" s="14"/>
      <c r="R141" s="14"/>
      <c r="S141" s="14"/>
      <c r="T141" s="16">
        <f>IF(P141="","",P141+N(Q141)+N(R141)-N(S141))</f>
        <v>0</v>
      </c>
      <c r="U141" s="12"/>
      <c r="V141" s="12"/>
      <c r="W141" s="12"/>
      <c r="X141" s="12"/>
      <c r="Y141" s="12"/>
      <c r="Z141" s="12"/>
      <c r="AA141" s="18"/>
    </row>
    <row r="142" spans="1:27">
      <c r="A142" s="12"/>
      <c r="B142" s="12"/>
      <c r="C142" s="12"/>
      <c r="D142" s="12"/>
      <c r="E142" s="12"/>
      <c r="F142" s="17"/>
      <c r="G142" s="12"/>
      <c r="H142" s="12"/>
      <c r="I142" s="12"/>
      <c r="J142" s="12"/>
      <c r="K142" s="12"/>
      <c r="L142" s="12"/>
      <c r="M142" s="18"/>
      <c r="N142" s="12"/>
      <c r="O142" s="14"/>
      <c r="P142" s="16">
        <f>IF(OR(F142="",O142=""),"",F142*O142)</f>
        <v>0</v>
      </c>
      <c r="Q142" s="14"/>
      <c r="R142" s="14"/>
      <c r="S142" s="14"/>
      <c r="T142" s="16">
        <f>IF(P142="","",P142+N(Q142)+N(R142)-N(S142))</f>
        <v>0</v>
      </c>
      <c r="U142" s="12"/>
      <c r="V142" s="12"/>
      <c r="W142" s="12"/>
      <c r="X142" s="12"/>
      <c r="Y142" s="12"/>
      <c r="Z142" s="12"/>
      <c r="AA142" s="18"/>
    </row>
    <row r="143" spans="1:27">
      <c r="A143" s="12"/>
      <c r="B143" s="12"/>
      <c r="C143" s="12"/>
      <c r="D143" s="12"/>
      <c r="E143" s="12"/>
      <c r="F143" s="17"/>
      <c r="G143" s="12"/>
      <c r="H143" s="12"/>
      <c r="I143" s="12"/>
      <c r="J143" s="12"/>
      <c r="K143" s="12"/>
      <c r="L143" s="12"/>
      <c r="M143" s="18"/>
      <c r="N143" s="12"/>
      <c r="O143" s="14"/>
      <c r="P143" s="16">
        <f>IF(OR(F143="",O143=""),"",F143*O143)</f>
        <v>0</v>
      </c>
      <c r="Q143" s="14"/>
      <c r="R143" s="14"/>
      <c r="S143" s="14"/>
      <c r="T143" s="16">
        <f>IF(P143="","",P143+N(Q143)+N(R143)-N(S143))</f>
        <v>0</v>
      </c>
      <c r="U143" s="12"/>
      <c r="V143" s="12"/>
      <c r="W143" s="12"/>
      <c r="X143" s="12"/>
      <c r="Y143" s="12"/>
      <c r="Z143" s="12"/>
      <c r="AA143" s="18"/>
    </row>
    <row r="144" spans="1:27">
      <c r="A144" s="12"/>
      <c r="B144" s="12"/>
      <c r="C144" s="12"/>
      <c r="D144" s="12"/>
      <c r="E144" s="12"/>
      <c r="F144" s="17"/>
      <c r="G144" s="12"/>
      <c r="H144" s="12"/>
      <c r="I144" s="12"/>
      <c r="J144" s="12"/>
      <c r="K144" s="12"/>
      <c r="L144" s="12"/>
      <c r="M144" s="18"/>
      <c r="N144" s="12"/>
      <c r="O144" s="14"/>
      <c r="P144" s="16">
        <f>IF(OR(F144="",O144=""),"",F144*O144)</f>
        <v>0</v>
      </c>
      <c r="Q144" s="14"/>
      <c r="R144" s="14"/>
      <c r="S144" s="14"/>
      <c r="T144" s="16">
        <f>IF(P144="","",P144+N(Q144)+N(R144)-N(S144))</f>
        <v>0</v>
      </c>
      <c r="U144" s="12"/>
      <c r="V144" s="12"/>
      <c r="W144" s="12"/>
      <c r="X144" s="12"/>
      <c r="Y144" s="12"/>
      <c r="Z144" s="12"/>
      <c r="AA144" s="18"/>
    </row>
    <row r="145" spans="1:27">
      <c r="A145" s="12"/>
      <c r="B145" s="12"/>
      <c r="C145" s="12"/>
      <c r="D145" s="12"/>
      <c r="E145" s="12"/>
      <c r="F145" s="17"/>
      <c r="G145" s="12"/>
      <c r="H145" s="12"/>
      <c r="I145" s="12"/>
      <c r="J145" s="12"/>
      <c r="K145" s="12"/>
      <c r="L145" s="12"/>
      <c r="M145" s="18"/>
      <c r="N145" s="12"/>
      <c r="O145" s="14"/>
      <c r="P145" s="16">
        <f>IF(OR(F145="",O145=""),"",F145*O145)</f>
        <v>0</v>
      </c>
      <c r="Q145" s="14"/>
      <c r="R145" s="14"/>
      <c r="S145" s="14"/>
      <c r="T145" s="16">
        <f>IF(P145="","",P145+N(Q145)+N(R145)-N(S145))</f>
        <v>0</v>
      </c>
      <c r="U145" s="12"/>
      <c r="V145" s="12"/>
      <c r="W145" s="12"/>
      <c r="X145" s="12"/>
      <c r="Y145" s="12"/>
      <c r="Z145" s="12"/>
      <c r="AA145" s="18"/>
    </row>
    <row r="146" spans="1:27">
      <c r="A146" s="12"/>
      <c r="B146" s="12"/>
      <c r="C146" s="12"/>
      <c r="D146" s="12"/>
      <c r="E146" s="12"/>
      <c r="F146" s="17"/>
      <c r="G146" s="12"/>
      <c r="H146" s="12"/>
      <c r="I146" s="12"/>
      <c r="J146" s="12"/>
      <c r="K146" s="12"/>
      <c r="L146" s="12"/>
      <c r="M146" s="18"/>
      <c r="N146" s="12"/>
      <c r="O146" s="14"/>
      <c r="P146" s="16">
        <f>IF(OR(F146="",O146=""),"",F146*O146)</f>
        <v>0</v>
      </c>
      <c r="Q146" s="14"/>
      <c r="R146" s="14"/>
      <c r="S146" s="14"/>
      <c r="T146" s="16">
        <f>IF(P146="","",P146+N(Q146)+N(R146)-N(S146))</f>
        <v>0</v>
      </c>
      <c r="U146" s="12"/>
      <c r="V146" s="12"/>
      <c r="W146" s="12"/>
      <c r="X146" s="12"/>
      <c r="Y146" s="12"/>
      <c r="Z146" s="12"/>
      <c r="AA146" s="18"/>
    </row>
    <row r="147" spans="1:27">
      <c r="A147" s="12"/>
      <c r="B147" s="12"/>
      <c r="C147" s="12"/>
      <c r="D147" s="12"/>
      <c r="E147" s="12"/>
      <c r="F147" s="17"/>
      <c r="G147" s="12"/>
      <c r="H147" s="12"/>
      <c r="I147" s="12"/>
      <c r="J147" s="12"/>
      <c r="K147" s="12"/>
      <c r="L147" s="12"/>
      <c r="M147" s="18"/>
      <c r="N147" s="12"/>
      <c r="O147" s="14"/>
      <c r="P147" s="16">
        <f>IF(OR(F147="",O147=""),"",F147*O147)</f>
        <v>0</v>
      </c>
      <c r="Q147" s="14"/>
      <c r="R147" s="14"/>
      <c r="S147" s="14"/>
      <c r="T147" s="16">
        <f>IF(P147="","",P147+N(Q147)+N(R147)-N(S147))</f>
        <v>0</v>
      </c>
      <c r="U147" s="12"/>
      <c r="V147" s="12"/>
      <c r="W147" s="12"/>
      <c r="X147" s="12"/>
      <c r="Y147" s="12"/>
      <c r="Z147" s="12"/>
      <c r="AA147" s="18"/>
    </row>
    <row r="148" spans="1:27">
      <c r="A148" s="12"/>
      <c r="B148" s="12"/>
      <c r="C148" s="12"/>
      <c r="D148" s="12"/>
      <c r="E148" s="12"/>
      <c r="F148" s="17"/>
      <c r="G148" s="12"/>
      <c r="H148" s="12"/>
      <c r="I148" s="12"/>
      <c r="J148" s="12"/>
      <c r="K148" s="12"/>
      <c r="L148" s="12"/>
      <c r="M148" s="18"/>
      <c r="N148" s="12"/>
      <c r="O148" s="14"/>
      <c r="P148" s="16">
        <f>IF(OR(F148="",O148=""),"",F148*O148)</f>
        <v>0</v>
      </c>
      <c r="Q148" s="14"/>
      <c r="R148" s="14"/>
      <c r="S148" s="14"/>
      <c r="T148" s="16">
        <f>IF(P148="","",P148+N(Q148)+N(R148)-N(S148))</f>
        <v>0</v>
      </c>
      <c r="U148" s="12"/>
      <c r="V148" s="12"/>
      <c r="W148" s="12"/>
      <c r="X148" s="12"/>
      <c r="Y148" s="12"/>
      <c r="Z148" s="12"/>
      <c r="AA148" s="18"/>
    </row>
    <row r="149" spans="1:27">
      <c r="A149" s="12"/>
      <c r="B149" s="12"/>
      <c r="C149" s="12"/>
      <c r="D149" s="12"/>
      <c r="E149" s="12"/>
      <c r="F149" s="17"/>
      <c r="G149" s="12"/>
      <c r="H149" s="12"/>
      <c r="I149" s="12"/>
      <c r="J149" s="12"/>
      <c r="K149" s="12"/>
      <c r="L149" s="12"/>
      <c r="M149" s="18"/>
      <c r="N149" s="12"/>
      <c r="O149" s="14"/>
      <c r="P149" s="16">
        <f>IF(OR(F149="",O149=""),"",F149*O149)</f>
        <v>0</v>
      </c>
      <c r="Q149" s="14"/>
      <c r="R149" s="14"/>
      <c r="S149" s="14"/>
      <c r="T149" s="16">
        <f>IF(P149="","",P149+N(Q149)+N(R149)-N(S149))</f>
        <v>0</v>
      </c>
      <c r="U149" s="12"/>
      <c r="V149" s="12"/>
      <c r="W149" s="12"/>
      <c r="X149" s="12"/>
      <c r="Y149" s="12"/>
      <c r="Z149" s="12"/>
      <c r="AA149" s="18"/>
    </row>
    <row r="150" spans="1:27">
      <c r="A150" s="12"/>
      <c r="B150" s="12"/>
      <c r="C150" s="12"/>
      <c r="D150" s="12"/>
      <c r="E150" s="12"/>
      <c r="F150" s="17"/>
      <c r="G150" s="12"/>
      <c r="H150" s="12"/>
      <c r="I150" s="12"/>
      <c r="J150" s="12"/>
      <c r="K150" s="12"/>
      <c r="L150" s="12"/>
      <c r="M150" s="18"/>
      <c r="N150" s="12"/>
      <c r="O150" s="14"/>
      <c r="P150" s="16">
        <f>IF(OR(F150="",O150=""),"",F150*O150)</f>
        <v>0</v>
      </c>
      <c r="Q150" s="14"/>
      <c r="R150" s="14"/>
      <c r="S150" s="14"/>
      <c r="T150" s="16">
        <f>IF(P150="","",P150+N(Q150)+N(R150)-N(S150))</f>
        <v>0</v>
      </c>
      <c r="U150" s="12"/>
      <c r="V150" s="12"/>
      <c r="W150" s="12"/>
      <c r="X150" s="12"/>
      <c r="Y150" s="12"/>
      <c r="Z150" s="12"/>
      <c r="AA150" s="18"/>
    </row>
    <row r="151" spans="1:27">
      <c r="A151" s="12"/>
      <c r="B151" s="12"/>
      <c r="C151" s="12"/>
      <c r="D151" s="12"/>
      <c r="E151" s="12"/>
      <c r="F151" s="17"/>
      <c r="G151" s="12"/>
      <c r="H151" s="12"/>
      <c r="I151" s="12"/>
      <c r="J151" s="12"/>
      <c r="K151" s="12"/>
      <c r="L151" s="12"/>
      <c r="M151" s="18"/>
      <c r="N151" s="12"/>
      <c r="O151" s="14"/>
      <c r="P151" s="16">
        <f>IF(OR(F151="",O151=""),"",F151*O151)</f>
        <v>0</v>
      </c>
      <c r="Q151" s="14"/>
      <c r="R151" s="14"/>
      <c r="S151" s="14"/>
      <c r="T151" s="16">
        <f>IF(P151="","",P151+N(Q151)+N(R151)-N(S151))</f>
        <v>0</v>
      </c>
      <c r="U151" s="12"/>
      <c r="V151" s="12"/>
      <c r="W151" s="12"/>
      <c r="X151" s="12"/>
      <c r="Y151" s="12"/>
      <c r="Z151" s="12"/>
      <c r="AA151" s="18"/>
    </row>
    <row r="152" spans="1:27">
      <c r="A152" s="12"/>
      <c r="B152" s="12"/>
      <c r="C152" s="12"/>
      <c r="D152" s="12"/>
      <c r="E152" s="12"/>
      <c r="F152" s="17"/>
      <c r="G152" s="12"/>
      <c r="H152" s="12"/>
      <c r="I152" s="12"/>
      <c r="J152" s="12"/>
      <c r="K152" s="12"/>
      <c r="L152" s="12"/>
      <c r="M152" s="18"/>
      <c r="N152" s="12"/>
      <c r="O152" s="14"/>
      <c r="P152" s="16">
        <f>IF(OR(F152="",O152=""),"",F152*O152)</f>
        <v>0</v>
      </c>
      <c r="Q152" s="14"/>
      <c r="R152" s="14"/>
      <c r="S152" s="14"/>
      <c r="T152" s="16">
        <f>IF(P152="","",P152+N(Q152)+N(R152)-N(S152))</f>
        <v>0</v>
      </c>
      <c r="U152" s="12"/>
      <c r="V152" s="12"/>
      <c r="W152" s="12"/>
      <c r="X152" s="12"/>
      <c r="Y152" s="12"/>
      <c r="Z152" s="12"/>
      <c r="AA152" s="18"/>
    </row>
    <row r="153" spans="1:27">
      <c r="A153" s="12"/>
      <c r="B153" s="12"/>
      <c r="C153" s="12"/>
      <c r="D153" s="12"/>
      <c r="E153" s="12"/>
      <c r="F153" s="17"/>
      <c r="G153" s="12"/>
      <c r="H153" s="12"/>
      <c r="I153" s="12"/>
      <c r="J153" s="12"/>
      <c r="K153" s="12"/>
      <c r="L153" s="12"/>
      <c r="M153" s="18"/>
      <c r="N153" s="12"/>
      <c r="O153" s="14"/>
      <c r="P153" s="16">
        <f>IF(OR(F153="",O153=""),"",F153*O153)</f>
        <v>0</v>
      </c>
      <c r="Q153" s="14"/>
      <c r="R153" s="14"/>
      <c r="S153" s="14"/>
      <c r="T153" s="16">
        <f>IF(P153="","",P153+N(Q153)+N(R153)-N(S153))</f>
        <v>0</v>
      </c>
      <c r="U153" s="12"/>
      <c r="V153" s="12"/>
      <c r="W153" s="12"/>
      <c r="X153" s="12"/>
      <c r="Y153" s="12"/>
      <c r="Z153" s="12"/>
      <c r="AA153" s="18"/>
    </row>
    <row r="154" spans="1:27">
      <c r="A154" s="12"/>
      <c r="B154" s="12"/>
      <c r="C154" s="12"/>
      <c r="D154" s="12"/>
      <c r="E154" s="12"/>
      <c r="F154" s="17"/>
      <c r="G154" s="12"/>
      <c r="H154" s="12"/>
      <c r="I154" s="12"/>
      <c r="J154" s="12"/>
      <c r="K154" s="12"/>
      <c r="L154" s="12"/>
      <c r="M154" s="18"/>
      <c r="N154" s="12"/>
      <c r="O154" s="14"/>
      <c r="P154" s="16">
        <f>IF(OR(F154="",O154=""),"",F154*O154)</f>
        <v>0</v>
      </c>
      <c r="Q154" s="14"/>
      <c r="R154" s="14"/>
      <c r="S154" s="14"/>
      <c r="T154" s="16">
        <f>IF(P154="","",P154+N(Q154)+N(R154)-N(S154))</f>
        <v>0</v>
      </c>
      <c r="U154" s="12"/>
      <c r="V154" s="12"/>
      <c r="W154" s="12"/>
      <c r="X154" s="12"/>
      <c r="Y154" s="12"/>
      <c r="Z154" s="12"/>
      <c r="AA154" s="18"/>
    </row>
    <row r="155" spans="1:27">
      <c r="A155" s="12"/>
      <c r="B155" s="12"/>
      <c r="C155" s="12"/>
      <c r="D155" s="12"/>
      <c r="E155" s="12"/>
      <c r="F155" s="17"/>
      <c r="G155" s="12"/>
      <c r="H155" s="12"/>
      <c r="I155" s="12"/>
      <c r="J155" s="12"/>
      <c r="K155" s="12"/>
      <c r="L155" s="12"/>
      <c r="M155" s="18"/>
      <c r="N155" s="12"/>
      <c r="O155" s="14"/>
      <c r="P155" s="16">
        <f>IF(OR(F155="",O155=""),"",F155*O155)</f>
        <v>0</v>
      </c>
      <c r="Q155" s="14"/>
      <c r="R155" s="14"/>
      <c r="S155" s="14"/>
      <c r="T155" s="16">
        <f>IF(P155="","",P155+N(Q155)+N(R155)-N(S155))</f>
        <v>0</v>
      </c>
      <c r="U155" s="12"/>
      <c r="V155" s="12"/>
      <c r="W155" s="12"/>
      <c r="X155" s="12"/>
      <c r="Y155" s="12"/>
      <c r="Z155" s="12"/>
      <c r="AA155" s="18"/>
    </row>
    <row r="156" spans="1:27">
      <c r="A156" s="12"/>
      <c r="B156" s="12"/>
      <c r="C156" s="12"/>
      <c r="D156" s="12"/>
      <c r="E156" s="12"/>
      <c r="F156" s="17"/>
      <c r="G156" s="12"/>
      <c r="H156" s="12"/>
      <c r="I156" s="12"/>
      <c r="J156" s="12"/>
      <c r="K156" s="12"/>
      <c r="L156" s="12"/>
      <c r="M156" s="18"/>
      <c r="N156" s="12"/>
      <c r="O156" s="14"/>
      <c r="P156" s="16">
        <f>IF(OR(F156="",O156=""),"",F156*O156)</f>
        <v>0</v>
      </c>
      <c r="Q156" s="14"/>
      <c r="R156" s="14"/>
      <c r="S156" s="14"/>
      <c r="T156" s="16">
        <f>IF(P156="","",P156+N(Q156)+N(R156)-N(S156))</f>
        <v>0</v>
      </c>
      <c r="U156" s="12"/>
      <c r="V156" s="12"/>
      <c r="W156" s="12"/>
      <c r="X156" s="12"/>
      <c r="Y156" s="12"/>
      <c r="Z156" s="12"/>
      <c r="AA156" s="18"/>
    </row>
    <row r="157" spans="1:27">
      <c r="A157" s="12"/>
      <c r="B157" s="12"/>
      <c r="C157" s="12"/>
      <c r="D157" s="12"/>
      <c r="E157" s="12"/>
      <c r="F157" s="17"/>
      <c r="G157" s="12"/>
      <c r="H157" s="12"/>
      <c r="I157" s="12"/>
      <c r="J157" s="12"/>
      <c r="K157" s="12"/>
      <c r="L157" s="12"/>
      <c r="M157" s="18"/>
      <c r="N157" s="12"/>
      <c r="O157" s="14"/>
      <c r="P157" s="16">
        <f>IF(OR(F157="",O157=""),"",F157*O157)</f>
        <v>0</v>
      </c>
      <c r="Q157" s="14"/>
      <c r="R157" s="14"/>
      <c r="S157" s="14"/>
      <c r="T157" s="16">
        <f>IF(P157="","",P157+N(Q157)+N(R157)-N(S157))</f>
        <v>0</v>
      </c>
      <c r="U157" s="12"/>
      <c r="V157" s="12"/>
      <c r="W157" s="12"/>
      <c r="X157" s="12"/>
      <c r="Y157" s="12"/>
      <c r="Z157" s="12"/>
      <c r="AA157" s="18"/>
    </row>
    <row r="158" spans="1:27">
      <c r="A158" s="12"/>
      <c r="B158" s="12"/>
      <c r="C158" s="12"/>
      <c r="D158" s="12"/>
      <c r="E158" s="12"/>
      <c r="F158" s="17"/>
      <c r="G158" s="12"/>
      <c r="H158" s="12"/>
      <c r="I158" s="12"/>
      <c r="J158" s="12"/>
      <c r="K158" s="12"/>
      <c r="L158" s="12"/>
      <c r="M158" s="18"/>
      <c r="N158" s="12"/>
      <c r="O158" s="14"/>
      <c r="P158" s="16">
        <f>IF(OR(F158="",O158=""),"",F158*O158)</f>
        <v>0</v>
      </c>
      <c r="Q158" s="14"/>
      <c r="R158" s="14"/>
      <c r="S158" s="14"/>
      <c r="T158" s="16">
        <f>IF(P158="","",P158+N(Q158)+N(R158)-N(S158))</f>
        <v>0</v>
      </c>
      <c r="U158" s="12"/>
      <c r="V158" s="12"/>
      <c r="W158" s="12"/>
      <c r="X158" s="12"/>
      <c r="Y158" s="12"/>
      <c r="Z158" s="12"/>
      <c r="AA158" s="18"/>
    </row>
    <row r="159" spans="1:27">
      <c r="A159" s="12"/>
      <c r="B159" s="12"/>
      <c r="C159" s="12"/>
      <c r="D159" s="12"/>
      <c r="E159" s="12"/>
      <c r="F159" s="17"/>
      <c r="G159" s="12"/>
      <c r="H159" s="12"/>
      <c r="I159" s="12"/>
      <c r="J159" s="12"/>
      <c r="K159" s="12"/>
      <c r="L159" s="12"/>
      <c r="M159" s="18"/>
      <c r="N159" s="12"/>
      <c r="O159" s="14"/>
      <c r="P159" s="16">
        <f>IF(OR(F159="",O159=""),"",F159*O159)</f>
        <v>0</v>
      </c>
      <c r="Q159" s="14"/>
      <c r="R159" s="14"/>
      <c r="S159" s="14"/>
      <c r="T159" s="16">
        <f>IF(P159="","",P159+N(Q159)+N(R159)-N(S159))</f>
        <v>0</v>
      </c>
      <c r="U159" s="12"/>
      <c r="V159" s="12"/>
      <c r="W159" s="12"/>
      <c r="X159" s="12"/>
      <c r="Y159" s="12"/>
      <c r="Z159" s="12"/>
      <c r="AA159" s="18"/>
    </row>
    <row r="160" spans="1:27">
      <c r="A160" s="12"/>
      <c r="B160" s="12"/>
      <c r="C160" s="12"/>
      <c r="D160" s="12"/>
      <c r="E160" s="12"/>
      <c r="F160" s="17"/>
      <c r="G160" s="12"/>
      <c r="H160" s="12"/>
      <c r="I160" s="12"/>
      <c r="J160" s="12"/>
      <c r="K160" s="12"/>
      <c r="L160" s="12"/>
      <c r="M160" s="18"/>
      <c r="N160" s="12"/>
      <c r="O160" s="14"/>
      <c r="P160" s="16">
        <f>IF(OR(F160="",O160=""),"",F160*O160)</f>
        <v>0</v>
      </c>
      <c r="Q160" s="14"/>
      <c r="R160" s="14"/>
      <c r="S160" s="14"/>
      <c r="T160" s="16">
        <f>IF(P160="","",P160+N(Q160)+N(R160)-N(S160))</f>
        <v>0</v>
      </c>
      <c r="U160" s="12"/>
      <c r="V160" s="12"/>
      <c r="W160" s="12"/>
      <c r="X160" s="12"/>
      <c r="Y160" s="12"/>
      <c r="Z160" s="12"/>
      <c r="AA160" s="18"/>
    </row>
    <row r="161" spans="1:27">
      <c r="A161" s="12"/>
      <c r="B161" s="12"/>
      <c r="C161" s="12"/>
      <c r="D161" s="12"/>
      <c r="E161" s="12"/>
      <c r="F161" s="17"/>
      <c r="G161" s="12"/>
      <c r="H161" s="12"/>
      <c r="I161" s="12"/>
      <c r="J161" s="12"/>
      <c r="K161" s="12"/>
      <c r="L161" s="12"/>
      <c r="M161" s="18"/>
      <c r="N161" s="12"/>
      <c r="O161" s="14"/>
      <c r="P161" s="16">
        <f>IF(OR(F161="",O161=""),"",F161*O161)</f>
        <v>0</v>
      </c>
      <c r="Q161" s="14"/>
      <c r="R161" s="14"/>
      <c r="S161" s="14"/>
      <c r="T161" s="16">
        <f>IF(P161="","",P161+N(Q161)+N(R161)-N(S161))</f>
        <v>0</v>
      </c>
      <c r="U161" s="12"/>
      <c r="V161" s="12"/>
      <c r="W161" s="12"/>
      <c r="X161" s="12"/>
      <c r="Y161" s="12"/>
      <c r="Z161" s="12"/>
      <c r="AA161" s="18"/>
    </row>
    <row r="162" spans="1:27">
      <c r="A162" s="12"/>
      <c r="B162" s="12"/>
      <c r="C162" s="12"/>
      <c r="D162" s="12"/>
      <c r="E162" s="12"/>
      <c r="F162" s="17"/>
      <c r="G162" s="12"/>
      <c r="H162" s="12"/>
      <c r="I162" s="12"/>
      <c r="J162" s="12"/>
      <c r="K162" s="12"/>
      <c r="L162" s="12"/>
      <c r="M162" s="18"/>
      <c r="N162" s="12"/>
      <c r="O162" s="14"/>
      <c r="P162" s="16">
        <f>IF(OR(F162="",O162=""),"",F162*O162)</f>
        <v>0</v>
      </c>
      <c r="Q162" s="14"/>
      <c r="R162" s="14"/>
      <c r="S162" s="14"/>
      <c r="T162" s="16">
        <f>IF(P162="","",P162+N(Q162)+N(R162)-N(S162))</f>
        <v>0</v>
      </c>
      <c r="U162" s="12"/>
      <c r="V162" s="12"/>
      <c r="W162" s="12"/>
      <c r="X162" s="12"/>
      <c r="Y162" s="12"/>
      <c r="Z162" s="12"/>
      <c r="AA162" s="18"/>
    </row>
    <row r="163" spans="1:27">
      <c r="A163" s="12"/>
      <c r="B163" s="12"/>
      <c r="C163" s="12"/>
      <c r="D163" s="12"/>
      <c r="E163" s="12"/>
      <c r="F163" s="17"/>
      <c r="G163" s="12"/>
      <c r="H163" s="12"/>
      <c r="I163" s="12"/>
      <c r="J163" s="12"/>
      <c r="K163" s="12"/>
      <c r="L163" s="12"/>
      <c r="M163" s="18"/>
      <c r="N163" s="12"/>
      <c r="O163" s="14"/>
      <c r="P163" s="16">
        <f>IF(OR(F163="",O163=""),"",F163*O163)</f>
        <v>0</v>
      </c>
      <c r="Q163" s="14"/>
      <c r="R163" s="14"/>
      <c r="S163" s="14"/>
      <c r="T163" s="16">
        <f>IF(P163="","",P163+N(Q163)+N(R163)-N(S163))</f>
        <v>0</v>
      </c>
      <c r="U163" s="12"/>
      <c r="V163" s="12"/>
      <c r="W163" s="12"/>
      <c r="X163" s="12"/>
      <c r="Y163" s="12"/>
      <c r="Z163" s="12"/>
      <c r="AA163" s="18"/>
    </row>
    <row r="164" spans="1:27">
      <c r="A164" s="12"/>
      <c r="B164" s="12"/>
      <c r="C164" s="12"/>
      <c r="D164" s="12"/>
      <c r="E164" s="12"/>
      <c r="F164" s="17"/>
      <c r="G164" s="12"/>
      <c r="H164" s="12"/>
      <c r="I164" s="12"/>
      <c r="J164" s="12"/>
      <c r="K164" s="12"/>
      <c r="L164" s="12"/>
      <c r="M164" s="18"/>
      <c r="N164" s="12"/>
      <c r="O164" s="14"/>
      <c r="P164" s="16">
        <f>IF(OR(F164="",O164=""),"",F164*O164)</f>
        <v>0</v>
      </c>
      <c r="Q164" s="14"/>
      <c r="R164" s="14"/>
      <c r="S164" s="14"/>
      <c r="T164" s="16">
        <f>IF(P164="","",P164+N(Q164)+N(R164)-N(S164))</f>
        <v>0</v>
      </c>
      <c r="U164" s="12"/>
      <c r="V164" s="12"/>
      <c r="W164" s="12"/>
      <c r="X164" s="12"/>
      <c r="Y164" s="12"/>
      <c r="Z164" s="12"/>
      <c r="AA164" s="18"/>
    </row>
    <row r="165" spans="1:27">
      <c r="A165" s="12"/>
      <c r="B165" s="12"/>
      <c r="C165" s="12"/>
      <c r="D165" s="12"/>
      <c r="E165" s="12"/>
      <c r="F165" s="17"/>
      <c r="G165" s="12"/>
      <c r="H165" s="12"/>
      <c r="I165" s="12"/>
      <c r="J165" s="12"/>
      <c r="K165" s="12"/>
      <c r="L165" s="12"/>
      <c r="M165" s="18"/>
      <c r="N165" s="12"/>
      <c r="O165" s="14"/>
      <c r="P165" s="16">
        <f>IF(OR(F165="",O165=""),"",F165*O165)</f>
        <v>0</v>
      </c>
      <c r="Q165" s="14"/>
      <c r="R165" s="14"/>
      <c r="S165" s="14"/>
      <c r="T165" s="16">
        <f>IF(P165="","",P165+N(Q165)+N(R165)-N(S165))</f>
        <v>0</v>
      </c>
      <c r="U165" s="12"/>
      <c r="V165" s="12"/>
      <c r="W165" s="12"/>
      <c r="X165" s="12"/>
      <c r="Y165" s="12"/>
      <c r="Z165" s="12"/>
      <c r="AA165" s="18"/>
    </row>
    <row r="166" spans="1:27">
      <c r="A166" s="12"/>
      <c r="B166" s="12"/>
      <c r="C166" s="12"/>
      <c r="D166" s="12"/>
      <c r="E166" s="12"/>
      <c r="F166" s="17"/>
      <c r="G166" s="12"/>
      <c r="H166" s="12"/>
      <c r="I166" s="12"/>
      <c r="J166" s="12"/>
      <c r="K166" s="12"/>
      <c r="L166" s="12"/>
      <c r="M166" s="18"/>
      <c r="N166" s="12"/>
      <c r="O166" s="14"/>
      <c r="P166" s="16">
        <f>IF(OR(F166="",O166=""),"",F166*O166)</f>
        <v>0</v>
      </c>
      <c r="Q166" s="14"/>
      <c r="R166" s="14"/>
      <c r="S166" s="14"/>
      <c r="T166" s="16">
        <f>IF(P166="","",P166+N(Q166)+N(R166)-N(S166))</f>
        <v>0</v>
      </c>
      <c r="U166" s="12"/>
      <c r="V166" s="12"/>
      <c r="W166" s="12"/>
      <c r="X166" s="12"/>
      <c r="Y166" s="12"/>
      <c r="Z166" s="12"/>
      <c r="AA166" s="18"/>
    </row>
    <row r="167" spans="1:27">
      <c r="A167" s="12"/>
      <c r="B167" s="12"/>
      <c r="C167" s="12"/>
      <c r="D167" s="12"/>
      <c r="E167" s="12"/>
      <c r="F167" s="17"/>
      <c r="G167" s="12"/>
      <c r="H167" s="12"/>
      <c r="I167" s="12"/>
      <c r="J167" s="12"/>
      <c r="K167" s="12"/>
      <c r="L167" s="12"/>
      <c r="M167" s="18"/>
      <c r="N167" s="12"/>
      <c r="O167" s="14"/>
      <c r="P167" s="16">
        <f>IF(OR(F167="",O167=""),"",F167*O167)</f>
        <v>0</v>
      </c>
      <c r="Q167" s="14"/>
      <c r="R167" s="14"/>
      <c r="S167" s="14"/>
      <c r="T167" s="16">
        <f>IF(P167="","",P167+N(Q167)+N(R167)-N(S167))</f>
        <v>0</v>
      </c>
      <c r="U167" s="12"/>
      <c r="V167" s="12"/>
      <c r="W167" s="12"/>
      <c r="X167" s="12"/>
      <c r="Y167" s="12"/>
      <c r="Z167" s="12"/>
      <c r="AA167" s="18"/>
    </row>
    <row r="168" spans="1:27">
      <c r="A168" s="12"/>
      <c r="B168" s="12"/>
      <c r="C168" s="12"/>
      <c r="D168" s="12"/>
      <c r="E168" s="12"/>
      <c r="F168" s="17"/>
      <c r="G168" s="12"/>
      <c r="H168" s="12"/>
      <c r="I168" s="12"/>
      <c r="J168" s="12"/>
      <c r="K168" s="12"/>
      <c r="L168" s="12"/>
      <c r="M168" s="18"/>
      <c r="N168" s="12"/>
      <c r="O168" s="14"/>
      <c r="P168" s="16">
        <f>IF(OR(F168="",O168=""),"",F168*O168)</f>
        <v>0</v>
      </c>
      <c r="Q168" s="14"/>
      <c r="R168" s="14"/>
      <c r="S168" s="14"/>
      <c r="T168" s="16">
        <f>IF(P168="","",P168+N(Q168)+N(R168)-N(S168))</f>
        <v>0</v>
      </c>
      <c r="U168" s="12"/>
      <c r="V168" s="12"/>
      <c r="W168" s="12"/>
      <c r="X168" s="12"/>
      <c r="Y168" s="12"/>
      <c r="Z168" s="12"/>
      <c r="AA168" s="18"/>
    </row>
    <row r="169" spans="1:27">
      <c r="A169" s="12"/>
      <c r="B169" s="12"/>
      <c r="C169" s="12"/>
      <c r="D169" s="12"/>
      <c r="E169" s="12"/>
      <c r="F169" s="17"/>
      <c r="G169" s="12"/>
      <c r="H169" s="12"/>
      <c r="I169" s="12"/>
      <c r="J169" s="12"/>
      <c r="K169" s="12"/>
      <c r="L169" s="12"/>
      <c r="M169" s="18"/>
      <c r="N169" s="12"/>
      <c r="O169" s="14"/>
      <c r="P169" s="16">
        <f>IF(OR(F169="",O169=""),"",F169*O169)</f>
        <v>0</v>
      </c>
      <c r="Q169" s="14"/>
      <c r="R169" s="14"/>
      <c r="S169" s="14"/>
      <c r="T169" s="16">
        <f>IF(P169="","",P169+N(Q169)+N(R169)-N(S169))</f>
        <v>0</v>
      </c>
      <c r="U169" s="12"/>
      <c r="V169" s="12"/>
      <c r="W169" s="12"/>
      <c r="X169" s="12"/>
      <c r="Y169" s="12"/>
      <c r="Z169" s="12"/>
      <c r="AA169" s="18"/>
    </row>
    <row r="170" spans="1:27">
      <c r="A170" s="12"/>
      <c r="B170" s="12"/>
      <c r="C170" s="12"/>
      <c r="D170" s="12"/>
      <c r="E170" s="12"/>
      <c r="F170" s="17"/>
      <c r="G170" s="12"/>
      <c r="H170" s="12"/>
      <c r="I170" s="12"/>
      <c r="J170" s="12"/>
      <c r="K170" s="12"/>
      <c r="L170" s="12"/>
      <c r="M170" s="18"/>
      <c r="N170" s="12"/>
      <c r="O170" s="14"/>
      <c r="P170" s="16">
        <f>IF(OR(F170="",O170=""),"",F170*O170)</f>
        <v>0</v>
      </c>
      <c r="Q170" s="14"/>
      <c r="R170" s="14"/>
      <c r="S170" s="14"/>
      <c r="T170" s="16">
        <f>IF(P170="","",P170+N(Q170)+N(R170)-N(S170))</f>
        <v>0</v>
      </c>
      <c r="U170" s="12"/>
      <c r="V170" s="12"/>
      <c r="W170" s="12"/>
      <c r="X170" s="12"/>
      <c r="Y170" s="12"/>
      <c r="Z170" s="12"/>
      <c r="AA170" s="18"/>
    </row>
    <row r="171" spans="1:27">
      <c r="A171" s="12"/>
      <c r="B171" s="12"/>
      <c r="C171" s="12"/>
      <c r="D171" s="12"/>
      <c r="E171" s="12"/>
      <c r="F171" s="17"/>
      <c r="G171" s="12"/>
      <c r="H171" s="12"/>
      <c r="I171" s="12"/>
      <c r="J171" s="12"/>
      <c r="K171" s="12"/>
      <c r="L171" s="12"/>
      <c r="M171" s="18"/>
      <c r="N171" s="12"/>
      <c r="O171" s="14"/>
      <c r="P171" s="16">
        <f>IF(OR(F171="",O171=""),"",F171*O171)</f>
        <v>0</v>
      </c>
      <c r="Q171" s="14"/>
      <c r="R171" s="14"/>
      <c r="S171" s="14"/>
      <c r="T171" s="16">
        <f>IF(P171="","",P171+N(Q171)+N(R171)-N(S171))</f>
        <v>0</v>
      </c>
      <c r="U171" s="12"/>
      <c r="V171" s="12"/>
      <c r="W171" s="12"/>
      <c r="X171" s="12"/>
      <c r="Y171" s="12"/>
      <c r="Z171" s="12"/>
      <c r="AA171" s="18"/>
    </row>
    <row r="172" spans="1:27">
      <c r="A172" s="12"/>
      <c r="B172" s="12"/>
      <c r="C172" s="12"/>
      <c r="D172" s="12"/>
      <c r="E172" s="12"/>
      <c r="F172" s="17"/>
      <c r="G172" s="12"/>
      <c r="H172" s="12"/>
      <c r="I172" s="12"/>
      <c r="J172" s="12"/>
      <c r="K172" s="12"/>
      <c r="L172" s="12"/>
      <c r="M172" s="18"/>
      <c r="N172" s="12"/>
      <c r="O172" s="14"/>
      <c r="P172" s="16">
        <f>IF(OR(F172="",O172=""),"",F172*O172)</f>
        <v>0</v>
      </c>
      <c r="Q172" s="14"/>
      <c r="R172" s="14"/>
      <c r="S172" s="14"/>
      <c r="T172" s="16">
        <f>IF(P172="","",P172+N(Q172)+N(R172)-N(S172))</f>
        <v>0</v>
      </c>
      <c r="U172" s="12"/>
      <c r="V172" s="12"/>
      <c r="W172" s="12"/>
      <c r="X172" s="12"/>
      <c r="Y172" s="12"/>
      <c r="Z172" s="12"/>
      <c r="AA172" s="18"/>
    </row>
    <row r="173" spans="1:27">
      <c r="A173" s="12"/>
      <c r="B173" s="12"/>
      <c r="C173" s="12"/>
      <c r="D173" s="12"/>
      <c r="E173" s="12"/>
      <c r="F173" s="17"/>
      <c r="G173" s="12"/>
      <c r="H173" s="12"/>
      <c r="I173" s="12"/>
      <c r="J173" s="12"/>
      <c r="K173" s="12"/>
      <c r="L173" s="12"/>
      <c r="M173" s="18"/>
      <c r="N173" s="12"/>
      <c r="O173" s="14"/>
      <c r="P173" s="16">
        <f>IF(OR(F173="",O173=""),"",F173*O173)</f>
        <v>0</v>
      </c>
      <c r="Q173" s="14"/>
      <c r="R173" s="14"/>
      <c r="S173" s="14"/>
      <c r="T173" s="16">
        <f>IF(P173="","",P173+N(Q173)+N(R173)-N(S173))</f>
        <v>0</v>
      </c>
      <c r="U173" s="12"/>
      <c r="V173" s="12"/>
      <c r="W173" s="12"/>
      <c r="X173" s="12"/>
      <c r="Y173" s="12"/>
      <c r="Z173" s="12"/>
      <c r="AA173" s="18"/>
    </row>
    <row r="174" spans="1:27">
      <c r="A174" s="12"/>
      <c r="B174" s="12"/>
      <c r="C174" s="12"/>
      <c r="D174" s="12"/>
      <c r="E174" s="12"/>
      <c r="F174" s="17"/>
      <c r="G174" s="12"/>
      <c r="H174" s="12"/>
      <c r="I174" s="12"/>
      <c r="J174" s="12"/>
      <c r="K174" s="12"/>
      <c r="L174" s="12"/>
      <c r="M174" s="18"/>
      <c r="N174" s="12"/>
      <c r="O174" s="14"/>
      <c r="P174" s="16">
        <f>IF(OR(F174="",O174=""),"",F174*O174)</f>
        <v>0</v>
      </c>
      <c r="Q174" s="14"/>
      <c r="R174" s="14"/>
      <c r="S174" s="14"/>
      <c r="T174" s="16">
        <f>IF(P174="","",P174+N(Q174)+N(R174)-N(S174))</f>
        <v>0</v>
      </c>
      <c r="U174" s="12"/>
      <c r="V174" s="12"/>
      <c r="W174" s="12"/>
      <c r="X174" s="12"/>
      <c r="Y174" s="12"/>
      <c r="Z174" s="12"/>
      <c r="AA174" s="18"/>
    </row>
    <row r="175" spans="1:27">
      <c r="A175" s="12"/>
      <c r="B175" s="12"/>
      <c r="C175" s="12"/>
      <c r="D175" s="12"/>
      <c r="E175" s="12"/>
      <c r="F175" s="17"/>
      <c r="G175" s="12"/>
      <c r="H175" s="12"/>
      <c r="I175" s="12"/>
      <c r="J175" s="12"/>
      <c r="K175" s="12"/>
      <c r="L175" s="12"/>
      <c r="M175" s="18"/>
      <c r="N175" s="12"/>
      <c r="O175" s="14"/>
      <c r="P175" s="16">
        <f>IF(OR(F175="",O175=""),"",F175*O175)</f>
        <v>0</v>
      </c>
      <c r="Q175" s="14"/>
      <c r="R175" s="14"/>
      <c r="S175" s="14"/>
      <c r="T175" s="16">
        <f>IF(P175="","",P175+N(Q175)+N(R175)-N(S175))</f>
        <v>0</v>
      </c>
      <c r="U175" s="12"/>
      <c r="V175" s="12"/>
      <c r="W175" s="12"/>
      <c r="X175" s="12"/>
      <c r="Y175" s="12"/>
      <c r="Z175" s="12"/>
      <c r="AA175" s="18"/>
    </row>
    <row r="176" spans="1:27">
      <c r="A176" s="12"/>
      <c r="B176" s="12"/>
      <c r="C176" s="12"/>
      <c r="D176" s="12"/>
      <c r="E176" s="12"/>
      <c r="F176" s="17"/>
      <c r="G176" s="12"/>
      <c r="H176" s="12"/>
      <c r="I176" s="12"/>
      <c r="J176" s="12"/>
      <c r="K176" s="12"/>
      <c r="L176" s="12"/>
      <c r="M176" s="18"/>
      <c r="N176" s="12"/>
      <c r="O176" s="14"/>
      <c r="P176" s="16">
        <f>IF(OR(F176="",O176=""),"",F176*O176)</f>
        <v>0</v>
      </c>
      <c r="Q176" s="14"/>
      <c r="R176" s="14"/>
      <c r="S176" s="14"/>
      <c r="T176" s="16">
        <f>IF(P176="","",P176+N(Q176)+N(R176)-N(S176))</f>
        <v>0</v>
      </c>
      <c r="U176" s="12"/>
      <c r="V176" s="12"/>
      <c r="W176" s="12"/>
      <c r="X176" s="12"/>
      <c r="Y176" s="12"/>
      <c r="Z176" s="12"/>
      <c r="AA176" s="18"/>
    </row>
    <row r="177" spans="1:27">
      <c r="A177" s="12"/>
      <c r="B177" s="12"/>
      <c r="C177" s="12"/>
      <c r="D177" s="12"/>
      <c r="E177" s="12"/>
      <c r="F177" s="17"/>
      <c r="G177" s="12"/>
      <c r="H177" s="12"/>
      <c r="I177" s="12"/>
      <c r="J177" s="12"/>
      <c r="K177" s="12"/>
      <c r="L177" s="12"/>
      <c r="M177" s="18"/>
      <c r="N177" s="12"/>
      <c r="O177" s="14"/>
      <c r="P177" s="16">
        <f>IF(OR(F177="",O177=""),"",F177*O177)</f>
        <v>0</v>
      </c>
      <c r="Q177" s="14"/>
      <c r="R177" s="14"/>
      <c r="S177" s="14"/>
      <c r="T177" s="16">
        <f>IF(P177="","",P177+N(Q177)+N(R177)-N(S177))</f>
        <v>0</v>
      </c>
      <c r="U177" s="12"/>
      <c r="V177" s="12"/>
      <c r="W177" s="12"/>
      <c r="X177" s="12"/>
      <c r="Y177" s="12"/>
      <c r="Z177" s="12"/>
      <c r="AA177" s="18"/>
    </row>
    <row r="178" spans="1:27">
      <c r="A178" s="12"/>
      <c r="B178" s="12"/>
      <c r="C178" s="12"/>
      <c r="D178" s="12"/>
      <c r="E178" s="12"/>
      <c r="F178" s="17"/>
      <c r="G178" s="12"/>
      <c r="H178" s="12"/>
      <c r="I178" s="12"/>
      <c r="J178" s="12"/>
      <c r="K178" s="12"/>
      <c r="L178" s="12"/>
      <c r="M178" s="18"/>
      <c r="N178" s="12"/>
      <c r="O178" s="14"/>
      <c r="P178" s="16">
        <f>IF(OR(F178="",O178=""),"",F178*O178)</f>
        <v>0</v>
      </c>
      <c r="Q178" s="14"/>
      <c r="R178" s="14"/>
      <c r="S178" s="14"/>
      <c r="T178" s="16">
        <f>IF(P178="","",P178+N(Q178)+N(R178)-N(S178))</f>
        <v>0</v>
      </c>
      <c r="U178" s="12"/>
      <c r="V178" s="12"/>
      <c r="W178" s="12"/>
      <c r="X178" s="12"/>
      <c r="Y178" s="12"/>
      <c r="Z178" s="12"/>
      <c r="AA178" s="18"/>
    </row>
    <row r="179" spans="1:27">
      <c r="A179" s="12"/>
      <c r="B179" s="12"/>
      <c r="C179" s="12"/>
      <c r="D179" s="12"/>
      <c r="E179" s="12"/>
      <c r="F179" s="17"/>
      <c r="G179" s="12"/>
      <c r="H179" s="12"/>
      <c r="I179" s="12"/>
      <c r="J179" s="12"/>
      <c r="K179" s="12"/>
      <c r="L179" s="12"/>
      <c r="M179" s="18"/>
      <c r="N179" s="12"/>
      <c r="O179" s="14"/>
      <c r="P179" s="16">
        <f>IF(OR(F179="",O179=""),"",F179*O179)</f>
        <v>0</v>
      </c>
      <c r="Q179" s="14"/>
      <c r="R179" s="14"/>
      <c r="S179" s="14"/>
      <c r="T179" s="16">
        <f>IF(P179="","",P179+N(Q179)+N(R179)-N(S179))</f>
        <v>0</v>
      </c>
      <c r="U179" s="12"/>
      <c r="V179" s="12"/>
      <c r="W179" s="12"/>
      <c r="X179" s="12"/>
      <c r="Y179" s="12"/>
      <c r="Z179" s="12"/>
      <c r="AA179" s="18"/>
    </row>
    <row r="180" spans="1:27">
      <c r="A180" s="12"/>
      <c r="B180" s="12"/>
      <c r="C180" s="12"/>
      <c r="D180" s="12"/>
      <c r="E180" s="12"/>
      <c r="F180" s="17"/>
      <c r="G180" s="12"/>
      <c r="H180" s="12"/>
      <c r="I180" s="12"/>
      <c r="J180" s="12"/>
      <c r="K180" s="12"/>
      <c r="L180" s="12"/>
      <c r="M180" s="18"/>
      <c r="N180" s="12"/>
      <c r="O180" s="14"/>
      <c r="P180" s="16">
        <f>IF(OR(F180="",O180=""),"",F180*O180)</f>
        <v>0</v>
      </c>
      <c r="Q180" s="14"/>
      <c r="R180" s="14"/>
      <c r="S180" s="14"/>
      <c r="T180" s="16">
        <f>IF(P180="","",P180+N(Q180)+N(R180)-N(S180))</f>
        <v>0</v>
      </c>
      <c r="U180" s="12"/>
      <c r="V180" s="12"/>
      <c r="W180" s="12"/>
      <c r="X180" s="12"/>
      <c r="Y180" s="12"/>
      <c r="Z180" s="12"/>
      <c r="AA180" s="18"/>
    </row>
    <row r="181" spans="1:27">
      <c r="A181" s="12"/>
      <c r="B181" s="12"/>
      <c r="C181" s="12"/>
      <c r="D181" s="12"/>
      <c r="E181" s="12"/>
      <c r="F181" s="17"/>
      <c r="G181" s="12"/>
      <c r="H181" s="12"/>
      <c r="I181" s="12"/>
      <c r="J181" s="12"/>
      <c r="K181" s="12"/>
      <c r="L181" s="12"/>
      <c r="M181" s="18"/>
      <c r="N181" s="12"/>
      <c r="O181" s="14"/>
      <c r="P181" s="16">
        <f>IF(OR(F181="",O181=""),"",F181*O181)</f>
        <v>0</v>
      </c>
      <c r="Q181" s="14"/>
      <c r="R181" s="14"/>
      <c r="S181" s="14"/>
      <c r="T181" s="16">
        <f>IF(P181="","",P181+N(Q181)+N(R181)-N(S181))</f>
        <v>0</v>
      </c>
      <c r="U181" s="12"/>
      <c r="V181" s="12"/>
      <c r="W181" s="12"/>
      <c r="X181" s="12"/>
      <c r="Y181" s="12"/>
      <c r="Z181" s="12"/>
      <c r="AA181" s="18"/>
    </row>
    <row r="182" spans="1:27">
      <c r="A182" s="12"/>
      <c r="B182" s="12"/>
      <c r="C182" s="12"/>
      <c r="D182" s="12"/>
      <c r="E182" s="12"/>
      <c r="F182" s="17"/>
      <c r="G182" s="12"/>
      <c r="H182" s="12"/>
      <c r="I182" s="12"/>
      <c r="J182" s="12"/>
      <c r="K182" s="12"/>
      <c r="L182" s="12"/>
      <c r="M182" s="18"/>
      <c r="N182" s="12"/>
      <c r="O182" s="14"/>
      <c r="P182" s="16">
        <f>IF(OR(F182="",O182=""),"",F182*O182)</f>
        <v>0</v>
      </c>
      <c r="Q182" s="14"/>
      <c r="R182" s="14"/>
      <c r="S182" s="14"/>
      <c r="T182" s="16">
        <f>IF(P182="","",P182+N(Q182)+N(R182)-N(S182))</f>
        <v>0</v>
      </c>
      <c r="U182" s="12"/>
      <c r="V182" s="12"/>
      <c r="W182" s="12"/>
      <c r="X182" s="12"/>
      <c r="Y182" s="12"/>
      <c r="Z182" s="12"/>
      <c r="AA182" s="18"/>
    </row>
    <row r="183" spans="1:27">
      <c r="A183" s="12"/>
      <c r="B183" s="12"/>
      <c r="C183" s="12"/>
      <c r="D183" s="12"/>
      <c r="E183" s="12"/>
      <c r="F183" s="17"/>
      <c r="G183" s="12"/>
      <c r="H183" s="12"/>
      <c r="I183" s="12"/>
      <c r="J183" s="12"/>
      <c r="K183" s="12"/>
      <c r="L183" s="12"/>
      <c r="M183" s="18"/>
      <c r="N183" s="12"/>
      <c r="O183" s="14"/>
      <c r="P183" s="16">
        <f>IF(OR(F183="",O183=""),"",F183*O183)</f>
        <v>0</v>
      </c>
      <c r="Q183" s="14"/>
      <c r="R183" s="14"/>
      <c r="S183" s="14"/>
      <c r="T183" s="16">
        <f>IF(P183="","",P183+N(Q183)+N(R183)-N(S183))</f>
        <v>0</v>
      </c>
      <c r="U183" s="12"/>
      <c r="V183" s="12"/>
      <c r="W183" s="12"/>
      <c r="X183" s="12"/>
      <c r="Y183" s="12"/>
      <c r="Z183" s="12"/>
      <c r="AA183" s="18"/>
    </row>
    <row r="184" spans="1:27">
      <c r="A184" s="12"/>
      <c r="B184" s="12"/>
      <c r="C184" s="12"/>
      <c r="D184" s="12"/>
      <c r="E184" s="12"/>
      <c r="F184" s="17"/>
      <c r="G184" s="12"/>
      <c r="H184" s="12"/>
      <c r="I184" s="12"/>
      <c r="J184" s="12"/>
      <c r="K184" s="12"/>
      <c r="L184" s="12"/>
      <c r="M184" s="18"/>
      <c r="N184" s="12"/>
      <c r="O184" s="14"/>
      <c r="P184" s="16">
        <f>IF(OR(F184="",O184=""),"",F184*O184)</f>
        <v>0</v>
      </c>
      <c r="Q184" s="14"/>
      <c r="R184" s="14"/>
      <c r="S184" s="14"/>
      <c r="T184" s="16">
        <f>IF(P184="","",P184+N(Q184)+N(R184)-N(S184))</f>
        <v>0</v>
      </c>
      <c r="U184" s="12"/>
      <c r="V184" s="12"/>
      <c r="W184" s="12"/>
      <c r="X184" s="12"/>
      <c r="Y184" s="12"/>
      <c r="Z184" s="12"/>
      <c r="AA184" s="18"/>
    </row>
    <row r="185" spans="1:27">
      <c r="A185" s="12"/>
      <c r="B185" s="12"/>
      <c r="C185" s="12"/>
      <c r="D185" s="12"/>
      <c r="E185" s="12"/>
      <c r="F185" s="17"/>
      <c r="G185" s="12"/>
      <c r="H185" s="12"/>
      <c r="I185" s="12"/>
      <c r="J185" s="12"/>
      <c r="K185" s="12"/>
      <c r="L185" s="12"/>
      <c r="M185" s="18"/>
      <c r="N185" s="12"/>
      <c r="O185" s="14"/>
      <c r="P185" s="16">
        <f>IF(OR(F185="",O185=""),"",F185*O185)</f>
        <v>0</v>
      </c>
      <c r="Q185" s="14"/>
      <c r="R185" s="14"/>
      <c r="S185" s="14"/>
      <c r="T185" s="16">
        <f>IF(P185="","",P185+N(Q185)+N(R185)-N(S185))</f>
        <v>0</v>
      </c>
      <c r="U185" s="12"/>
      <c r="V185" s="12"/>
      <c r="W185" s="12"/>
      <c r="X185" s="12"/>
      <c r="Y185" s="12"/>
      <c r="Z185" s="12"/>
      <c r="AA185" s="18"/>
    </row>
    <row r="186" spans="1:27">
      <c r="A186" s="12"/>
      <c r="B186" s="12"/>
      <c r="C186" s="12"/>
      <c r="D186" s="12"/>
      <c r="E186" s="12"/>
      <c r="F186" s="17"/>
      <c r="G186" s="12"/>
      <c r="H186" s="12"/>
      <c r="I186" s="12"/>
      <c r="J186" s="12"/>
      <c r="K186" s="12"/>
      <c r="L186" s="12"/>
      <c r="M186" s="18"/>
      <c r="N186" s="12"/>
      <c r="O186" s="14"/>
      <c r="P186" s="16">
        <f>IF(OR(F186="",O186=""),"",F186*O186)</f>
        <v>0</v>
      </c>
      <c r="Q186" s="14"/>
      <c r="R186" s="14"/>
      <c r="S186" s="14"/>
      <c r="T186" s="16">
        <f>IF(P186="","",P186+N(Q186)+N(R186)-N(S186))</f>
        <v>0</v>
      </c>
      <c r="U186" s="12"/>
      <c r="V186" s="12"/>
      <c r="W186" s="12"/>
      <c r="X186" s="12"/>
      <c r="Y186" s="12"/>
      <c r="Z186" s="12"/>
      <c r="AA186" s="18"/>
    </row>
    <row r="187" spans="1:27">
      <c r="A187" s="12"/>
      <c r="B187" s="12"/>
      <c r="C187" s="12"/>
      <c r="D187" s="12"/>
      <c r="E187" s="12"/>
      <c r="F187" s="17"/>
      <c r="G187" s="12"/>
      <c r="H187" s="12"/>
      <c r="I187" s="12"/>
      <c r="J187" s="12"/>
      <c r="K187" s="12"/>
      <c r="L187" s="12"/>
      <c r="M187" s="18"/>
      <c r="N187" s="12"/>
      <c r="O187" s="14"/>
      <c r="P187" s="16">
        <f>IF(OR(F187="",O187=""),"",F187*O187)</f>
        <v>0</v>
      </c>
      <c r="Q187" s="14"/>
      <c r="R187" s="14"/>
      <c r="S187" s="14"/>
      <c r="T187" s="16">
        <f>IF(P187="","",P187+N(Q187)+N(R187)-N(S187))</f>
        <v>0</v>
      </c>
      <c r="U187" s="12"/>
      <c r="V187" s="12"/>
      <c r="W187" s="12"/>
      <c r="X187" s="12"/>
      <c r="Y187" s="12"/>
      <c r="Z187" s="12"/>
      <c r="AA187" s="18"/>
    </row>
    <row r="188" spans="1:27">
      <c r="A188" s="12"/>
      <c r="B188" s="12"/>
      <c r="C188" s="12"/>
      <c r="D188" s="12"/>
      <c r="E188" s="12"/>
      <c r="F188" s="17"/>
      <c r="G188" s="12"/>
      <c r="H188" s="12"/>
      <c r="I188" s="12"/>
      <c r="J188" s="12"/>
      <c r="K188" s="12"/>
      <c r="L188" s="12"/>
      <c r="M188" s="18"/>
      <c r="N188" s="12"/>
      <c r="O188" s="14"/>
      <c r="P188" s="16">
        <f>IF(OR(F188="",O188=""),"",F188*O188)</f>
        <v>0</v>
      </c>
      <c r="Q188" s="14"/>
      <c r="R188" s="14"/>
      <c r="S188" s="14"/>
      <c r="T188" s="16">
        <f>IF(P188="","",P188+N(Q188)+N(R188)-N(S188))</f>
        <v>0</v>
      </c>
      <c r="U188" s="12"/>
      <c r="V188" s="12"/>
      <c r="W188" s="12"/>
      <c r="X188" s="12"/>
      <c r="Y188" s="12"/>
      <c r="Z188" s="12"/>
      <c r="AA188" s="18"/>
    </row>
    <row r="189" spans="1:27">
      <c r="A189" s="12"/>
      <c r="B189" s="12"/>
      <c r="C189" s="12"/>
      <c r="D189" s="12"/>
      <c r="E189" s="12"/>
      <c r="F189" s="17"/>
      <c r="G189" s="12"/>
      <c r="H189" s="12"/>
      <c r="I189" s="12"/>
      <c r="J189" s="12"/>
      <c r="K189" s="12"/>
      <c r="L189" s="12"/>
      <c r="M189" s="18"/>
      <c r="N189" s="12"/>
      <c r="O189" s="14"/>
      <c r="P189" s="16">
        <f>IF(OR(F189="",O189=""),"",F189*O189)</f>
        <v>0</v>
      </c>
      <c r="Q189" s="14"/>
      <c r="R189" s="14"/>
      <c r="S189" s="14"/>
      <c r="T189" s="16">
        <f>IF(P189="","",P189+N(Q189)+N(R189)-N(S189))</f>
        <v>0</v>
      </c>
      <c r="U189" s="12"/>
      <c r="V189" s="12"/>
      <c r="W189" s="12"/>
      <c r="X189" s="12"/>
      <c r="Y189" s="12"/>
      <c r="Z189" s="12"/>
      <c r="AA189" s="18"/>
    </row>
    <row r="190" spans="1:27">
      <c r="A190" s="12"/>
      <c r="B190" s="12"/>
      <c r="C190" s="12"/>
      <c r="D190" s="12"/>
      <c r="E190" s="12"/>
      <c r="F190" s="17"/>
      <c r="G190" s="12"/>
      <c r="H190" s="12"/>
      <c r="I190" s="12"/>
      <c r="J190" s="12"/>
      <c r="K190" s="12"/>
      <c r="L190" s="12"/>
      <c r="M190" s="18"/>
      <c r="N190" s="12"/>
      <c r="O190" s="14"/>
      <c r="P190" s="16">
        <f>IF(OR(F190="",O190=""),"",F190*O190)</f>
        <v>0</v>
      </c>
      <c r="Q190" s="14"/>
      <c r="R190" s="14"/>
      <c r="S190" s="14"/>
      <c r="T190" s="16">
        <f>IF(P190="","",P190+N(Q190)+N(R190)-N(S190))</f>
        <v>0</v>
      </c>
      <c r="U190" s="12"/>
      <c r="V190" s="12"/>
      <c r="W190" s="12"/>
      <c r="X190" s="12"/>
      <c r="Y190" s="12"/>
      <c r="Z190" s="12"/>
      <c r="AA190" s="18"/>
    </row>
    <row r="191" spans="1:27">
      <c r="A191" s="12"/>
      <c r="B191" s="12"/>
      <c r="C191" s="12"/>
      <c r="D191" s="12"/>
      <c r="E191" s="12"/>
      <c r="F191" s="17"/>
      <c r="G191" s="12"/>
      <c r="H191" s="12"/>
      <c r="I191" s="12"/>
      <c r="J191" s="12"/>
      <c r="K191" s="12"/>
      <c r="L191" s="12"/>
      <c r="M191" s="18"/>
      <c r="N191" s="12"/>
      <c r="O191" s="14"/>
      <c r="P191" s="16">
        <f>IF(OR(F191="",O191=""),"",F191*O191)</f>
        <v>0</v>
      </c>
      <c r="Q191" s="14"/>
      <c r="R191" s="14"/>
      <c r="S191" s="14"/>
      <c r="T191" s="16">
        <f>IF(P191="","",P191+N(Q191)+N(R191)-N(S191))</f>
        <v>0</v>
      </c>
      <c r="U191" s="12"/>
      <c r="V191" s="12"/>
      <c r="W191" s="12"/>
      <c r="X191" s="12"/>
      <c r="Y191" s="12"/>
      <c r="Z191" s="12"/>
      <c r="AA191" s="18"/>
    </row>
    <row r="192" spans="1:27">
      <c r="A192" s="12"/>
      <c r="B192" s="12"/>
      <c r="C192" s="12"/>
      <c r="D192" s="12"/>
      <c r="E192" s="12"/>
      <c r="F192" s="17"/>
      <c r="G192" s="12"/>
      <c r="H192" s="12"/>
      <c r="I192" s="12"/>
      <c r="J192" s="12"/>
      <c r="K192" s="12"/>
      <c r="L192" s="12"/>
      <c r="M192" s="18"/>
      <c r="N192" s="12"/>
      <c r="O192" s="14"/>
      <c r="P192" s="16">
        <f>IF(OR(F192="",O192=""),"",F192*O192)</f>
        <v>0</v>
      </c>
      <c r="Q192" s="14"/>
      <c r="R192" s="14"/>
      <c r="S192" s="14"/>
      <c r="T192" s="16">
        <f>IF(P192="","",P192+N(Q192)+N(R192)-N(S192))</f>
        <v>0</v>
      </c>
      <c r="U192" s="12"/>
      <c r="V192" s="12"/>
      <c r="W192" s="12"/>
      <c r="X192" s="12"/>
      <c r="Y192" s="12"/>
      <c r="Z192" s="12"/>
      <c r="AA192" s="18"/>
    </row>
    <row r="193" spans="1:27">
      <c r="A193" s="12"/>
      <c r="B193" s="12"/>
      <c r="C193" s="12"/>
      <c r="D193" s="12"/>
      <c r="E193" s="12"/>
      <c r="F193" s="17"/>
      <c r="G193" s="12"/>
      <c r="H193" s="12"/>
      <c r="I193" s="12"/>
      <c r="J193" s="12"/>
      <c r="K193" s="12"/>
      <c r="L193" s="12"/>
      <c r="M193" s="18"/>
      <c r="N193" s="12"/>
      <c r="O193" s="14"/>
      <c r="P193" s="16">
        <f>IF(OR(F193="",O193=""),"",F193*O193)</f>
        <v>0</v>
      </c>
      <c r="Q193" s="14"/>
      <c r="R193" s="14"/>
      <c r="S193" s="14"/>
      <c r="T193" s="16">
        <f>IF(P193="","",P193+N(Q193)+N(R193)-N(S193))</f>
        <v>0</v>
      </c>
      <c r="U193" s="12"/>
      <c r="V193" s="12"/>
      <c r="W193" s="12"/>
      <c r="X193" s="12"/>
      <c r="Y193" s="12"/>
      <c r="Z193" s="12"/>
      <c r="AA193" s="18"/>
    </row>
    <row r="194" spans="1:27">
      <c r="A194" s="12"/>
      <c r="B194" s="12"/>
      <c r="C194" s="12"/>
      <c r="D194" s="12"/>
      <c r="E194" s="12"/>
      <c r="F194" s="17"/>
      <c r="G194" s="12"/>
      <c r="H194" s="12"/>
      <c r="I194" s="12"/>
      <c r="J194" s="12"/>
      <c r="K194" s="12"/>
      <c r="L194" s="12"/>
      <c r="M194" s="18"/>
      <c r="N194" s="12"/>
      <c r="O194" s="14"/>
      <c r="P194" s="16">
        <f>IF(OR(F194="",O194=""),"",F194*O194)</f>
        <v>0</v>
      </c>
      <c r="Q194" s="14"/>
      <c r="R194" s="14"/>
      <c r="S194" s="14"/>
      <c r="T194" s="16">
        <f>IF(P194="","",P194+N(Q194)+N(R194)-N(S194))</f>
        <v>0</v>
      </c>
      <c r="U194" s="12"/>
      <c r="V194" s="12"/>
      <c r="W194" s="12"/>
      <c r="X194" s="12"/>
      <c r="Y194" s="12"/>
      <c r="Z194" s="12"/>
      <c r="AA194" s="18"/>
    </row>
    <row r="195" spans="1:27">
      <c r="A195" s="12"/>
      <c r="B195" s="12"/>
      <c r="C195" s="12"/>
      <c r="D195" s="12"/>
      <c r="E195" s="12"/>
      <c r="F195" s="17"/>
      <c r="G195" s="12"/>
      <c r="H195" s="12"/>
      <c r="I195" s="12"/>
      <c r="J195" s="12"/>
      <c r="K195" s="12"/>
      <c r="L195" s="12"/>
      <c r="M195" s="18"/>
      <c r="N195" s="12"/>
      <c r="O195" s="14"/>
      <c r="P195" s="16">
        <f>IF(OR(F195="",O195=""),"",F195*O195)</f>
        <v>0</v>
      </c>
      <c r="Q195" s="14"/>
      <c r="R195" s="14"/>
      <c r="S195" s="14"/>
      <c r="T195" s="16">
        <f>IF(P195="","",P195+N(Q195)+N(R195)-N(S195))</f>
        <v>0</v>
      </c>
      <c r="U195" s="12"/>
      <c r="V195" s="12"/>
      <c r="W195" s="12"/>
      <c r="X195" s="12"/>
      <c r="Y195" s="12"/>
      <c r="Z195" s="12"/>
      <c r="AA195" s="18"/>
    </row>
    <row r="196" spans="1:27">
      <c r="A196" s="12"/>
      <c r="B196" s="12"/>
      <c r="C196" s="12"/>
      <c r="D196" s="12"/>
      <c r="E196" s="12"/>
      <c r="F196" s="17"/>
      <c r="G196" s="12"/>
      <c r="H196" s="12"/>
      <c r="I196" s="12"/>
      <c r="J196" s="12"/>
      <c r="K196" s="12"/>
      <c r="L196" s="12"/>
      <c r="M196" s="18"/>
      <c r="N196" s="12"/>
      <c r="O196" s="14"/>
      <c r="P196" s="16">
        <f>IF(OR(F196="",O196=""),"",F196*O196)</f>
        <v>0</v>
      </c>
      <c r="Q196" s="14"/>
      <c r="R196" s="14"/>
      <c r="S196" s="14"/>
      <c r="T196" s="16">
        <f>IF(P196="","",P196+N(Q196)+N(R196)-N(S196))</f>
        <v>0</v>
      </c>
      <c r="U196" s="12"/>
      <c r="V196" s="12"/>
      <c r="W196" s="12"/>
      <c r="X196" s="12"/>
      <c r="Y196" s="12"/>
      <c r="Z196" s="12"/>
      <c r="AA196" s="18"/>
    </row>
    <row r="197" spans="1:27">
      <c r="A197" s="12"/>
      <c r="B197" s="12"/>
      <c r="C197" s="12"/>
      <c r="D197" s="12"/>
      <c r="E197" s="12"/>
      <c r="F197" s="17"/>
      <c r="G197" s="12"/>
      <c r="H197" s="12"/>
      <c r="I197" s="12"/>
      <c r="J197" s="12"/>
      <c r="K197" s="12"/>
      <c r="L197" s="12"/>
      <c r="M197" s="18"/>
      <c r="N197" s="12"/>
      <c r="O197" s="14"/>
      <c r="P197" s="16">
        <f>IF(OR(F197="",O197=""),"",F197*O197)</f>
        <v>0</v>
      </c>
      <c r="Q197" s="14"/>
      <c r="R197" s="14"/>
      <c r="S197" s="14"/>
      <c r="T197" s="16">
        <f>IF(P197="","",P197+N(Q197)+N(R197)-N(S197))</f>
        <v>0</v>
      </c>
      <c r="U197" s="12"/>
      <c r="V197" s="12"/>
      <c r="W197" s="12"/>
      <c r="X197" s="12"/>
      <c r="Y197" s="12"/>
      <c r="Z197" s="12"/>
      <c r="AA197" s="18"/>
    </row>
    <row r="198" spans="1:27">
      <c r="A198" s="12"/>
      <c r="B198" s="12"/>
      <c r="C198" s="12"/>
      <c r="D198" s="12"/>
      <c r="E198" s="12"/>
      <c r="F198" s="17"/>
      <c r="G198" s="12"/>
      <c r="H198" s="12"/>
      <c r="I198" s="12"/>
      <c r="J198" s="12"/>
      <c r="K198" s="12"/>
      <c r="L198" s="12"/>
      <c r="M198" s="18"/>
      <c r="N198" s="12"/>
      <c r="O198" s="14"/>
      <c r="P198" s="16">
        <f>IF(OR(F198="",O198=""),"",F198*O198)</f>
        <v>0</v>
      </c>
      <c r="Q198" s="14"/>
      <c r="R198" s="14"/>
      <c r="S198" s="14"/>
      <c r="T198" s="16">
        <f>IF(P198="","",P198+N(Q198)+N(R198)-N(S198))</f>
        <v>0</v>
      </c>
      <c r="U198" s="12"/>
      <c r="V198" s="12"/>
      <c r="W198" s="12"/>
      <c r="X198" s="12"/>
      <c r="Y198" s="12"/>
      <c r="Z198" s="12"/>
      <c r="AA198" s="18"/>
    </row>
    <row r="199" spans="1:27">
      <c r="A199" s="12"/>
      <c r="B199" s="12"/>
      <c r="C199" s="12"/>
      <c r="D199" s="12"/>
      <c r="E199" s="12"/>
      <c r="F199" s="17"/>
      <c r="G199" s="12"/>
      <c r="H199" s="12"/>
      <c r="I199" s="12"/>
      <c r="J199" s="12"/>
      <c r="K199" s="12"/>
      <c r="L199" s="12"/>
      <c r="M199" s="18"/>
      <c r="N199" s="12"/>
      <c r="O199" s="14"/>
      <c r="P199" s="16">
        <f>IF(OR(F199="",O199=""),"",F199*O199)</f>
        <v>0</v>
      </c>
      <c r="Q199" s="14"/>
      <c r="R199" s="14"/>
      <c r="S199" s="14"/>
      <c r="T199" s="16">
        <f>IF(P199="","",P199+N(Q199)+N(R199)-N(S199))</f>
        <v>0</v>
      </c>
      <c r="U199" s="12"/>
      <c r="V199" s="12"/>
      <c r="W199" s="12"/>
      <c r="X199" s="12"/>
      <c r="Y199" s="12"/>
      <c r="Z199" s="12"/>
      <c r="AA199" s="18"/>
    </row>
    <row r="200" spans="1:27">
      <c r="A200" s="12"/>
      <c r="B200" s="12"/>
      <c r="C200" s="12"/>
      <c r="D200" s="12"/>
      <c r="E200" s="12"/>
      <c r="F200" s="17"/>
      <c r="G200" s="12"/>
      <c r="H200" s="12"/>
      <c r="I200" s="12"/>
      <c r="J200" s="12"/>
      <c r="K200" s="12"/>
      <c r="L200" s="12"/>
      <c r="M200" s="18"/>
      <c r="N200" s="12"/>
      <c r="O200" s="14"/>
      <c r="P200" s="16">
        <f>IF(OR(F200="",O200=""),"",F200*O200)</f>
        <v>0</v>
      </c>
      <c r="Q200" s="14"/>
      <c r="R200" s="14"/>
      <c r="S200" s="14"/>
      <c r="T200" s="16">
        <f>IF(P200="","",P200+N(Q200)+N(R200)-N(S200))</f>
        <v>0</v>
      </c>
      <c r="U200" s="12"/>
      <c r="V200" s="12"/>
      <c r="W200" s="12"/>
      <c r="X200" s="12"/>
      <c r="Y200" s="12"/>
      <c r="Z200" s="12"/>
      <c r="AA200" s="18"/>
    </row>
    <row r="201" spans="1:27">
      <c r="A201" s="12"/>
      <c r="B201" s="12"/>
      <c r="C201" s="12"/>
      <c r="D201" s="12"/>
      <c r="E201" s="12"/>
      <c r="F201" s="17"/>
      <c r="G201" s="12"/>
      <c r="H201" s="12"/>
      <c r="I201" s="12"/>
      <c r="J201" s="12"/>
      <c r="K201" s="12"/>
      <c r="L201" s="12"/>
      <c r="M201" s="18"/>
      <c r="N201" s="12"/>
      <c r="O201" s="14"/>
      <c r="P201" s="16">
        <f>IF(OR(F201="",O201=""),"",F201*O201)</f>
        <v>0</v>
      </c>
      <c r="Q201" s="14"/>
      <c r="R201" s="14"/>
      <c r="S201" s="14"/>
      <c r="T201" s="16">
        <f>IF(P201="","",P201+N(Q201)+N(R201)-N(S201))</f>
        <v>0</v>
      </c>
      <c r="U201" s="12"/>
      <c r="V201" s="12"/>
      <c r="W201" s="12"/>
      <c r="X201" s="12"/>
      <c r="Y201" s="12"/>
      <c r="Z201" s="12"/>
      <c r="AA201" s="18"/>
    </row>
    <row r="202" spans="1:27">
      <c r="A202" s="12"/>
      <c r="B202" s="12"/>
      <c r="C202" s="12"/>
      <c r="D202" s="12"/>
      <c r="E202" s="12"/>
      <c r="F202" s="17"/>
      <c r="G202" s="12"/>
      <c r="H202" s="12"/>
      <c r="I202" s="12"/>
      <c r="J202" s="12"/>
      <c r="K202" s="12"/>
      <c r="L202" s="12"/>
      <c r="M202" s="18"/>
      <c r="N202" s="12"/>
      <c r="O202" s="14"/>
      <c r="P202" s="16">
        <f>IF(OR(F202="",O202=""),"",F202*O202)</f>
        <v>0</v>
      </c>
      <c r="Q202" s="14"/>
      <c r="R202" s="14"/>
      <c r="S202" s="14"/>
      <c r="T202" s="16">
        <f>IF(P202="","",P202+N(Q202)+N(R202)-N(S202))</f>
        <v>0</v>
      </c>
      <c r="U202" s="12"/>
      <c r="V202" s="12"/>
      <c r="W202" s="12"/>
      <c r="X202" s="12"/>
      <c r="Y202" s="12"/>
      <c r="Z202" s="12"/>
      <c r="AA202" s="18"/>
    </row>
    <row r="203" spans="1:27">
      <c r="A203" s="12"/>
      <c r="B203" s="12"/>
      <c r="C203" s="12"/>
      <c r="D203" s="12"/>
      <c r="E203" s="12"/>
      <c r="F203" s="17"/>
      <c r="G203" s="12"/>
      <c r="H203" s="12"/>
      <c r="I203" s="12"/>
      <c r="J203" s="12"/>
      <c r="K203" s="12"/>
      <c r="L203" s="12"/>
      <c r="M203" s="18"/>
      <c r="N203" s="12"/>
      <c r="O203" s="14"/>
      <c r="P203" s="16">
        <f>IF(OR(F203="",O203=""),"",F203*O203)</f>
        <v>0</v>
      </c>
      <c r="Q203" s="14"/>
      <c r="R203" s="14"/>
      <c r="S203" s="14"/>
      <c r="T203" s="16">
        <f>IF(P203="","",P203+N(Q203)+N(R203)-N(S203))</f>
        <v>0</v>
      </c>
      <c r="U203" s="12"/>
      <c r="V203" s="12"/>
      <c r="W203" s="12"/>
      <c r="X203" s="12"/>
      <c r="Y203" s="12"/>
      <c r="Z203" s="12"/>
      <c r="AA203" s="18"/>
    </row>
    <row r="204" spans="1:27">
      <c r="A204" s="12"/>
      <c r="B204" s="12"/>
      <c r="C204" s="12"/>
      <c r="D204" s="12"/>
      <c r="E204" s="12"/>
      <c r="F204" s="17"/>
      <c r="G204" s="12"/>
      <c r="H204" s="12"/>
      <c r="I204" s="12"/>
      <c r="J204" s="12"/>
      <c r="K204" s="12"/>
      <c r="L204" s="12"/>
      <c r="M204" s="18"/>
      <c r="N204" s="12"/>
      <c r="O204" s="14"/>
      <c r="P204" s="16">
        <f>IF(OR(F204="",O204=""),"",F204*O204)</f>
        <v>0</v>
      </c>
      <c r="Q204" s="14"/>
      <c r="R204" s="14"/>
      <c r="S204" s="14"/>
      <c r="T204" s="16">
        <f>IF(P204="","",P204+N(Q204)+N(R204)-N(S204))</f>
        <v>0</v>
      </c>
      <c r="U204" s="12"/>
      <c r="V204" s="12"/>
      <c r="W204" s="12"/>
      <c r="X204" s="12"/>
      <c r="Y204" s="12"/>
      <c r="Z204" s="12"/>
      <c r="AA204" s="18"/>
    </row>
    <row r="205" spans="1:27">
      <c r="A205" s="12"/>
      <c r="B205" s="12"/>
      <c r="C205" s="12"/>
      <c r="D205" s="12"/>
      <c r="E205" s="12"/>
      <c r="F205" s="17"/>
      <c r="G205" s="12"/>
      <c r="H205" s="12"/>
      <c r="I205" s="12"/>
      <c r="J205" s="12"/>
      <c r="K205" s="12"/>
      <c r="L205" s="12"/>
      <c r="M205" s="18"/>
      <c r="N205" s="12"/>
      <c r="O205" s="14"/>
      <c r="P205" s="16">
        <f>IF(OR(F205="",O205=""),"",F205*O205)</f>
        <v>0</v>
      </c>
      <c r="Q205" s="14"/>
      <c r="R205" s="14"/>
      <c r="S205" s="14"/>
      <c r="T205" s="16">
        <f>IF(P205="","",P205+N(Q205)+N(R205)-N(S205))</f>
        <v>0</v>
      </c>
      <c r="U205" s="12"/>
      <c r="V205" s="12"/>
      <c r="W205" s="12"/>
      <c r="X205" s="12"/>
      <c r="Y205" s="12"/>
      <c r="Z205" s="12"/>
      <c r="AA205" s="18"/>
    </row>
    <row r="206" spans="1:27">
      <c r="A206" s="12"/>
      <c r="B206" s="12"/>
      <c r="C206" s="12"/>
      <c r="D206" s="12"/>
      <c r="E206" s="12"/>
      <c r="F206" s="17"/>
      <c r="G206" s="12"/>
      <c r="H206" s="12"/>
      <c r="I206" s="12"/>
      <c r="J206" s="12"/>
      <c r="K206" s="12"/>
      <c r="L206" s="12"/>
      <c r="M206" s="18"/>
      <c r="N206" s="12"/>
      <c r="O206" s="14"/>
      <c r="P206" s="16">
        <f>IF(OR(F206="",O206=""),"",F206*O206)</f>
        <v>0</v>
      </c>
      <c r="Q206" s="14"/>
      <c r="R206" s="14"/>
      <c r="S206" s="14"/>
      <c r="T206" s="16">
        <f>IF(P206="","",P206+N(Q206)+N(R206)-N(S206))</f>
        <v>0</v>
      </c>
      <c r="U206" s="12"/>
      <c r="V206" s="12"/>
      <c r="W206" s="12"/>
      <c r="X206" s="12"/>
      <c r="Y206" s="12"/>
      <c r="Z206" s="12"/>
      <c r="AA206" s="18"/>
    </row>
    <row r="207" spans="1:27">
      <c r="A207" s="12"/>
      <c r="B207" s="12"/>
      <c r="C207" s="12"/>
      <c r="D207" s="12"/>
      <c r="E207" s="12"/>
      <c r="F207" s="17"/>
      <c r="G207" s="12"/>
      <c r="H207" s="12"/>
      <c r="I207" s="12"/>
      <c r="J207" s="12"/>
      <c r="K207" s="12"/>
      <c r="L207" s="12"/>
      <c r="M207" s="18"/>
      <c r="N207" s="12"/>
      <c r="O207" s="14"/>
      <c r="P207" s="16">
        <f>IF(OR(F207="",O207=""),"",F207*O207)</f>
        <v>0</v>
      </c>
      <c r="Q207" s="14"/>
      <c r="R207" s="14"/>
      <c r="S207" s="14"/>
      <c r="T207" s="16">
        <f>IF(P207="","",P207+N(Q207)+N(R207)-N(S207))</f>
        <v>0</v>
      </c>
      <c r="U207" s="12"/>
      <c r="V207" s="12"/>
      <c r="W207" s="12"/>
      <c r="X207" s="12"/>
      <c r="Y207" s="12"/>
      <c r="Z207" s="12"/>
      <c r="AA207" s="18"/>
    </row>
    <row r="208" spans="1:27">
      <c r="A208" s="12"/>
      <c r="B208" s="12"/>
      <c r="C208" s="12"/>
      <c r="D208" s="12"/>
      <c r="E208" s="12"/>
      <c r="F208" s="17"/>
      <c r="G208" s="12"/>
      <c r="H208" s="12"/>
      <c r="I208" s="12"/>
      <c r="J208" s="12"/>
      <c r="K208" s="12"/>
      <c r="L208" s="12"/>
      <c r="M208" s="18"/>
      <c r="N208" s="12"/>
      <c r="O208" s="14"/>
      <c r="P208" s="16">
        <f>IF(OR(F208="",O208=""),"",F208*O208)</f>
        <v>0</v>
      </c>
      <c r="Q208" s="14"/>
      <c r="R208" s="14"/>
      <c r="S208" s="14"/>
      <c r="T208" s="16">
        <f>IF(P208="","",P208+N(Q208)+N(R208)-N(S208))</f>
        <v>0</v>
      </c>
      <c r="U208" s="12"/>
      <c r="V208" s="12"/>
      <c r="W208" s="12"/>
      <c r="X208" s="12"/>
      <c r="Y208" s="12"/>
      <c r="Z208" s="12"/>
      <c r="AA208" s="18"/>
    </row>
    <row r="209" spans="1:27">
      <c r="A209" s="12"/>
      <c r="B209" s="12"/>
      <c r="C209" s="12"/>
      <c r="D209" s="12"/>
      <c r="E209" s="12"/>
      <c r="F209" s="17"/>
      <c r="G209" s="12"/>
      <c r="H209" s="12"/>
      <c r="I209" s="12"/>
      <c r="J209" s="12"/>
      <c r="K209" s="12"/>
      <c r="L209" s="12"/>
      <c r="M209" s="18"/>
      <c r="N209" s="12"/>
      <c r="O209" s="14"/>
      <c r="P209" s="16">
        <f>IF(OR(F209="",O209=""),"",F209*O209)</f>
        <v>0</v>
      </c>
      <c r="Q209" s="14"/>
      <c r="R209" s="14"/>
      <c r="S209" s="14"/>
      <c r="T209" s="16">
        <f>IF(P209="","",P209+N(Q209)+N(R209)-N(S209))</f>
        <v>0</v>
      </c>
      <c r="U209" s="12"/>
      <c r="V209" s="12"/>
      <c r="W209" s="12"/>
      <c r="X209" s="12"/>
      <c r="Y209" s="12"/>
      <c r="Z209" s="12"/>
      <c r="AA209" s="18"/>
    </row>
    <row r="210" spans="1:27">
      <c r="A210" s="12"/>
      <c r="B210" s="12"/>
      <c r="C210" s="12"/>
      <c r="D210" s="12"/>
      <c r="E210" s="12"/>
      <c r="F210" s="17"/>
      <c r="G210" s="12"/>
      <c r="H210" s="12"/>
      <c r="I210" s="12"/>
      <c r="J210" s="12"/>
      <c r="K210" s="12"/>
      <c r="L210" s="12"/>
      <c r="M210" s="18"/>
      <c r="N210" s="12"/>
      <c r="O210" s="14"/>
      <c r="P210" s="16">
        <f>IF(OR(F210="",O210=""),"",F210*O210)</f>
        <v>0</v>
      </c>
      <c r="Q210" s="14"/>
      <c r="R210" s="14"/>
      <c r="S210" s="14"/>
      <c r="T210" s="16">
        <f>IF(P210="","",P210+N(Q210)+N(R210)-N(S210))</f>
        <v>0</v>
      </c>
      <c r="U210" s="12"/>
      <c r="V210" s="12"/>
      <c r="W210" s="12"/>
      <c r="X210" s="12"/>
      <c r="Y210" s="12"/>
      <c r="Z210" s="12"/>
      <c r="AA210" s="18"/>
    </row>
    <row r="211" spans="1:27">
      <c r="A211" s="12"/>
      <c r="B211" s="12"/>
      <c r="C211" s="12"/>
      <c r="D211" s="12"/>
      <c r="E211" s="12"/>
      <c r="F211" s="17"/>
      <c r="G211" s="12"/>
      <c r="H211" s="12"/>
      <c r="I211" s="12"/>
      <c r="J211" s="12"/>
      <c r="K211" s="12"/>
      <c r="L211" s="12"/>
      <c r="M211" s="18"/>
      <c r="N211" s="12"/>
      <c r="O211" s="14"/>
      <c r="P211" s="16">
        <f>IF(OR(F211="",O211=""),"",F211*O211)</f>
        <v>0</v>
      </c>
      <c r="Q211" s="14"/>
      <c r="R211" s="14"/>
      <c r="S211" s="14"/>
      <c r="T211" s="16">
        <f>IF(P211="","",P211+N(Q211)+N(R211)-N(S211))</f>
        <v>0</v>
      </c>
      <c r="U211" s="12"/>
      <c r="V211" s="12"/>
      <c r="W211" s="12"/>
      <c r="X211" s="12"/>
      <c r="Y211" s="12"/>
      <c r="Z211" s="12"/>
      <c r="AA211" s="18"/>
    </row>
    <row r="212" spans="1:27">
      <c r="A212" s="12"/>
      <c r="B212" s="12"/>
      <c r="C212" s="12"/>
      <c r="D212" s="12"/>
      <c r="E212" s="12"/>
      <c r="F212" s="17"/>
      <c r="G212" s="12"/>
      <c r="H212" s="12"/>
      <c r="I212" s="12"/>
      <c r="J212" s="12"/>
      <c r="K212" s="12"/>
      <c r="L212" s="12"/>
      <c r="M212" s="18"/>
      <c r="N212" s="12"/>
      <c r="O212" s="14"/>
      <c r="P212" s="16">
        <f>IF(OR(F212="",O212=""),"",F212*O212)</f>
        <v>0</v>
      </c>
      <c r="Q212" s="14"/>
      <c r="R212" s="14"/>
      <c r="S212" s="14"/>
      <c r="T212" s="16">
        <f>IF(P212="","",P212+N(Q212)+N(R212)-N(S212))</f>
        <v>0</v>
      </c>
      <c r="U212" s="12"/>
      <c r="V212" s="12"/>
      <c r="W212" s="12"/>
      <c r="X212" s="12"/>
      <c r="Y212" s="12"/>
      <c r="Z212" s="12"/>
      <c r="AA212" s="18"/>
    </row>
    <row r="213" spans="1:27">
      <c r="A213" s="12"/>
      <c r="B213" s="12"/>
      <c r="C213" s="12"/>
      <c r="D213" s="12"/>
      <c r="E213" s="12"/>
      <c r="F213" s="17"/>
      <c r="G213" s="12"/>
      <c r="H213" s="12"/>
      <c r="I213" s="12"/>
      <c r="J213" s="12"/>
      <c r="K213" s="12"/>
      <c r="L213" s="12"/>
      <c r="M213" s="18"/>
      <c r="N213" s="12"/>
      <c r="O213" s="14"/>
      <c r="P213" s="16">
        <f>IF(OR(F213="",O213=""),"",F213*O213)</f>
        <v>0</v>
      </c>
      <c r="Q213" s="14"/>
      <c r="R213" s="14"/>
      <c r="S213" s="14"/>
      <c r="T213" s="16">
        <f>IF(P213="","",P213+N(Q213)+N(R213)-N(S213))</f>
        <v>0</v>
      </c>
      <c r="U213" s="12"/>
      <c r="V213" s="12"/>
      <c r="W213" s="12"/>
      <c r="X213" s="12"/>
      <c r="Y213" s="12"/>
      <c r="Z213" s="12"/>
      <c r="AA213" s="18"/>
    </row>
    <row r="214" spans="1:27">
      <c r="A214" s="12"/>
      <c r="B214" s="12"/>
      <c r="C214" s="12"/>
      <c r="D214" s="12"/>
      <c r="E214" s="12"/>
      <c r="F214" s="17"/>
      <c r="G214" s="12"/>
      <c r="H214" s="12"/>
      <c r="I214" s="12"/>
      <c r="J214" s="12"/>
      <c r="K214" s="12"/>
      <c r="L214" s="12"/>
      <c r="M214" s="18"/>
      <c r="N214" s="12"/>
      <c r="O214" s="14"/>
      <c r="P214" s="16">
        <f>IF(OR(F214="",O214=""),"",F214*O214)</f>
        <v>0</v>
      </c>
      <c r="Q214" s="14"/>
      <c r="R214" s="14"/>
      <c r="S214" s="14"/>
      <c r="T214" s="16">
        <f>IF(P214="","",P214+N(Q214)+N(R214)-N(S214))</f>
        <v>0</v>
      </c>
      <c r="U214" s="12"/>
      <c r="V214" s="12"/>
      <c r="W214" s="12"/>
      <c r="X214" s="12"/>
      <c r="Y214" s="12"/>
      <c r="Z214" s="12"/>
      <c r="AA214" s="18"/>
    </row>
    <row r="215" spans="1:27">
      <c r="A215" s="12"/>
      <c r="B215" s="12"/>
      <c r="C215" s="12"/>
      <c r="D215" s="12"/>
      <c r="E215" s="12"/>
      <c r="F215" s="17"/>
      <c r="G215" s="12"/>
      <c r="H215" s="12"/>
      <c r="I215" s="12"/>
      <c r="J215" s="12"/>
      <c r="K215" s="12"/>
      <c r="L215" s="12"/>
      <c r="M215" s="18"/>
      <c r="N215" s="12"/>
      <c r="O215" s="14"/>
      <c r="P215" s="16">
        <f>IF(OR(F215="",O215=""),"",F215*O215)</f>
        <v>0</v>
      </c>
      <c r="Q215" s="14"/>
      <c r="R215" s="14"/>
      <c r="S215" s="14"/>
      <c r="T215" s="16">
        <f>IF(P215="","",P215+N(Q215)+N(R215)-N(S215))</f>
        <v>0</v>
      </c>
      <c r="U215" s="12"/>
      <c r="V215" s="12"/>
      <c r="W215" s="12"/>
      <c r="X215" s="12"/>
      <c r="Y215" s="12"/>
      <c r="Z215" s="12"/>
      <c r="AA215" s="18"/>
    </row>
    <row r="216" spans="1:27">
      <c r="A216" s="12"/>
      <c r="B216" s="12"/>
      <c r="C216" s="12"/>
      <c r="D216" s="12"/>
      <c r="E216" s="12"/>
      <c r="F216" s="17"/>
      <c r="G216" s="12"/>
      <c r="H216" s="12"/>
      <c r="I216" s="12"/>
      <c r="J216" s="12"/>
      <c r="K216" s="12"/>
      <c r="L216" s="12"/>
      <c r="M216" s="18"/>
      <c r="N216" s="12"/>
      <c r="O216" s="14"/>
      <c r="P216" s="16">
        <f>IF(OR(F216="",O216=""),"",F216*O216)</f>
        <v>0</v>
      </c>
      <c r="Q216" s="14"/>
      <c r="R216" s="14"/>
      <c r="S216" s="14"/>
      <c r="T216" s="16">
        <f>IF(P216="","",P216+N(Q216)+N(R216)-N(S216))</f>
        <v>0</v>
      </c>
      <c r="U216" s="12"/>
      <c r="V216" s="12"/>
      <c r="W216" s="12"/>
      <c r="X216" s="12"/>
      <c r="Y216" s="12"/>
      <c r="Z216" s="12"/>
      <c r="AA216" s="18"/>
    </row>
    <row r="217" spans="1:27">
      <c r="A217" s="12"/>
      <c r="B217" s="12"/>
      <c r="C217" s="12"/>
      <c r="D217" s="12"/>
      <c r="E217" s="12"/>
      <c r="F217" s="17"/>
      <c r="G217" s="12"/>
      <c r="H217" s="12"/>
      <c r="I217" s="12"/>
      <c r="J217" s="12"/>
      <c r="K217" s="12"/>
      <c r="L217" s="12"/>
      <c r="M217" s="18"/>
      <c r="N217" s="12"/>
      <c r="O217" s="14"/>
      <c r="P217" s="16">
        <f>IF(OR(F217="",O217=""),"",F217*O217)</f>
        <v>0</v>
      </c>
      <c r="Q217" s="14"/>
      <c r="R217" s="14"/>
      <c r="S217" s="14"/>
      <c r="T217" s="16">
        <f>IF(P217="","",P217+N(Q217)+N(R217)-N(S217))</f>
        <v>0</v>
      </c>
      <c r="U217" s="12"/>
      <c r="V217" s="12"/>
      <c r="W217" s="12"/>
      <c r="X217" s="12"/>
      <c r="Y217" s="12"/>
      <c r="Z217" s="12"/>
      <c r="AA217" s="18"/>
    </row>
    <row r="218" spans="1:27">
      <c r="A218" s="12"/>
      <c r="B218" s="12"/>
      <c r="C218" s="12"/>
      <c r="D218" s="12"/>
      <c r="E218" s="12"/>
      <c r="F218" s="17"/>
      <c r="G218" s="12"/>
      <c r="H218" s="12"/>
      <c r="I218" s="12"/>
      <c r="J218" s="12"/>
      <c r="K218" s="12"/>
      <c r="L218" s="12"/>
      <c r="M218" s="18"/>
      <c r="N218" s="12"/>
      <c r="O218" s="14"/>
      <c r="P218" s="16">
        <f>IF(OR(F218="",O218=""),"",F218*O218)</f>
        <v>0</v>
      </c>
      <c r="Q218" s="14"/>
      <c r="R218" s="14"/>
      <c r="S218" s="14"/>
      <c r="T218" s="16">
        <f>IF(P218="","",P218+N(Q218)+N(R218)-N(S218))</f>
        <v>0</v>
      </c>
      <c r="U218" s="12"/>
      <c r="V218" s="12"/>
      <c r="W218" s="12"/>
      <c r="X218" s="12"/>
      <c r="Y218" s="12"/>
      <c r="Z218" s="12"/>
      <c r="AA218" s="18"/>
    </row>
    <row r="219" spans="1:27">
      <c r="A219" s="12"/>
      <c r="B219" s="12"/>
      <c r="C219" s="12"/>
      <c r="D219" s="12"/>
      <c r="E219" s="12"/>
      <c r="F219" s="17"/>
      <c r="G219" s="12"/>
      <c r="H219" s="12"/>
      <c r="I219" s="12"/>
      <c r="J219" s="12"/>
      <c r="K219" s="12"/>
      <c r="L219" s="12"/>
      <c r="M219" s="18"/>
      <c r="N219" s="12"/>
      <c r="O219" s="14"/>
      <c r="P219" s="16">
        <f>IF(OR(F219="",O219=""),"",F219*O219)</f>
        <v>0</v>
      </c>
      <c r="Q219" s="14"/>
      <c r="R219" s="14"/>
      <c r="S219" s="14"/>
      <c r="T219" s="16">
        <f>IF(P219="","",P219+N(Q219)+N(R219)-N(S219))</f>
        <v>0</v>
      </c>
      <c r="U219" s="12"/>
      <c r="V219" s="12"/>
      <c r="W219" s="12"/>
      <c r="X219" s="12"/>
      <c r="Y219" s="12"/>
      <c r="Z219" s="12"/>
      <c r="AA219" s="18"/>
    </row>
    <row r="220" spans="1:27">
      <c r="A220" s="12"/>
      <c r="B220" s="12"/>
      <c r="C220" s="12"/>
      <c r="D220" s="12"/>
      <c r="E220" s="12"/>
      <c r="F220" s="17"/>
      <c r="G220" s="12"/>
      <c r="H220" s="12"/>
      <c r="I220" s="12"/>
      <c r="J220" s="12"/>
      <c r="K220" s="12"/>
      <c r="L220" s="12"/>
      <c r="M220" s="18"/>
      <c r="N220" s="12"/>
      <c r="O220" s="14"/>
      <c r="P220" s="16">
        <f>IF(OR(F220="",O220=""),"",F220*O220)</f>
        <v>0</v>
      </c>
      <c r="Q220" s="14"/>
      <c r="R220" s="14"/>
      <c r="S220" s="14"/>
      <c r="T220" s="16">
        <f>IF(P220="","",P220+N(Q220)+N(R220)-N(S220))</f>
        <v>0</v>
      </c>
      <c r="U220" s="12"/>
      <c r="V220" s="12"/>
      <c r="W220" s="12"/>
      <c r="X220" s="12"/>
      <c r="Y220" s="12"/>
      <c r="Z220" s="12"/>
      <c r="AA220" s="18"/>
    </row>
    <row r="221" spans="1:27">
      <c r="A221" s="12"/>
      <c r="B221" s="12"/>
      <c r="C221" s="12"/>
      <c r="D221" s="12"/>
      <c r="E221" s="12"/>
      <c r="F221" s="17"/>
      <c r="G221" s="12"/>
      <c r="H221" s="12"/>
      <c r="I221" s="12"/>
      <c r="J221" s="12"/>
      <c r="K221" s="12"/>
      <c r="L221" s="12"/>
      <c r="M221" s="18"/>
      <c r="N221" s="12"/>
      <c r="O221" s="14"/>
      <c r="P221" s="16">
        <f>IF(OR(F221="",O221=""),"",F221*O221)</f>
        <v>0</v>
      </c>
      <c r="Q221" s="14"/>
      <c r="R221" s="14"/>
      <c r="S221" s="14"/>
      <c r="T221" s="16">
        <f>IF(P221="","",P221+N(Q221)+N(R221)-N(S221))</f>
        <v>0</v>
      </c>
      <c r="U221" s="12"/>
      <c r="V221" s="12"/>
      <c r="W221" s="12"/>
      <c r="X221" s="12"/>
      <c r="Y221" s="12"/>
      <c r="Z221" s="12"/>
      <c r="AA221" s="18"/>
    </row>
    <row r="222" spans="1:27">
      <c r="A222" s="12"/>
      <c r="B222" s="12"/>
      <c r="C222" s="12"/>
      <c r="D222" s="12"/>
      <c r="E222" s="12"/>
      <c r="F222" s="17"/>
      <c r="G222" s="12"/>
      <c r="H222" s="12"/>
      <c r="I222" s="12"/>
      <c r="J222" s="12"/>
      <c r="K222" s="12"/>
      <c r="L222" s="12"/>
      <c r="M222" s="18"/>
      <c r="N222" s="12"/>
      <c r="O222" s="14"/>
      <c r="P222" s="16">
        <f>IF(OR(F222="",O222=""),"",F222*O222)</f>
        <v>0</v>
      </c>
      <c r="Q222" s="14"/>
      <c r="R222" s="14"/>
      <c r="S222" s="14"/>
      <c r="T222" s="16">
        <f>IF(P222="","",P222+N(Q222)+N(R222)-N(S222))</f>
        <v>0</v>
      </c>
      <c r="U222" s="12"/>
      <c r="V222" s="12"/>
      <c r="W222" s="12"/>
      <c r="X222" s="12"/>
      <c r="Y222" s="12"/>
      <c r="Z222" s="12"/>
      <c r="AA222" s="18"/>
    </row>
    <row r="223" spans="1:27">
      <c r="A223" s="12"/>
      <c r="B223" s="12"/>
      <c r="C223" s="12"/>
      <c r="D223" s="12"/>
      <c r="E223" s="12"/>
      <c r="F223" s="17"/>
      <c r="G223" s="12"/>
      <c r="H223" s="12"/>
      <c r="I223" s="12"/>
      <c r="J223" s="12"/>
      <c r="K223" s="12"/>
      <c r="L223" s="12"/>
      <c r="M223" s="18"/>
      <c r="N223" s="12"/>
      <c r="O223" s="14"/>
      <c r="P223" s="16">
        <f>IF(OR(F223="",O223=""),"",F223*O223)</f>
        <v>0</v>
      </c>
      <c r="Q223" s="14"/>
      <c r="R223" s="14"/>
      <c r="S223" s="14"/>
      <c r="T223" s="16">
        <f>IF(P223="","",P223+N(Q223)+N(R223)-N(S223))</f>
        <v>0</v>
      </c>
      <c r="U223" s="12"/>
      <c r="V223" s="12"/>
      <c r="W223" s="12"/>
      <c r="X223" s="12"/>
      <c r="Y223" s="12"/>
      <c r="Z223" s="12"/>
      <c r="AA223" s="18"/>
    </row>
    <row r="224" spans="1:27">
      <c r="A224" s="12"/>
      <c r="B224" s="12"/>
      <c r="C224" s="12"/>
      <c r="D224" s="12"/>
      <c r="E224" s="12"/>
      <c r="F224" s="17"/>
      <c r="G224" s="12"/>
      <c r="H224" s="12"/>
      <c r="I224" s="12"/>
      <c r="J224" s="12"/>
      <c r="K224" s="12"/>
      <c r="L224" s="12"/>
      <c r="M224" s="18"/>
      <c r="N224" s="12"/>
      <c r="O224" s="14"/>
      <c r="P224" s="16">
        <f>IF(OR(F224="",O224=""),"",F224*O224)</f>
        <v>0</v>
      </c>
      <c r="Q224" s="14"/>
      <c r="R224" s="14"/>
      <c r="S224" s="14"/>
      <c r="T224" s="16">
        <f>IF(P224="","",P224+N(Q224)+N(R224)-N(S224))</f>
        <v>0</v>
      </c>
      <c r="U224" s="12"/>
      <c r="V224" s="12"/>
      <c r="W224" s="12"/>
      <c r="X224" s="12"/>
      <c r="Y224" s="12"/>
      <c r="Z224" s="12"/>
      <c r="AA224" s="18"/>
    </row>
    <row r="225" spans="1:27">
      <c r="A225" s="12"/>
      <c r="B225" s="12"/>
      <c r="C225" s="12"/>
      <c r="D225" s="12"/>
      <c r="E225" s="12"/>
      <c r="F225" s="17"/>
      <c r="G225" s="12"/>
      <c r="H225" s="12"/>
      <c r="I225" s="12"/>
      <c r="J225" s="12"/>
      <c r="K225" s="12"/>
      <c r="L225" s="12"/>
      <c r="M225" s="18"/>
      <c r="N225" s="12"/>
      <c r="O225" s="14"/>
      <c r="P225" s="16">
        <f>IF(OR(F225="",O225=""),"",F225*O225)</f>
        <v>0</v>
      </c>
      <c r="Q225" s="14"/>
      <c r="R225" s="14"/>
      <c r="S225" s="14"/>
      <c r="T225" s="16">
        <f>IF(P225="","",P225+N(Q225)+N(R225)-N(S225))</f>
        <v>0</v>
      </c>
      <c r="U225" s="12"/>
      <c r="V225" s="12"/>
      <c r="W225" s="12"/>
      <c r="X225" s="12"/>
      <c r="Y225" s="12"/>
      <c r="Z225" s="12"/>
      <c r="AA225" s="18"/>
    </row>
    <row r="226" spans="1:27">
      <c r="A226" s="12"/>
      <c r="B226" s="12"/>
      <c r="C226" s="12"/>
      <c r="D226" s="12"/>
      <c r="E226" s="12"/>
      <c r="F226" s="17"/>
      <c r="G226" s="12"/>
      <c r="H226" s="12"/>
      <c r="I226" s="12"/>
      <c r="J226" s="12"/>
      <c r="K226" s="12"/>
      <c r="L226" s="12"/>
      <c r="M226" s="18"/>
      <c r="N226" s="12"/>
      <c r="O226" s="14"/>
      <c r="P226" s="16">
        <f>IF(OR(F226="",O226=""),"",F226*O226)</f>
        <v>0</v>
      </c>
      <c r="Q226" s="14"/>
      <c r="R226" s="14"/>
      <c r="S226" s="14"/>
      <c r="T226" s="16">
        <f>IF(P226="","",P226+N(Q226)+N(R226)-N(S226))</f>
        <v>0</v>
      </c>
      <c r="U226" s="12"/>
      <c r="V226" s="12"/>
      <c r="W226" s="12"/>
      <c r="X226" s="12"/>
      <c r="Y226" s="12"/>
      <c r="Z226" s="12"/>
      <c r="AA226" s="18"/>
    </row>
    <row r="227" spans="1:27">
      <c r="A227" s="12"/>
      <c r="B227" s="12"/>
      <c r="C227" s="12"/>
      <c r="D227" s="12"/>
      <c r="E227" s="12"/>
      <c r="F227" s="17"/>
      <c r="G227" s="12"/>
      <c r="H227" s="12"/>
      <c r="I227" s="12"/>
      <c r="J227" s="12"/>
      <c r="K227" s="12"/>
      <c r="L227" s="12"/>
      <c r="M227" s="18"/>
      <c r="N227" s="12"/>
      <c r="O227" s="14"/>
      <c r="P227" s="16">
        <f>IF(OR(F227="",O227=""),"",F227*O227)</f>
        <v>0</v>
      </c>
      <c r="Q227" s="14"/>
      <c r="R227" s="14"/>
      <c r="S227" s="14"/>
      <c r="T227" s="16">
        <f>IF(P227="","",P227+N(Q227)+N(R227)-N(S227))</f>
        <v>0</v>
      </c>
      <c r="U227" s="12"/>
      <c r="V227" s="12"/>
      <c r="W227" s="12"/>
      <c r="X227" s="12"/>
      <c r="Y227" s="12"/>
      <c r="Z227" s="12"/>
      <c r="AA227" s="18"/>
    </row>
    <row r="228" spans="1:27">
      <c r="A228" s="12"/>
      <c r="B228" s="12"/>
      <c r="C228" s="12"/>
      <c r="D228" s="12"/>
      <c r="E228" s="12"/>
      <c r="F228" s="17"/>
      <c r="G228" s="12"/>
      <c r="H228" s="12"/>
      <c r="I228" s="12"/>
      <c r="J228" s="12"/>
      <c r="K228" s="12"/>
      <c r="L228" s="12"/>
      <c r="M228" s="18"/>
      <c r="N228" s="12"/>
      <c r="O228" s="14"/>
      <c r="P228" s="16">
        <f>IF(OR(F228="",O228=""),"",F228*O228)</f>
        <v>0</v>
      </c>
      <c r="Q228" s="14"/>
      <c r="R228" s="14"/>
      <c r="S228" s="14"/>
      <c r="T228" s="16">
        <f>IF(P228="","",P228+N(Q228)+N(R228)-N(S228))</f>
        <v>0</v>
      </c>
      <c r="U228" s="12"/>
      <c r="V228" s="12"/>
      <c r="W228" s="12"/>
      <c r="X228" s="12"/>
      <c r="Y228" s="12"/>
      <c r="Z228" s="12"/>
      <c r="AA228" s="18"/>
    </row>
    <row r="229" spans="1:27">
      <c r="A229" s="12"/>
      <c r="B229" s="12"/>
      <c r="C229" s="12"/>
      <c r="D229" s="12"/>
      <c r="E229" s="12"/>
      <c r="F229" s="17"/>
      <c r="G229" s="12"/>
      <c r="H229" s="12"/>
      <c r="I229" s="12"/>
      <c r="J229" s="12"/>
      <c r="K229" s="12"/>
      <c r="L229" s="12"/>
      <c r="M229" s="18"/>
      <c r="N229" s="12"/>
      <c r="O229" s="14"/>
      <c r="P229" s="16">
        <f>IF(OR(F229="",O229=""),"",F229*O229)</f>
        <v>0</v>
      </c>
      <c r="Q229" s="14"/>
      <c r="R229" s="14"/>
      <c r="S229" s="14"/>
      <c r="T229" s="16">
        <f>IF(P229="","",P229+N(Q229)+N(R229)-N(S229))</f>
        <v>0</v>
      </c>
      <c r="U229" s="12"/>
      <c r="V229" s="12"/>
      <c r="W229" s="12"/>
      <c r="X229" s="12"/>
      <c r="Y229" s="12"/>
      <c r="Z229" s="12"/>
      <c r="AA229" s="18"/>
    </row>
    <row r="230" spans="1:27">
      <c r="A230" s="12"/>
      <c r="B230" s="12"/>
      <c r="C230" s="12"/>
      <c r="D230" s="12"/>
      <c r="E230" s="12"/>
      <c r="F230" s="17"/>
      <c r="G230" s="12"/>
      <c r="H230" s="12"/>
      <c r="I230" s="12"/>
      <c r="J230" s="12"/>
      <c r="K230" s="12"/>
      <c r="L230" s="12"/>
      <c r="M230" s="18"/>
      <c r="N230" s="12"/>
      <c r="O230" s="14"/>
      <c r="P230" s="16">
        <f>IF(OR(F230="",O230=""),"",F230*O230)</f>
        <v>0</v>
      </c>
      <c r="Q230" s="14"/>
      <c r="R230" s="14"/>
      <c r="S230" s="14"/>
      <c r="T230" s="16">
        <f>IF(P230="","",P230+N(Q230)+N(R230)-N(S230))</f>
        <v>0</v>
      </c>
      <c r="U230" s="12"/>
      <c r="V230" s="12"/>
      <c r="W230" s="12"/>
      <c r="X230" s="12"/>
      <c r="Y230" s="12"/>
      <c r="Z230" s="12"/>
      <c r="AA230" s="18"/>
    </row>
    <row r="231" spans="1:27">
      <c r="A231" s="12"/>
      <c r="B231" s="12"/>
      <c r="C231" s="12"/>
      <c r="D231" s="12"/>
      <c r="E231" s="12"/>
      <c r="F231" s="17"/>
      <c r="G231" s="12"/>
      <c r="H231" s="12"/>
      <c r="I231" s="12"/>
      <c r="J231" s="12"/>
      <c r="K231" s="12"/>
      <c r="L231" s="12"/>
      <c r="M231" s="18"/>
      <c r="N231" s="12"/>
      <c r="O231" s="14"/>
      <c r="P231" s="16">
        <f>IF(OR(F231="",O231=""),"",F231*O231)</f>
        <v>0</v>
      </c>
      <c r="Q231" s="14"/>
      <c r="R231" s="14"/>
      <c r="S231" s="14"/>
      <c r="T231" s="16">
        <f>IF(P231="","",P231+N(Q231)+N(R231)-N(S231))</f>
        <v>0</v>
      </c>
      <c r="U231" s="12"/>
      <c r="V231" s="12"/>
      <c r="W231" s="12"/>
      <c r="X231" s="12"/>
      <c r="Y231" s="12"/>
      <c r="Z231" s="12"/>
      <c r="AA231" s="18"/>
    </row>
    <row r="232" spans="1:27">
      <c r="A232" s="12"/>
      <c r="B232" s="12"/>
      <c r="C232" s="12"/>
      <c r="D232" s="12"/>
      <c r="E232" s="12"/>
      <c r="F232" s="17"/>
      <c r="G232" s="12"/>
      <c r="H232" s="12"/>
      <c r="I232" s="12"/>
      <c r="J232" s="12"/>
      <c r="K232" s="12"/>
      <c r="L232" s="12"/>
      <c r="M232" s="18"/>
      <c r="N232" s="12"/>
      <c r="O232" s="14"/>
      <c r="P232" s="16">
        <f>IF(OR(F232="",O232=""),"",F232*O232)</f>
        <v>0</v>
      </c>
      <c r="Q232" s="14"/>
      <c r="R232" s="14"/>
      <c r="S232" s="14"/>
      <c r="T232" s="16">
        <f>IF(P232="","",P232+N(Q232)+N(R232)-N(S232))</f>
        <v>0</v>
      </c>
      <c r="U232" s="12"/>
      <c r="V232" s="12"/>
      <c r="W232" s="12"/>
      <c r="X232" s="12"/>
      <c r="Y232" s="12"/>
      <c r="Z232" s="12"/>
      <c r="AA232" s="18"/>
    </row>
    <row r="233" spans="1:27">
      <c r="A233" s="12"/>
      <c r="B233" s="12"/>
      <c r="C233" s="12"/>
      <c r="D233" s="12"/>
      <c r="E233" s="12"/>
      <c r="F233" s="17"/>
      <c r="G233" s="12"/>
      <c r="H233" s="12"/>
      <c r="I233" s="12"/>
      <c r="J233" s="12"/>
      <c r="K233" s="12"/>
      <c r="L233" s="12"/>
      <c r="M233" s="18"/>
      <c r="N233" s="12"/>
      <c r="O233" s="14"/>
      <c r="P233" s="16">
        <f>IF(OR(F233="",O233=""),"",F233*O233)</f>
        <v>0</v>
      </c>
      <c r="Q233" s="14"/>
      <c r="R233" s="14"/>
      <c r="S233" s="14"/>
      <c r="T233" s="16">
        <f>IF(P233="","",P233+N(Q233)+N(R233)-N(S233))</f>
        <v>0</v>
      </c>
      <c r="U233" s="12"/>
      <c r="V233" s="12"/>
      <c r="W233" s="12"/>
      <c r="X233" s="12"/>
      <c r="Y233" s="12"/>
      <c r="Z233" s="12"/>
      <c r="AA233" s="18"/>
    </row>
    <row r="234" spans="1:27">
      <c r="A234" s="12"/>
      <c r="B234" s="12"/>
      <c r="C234" s="12"/>
      <c r="D234" s="12"/>
      <c r="E234" s="12"/>
      <c r="F234" s="17"/>
      <c r="G234" s="12"/>
      <c r="H234" s="12"/>
      <c r="I234" s="12"/>
      <c r="J234" s="12"/>
      <c r="K234" s="12"/>
      <c r="L234" s="12"/>
      <c r="M234" s="18"/>
      <c r="N234" s="12"/>
      <c r="O234" s="14"/>
      <c r="P234" s="16">
        <f>IF(OR(F234="",O234=""),"",F234*O234)</f>
        <v>0</v>
      </c>
      <c r="Q234" s="14"/>
      <c r="R234" s="14"/>
      <c r="S234" s="14"/>
      <c r="T234" s="16">
        <f>IF(P234="","",P234+N(Q234)+N(R234)-N(S234))</f>
        <v>0</v>
      </c>
      <c r="U234" s="12"/>
      <c r="V234" s="12"/>
      <c r="W234" s="12"/>
      <c r="X234" s="12"/>
      <c r="Y234" s="12"/>
      <c r="Z234" s="12"/>
      <c r="AA234" s="18"/>
    </row>
    <row r="235" spans="1:27">
      <c r="A235" s="12"/>
      <c r="B235" s="12"/>
      <c r="C235" s="12"/>
      <c r="D235" s="12"/>
      <c r="E235" s="12"/>
      <c r="F235" s="17"/>
      <c r="G235" s="12"/>
      <c r="H235" s="12"/>
      <c r="I235" s="12"/>
      <c r="J235" s="12"/>
      <c r="K235" s="12"/>
      <c r="L235" s="12"/>
      <c r="M235" s="18"/>
      <c r="N235" s="12"/>
      <c r="O235" s="14"/>
      <c r="P235" s="16">
        <f>IF(OR(F235="",O235=""),"",F235*O235)</f>
        <v>0</v>
      </c>
      <c r="Q235" s="14"/>
      <c r="R235" s="14"/>
      <c r="S235" s="14"/>
      <c r="T235" s="16">
        <f>IF(P235="","",P235+N(Q235)+N(R235)-N(S235))</f>
        <v>0</v>
      </c>
      <c r="U235" s="12"/>
      <c r="V235" s="12"/>
      <c r="W235" s="12"/>
      <c r="X235" s="12"/>
      <c r="Y235" s="12"/>
      <c r="Z235" s="12"/>
      <c r="AA235" s="18"/>
    </row>
    <row r="236" spans="1:27">
      <c r="A236" s="12"/>
      <c r="B236" s="12"/>
      <c r="C236" s="12"/>
      <c r="D236" s="12"/>
      <c r="E236" s="12"/>
      <c r="F236" s="17"/>
      <c r="G236" s="12"/>
      <c r="H236" s="12"/>
      <c r="I236" s="12"/>
      <c r="J236" s="12"/>
      <c r="K236" s="12"/>
      <c r="L236" s="12"/>
      <c r="M236" s="18"/>
      <c r="N236" s="12"/>
      <c r="O236" s="14"/>
      <c r="P236" s="16">
        <f>IF(OR(F236="",O236=""),"",F236*O236)</f>
        <v>0</v>
      </c>
      <c r="Q236" s="14"/>
      <c r="R236" s="14"/>
      <c r="S236" s="14"/>
      <c r="T236" s="16">
        <f>IF(P236="","",P236+N(Q236)+N(R236)-N(S236))</f>
        <v>0</v>
      </c>
      <c r="U236" s="12"/>
      <c r="V236" s="12"/>
      <c r="W236" s="12"/>
      <c r="X236" s="12"/>
      <c r="Y236" s="12"/>
      <c r="Z236" s="12"/>
      <c r="AA236" s="18"/>
    </row>
    <row r="237" spans="1:27">
      <c r="A237" s="12"/>
      <c r="B237" s="12"/>
      <c r="C237" s="12"/>
      <c r="D237" s="12"/>
      <c r="E237" s="12"/>
      <c r="F237" s="17"/>
      <c r="G237" s="12"/>
      <c r="H237" s="12"/>
      <c r="I237" s="12"/>
      <c r="J237" s="12"/>
      <c r="K237" s="12"/>
      <c r="L237" s="12"/>
      <c r="M237" s="18"/>
      <c r="N237" s="12"/>
      <c r="O237" s="14"/>
      <c r="P237" s="16">
        <f>IF(OR(F237="",O237=""),"",F237*O237)</f>
        <v>0</v>
      </c>
      <c r="Q237" s="14"/>
      <c r="R237" s="14"/>
      <c r="S237" s="14"/>
      <c r="T237" s="16">
        <f>IF(P237="","",P237+N(Q237)+N(R237)-N(S237))</f>
        <v>0</v>
      </c>
      <c r="U237" s="12"/>
      <c r="V237" s="12"/>
      <c r="W237" s="12"/>
      <c r="X237" s="12"/>
      <c r="Y237" s="12"/>
      <c r="Z237" s="12"/>
      <c r="AA237" s="18"/>
    </row>
    <row r="238" spans="1:27">
      <c r="A238" s="12"/>
      <c r="B238" s="12"/>
      <c r="C238" s="12"/>
      <c r="D238" s="12"/>
      <c r="E238" s="12"/>
      <c r="F238" s="17"/>
      <c r="G238" s="12"/>
      <c r="H238" s="12"/>
      <c r="I238" s="12"/>
      <c r="J238" s="12"/>
      <c r="K238" s="12"/>
      <c r="L238" s="12"/>
      <c r="M238" s="18"/>
      <c r="N238" s="12"/>
      <c r="O238" s="14"/>
      <c r="P238" s="16">
        <f>IF(OR(F238="",O238=""),"",F238*O238)</f>
        <v>0</v>
      </c>
      <c r="Q238" s="14"/>
      <c r="R238" s="14"/>
      <c r="S238" s="14"/>
      <c r="T238" s="16">
        <f>IF(P238="","",P238+N(Q238)+N(R238)-N(S238))</f>
        <v>0</v>
      </c>
      <c r="U238" s="12"/>
      <c r="V238" s="12"/>
      <c r="W238" s="12"/>
      <c r="X238" s="12"/>
      <c r="Y238" s="12"/>
      <c r="Z238" s="12"/>
      <c r="AA238" s="18"/>
    </row>
    <row r="239" spans="1:27">
      <c r="A239" s="12"/>
      <c r="B239" s="12"/>
      <c r="C239" s="12"/>
      <c r="D239" s="12"/>
      <c r="E239" s="12"/>
      <c r="F239" s="17"/>
      <c r="G239" s="12"/>
      <c r="H239" s="12"/>
      <c r="I239" s="12"/>
      <c r="J239" s="12"/>
      <c r="K239" s="12"/>
      <c r="L239" s="12"/>
      <c r="M239" s="18"/>
      <c r="N239" s="12"/>
      <c r="O239" s="14"/>
      <c r="P239" s="16">
        <f>IF(OR(F239="",O239=""),"",F239*O239)</f>
        <v>0</v>
      </c>
      <c r="Q239" s="14"/>
      <c r="R239" s="14"/>
      <c r="S239" s="14"/>
      <c r="T239" s="16">
        <f>IF(P239="","",P239+N(Q239)+N(R239)-N(S239))</f>
        <v>0</v>
      </c>
      <c r="U239" s="12"/>
      <c r="V239" s="12"/>
      <c r="W239" s="12"/>
      <c r="X239" s="12"/>
      <c r="Y239" s="12"/>
      <c r="Z239" s="12"/>
      <c r="AA239" s="18"/>
    </row>
    <row r="240" spans="1:27">
      <c r="A240" s="12"/>
      <c r="B240" s="12"/>
      <c r="C240" s="12"/>
      <c r="D240" s="12"/>
      <c r="E240" s="12"/>
      <c r="F240" s="17"/>
      <c r="G240" s="12"/>
      <c r="H240" s="12"/>
      <c r="I240" s="12"/>
      <c r="J240" s="12"/>
      <c r="K240" s="12"/>
      <c r="L240" s="12"/>
      <c r="M240" s="18"/>
      <c r="N240" s="12"/>
      <c r="O240" s="14"/>
      <c r="P240" s="16">
        <f>IF(OR(F240="",O240=""),"",F240*O240)</f>
        <v>0</v>
      </c>
      <c r="Q240" s="14"/>
      <c r="R240" s="14"/>
      <c r="S240" s="14"/>
      <c r="T240" s="16">
        <f>IF(P240="","",P240+N(Q240)+N(R240)-N(S240))</f>
        <v>0</v>
      </c>
      <c r="U240" s="12"/>
      <c r="V240" s="12"/>
      <c r="W240" s="12"/>
      <c r="X240" s="12"/>
      <c r="Y240" s="12"/>
      <c r="Z240" s="12"/>
      <c r="AA240" s="18"/>
    </row>
    <row r="241" spans="1:27">
      <c r="A241" s="12"/>
      <c r="B241" s="12"/>
      <c r="C241" s="12"/>
      <c r="D241" s="12"/>
      <c r="E241" s="12"/>
      <c r="F241" s="17"/>
      <c r="G241" s="12"/>
      <c r="H241" s="12"/>
      <c r="I241" s="12"/>
      <c r="J241" s="12"/>
      <c r="K241" s="12"/>
      <c r="L241" s="12"/>
      <c r="M241" s="18"/>
      <c r="N241" s="12"/>
      <c r="O241" s="14"/>
      <c r="P241" s="16">
        <f>IF(OR(F241="",O241=""),"",F241*O241)</f>
        <v>0</v>
      </c>
      <c r="Q241" s="14"/>
      <c r="R241" s="14"/>
      <c r="S241" s="14"/>
      <c r="T241" s="16">
        <f>IF(P241="","",P241+N(Q241)+N(R241)-N(S241))</f>
        <v>0</v>
      </c>
      <c r="U241" s="12"/>
      <c r="V241" s="12"/>
      <c r="W241" s="12"/>
      <c r="X241" s="12"/>
      <c r="Y241" s="12"/>
      <c r="Z241" s="12"/>
      <c r="AA241" s="18"/>
    </row>
    <row r="242" spans="1:27">
      <c r="A242" s="12"/>
      <c r="B242" s="12"/>
      <c r="C242" s="12"/>
      <c r="D242" s="12"/>
      <c r="E242" s="12"/>
      <c r="F242" s="17"/>
      <c r="G242" s="12"/>
      <c r="H242" s="12"/>
      <c r="I242" s="12"/>
      <c r="J242" s="12"/>
      <c r="K242" s="12"/>
      <c r="L242" s="12"/>
      <c r="M242" s="18"/>
      <c r="N242" s="12"/>
      <c r="O242" s="14"/>
      <c r="P242" s="16">
        <f>IF(OR(F242="",O242=""),"",F242*O242)</f>
        <v>0</v>
      </c>
      <c r="Q242" s="14"/>
      <c r="R242" s="14"/>
      <c r="S242" s="14"/>
      <c r="T242" s="16">
        <f>IF(P242="","",P242+N(Q242)+N(R242)-N(S242))</f>
        <v>0</v>
      </c>
      <c r="U242" s="12"/>
      <c r="V242" s="12"/>
      <c r="W242" s="12"/>
      <c r="X242" s="12"/>
      <c r="Y242" s="12"/>
      <c r="Z242" s="12"/>
      <c r="AA242" s="18"/>
    </row>
    <row r="243" spans="1:27">
      <c r="A243" s="12"/>
      <c r="B243" s="12"/>
      <c r="C243" s="12"/>
      <c r="D243" s="12"/>
      <c r="E243" s="12"/>
      <c r="F243" s="17"/>
      <c r="G243" s="12"/>
      <c r="H243" s="12"/>
      <c r="I243" s="12"/>
      <c r="J243" s="12"/>
      <c r="K243" s="12"/>
      <c r="L243" s="12"/>
      <c r="M243" s="18"/>
      <c r="N243" s="12"/>
      <c r="O243" s="14"/>
      <c r="P243" s="16">
        <f>IF(OR(F243="",O243=""),"",F243*O243)</f>
        <v>0</v>
      </c>
      <c r="Q243" s="14"/>
      <c r="R243" s="14"/>
      <c r="S243" s="14"/>
      <c r="T243" s="16">
        <f>IF(P243="","",P243+N(Q243)+N(R243)-N(S243))</f>
        <v>0</v>
      </c>
      <c r="U243" s="12"/>
      <c r="V243" s="12"/>
      <c r="W243" s="12"/>
      <c r="X243" s="12"/>
      <c r="Y243" s="12"/>
      <c r="Z243" s="12"/>
      <c r="AA243" s="18"/>
    </row>
    <row r="244" spans="1:27">
      <c r="A244" s="12"/>
      <c r="B244" s="12"/>
      <c r="C244" s="12"/>
      <c r="D244" s="12"/>
      <c r="E244" s="12"/>
      <c r="F244" s="17"/>
      <c r="G244" s="12"/>
      <c r="H244" s="12"/>
      <c r="I244" s="12"/>
      <c r="J244" s="12"/>
      <c r="K244" s="12"/>
      <c r="L244" s="12"/>
      <c r="M244" s="18"/>
      <c r="N244" s="12"/>
      <c r="O244" s="14"/>
      <c r="P244" s="16">
        <f>IF(OR(F244="",O244=""),"",F244*O244)</f>
        <v>0</v>
      </c>
      <c r="Q244" s="14"/>
      <c r="R244" s="14"/>
      <c r="S244" s="14"/>
      <c r="T244" s="16">
        <f>IF(P244="","",P244+N(Q244)+N(R244)-N(S244))</f>
        <v>0</v>
      </c>
      <c r="U244" s="12"/>
      <c r="V244" s="12"/>
      <c r="W244" s="12"/>
      <c r="X244" s="12"/>
      <c r="Y244" s="12"/>
      <c r="Z244" s="12"/>
      <c r="AA244" s="18"/>
    </row>
    <row r="245" spans="1:27">
      <c r="A245" s="12"/>
      <c r="B245" s="12"/>
      <c r="C245" s="12"/>
      <c r="D245" s="12"/>
      <c r="E245" s="12"/>
      <c r="F245" s="17"/>
      <c r="G245" s="12"/>
      <c r="H245" s="12"/>
      <c r="I245" s="12"/>
      <c r="J245" s="12"/>
      <c r="K245" s="12"/>
      <c r="L245" s="12"/>
      <c r="M245" s="18"/>
      <c r="N245" s="12"/>
      <c r="O245" s="14"/>
      <c r="P245" s="16">
        <f>IF(OR(F245="",O245=""),"",F245*O245)</f>
        <v>0</v>
      </c>
      <c r="Q245" s="14"/>
      <c r="R245" s="14"/>
      <c r="S245" s="14"/>
      <c r="T245" s="16">
        <f>IF(P245="","",P245+N(Q245)+N(R245)-N(S245))</f>
        <v>0</v>
      </c>
      <c r="U245" s="12"/>
      <c r="V245" s="12"/>
      <c r="W245" s="12"/>
      <c r="X245" s="12"/>
      <c r="Y245" s="12"/>
      <c r="Z245" s="12"/>
      <c r="AA245" s="18"/>
    </row>
    <row r="246" spans="1:27">
      <c r="A246" s="12"/>
      <c r="B246" s="12"/>
      <c r="C246" s="12"/>
      <c r="D246" s="12"/>
      <c r="E246" s="12"/>
      <c r="F246" s="17"/>
      <c r="G246" s="12"/>
      <c r="H246" s="12"/>
      <c r="I246" s="12"/>
      <c r="J246" s="12"/>
      <c r="K246" s="12"/>
      <c r="L246" s="12"/>
      <c r="M246" s="18"/>
      <c r="N246" s="12"/>
      <c r="O246" s="14"/>
      <c r="P246" s="16">
        <f>IF(OR(F246="",O246=""),"",F246*O246)</f>
        <v>0</v>
      </c>
      <c r="Q246" s="14"/>
      <c r="R246" s="14"/>
      <c r="S246" s="14"/>
      <c r="T246" s="16">
        <f>IF(P246="","",P246+N(Q246)+N(R246)-N(S246))</f>
        <v>0</v>
      </c>
      <c r="U246" s="12"/>
      <c r="V246" s="12"/>
      <c r="W246" s="12"/>
      <c r="X246" s="12"/>
      <c r="Y246" s="12"/>
      <c r="Z246" s="12"/>
      <c r="AA246" s="18"/>
    </row>
    <row r="247" spans="1:27">
      <c r="A247" s="12"/>
      <c r="B247" s="12"/>
      <c r="C247" s="12"/>
      <c r="D247" s="12"/>
      <c r="E247" s="12"/>
      <c r="F247" s="17"/>
      <c r="G247" s="12"/>
      <c r="H247" s="12"/>
      <c r="I247" s="12"/>
      <c r="J247" s="12"/>
      <c r="K247" s="12"/>
      <c r="L247" s="12"/>
      <c r="M247" s="18"/>
      <c r="N247" s="12"/>
      <c r="O247" s="14"/>
      <c r="P247" s="16">
        <f>IF(OR(F247="",O247=""),"",F247*O247)</f>
        <v>0</v>
      </c>
      <c r="Q247" s="14"/>
      <c r="R247" s="14"/>
      <c r="S247" s="14"/>
      <c r="T247" s="16">
        <f>IF(P247="","",P247+N(Q247)+N(R247)-N(S247))</f>
        <v>0</v>
      </c>
      <c r="U247" s="12"/>
      <c r="V247" s="12"/>
      <c r="W247" s="12"/>
      <c r="X247" s="12"/>
      <c r="Y247" s="12"/>
      <c r="Z247" s="12"/>
      <c r="AA247" s="18"/>
    </row>
    <row r="248" spans="1:27">
      <c r="A248" s="12"/>
      <c r="B248" s="12"/>
      <c r="C248" s="12"/>
      <c r="D248" s="12"/>
      <c r="E248" s="12"/>
      <c r="F248" s="17"/>
      <c r="G248" s="12"/>
      <c r="H248" s="12"/>
      <c r="I248" s="12"/>
      <c r="J248" s="12"/>
      <c r="K248" s="12"/>
      <c r="L248" s="12"/>
      <c r="M248" s="18"/>
      <c r="N248" s="12"/>
      <c r="O248" s="14"/>
      <c r="P248" s="16">
        <f>IF(OR(F248="",O248=""),"",F248*O248)</f>
        <v>0</v>
      </c>
      <c r="Q248" s="14"/>
      <c r="R248" s="14"/>
      <c r="S248" s="14"/>
      <c r="T248" s="16">
        <f>IF(P248="","",P248+N(Q248)+N(R248)-N(S248))</f>
        <v>0</v>
      </c>
      <c r="U248" s="12"/>
      <c r="V248" s="12"/>
      <c r="W248" s="12"/>
      <c r="X248" s="12"/>
      <c r="Y248" s="12"/>
      <c r="Z248" s="12"/>
      <c r="AA248" s="18"/>
    </row>
    <row r="249" spans="1:27">
      <c r="A249" s="12"/>
      <c r="B249" s="12"/>
      <c r="C249" s="12"/>
      <c r="D249" s="12"/>
      <c r="E249" s="12"/>
      <c r="F249" s="17"/>
      <c r="G249" s="12"/>
      <c r="H249" s="12"/>
      <c r="I249" s="12"/>
      <c r="J249" s="12"/>
      <c r="K249" s="12"/>
      <c r="L249" s="12"/>
      <c r="M249" s="18"/>
      <c r="N249" s="12"/>
      <c r="O249" s="14"/>
      <c r="P249" s="16">
        <f>IF(OR(F249="",O249=""),"",F249*O249)</f>
        <v>0</v>
      </c>
      <c r="Q249" s="14"/>
      <c r="R249" s="14"/>
      <c r="S249" s="14"/>
      <c r="T249" s="16">
        <f>IF(P249="","",P249+N(Q249)+N(R249)-N(S249))</f>
        <v>0</v>
      </c>
      <c r="U249" s="12"/>
      <c r="V249" s="12"/>
      <c r="W249" s="12"/>
      <c r="X249" s="12"/>
      <c r="Y249" s="12"/>
      <c r="Z249" s="12"/>
      <c r="AA249" s="18"/>
    </row>
    <row r="250" spans="1:27">
      <c r="A250" s="12"/>
      <c r="B250" s="12"/>
      <c r="C250" s="12"/>
      <c r="D250" s="12"/>
      <c r="E250" s="12"/>
      <c r="F250" s="17"/>
      <c r="G250" s="12"/>
      <c r="H250" s="12"/>
      <c r="I250" s="12"/>
      <c r="J250" s="12"/>
      <c r="K250" s="12"/>
      <c r="L250" s="12"/>
      <c r="M250" s="18"/>
      <c r="N250" s="12"/>
      <c r="O250" s="14"/>
      <c r="P250" s="16">
        <f>IF(OR(F250="",O250=""),"",F250*O250)</f>
        <v>0</v>
      </c>
      <c r="Q250" s="14"/>
      <c r="R250" s="14"/>
      <c r="S250" s="14"/>
      <c r="T250" s="16">
        <f>IF(P250="","",P250+N(Q250)+N(R250)-N(S250))</f>
        <v>0</v>
      </c>
      <c r="U250" s="12"/>
      <c r="V250" s="12"/>
      <c r="W250" s="12"/>
      <c r="X250" s="12"/>
      <c r="Y250" s="12"/>
      <c r="Z250" s="12"/>
      <c r="AA250" s="18"/>
    </row>
    <row r="251" spans="1:27">
      <c r="A251" s="12"/>
      <c r="B251" s="12"/>
      <c r="C251" s="12"/>
      <c r="D251" s="12"/>
      <c r="E251" s="12"/>
      <c r="F251" s="17"/>
      <c r="G251" s="12"/>
      <c r="H251" s="12"/>
      <c r="I251" s="12"/>
      <c r="J251" s="12"/>
      <c r="K251" s="12"/>
      <c r="L251" s="12"/>
      <c r="M251" s="18"/>
      <c r="N251" s="12"/>
      <c r="O251" s="14"/>
      <c r="P251" s="16">
        <f>IF(OR(F251="",O251=""),"",F251*O251)</f>
        <v>0</v>
      </c>
      <c r="Q251" s="14"/>
      <c r="R251" s="14"/>
      <c r="S251" s="14"/>
      <c r="T251" s="16">
        <f>IF(P251="","",P251+N(Q251)+N(R251)-N(S251))</f>
        <v>0</v>
      </c>
      <c r="U251" s="12"/>
      <c r="V251" s="12"/>
      <c r="W251" s="12"/>
      <c r="X251" s="12"/>
      <c r="Y251" s="12"/>
      <c r="Z251" s="12"/>
      <c r="AA251" s="18"/>
    </row>
    <row r="252" spans="1:27">
      <c r="A252" s="12"/>
      <c r="B252" s="12"/>
      <c r="C252" s="12"/>
      <c r="D252" s="12"/>
      <c r="E252" s="12"/>
      <c r="F252" s="17"/>
      <c r="G252" s="12"/>
      <c r="H252" s="12"/>
      <c r="I252" s="12"/>
      <c r="J252" s="12"/>
      <c r="K252" s="12"/>
      <c r="L252" s="12"/>
      <c r="M252" s="18"/>
      <c r="N252" s="12"/>
      <c r="O252" s="14"/>
      <c r="P252" s="16">
        <f>IF(OR(F252="",O252=""),"",F252*O252)</f>
        <v>0</v>
      </c>
      <c r="Q252" s="14"/>
      <c r="R252" s="14"/>
      <c r="S252" s="14"/>
      <c r="T252" s="16">
        <f>IF(P252="","",P252+N(Q252)+N(R252)-N(S252))</f>
        <v>0</v>
      </c>
      <c r="U252" s="12"/>
      <c r="V252" s="12"/>
      <c r="W252" s="12"/>
      <c r="X252" s="12"/>
      <c r="Y252" s="12"/>
      <c r="Z252" s="12"/>
      <c r="AA252" s="18"/>
    </row>
    <row r="253" spans="1:27">
      <c r="A253" s="12"/>
      <c r="B253" s="12"/>
      <c r="C253" s="12"/>
      <c r="D253" s="12"/>
      <c r="E253" s="12"/>
      <c r="F253" s="17"/>
      <c r="G253" s="12"/>
      <c r="H253" s="12"/>
      <c r="I253" s="12"/>
      <c r="J253" s="12"/>
      <c r="K253" s="12"/>
      <c r="L253" s="12"/>
      <c r="M253" s="18"/>
      <c r="N253" s="12"/>
      <c r="O253" s="14"/>
      <c r="P253" s="16">
        <f>IF(OR(F253="",O253=""),"",F253*O253)</f>
        <v>0</v>
      </c>
      <c r="Q253" s="14"/>
      <c r="R253" s="14"/>
      <c r="S253" s="14"/>
      <c r="T253" s="16">
        <f>IF(P253="","",P253+N(Q253)+N(R253)-N(S253))</f>
        <v>0</v>
      </c>
      <c r="U253" s="12"/>
      <c r="V253" s="12"/>
      <c r="W253" s="12"/>
      <c r="X253" s="12"/>
      <c r="Y253" s="12"/>
      <c r="Z253" s="12"/>
      <c r="AA253" s="18"/>
    </row>
  </sheetData>
  <autoFilter ref="A3:AA253"/>
  <mergeCells count="2">
    <mergeCell ref="A1:AA1"/>
    <mergeCell ref="A2:AA2"/>
  </mergeCells>
  <conditionalFormatting sqref="V4:V253">
    <cfRule type="expression" dxfId="0" priority="1">
      <formula>OR(ISNUMBER(SEARCH("approved",V4)),ISNUMBER(SEARCH("complete",V4)),ISNUMBER(SEARCH("delivered",V4)),ISNUMBER(SEARCH("installed",V4)),ISNUMBER(SEARCH("paid",V4)),ISNUMBER(SEARCH("good condition",V4)))</formula>
    </cfRule>
    <cfRule type="expression" dxfId="1" priority="2">
      <formula>OR(ISNUMBER(SEARCH("pending",V4)),ISNUMBER(SEARCH("progress",V4)),ISNUMBER(SEARCH("review",V4)),ISNUMBER(SEARCH("sent",V4)),ISNUMBER(SEARCH("scheduled",V4)),ISNUMBER(SEARCH("waiting",V4)),ISNUMBER(SEARCH("ordered",V4)),ISNUMBER(SEARCH("shipped",V4)))</formula>
    </cfRule>
    <cfRule type="expression" dxfId="2" priority="3">
      <formula>OR(ISNUMBER(SEARCH("overdue",V4)),ISNUMBER(SEARCH("delayed",V4)),ISNUMBER(SEARCH("rejected",V4)),ISNUMBER(SEARCH("damaged",V4)),ISNUMBER(SEARCH("missing",V4)),ISNUMBER(SEARCH("wrong",V4)),ISNUMBER(SEARCH("backordered",V4)))</formula>
    </cfRule>
    <cfRule type="expression" dxfId="3" priority="4">
      <formula>OR(ISNUMBER(SEARCH("cancelled",V4)),ISNUMBER(SEARCH("on hold",V4)),ISNUMBER(SEARCH("returned",V4)))</formula>
    </cfRule>
  </conditionalFormatting>
  <conditionalFormatting sqref="W4:W253">
    <cfRule type="expression" dxfId="0" priority="5">
      <formula>OR(ISNUMBER(SEARCH("approved",W4)),ISNUMBER(SEARCH("complete",W4)),ISNUMBER(SEARCH("delivered",W4)),ISNUMBER(SEARCH("installed",W4)),ISNUMBER(SEARCH("paid",W4)),ISNUMBER(SEARCH("good condition",W4)))</formula>
    </cfRule>
    <cfRule type="expression" dxfId="1" priority="6">
      <formula>OR(ISNUMBER(SEARCH("pending",W4)),ISNUMBER(SEARCH("progress",W4)),ISNUMBER(SEARCH("review",W4)),ISNUMBER(SEARCH("sent",W4)),ISNUMBER(SEARCH("scheduled",W4)),ISNUMBER(SEARCH("waiting",W4)),ISNUMBER(SEARCH("ordered",W4)),ISNUMBER(SEARCH("shipped",W4)))</formula>
    </cfRule>
    <cfRule type="expression" dxfId="2" priority="7">
      <formula>OR(ISNUMBER(SEARCH("overdue",W4)),ISNUMBER(SEARCH("delayed",W4)),ISNUMBER(SEARCH("rejected",W4)),ISNUMBER(SEARCH("damaged",W4)),ISNUMBER(SEARCH("missing",W4)),ISNUMBER(SEARCH("wrong",W4)),ISNUMBER(SEARCH("backordered",W4)))</formula>
    </cfRule>
    <cfRule type="expression" dxfId="3" priority="8">
      <formula>OR(ISNUMBER(SEARCH("cancelled",W4)),ISNUMBER(SEARCH("on hold",W4)),ISNUMBER(SEARCH("returned",W4)))</formula>
    </cfRule>
  </conditionalFormatting>
  <conditionalFormatting sqref="X4:X253">
    <cfRule type="expression" dxfId="0" priority="9">
      <formula>OR(ISNUMBER(SEARCH("approved",X4)),ISNUMBER(SEARCH("complete",X4)),ISNUMBER(SEARCH("delivered",X4)),ISNUMBER(SEARCH("installed",X4)),ISNUMBER(SEARCH("paid",X4)),ISNUMBER(SEARCH("good condition",X4)))</formula>
    </cfRule>
    <cfRule type="expression" dxfId="1" priority="10">
      <formula>OR(ISNUMBER(SEARCH("pending",X4)),ISNUMBER(SEARCH("progress",X4)),ISNUMBER(SEARCH("review",X4)),ISNUMBER(SEARCH("sent",X4)),ISNUMBER(SEARCH("scheduled",X4)),ISNUMBER(SEARCH("waiting",X4)),ISNUMBER(SEARCH("ordered",X4)),ISNUMBER(SEARCH("shipped",X4)))</formula>
    </cfRule>
    <cfRule type="expression" dxfId="2" priority="11">
      <formula>OR(ISNUMBER(SEARCH("overdue",X4)),ISNUMBER(SEARCH("delayed",X4)),ISNUMBER(SEARCH("rejected",X4)),ISNUMBER(SEARCH("damaged",X4)),ISNUMBER(SEARCH("missing",X4)),ISNUMBER(SEARCH("wrong",X4)),ISNUMBER(SEARCH("backordered",X4)))</formula>
    </cfRule>
    <cfRule type="expression" dxfId="3" priority="12">
      <formula>OR(ISNUMBER(SEARCH("cancelled",X4)),ISNUMBER(SEARCH("on hold",X4)),ISNUMBER(SEARCH("returned",X4)))</formula>
    </cfRule>
  </conditionalFormatting>
  <conditionalFormatting sqref="Y4:Y253">
    <cfRule type="expression" dxfId="0" priority="13">
      <formula>OR(ISNUMBER(SEARCH("approved",Y4)),ISNUMBER(SEARCH("complete",Y4)),ISNUMBER(SEARCH("delivered",Y4)),ISNUMBER(SEARCH("installed",Y4)),ISNUMBER(SEARCH("paid",Y4)),ISNUMBER(SEARCH("good condition",Y4)))</formula>
    </cfRule>
    <cfRule type="expression" dxfId="1" priority="14">
      <formula>OR(ISNUMBER(SEARCH("pending",Y4)),ISNUMBER(SEARCH("progress",Y4)),ISNUMBER(SEARCH("review",Y4)),ISNUMBER(SEARCH("sent",Y4)),ISNUMBER(SEARCH("scheduled",Y4)),ISNUMBER(SEARCH("waiting",Y4)),ISNUMBER(SEARCH("ordered",Y4)),ISNUMBER(SEARCH("shipped",Y4)))</formula>
    </cfRule>
    <cfRule type="expression" dxfId="2" priority="15">
      <formula>OR(ISNUMBER(SEARCH("overdue",Y4)),ISNUMBER(SEARCH("delayed",Y4)),ISNUMBER(SEARCH("rejected",Y4)),ISNUMBER(SEARCH("damaged",Y4)),ISNUMBER(SEARCH("missing",Y4)),ISNUMBER(SEARCH("wrong",Y4)),ISNUMBER(SEARCH("backordered",Y4)))</formula>
    </cfRule>
    <cfRule type="expression" dxfId="3" priority="16">
      <formula>OR(ISNUMBER(SEARCH("cancelled",Y4)),ISNUMBER(SEARCH("on hold",Y4)),ISNUMBER(SEARCH("returned",Y4)))</formula>
    </cfRule>
  </conditionalFormatting>
  <dataValidations count="7">
    <dataValidation type="list" allowBlank="1" showInputMessage="1" showErrorMessage="1" errorTitle="Choose a listed value" error="Please select an option from the dropdown." promptTitle="Room" prompt="Select from the dropdown list." sqref="B4:B253">
      <formula1>RoomNames</formula1>
    </dataValidation>
    <dataValidation type="list" allowBlank="1" showInputMessage="1" showErrorMessage="1" errorTitle="Choose a listed value" error="Please select an option from the dropdown." promptTitle="Category" prompt="Select from the dropdown list." sqref="C4:C253">
      <formula1>Categories</formula1>
    </dataValidation>
    <dataValidation type="list" allowBlank="1" showInputMessage="1" showErrorMessage="1" errorTitle="Choose a listed value" error="Please select an option from the dropdown." promptTitle="Vendor" prompt="Select from the dropdown list." sqref="K4:K253">
      <formula1>VendorNames</formula1>
    </dataValidation>
    <dataValidation type="list" allowBlank="1" showInputMessage="1" showErrorMessage="1" errorTitle="Choose a listed value" error="Please select an option from the dropdown." promptTitle="Order Status" prompt="Select from the dropdown list." sqref="V4:V253">
      <formula1>OrderStatuses</formula1>
    </dataValidation>
    <dataValidation type="list" allowBlank="1" showInputMessage="1" showErrorMessage="1" errorTitle="Choose a listed value" error="Please select an option from the dropdown." promptTitle="Approval Status" prompt="Select from the dropdown list." sqref="W4:W253">
      <formula1>ApprovalStatuses</formula1>
    </dataValidation>
    <dataValidation type="list" allowBlank="1" showInputMessage="1" showErrorMessage="1" errorTitle="Choose a listed value" error="Please select an option from the dropdown." promptTitle="Delivery Status" prompt="Select from the dropdown list." sqref="X4:X253">
      <formula1>DeliveryStatuses</formula1>
    </dataValidation>
    <dataValidation type="list" allowBlank="1" showInputMessage="1" showErrorMessage="1" errorTitle="Choose a listed value" error="Please select an option from the dropdown." promptTitle="Install Status" prompt="Select from the dropdown list." sqref="Y4:Y253">
      <formula1>InstallStatuses</formula1>
    </dataValidation>
  </dataValidations>
  <pageMargins left="0.25" right="0.25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4.7109375" customWidth="1"/>
    <col min="3" max="3" width="18.7109375" customWidth="1"/>
    <col min="4" max="4" width="10.7109375" customWidth="1"/>
    <col min="5" max="5" width="20.7109375" customWidth="1"/>
    <col min="6" max="6" width="28.7109375" customWidth="1"/>
    <col min="7" max="7" width="20.7109375" customWidth="1"/>
    <col min="8" max="8" width="18.7109375" customWidth="1"/>
    <col min="9" max="9" width="14.7109375" customWidth="1"/>
    <col min="10" max="11" width="18.7109375" customWidth="1"/>
    <col min="12" max="13" width="16.7109375" customWidth="1"/>
  </cols>
  <sheetData>
    <row r="1" spans="1:13" ht="30" customHeight="1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2" customHeight="1">
      <c r="A3" s="10" t="s">
        <v>167</v>
      </c>
      <c r="B3" s="10" t="s">
        <v>294</v>
      </c>
      <c r="C3" s="10" t="s">
        <v>275</v>
      </c>
      <c r="D3" s="10" t="s">
        <v>274</v>
      </c>
      <c r="E3" s="10" t="s">
        <v>150</v>
      </c>
      <c r="F3" s="10" t="s">
        <v>279</v>
      </c>
      <c r="G3" s="10" t="s">
        <v>295</v>
      </c>
      <c r="H3" s="10" t="s">
        <v>145</v>
      </c>
      <c r="I3" s="10" t="s">
        <v>296</v>
      </c>
      <c r="J3" s="10" t="s">
        <v>289</v>
      </c>
      <c r="K3" s="10" t="s">
        <v>288</v>
      </c>
      <c r="L3" s="10" t="s">
        <v>297</v>
      </c>
      <c r="M3" s="10" t="s">
        <v>298</v>
      </c>
    </row>
    <row r="4" spans="1:13">
      <c r="A4" s="12"/>
      <c r="B4" s="12"/>
      <c r="C4" s="12"/>
      <c r="D4" s="17"/>
      <c r="E4" s="12"/>
      <c r="F4" s="18"/>
      <c r="G4" s="12"/>
      <c r="H4" s="12"/>
      <c r="I4" s="14"/>
      <c r="J4" s="12"/>
      <c r="K4" s="12"/>
      <c r="L4" s="13"/>
      <c r="M4" s="13"/>
    </row>
    <row r="5" spans="1:13">
      <c r="A5" s="12"/>
      <c r="B5" s="12"/>
      <c r="C5" s="12"/>
      <c r="D5" s="17"/>
      <c r="E5" s="12"/>
      <c r="F5" s="18"/>
      <c r="G5" s="12"/>
      <c r="H5" s="12"/>
      <c r="I5" s="14"/>
      <c r="J5" s="12"/>
      <c r="K5" s="12"/>
      <c r="L5" s="13"/>
      <c r="M5" s="13"/>
    </row>
    <row r="6" spans="1:13">
      <c r="A6" s="12"/>
      <c r="B6" s="12"/>
      <c r="C6" s="12"/>
      <c r="D6" s="17"/>
      <c r="E6" s="12"/>
      <c r="F6" s="18"/>
      <c r="G6" s="12"/>
      <c r="H6" s="12"/>
      <c r="I6" s="14"/>
      <c r="J6" s="12"/>
      <c r="K6" s="12"/>
      <c r="L6" s="13"/>
      <c r="M6" s="13"/>
    </row>
    <row r="7" spans="1:13">
      <c r="A7" s="12"/>
      <c r="B7" s="12"/>
      <c r="C7" s="12"/>
      <c r="D7" s="17"/>
      <c r="E7" s="12"/>
      <c r="F7" s="18"/>
      <c r="G7" s="12"/>
      <c r="H7" s="12"/>
      <c r="I7" s="14"/>
      <c r="J7" s="12"/>
      <c r="K7" s="12"/>
      <c r="L7" s="13"/>
      <c r="M7" s="13"/>
    </row>
    <row r="8" spans="1:13">
      <c r="A8" s="12"/>
      <c r="B8" s="12"/>
      <c r="C8" s="12"/>
      <c r="D8" s="17"/>
      <c r="E8" s="12"/>
      <c r="F8" s="18"/>
      <c r="G8" s="12"/>
      <c r="H8" s="12"/>
      <c r="I8" s="14"/>
      <c r="J8" s="12"/>
      <c r="K8" s="12"/>
      <c r="L8" s="13"/>
      <c r="M8" s="13"/>
    </row>
    <row r="9" spans="1:13">
      <c r="A9" s="12"/>
      <c r="B9" s="12"/>
      <c r="C9" s="12"/>
      <c r="D9" s="17"/>
      <c r="E9" s="12"/>
      <c r="F9" s="18"/>
      <c r="G9" s="12"/>
      <c r="H9" s="12"/>
      <c r="I9" s="14"/>
      <c r="J9" s="12"/>
      <c r="K9" s="12"/>
      <c r="L9" s="13"/>
      <c r="M9" s="13"/>
    </row>
    <row r="10" spans="1:13">
      <c r="A10" s="12"/>
      <c r="B10" s="12"/>
      <c r="C10" s="12"/>
      <c r="D10" s="17"/>
      <c r="E10" s="12"/>
      <c r="F10" s="18"/>
      <c r="G10" s="12"/>
      <c r="H10" s="12"/>
      <c r="I10" s="14"/>
      <c r="J10" s="12"/>
      <c r="K10" s="12"/>
      <c r="L10" s="13"/>
      <c r="M10" s="13"/>
    </row>
    <row r="11" spans="1:13">
      <c r="A11" s="12"/>
      <c r="B11" s="12"/>
      <c r="C11" s="12"/>
      <c r="D11" s="17"/>
      <c r="E11" s="12"/>
      <c r="F11" s="18"/>
      <c r="G11" s="12"/>
      <c r="H11" s="12"/>
      <c r="I11" s="14"/>
      <c r="J11" s="12"/>
      <c r="K11" s="12"/>
      <c r="L11" s="13"/>
      <c r="M11" s="13"/>
    </row>
    <row r="12" spans="1:13">
      <c r="A12" s="12"/>
      <c r="B12" s="12"/>
      <c r="C12" s="12"/>
      <c r="D12" s="17"/>
      <c r="E12" s="12"/>
      <c r="F12" s="18"/>
      <c r="G12" s="12"/>
      <c r="H12" s="12"/>
      <c r="I12" s="14"/>
      <c r="J12" s="12"/>
      <c r="K12" s="12"/>
      <c r="L12" s="13"/>
      <c r="M12" s="13"/>
    </row>
    <row r="13" spans="1:13">
      <c r="A13" s="12"/>
      <c r="B13" s="12"/>
      <c r="C13" s="12"/>
      <c r="D13" s="17"/>
      <c r="E13" s="12"/>
      <c r="F13" s="18"/>
      <c r="G13" s="12"/>
      <c r="H13" s="12"/>
      <c r="I13" s="14"/>
      <c r="J13" s="12"/>
      <c r="K13" s="12"/>
      <c r="L13" s="13"/>
      <c r="M13" s="13"/>
    </row>
    <row r="14" spans="1:13">
      <c r="A14" s="12"/>
      <c r="B14" s="12"/>
      <c r="C14" s="12"/>
      <c r="D14" s="17"/>
      <c r="E14" s="12"/>
      <c r="F14" s="18"/>
      <c r="G14" s="12"/>
      <c r="H14" s="12"/>
      <c r="I14" s="14"/>
      <c r="J14" s="12"/>
      <c r="K14" s="12"/>
      <c r="L14" s="13"/>
      <c r="M14" s="13"/>
    </row>
    <row r="15" spans="1:13">
      <c r="A15" s="12"/>
      <c r="B15" s="12"/>
      <c r="C15" s="12"/>
      <c r="D15" s="17"/>
      <c r="E15" s="12"/>
      <c r="F15" s="18"/>
      <c r="G15" s="12"/>
      <c r="H15" s="12"/>
      <c r="I15" s="14"/>
      <c r="J15" s="12"/>
      <c r="K15" s="12"/>
      <c r="L15" s="13"/>
      <c r="M15" s="13"/>
    </row>
    <row r="16" spans="1:13">
      <c r="A16" s="12"/>
      <c r="B16" s="12"/>
      <c r="C16" s="12"/>
      <c r="D16" s="17"/>
      <c r="E16" s="12"/>
      <c r="F16" s="18"/>
      <c r="G16" s="12"/>
      <c r="H16" s="12"/>
      <c r="I16" s="14"/>
      <c r="J16" s="12"/>
      <c r="K16" s="12"/>
      <c r="L16" s="13"/>
      <c r="M16" s="13"/>
    </row>
    <row r="17" spans="1:13">
      <c r="A17" s="12"/>
      <c r="B17" s="12"/>
      <c r="C17" s="12"/>
      <c r="D17" s="17"/>
      <c r="E17" s="12"/>
      <c r="F17" s="18"/>
      <c r="G17" s="12"/>
      <c r="H17" s="12"/>
      <c r="I17" s="14"/>
      <c r="J17" s="12"/>
      <c r="K17" s="12"/>
      <c r="L17" s="13"/>
      <c r="M17" s="13"/>
    </row>
    <row r="18" spans="1:13">
      <c r="A18" s="12"/>
      <c r="B18" s="12"/>
      <c r="C18" s="12"/>
      <c r="D18" s="17"/>
      <c r="E18" s="12"/>
      <c r="F18" s="18"/>
      <c r="G18" s="12"/>
      <c r="H18" s="12"/>
      <c r="I18" s="14"/>
      <c r="J18" s="12"/>
      <c r="K18" s="12"/>
      <c r="L18" s="13"/>
      <c r="M18" s="13"/>
    </row>
    <row r="19" spans="1:13">
      <c r="A19" s="12"/>
      <c r="B19" s="12"/>
      <c r="C19" s="12"/>
      <c r="D19" s="17"/>
      <c r="E19" s="12"/>
      <c r="F19" s="18"/>
      <c r="G19" s="12"/>
      <c r="H19" s="12"/>
      <c r="I19" s="14"/>
      <c r="J19" s="12"/>
      <c r="K19" s="12"/>
      <c r="L19" s="13"/>
      <c r="M19" s="13"/>
    </row>
    <row r="20" spans="1:13">
      <c r="A20" s="12"/>
      <c r="B20" s="12"/>
      <c r="C20" s="12"/>
      <c r="D20" s="17"/>
      <c r="E20" s="12"/>
      <c r="F20" s="18"/>
      <c r="G20" s="12"/>
      <c r="H20" s="12"/>
      <c r="I20" s="14"/>
      <c r="J20" s="12"/>
      <c r="K20" s="12"/>
      <c r="L20" s="13"/>
      <c r="M20" s="13"/>
    </row>
    <row r="21" spans="1:13">
      <c r="A21" s="12"/>
      <c r="B21" s="12"/>
      <c r="C21" s="12"/>
      <c r="D21" s="17"/>
      <c r="E21" s="12"/>
      <c r="F21" s="18"/>
      <c r="G21" s="12"/>
      <c r="H21" s="12"/>
      <c r="I21" s="14"/>
      <c r="J21" s="12"/>
      <c r="K21" s="12"/>
      <c r="L21" s="13"/>
      <c r="M21" s="13"/>
    </row>
    <row r="22" spans="1:13">
      <c r="A22" s="12"/>
      <c r="B22" s="12"/>
      <c r="C22" s="12"/>
      <c r="D22" s="17"/>
      <c r="E22" s="12"/>
      <c r="F22" s="18"/>
      <c r="G22" s="12"/>
      <c r="H22" s="12"/>
      <c r="I22" s="14"/>
      <c r="J22" s="12"/>
      <c r="K22" s="12"/>
      <c r="L22" s="13"/>
      <c r="M22" s="13"/>
    </row>
    <row r="23" spans="1:13">
      <c r="A23" s="12"/>
      <c r="B23" s="12"/>
      <c r="C23" s="12"/>
      <c r="D23" s="17"/>
      <c r="E23" s="12"/>
      <c r="F23" s="18"/>
      <c r="G23" s="12"/>
      <c r="H23" s="12"/>
      <c r="I23" s="14"/>
      <c r="J23" s="12"/>
      <c r="K23" s="12"/>
      <c r="L23" s="13"/>
      <c r="M23" s="13"/>
    </row>
    <row r="24" spans="1:13">
      <c r="A24" s="12"/>
      <c r="B24" s="12"/>
      <c r="C24" s="12"/>
      <c r="D24" s="17"/>
      <c r="E24" s="12"/>
      <c r="F24" s="18"/>
      <c r="G24" s="12"/>
      <c r="H24" s="12"/>
      <c r="I24" s="14"/>
      <c r="J24" s="12"/>
      <c r="K24" s="12"/>
      <c r="L24" s="13"/>
      <c r="M24" s="13"/>
    </row>
    <row r="25" spans="1:13">
      <c r="A25" s="12"/>
      <c r="B25" s="12"/>
      <c r="C25" s="12"/>
      <c r="D25" s="17"/>
      <c r="E25" s="12"/>
      <c r="F25" s="18"/>
      <c r="G25" s="12"/>
      <c r="H25" s="12"/>
      <c r="I25" s="14"/>
      <c r="J25" s="12"/>
      <c r="K25" s="12"/>
      <c r="L25" s="13"/>
      <c r="M25" s="13"/>
    </row>
    <row r="26" spans="1:13">
      <c r="A26" s="12"/>
      <c r="B26" s="12"/>
      <c r="C26" s="12"/>
      <c r="D26" s="17"/>
      <c r="E26" s="12"/>
      <c r="F26" s="18"/>
      <c r="G26" s="12"/>
      <c r="H26" s="12"/>
      <c r="I26" s="14"/>
      <c r="J26" s="12"/>
      <c r="K26" s="12"/>
      <c r="L26" s="13"/>
      <c r="M26" s="13"/>
    </row>
    <row r="27" spans="1:13">
      <c r="A27" s="12"/>
      <c r="B27" s="12"/>
      <c r="C27" s="12"/>
      <c r="D27" s="17"/>
      <c r="E27" s="12"/>
      <c r="F27" s="18"/>
      <c r="G27" s="12"/>
      <c r="H27" s="12"/>
      <c r="I27" s="14"/>
      <c r="J27" s="12"/>
      <c r="K27" s="12"/>
      <c r="L27" s="13"/>
      <c r="M27" s="13"/>
    </row>
    <row r="28" spans="1:13">
      <c r="A28" s="12"/>
      <c r="B28" s="12"/>
      <c r="C28" s="12"/>
      <c r="D28" s="17"/>
      <c r="E28" s="12"/>
      <c r="F28" s="18"/>
      <c r="G28" s="12"/>
      <c r="H28" s="12"/>
      <c r="I28" s="14"/>
      <c r="J28" s="12"/>
      <c r="K28" s="12"/>
      <c r="L28" s="13"/>
      <c r="M28" s="13"/>
    </row>
    <row r="29" spans="1:13">
      <c r="A29" s="12"/>
      <c r="B29" s="12"/>
      <c r="C29" s="12"/>
      <c r="D29" s="17"/>
      <c r="E29" s="12"/>
      <c r="F29" s="18"/>
      <c r="G29" s="12"/>
      <c r="H29" s="12"/>
      <c r="I29" s="14"/>
      <c r="J29" s="12"/>
      <c r="K29" s="12"/>
      <c r="L29" s="13"/>
      <c r="M29" s="13"/>
    </row>
    <row r="30" spans="1:13">
      <c r="A30" s="12"/>
      <c r="B30" s="12"/>
      <c r="C30" s="12"/>
      <c r="D30" s="17"/>
      <c r="E30" s="12"/>
      <c r="F30" s="18"/>
      <c r="G30" s="12"/>
      <c r="H30" s="12"/>
      <c r="I30" s="14"/>
      <c r="J30" s="12"/>
      <c r="K30" s="12"/>
      <c r="L30" s="13"/>
      <c r="M30" s="13"/>
    </row>
    <row r="31" spans="1:13">
      <c r="A31" s="12"/>
      <c r="B31" s="12"/>
      <c r="C31" s="12"/>
      <c r="D31" s="17"/>
      <c r="E31" s="12"/>
      <c r="F31" s="18"/>
      <c r="G31" s="12"/>
      <c r="H31" s="12"/>
      <c r="I31" s="14"/>
      <c r="J31" s="12"/>
      <c r="K31" s="12"/>
      <c r="L31" s="13"/>
      <c r="M31" s="13"/>
    </row>
    <row r="32" spans="1:13">
      <c r="A32" s="12"/>
      <c r="B32" s="12"/>
      <c r="C32" s="12"/>
      <c r="D32" s="17"/>
      <c r="E32" s="12"/>
      <c r="F32" s="18"/>
      <c r="G32" s="12"/>
      <c r="H32" s="12"/>
      <c r="I32" s="14"/>
      <c r="J32" s="12"/>
      <c r="K32" s="12"/>
      <c r="L32" s="13"/>
      <c r="M32" s="13"/>
    </row>
    <row r="33" spans="1:13">
      <c r="A33" s="12"/>
      <c r="B33" s="12"/>
      <c r="C33" s="12"/>
      <c r="D33" s="17"/>
      <c r="E33" s="12"/>
      <c r="F33" s="18"/>
      <c r="G33" s="12"/>
      <c r="H33" s="12"/>
      <c r="I33" s="14"/>
      <c r="J33" s="12"/>
      <c r="K33" s="12"/>
      <c r="L33" s="13"/>
      <c r="M33" s="13"/>
    </row>
    <row r="34" spans="1:13">
      <c r="A34" s="12"/>
      <c r="B34" s="12"/>
      <c r="C34" s="12"/>
      <c r="D34" s="17"/>
      <c r="E34" s="12"/>
      <c r="F34" s="18"/>
      <c r="G34" s="12"/>
      <c r="H34" s="12"/>
      <c r="I34" s="14"/>
      <c r="J34" s="12"/>
      <c r="K34" s="12"/>
      <c r="L34" s="13"/>
      <c r="M34" s="13"/>
    </row>
    <row r="35" spans="1:13">
      <c r="A35" s="12"/>
      <c r="B35" s="12"/>
      <c r="C35" s="12"/>
      <c r="D35" s="17"/>
      <c r="E35" s="12"/>
      <c r="F35" s="18"/>
      <c r="G35" s="12"/>
      <c r="H35" s="12"/>
      <c r="I35" s="14"/>
      <c r="J35" s="12"/>
      <c r="K35" s="12"/>
      <c r="L35" s="13"/>
      <c r="M35" s="13"/>
    </row>
    <row r="36" spans="1:13">
      <c r="A36" s="12"/>
      <c r="B36" s="12"/>
      <c r="C36" s="12"/>
      <c r="D36" s="17"/>
      <c r="E36" s="12"/>
      <c r="F36" s="18"/>
      <c r="G36" s="12"/>
      <c r="H36" s="12"/>
      <c r="I36" s="14"/>
      <c r="J36" s="12"/>
      <c r="K36" s="12"/>
      <c r="L36" s="13"/>
      <c r="M36" s="13"/>
    </row>
    <row r="37" spans="1:13">
      <c r="A37" s="12"/>
      <c r="B37" s="12"/>
      <c r="C37" s="12"/>
      <c r="D37" s="17"/>
      <c r="E37" s="12"/>
      <c r="F37" s="18"/>
      <c r="G37" s="12"/>
      <c r="H37" s="12"/>
      <c r="I37" s="14"/>
      <c r="J37" s="12"/>
      <c r="K37" s="12"/>
      <c r="L37" s="13"/>
      <c r="M37" s="13"/>
    </row>
    <row r="38" spans="1:13">
      <c r="A38" s="12"/>
      <c r="B38" s="12"/>
      <c r="C38" s="12"/>
      <c r="D38" s="17"/>
      <c r="E38" s="12"/>
      <c r="F38" s="18"/>
      <c r="G38" s="12"/>
      <c r="H38" s="12"/>
      <c r="I38" s="14"/>
      <c r="J38" s="12"/>
      <c r="K38" s="12"/>
      <c r="L38" s="13"/>
      <c r="M38" s="13"/>
    </row>
    <row r="39" spans="1:13">
      <c r="A39" s="12"/>
      <c r="B39" s="12"/>
      <c r="C39" s="12"/>
      <c r="D39" s="17"/>
      <c r="E39" s="12"/>
      <c r="F39" s="18"/>
      <c r="G39" s="12"/>
      <c r="H39" s="12"/>
      <c r="I39" s="14"/>
      <c r="J39" s="12"/>
      <c r="K39" s="12"/>
      <c r="L39" s="13"/>
      <c r="M39" s="13"/>
    </row>
    <row r="40" spans="1:13">
      <c r="A40" s="12"/>
      <c r="B40" s="12"/>
      <c r="C40" s="12"/>
      <c r="D40" s="17"/>
      <c r="E40" s="12"/>
      <c r="F40" s="18"/>
      <c r="G40" s="12"/>
      <c r="H40" s="12"/>
      <c r="I40" s="14"/>
      <c r="J40" s="12"/>
      <c r="K40" s="12"/>
      <c r="L40" s="13"/>
      <c r="M40" s="13"/>
    </row>
    <row r="41" spans="1:13">
      <c r="A41" s="12"/>
      <c r="B41" s="12"/>
      <c r="C41" s="12"/>
      <c r="D41" s="17"/>
      <c r="E41" s="12"/>
      <c r="F41" s="18"/>
      <c r="G41" s="12"/>
      <c r="H41" s="12"/>
      <c r="I41" s="14"/>
      <c r="J41" s="12"/>
      <c r="K41" s="12"/>
      <c r="L41" s="13"/>
      <c r="M41" s="13"/>
    </row>
    <row r="42" spans="1:13">
      <c r="A42" s="12"/>
      <c r="B42" s="12"/>
      <c r="C42" s="12"/>
      <c r="D42" s="17"/>
      <c r="E42" s="12"/>
      <c r="F42" s="18"/>
      <c r="G42" s="12"/>
      <c r="H42" s="12"/>
      <c r="I42" s="14"/>
      <c r="J42" s="12"/>
      <c r="K42" s="12"/>
      <c r="L42" s="13"/>
      <c r="M42" s="13"/>
    </row>
    <row r="43" spans="1:13">
      <c r="A43" s="12"/>
      <c r="B43" s="12"/>
      <c r="C43" s="12"/>
      <c r="D43" s="17"/>
      <c r="E43" s="12"/>
      <c r="F43" s="18"/>
      <c r="G43" s="12"/>
      <c r="H43" s="12"/>
      <c r="I43" s="14"/>
      <c r="J43" s="12"/>
      <c r="K43" s="12"/>
      <c r="L43" s="13"/>
      <c r="M43" s="13"/>
    </row>
    <row r="44" spans="1:13">
      <c r="A44" s="12"/>
      <c r="B44" s="12"/>
      <c r="C44" s="12"/>
      <c r="D44" s="17"/>
      <c r="E44" s="12"/>
      <c r="F44" s="18"/>
      <c r="G44" s="12"/>
      <c r="H44" s="12"/>
      <c r="I44" s="14"/>
      <c r="J44" s="12"/>
      <c r="K44" s="12"/>
      <c r="L44" s="13"/>
      <c r="M44" s="13"/>
    </row>
    <row r="45" spans="1:13">
      <c r="A45" s="12"/>
      <c r="B45" s="12"/>
      <c r="C45" s="12"/>
      <c r="D45" s="17"/>
      <c r="E45" s="12"/>
      <c r="F45" s="18"/>
      <c r="G45" s="12"/>
      <c r="H45" s="12"/>
      <c r="I45" s="14"/>
      <c r="J45" s="12"/>
      <c r="K45" s="12"/>
      <c r="L45" s="13"/>
      <c r="M45" s="13"/>
    </row>
    <row r="46" spans="1:13">
      <c r="A46" s="12"/>
      <c r="B46" s="12"/>
      <c r="C46" s="12"/>
      <c r="D46" s="17"/>
      <c r="E46" s="12"/>
      <c r="F46" s="18"/>
      <c r="G46" s="12"/>
      <c r="H46" s="12"/>
      <c r="I46" s="14"/>
      <c r="J46" s="12"/>
      <c r="K46" s="12"/>
      <c r="L46" s="13"/>
      <c r="M46" s="13"/>
    </row>
    <row r="47" spans="1:13">
      <c r="A47" s="12"/>
      <c r="B47" s="12"/>
      <c r="C47" s="12"/>
      <c r="D47" s="17"/>
      <c r="E47" s="12"/>
      <c r="F47" s="18"/>
      <c r="G47" s="12"/>
      <c r="H47" s="12"/>
      <c r="I47" s="14"/>
      <c r="J47" s="12"/>
      <c r="K47" s="12"/>
      <c r="L47" s="13"/>
      <c r="M47" s="13"/>
    </row>
    <row r="48" spans="1:13">
      <c r="A48" s="12"/>
      <c r="B48" s="12"/>
      <c r="C48" s="12"/>
      <c r="D48" s="17"/>
      <c r="E48" s="12"/>
      <c r="F48" s="18"/>
      <c r="G48" s="12"/>
      <c r="H48" s="12"/>
      <c r="I48" s="14"/>
      <c r="J48" s="12"/>
      <c r="K48" s="12"/>
      <c r="L48" s="13"/>
      <c r="M48" s="13"/>
    </row>
    <row r="49" spans="1:13">
      <c r="A49" s="12"/>
      <c r="B49" s="12"/>
      <c r="C49" s="12"/>
      <c r="D49" s="17"/>
      <c r="E49" s="12"/>
      <c r="F49" s="18"/>
      <c r="G49" s="12"/>
      <c r="H49" s="12"/>
      <c r="I49" s="14"/>
      <c r="J49" s="12"/>
      <c r="K49" s="12"/>
      <c r="L49" s="13"/>
      <c r="M49" s="13"/>
    </row>
    <row r="50" spans="1:13">
      <c r="A50" s="12"/>
      <c r="B50" s="12"/>
      <c r="C50" s="12"/>
      <c r="D50" s="17"/>
      <c r="E50" s="12"/>
      <c r="F50" s="18"/>
      <c r="G50" s="12"/>
      <c r="H50" s="12"/>
      <c r="I50" s="14"/>
      <c r="J50" s="12"/>
      <c r="K50" s="12"/>
      <c r="L50" s="13"/>
      <c r="M50" s="13"/>
    </row>
    <row r="51" spans="1:13">
      <c r="A51" s="12"/>
      <c r="B51" s="12"/>
      <c r="C51" s="12"/>
      <c r="D51" s="17"/>
      <c r="E51" s="12"/>
      <c r="F51" s="18"/>
      <c r="G51" s="12"/>
      <c r="H51" s="12"/>
      <c r="I51" s="14"/>
      <c r="J51" s="12"/>
      <c r="K51" s="12"/>
      <c r="L51" s="13"/>
      <c r="M51" s="13"/>
    </row>
    <row r="52" spans="1:13">
      <c r="A52" s="12"/>
      <c r="B52" s="12"/>
      <c r="C52" s="12"/>
      <c r="D52" s="17"/>
      <c r="E52" s="12"/>
      <c r="F52" s="18"/>
      <c r="G52" s="12"/>
      <c r="H52" s="12"/>
      <c r="I52" s="14"/>
      <c r="J52" s="12"/>
      <c r="K52" s="12"/>
      <c r="L52" s="13"/>
      <c r="M52" s="13"/>
    </row>
    <row r="53" spans="1:13">
      <c r="A53" s="12"/>
      <c r="B53" s="12"/>
      <c r="C53" s="12"/>
      <c r="D53" s="17"/>
      <c r="E53" s="12"/>
      <c r="F53" s="18"/>
      <c r="G53" s="12"/>
      <c r="H53" s="12"/>
      <c r="I53" s="14"/>
      <c r="J53" s="12"/>
      <c r="K53" s="12"/>
      <c r="L53" s="13"/>
      <c r="M53" s="13"/>
    </row>
    <row r="54" spans="1:13">
      <c r="A54" s="12"/>
      <c r="B54" s="12"/>
      <c r="C54" s="12"/>
      <c r="D54" s="17"/>
      <c r="E54" s="12"/>
      <c r="F54" s="18"/>
      <c r="G54" s="12"/>
      <c r="H54" s="12"/>
      <c r="I54" s="14"/>
      <c r="J54" s="12"/>
      <c r="K54" s="12"/>
      <c r="L54" s="13"/>
      <c r="M54" s="13"/>
    </row>
    <row r="55" spans="1:13">
      <c r="A55" s="12"/>
      <c r="B55" s="12"/>
      <c r="C55" s="12"/>
      <c r="D55" s="17"/>
      <c r="E55" s="12"/>
      <c r="F55" s="18"/>
      <c r="G55" s="12"/>
      <c r="H55" s="12"/>
      <c r="I55" s="14"/>
      <c r="J55" s="12"/>
      <c r="K55" s="12"/>
      <c r="L55" s="13"/>
      <c r="M55" s="13"/>
    </row>
    <row r="56" spans="1:13">
      <c r="A56" s="12"/>
      <c r="B56" s="12"/>
      <c r="C56" s="12"/>
      <c r="D56" s="17"/>
      <c r="E56" s="12"/>
      <c r="F56" s="18"/>
      <c r="G56" s="12"/>
      <c r="H56" s="12"/>
      <c r="I56" s="14"/>
      <c r="J56" s="12"/>
      <c r="K56" s="12"/>
      <c r="L56" s="13"/>
      <c r="M56" s="13"/>
    </row>
    <row r="57" spans="1:13">
      <c r="A57" s="12"/>
      <c r="B57" s="12"/>
      <c r="C57" s="12"/>
      <c r="D57" s="17"/>
      <c r="E57" s="12"/>
      <c r="F57" s="18"/>
      <c r="G57" s="12"/>
      <c r="H57" s="12"/>
      <c r="I57" s="14"/>
      <c r="J57" s="12"/>
      <c r="K57" s="12"/>
      <c r="L57" s="13"/>
      <c r="M57" s="13"/>
    </row>
    <row r="58" spans="1:13">
      <c r="A58" s="12"/>
      <c r="B58" s="12"/>
      <c r="C58" s="12"/>
      <c r="D58" s="17"/>
      <c r="E58" s="12"/>
      <c r="F58" s="18"/>
      <c r="G58" s="12"/>
      <c r="H58" s="12"/>
      <c r="I58" s="14"/>
      <c r="J58" s="12"/>
      <c r="K58" s="12"/>
      <c r="L58" s="13"/>
      <c r="M58" s="13"/>
    </row>
    <row r="59" spans="1:13">
      <c r="A59" s="12"/>
      <c r="B59" s="12"/>
      <c r="C59" s="12"/>
      <c r="D59" s="17"/>
      <c r="E59" s="12"/>
      <c r="F59" s="18"/>
      <c r="G59" s="12"/>
      <c r="H59" s="12"/>
      <c r="I59" s="14"/>
      <c r="J59" s="12"/>
      <c r="K59" s="12"/>
      <c r="L59" s="13"/>
      <c r="M59" s="13"/>
    </row>
    <row r="60" spans="1:13">
      <c r="A60" s="12"/>
      <c r="B60" s="12"/>
      <c r="C60" s="12"/>
      <c r="D60" s="17"/>
      <c r="E60" s="12"/>
      <c r="F60" s="18"/>
      <c r="G60" s="12"/>
      <c r="H60" s="12"/>
      <c r="I60" s="14"/>
      <c r="J60" s="12"/>
      <c r="K60" s="12"/>
      <c r="L60" s="13"/>
      <c r="M60" s="13"/>
    </row>
    <row r="61" spans="1:13">
      <c r="A61" s="12"/>
      <c r="B61" s="12"/>
      <c r="C61" s="12"/>
      <c r="D61" s="17"/>
      <c r="E61" s="12"/>
      <c r="F61" s="18"/>
      <c r="G61" s="12"/>
      <c r="H61" s="12"/>
      <c r="I61" s="14"/>
      <c r="J61" s="12"/>
      <c r="K61" s="12"/>
      <c r="L61" s="13"/>
      <c r="M61" s="13"/>
    </row>
    <row r="62" spans="1:13">
      <c r="A62" s="12"/>
      <c r="B62" s="12"/>
      <c r="C62" s="12"/>
      <c r="D62" s="17"/>
      <c r="E62" s="12"/>
      <c r="F62" s="18"/>
      <c r="G62" s="12"/>
      <c r="H62" s="12"/>
      <c r="I62" s="14"/>
      <c r="J62" s="12"/>
      <c r="K62" s="12"/>
      <c r="L62" s="13"/>
      <c r="M62" s="13"/>
    </row>
    <row r="63" spans="1:13">
      <c r="A63" s="12"/>
      <c r="B63" s="12"/>
      <c r="C63" s="12"/>
      <c r="D63" s="17"/>
      <c r="E63" s="12"/>
      <c r="F63" s="18"/>
      <c r="G63" s="12"/>
      <c r="H63" s="12"/>
      <c r="I63" s="14"/>
      <c r="J63" s="12"/>
      <c r="K63" s="12"/>
      <c r="L63" s="13"/>
      <c r="M63" s="13"/>
    </row>
    <row r="64" spans="1:13">
      <c r="A64" s="12"/>
      <c r="B64" s="12"/>
      <c r="C64" s="12"/>
      <c r="D64" s="17"/>
      <c r="E64" s="12"/>
      <c r="F64" s="18"/>
      <c r="G64" s="12"/>
      <c r="H64" s="12"/>
      <c r="I64" s="14"/>
      <c r="J64" s="12"/>
      <c r="K64" s="12"/>
      <c r="L64" s="13"/>
      <c r="M64" s="13"/>
    </row>
    <row r="65" spans="1:13">
      <c r="A65" s="12"/>
      <c r="B65" s="12"/>
      <c r="C65" s="12"/>
      <c r="D65" s="17"/>
      <c r="E65" s="12"/>
      <c r="F65" s="18"/>
      <c r="G65" s="12"/>
      <c r="H65" s="12"/>
      <c r="I65" s="14"/>
      <c r="J65" s="12"/>
      <c r="K65" s="12"/>
      <c r="L65" s="13"/>
      <c r="M65" s="13"/>
    </row>
    <row r="66" spans="1:13">
      <c r="A66" s="12"/>
      <c r="B66" s="12"/>
      <c r="C66" s="12"/>
      <c r="D66" s="17"/>
      <c r="E66" s="12"/>
      <c r="F66" s="18"/>
      <c r="G66" s="12"/>
      <c r="H66" s="12"/>
      <c r="I66" s="14"/>
      <c r="J66" s="12"/>
      <c r="K66" s="12"/>
      <c r="L66" s="13"/>
      <c r="M66" s="13"/>
    </row>
    <row r="67" spans="1:13">
      <c r="A67" s="12"/>
      <c r="B67" s="12"/>
      <c r="C67" s="12"/>
      <c r="D67" s="17"/>
      <c r="E67" s="12"/>
      <c r="F67" s="18"/>
      <c r="G67" s="12"/>
      <c r="H67" s="12"/>
      <c r="I67" s="14"/>
      <c r="J67" s="12"/>
      <c r="K67" s="12"/>
      <c r="L67" s="13"/>
      <c r="M67" s="13"/>
    </row>
    <row r="68" spans="1:13">
      <c r="A68" s="12"/>
      <c r="B68" s="12"/>
      <c r="C68" s="12"/>
      <c r="D68" s="17"/>
      <c r="E68" s="12"/>
      <c r="F68" s="18"/>
      <c r="G68" s="12"/>
      <c r="H68" s="12"/>
      <c r="I68" s="14"/>
      <c r="J68" s="12"/>
      <c r="K68" s="12"/>
      <c r="L68" s="13"/>
      <c r="M68" s="13"/>
    </row>
    <row r="69" spans="1:13">
      <c r="A69" s="12"/>
      <c r="B69" s="12"/>
      <c r="C69" s="12"/>
      <c r="D69" s="17"/>
      <c r="E69" s="12"/>
      <c r="F69" s="18"/>
      <c r="G69" s="12"/>
      <c r="H69" s="12"/>
      <c r="I69" s="14"/>
      <c r="J69" s="12"/>
      <c r="K69" s="12"/>
      <c r="L69" s="13"/>
      <c r="M69" s="13"/>
    </row>
    <row r="70" spans="1:13">
      <c r="A70" s="12"/>
      <c r="B70" s="12"/>
      <c r="C70" s="12"/>
      <c r="D70" s="17"/>
      <c r="E70" s="12"/>
      <c r="F70" s="18"/>
      <c r="G70" s="12"/>
      <c r="H70" s="12"/>
      <c r="I70" s="14"/>
      <c r="J70" s="12"/>
      <c r="K70" s="12"/>
      <c r="L70" s="13"/>
      <c r="M70" s="13"/>
    </row>
    <row r="71" spans="1:13">
      <c r="A71" s="12"/>
      <c r="B71" s="12"/>
      <c r="C71" s="12"/>
      <c r="D71" s="17"/>
      <c r="E71" s="12"/>
      <c r="F71" s="18"/>
      <c r="G71" s="12"/>
      <c r="H71" s="12"/>
      <c r="I71" s="14"/>
      <c r="J71" s="12"/>
      <c r="K71" s="12"/>
      <c r="L71" s="13"/>
      <c r="M71" s="13"/>
    </row>
    <row r="72" spans="1:13">
      <c r="A72" s="12"/>
      <c r="B72" s="12"/>
      <c r="C72" s="12"/>
      <c r="D72" s="17"/>
      <c r="E72" s="12"/>
      <c r="F72" s="18"/>
      <c r="G72" s="12"/>
      <c r="H72" s="12"/>
      <c r="I72" s="14"/>
      <c r="J72" s="12"/>
      <c r="K72" s="12"/>
      <c r="L72" s="13"/>
      <c r="M72" s="13"/>
    </row>
    <row r="73" spans="1:13">
      <c r="A73" s="12"/>
      <c r="B73" s="12"/>
      <c r="C73" s="12"/>
      <c r="D73" s="17"/>
      <c r="E73" s="12"/>
      <c r="F73" s="18"/>
      <c r="G73" s="12"/>
      <c r="H73" s="12"/>
      <c r="I73" s="14"/>
      <c r="J73" s="12"/>
      <c r="K73" s="12"/>
      <c r="L73" s="13"/>
      <c r="M73" s="13"/>
    </row>
    <row r="74" spans="1:13">
      <c r="A74" s="12"/>
      <c r="B74" s="12"/>
      <c r="C74" s="12"/>
      <c r="D74" s="17"/>
      <c r="E74" s="12"/>
      <c r="F74" s="18"/>
      <c r="G74" s="12"/>
      <c r="H74" s="12"/>
      <c r="I74" s="14"/>
      <c r="J74" s="12"/>
      <c r="K74" s="12"/>
      <c r="L74" s="13"/>
      <c r="M74" s="13"/>
    </row>
    <row r="75" spans="1:13">
      <c r="A75" s="12"/>
      <c r="B75" s="12"/>
      <c r="C75" s="12"/>
      <c r="D75" s="17"/>
      <c r="E75" s="12"/>
      <c r="F75" s="18"/>
      <c r="G75" s="12"/>
      <c r="H75" s="12"/>
      <c r="I75" s="14"/>
      <c r="J75" s="12"/>
      <c r="K75" s="12"/>
      <c r="L75" s="13"/>
      <c r="M75" s="13"/>
    </row>
    <row r="76" spans="1:13">
      <c r="A76" s="12"/>
      <c r="B76" s="12"/>
      <c r="C76" s="12"/>
      <c r="D76" s="17"/>
      <c r="E76" s="12"/>
      <c r="F76" s="18"/>
      <c r="G76" s="12"/>
      <c r="H76" s="12"/>
      <c r="I76" s="14"/>
      <c r="J76" s="12"/>
      <c r="K76" s="12"/>
      <c r="L76" s="13"/>
      <c r="M76" s="13"/>
    </row>
    <row r="77" spans="1:13">
      <c r="A77" s="12"/>
      <c r="B77" s="12"/>
      <c r="C77" s="12"/>
      <c r="D77" s="17"/>
      <c r="E77" s="12"/>
      <c r="F77" s="18"/>
      <c r="G77" s="12"/>
      <c r="H77" s="12"/>
      <c r="I77" s="14"/>
      <c r="J77" s="12"/>
      <c r="K77" s="12"/>
      <c r="L77" s="13"/>
      <c r="M77" s="13"/>
    </row>
    <row r="78" spans="1:13">
      <c r="A78" s="12"/>
      <c r="B78" s="12"/>
      <c r="C78" s="12"/>
      <c r="D78" s="17"/>
      <c r="E78" s="12"/>
      <c r="F78" s="18"/>
      <c r="G78" s="12"/>
      <c r="H78" s="12"/>
      <c r="I78" s="14"/>
      <c r="J78" s="12"/>
      <c r="K78" s="12"/>
      <c r="L78" s="13"/>
      <c r="M78" s="13"/>
    </row>
    <row r="79" spans="1:13">
      <c r="A79" s="12"/>
      <c r="B79" s="12"/>
      <c r="C79" s="12"/>
      <c r="D79" s="17"/>
      <c r="E79" s="12"/>
      <c r="F79" s="18"/>
      <c r="G79" s="12"/>
      <c r="H79" s="12"/>
      <c r="I79" s="14"/>
      <c r="J79" s="12"/>
      <c r="K79" s="12"/>
      <c r="L79" s="13"/>
      <c r="M79" s="13"/>
    </row>
    <row r="80" spans="1:13">
      <c r="A80" s="12"/>
      <c r="B80" s="12"/>
      <c r="C80" s="12"/>
      <c r="D80" s="17"/>
      <c r="E80" s="12"/>
      <c r="F80" s="18"/>
      <c r="G80" s="12"/>
      <c r="H80" s="12"/>
      <c r="I80" s="14"/>
      <c r="J80" s="12"/>
      <c r="K80" s="12"/>
      <c r="L80" s="13"/>
      <c r="M80" s="13"/>
    </row>
    <row r="81" spans="1:13">
      <c r="A81" s="12"/>
      <c r="B81" s="12"/>
      <c r="C81" s="12"/>
      <c r="D81" s="17"/>
      <c r="E81" s="12"/>
      <c r="F81" s="18"/>
      <c r="G81" s="12"/>
      <c r="H81" s="12"/>
      <c r="I81" s="14"/>
      <c r="J81" s="12"/>
      <c r="K81" s="12"/>
      <c r="L81" s="13"/>
      <c r="M81" s="13"/>
    </row>
    <row r="82" spans="1:13">
      <c r="A82" s="12"/>
      <c r="B82" s="12"/>
      <c r="C82" s="12"/>
      <c r="D82" s="17"/>
      <c r="E82" s="12"/>
      <c r="F82" s="18"/>
      <c r="G82" s="12"/>
      <c r="H82" s="12"/>
      <c r="I82" s="14"/>
      <c r="J82" s="12"/>
      <c r="K82" s="12"/>
      <c r="L82" s="13"/>
      <c r="M82" s="13"/>
    </row>
    <row r="83" spans="1:13">
      <c r="A83" s="12"/>
      <c r="B83" s="12"/>
      <c r="C83" s="12"/>
      <c r="D83" s="17"/>
      <c r="E83" s="12"/>
      <c r="F83" s="18"/>
      <c r="G83" s="12"/>
      <c r="H83" s="12"/>
      <c r="I83" s="14"/>
      <c r="J83" s="12"/>
      <c r="K83" s="12"/>
      <c r="L83" s="13"/>
      <c r="M83" s="13"/>
    </row>
    <row r="84" spans="1:13">
      <c r="A84" s="12"/>
      <c r="B84" s="12"/>
      <c r="C84" s="12"/>
      <c r="D84" s="17"/>
      <c r="E84" s="12"/>
      <c r="F84" s="18"/>
      <c r="G84" s="12"/>
      <c r="H84" s="12"/>
      <c r="I84" s="14"/>
      <c r="J84" s="12"/>
      <c r="K84" s="12"/>
      <c r="L84" s="13"/>
      <c r="M84" s="13"/>
    </row>
    <row r="85" spans="1:13">
      <c r="A85" s="12"/>
      <c r="B85" s="12"/>
      <c r="C85" s="12"/>
      <c r="D85" s="17"/>
      <c r="E85" s="12"/>
      <c r="F85" s="18"/>
      <c r="G85" s="12"/>
      <c r="H85" s="12"/>
      <c r="I85" s="14"/>
      <c r="J85" s="12"/>
      <c r="K85" s="12"/>
      <c r="L85" s="13"/>
      <c r="M85" s="13"/>
    </row>
    <row r="86" spans="1:13">
      <c r="A86" s="12"/>
      <c r="B86" s="12"/>
      <c r="C86" s="12"/>
      <c r="D86" s="17"/>
      <c r="E86" s="12"/>
      <c r="F86" s="18"/>
      <c r="G86" s="12"/>
      <c r="H86" s="12"/>
      <c r="I86" s="14"/>
      <c r="J86" s="12"/>
      <c r="K86" s="12"/>
      <c r="L86" s="13"/>
      <c r="M86" s="13"/>
    </row>
    <row r="87" spans="1:13">
      <c r="A87" s="12"/>
      <c r="B87" s="12"/>
      <c r="C87" s="12"/>
      <c r="D87" s="17"/>
      <c r="E87" s="12"/>
      <c r="F87" s="18"/>
      <c r="G87" s="12"/>
      <c r="H87" s="12"/>
      <c r="I87" s="14"/>
      <c r="J87" s="12"/>
      <c r="K87" s="12"/>
      <c r="L87" s="13"/>
      <c r="M87" s="13"/>
    </row>
    <row r="88" spans="1:13">
      <c r="A88" s="12"/>
      <c r="B88" s="12"/>
      <c r="C88" s="12"/>
      <c r="D88" s="17"/>
      <c r="E88" s="12"/>
      <c r="F88" s="18"/>
      <c r="G88" s="12"/>
      <c r="H88" s="12"/>
      <c r="I88" s="14"/>
      <c r="J88" s="12"/>
      <c r="K88" s="12"/>
      <c r="L88" s="13"/>
      <c r="M88" s="13"/>
    </row>
    <row r="89" spans="1:13">
      <c r="A89" s="12"/>
      <c r="B89" s="12"/>
      <c r="C89" s="12"/>
      <c r="D89" s="17"/>
      <c r="E89" s="12"/>
      <c r="F89" s="18"/>
      <c r="G89" s="12"/>
      <c r="H89" s="12"/>
      <c r="I89" s="14"/>
      <c r="J89" s="12"/>
      <c r="K89" s="12"/>
      <c r="L89" s="13"/>
      <c r="M89" s="13"/>
    </row>
    <row r="90" spans="1:13">
      <c r="A90" s="12"/>
      <c r="B90" s="12"/>
      <c r="C90" s="12"/>
      <c r="D90" s="17"/>
      <c r="E90" s="12"/>
      <c r="F90" s="18"/>
      <c r="G90" s="12"/>
      <c r="H90" s="12"/>
      <c r="I90" s="14"/>
      <c r="J90" s="12"/>
      <c r="K90" s="12"/>
      <c r="L90" s="13"/>
      <c r="M90" s="13"/>
    </row>
    <row r="91" spans="1:13">
      <c r="A91" s="12"/>
      <c r="B91" s="12"/>
      <c r="C91" s="12"/>
      <c r="D91" s="17"/>
      <c r="E91" s="12"/>
      <c r="F91" s="18"/>
      <c r="G91" s="12"/>
      <c r="H91" s="12"/>
      <c r="I91" s="14"/>
      <c r="J91" s="12"/>
      <c r="K91" s="12"/>
      <c r="L91" s="13"/>
      <c r="M91" s="13"/>
    </row>
    <row r="92" spans="1:13">
      <c r="A92" s="12"/>
      <c r="B92" s="12"/>
      <c r="C92" s="12"/>
      <c r="D92" s="17"/>
      <c r="E92" s="12"/>
      <c r="F92" s="18"/>
      <c r="G92" s="12"/>
      <c r="H92" s="12"/>
      <c r="I92" s="14"/>
      <c r="J92" s="12"/>
      <c r="K92" s="12"/>
      <c r="L92" s="13"/>
      <c r="M92" s="13"/>
    </row>
    <row r="93" spans="1:13">
      <c r="A93" s="12"/>
      <c r="B93" s="12"/>
      <c r="C93" s="12"/>
      <c r="D93" s="17"/>
      <c r="E93" s="12"/>
      <c r="F93" s="18"/>
      <c r="G93" s="12"/>
      <c r="H93" s="12"/>
      <c r="I93" s="14"/>
      <c r="J93" s="12"/>
      <c r="K93" s="12"/>
      <c r="L93" s="13"/>
      <c r="M93" s="13"/>
    </row>
    <row r="94" spans="1:13">
      <c r="A94" s="12"/>
      <c r="B94" s="12"/>
      <c r="C94" s="12"/>
      <c r="D94" s="17"/>
      <c r="E94" s="12"/>
      <c r="F94" s="18"/>
      <c r="G94" s="12"/>
      <c r="H94" s="12"/>
      <c r="I94" s="14"/>
      <c r="J94" s="12"/>
      <c r="K94" s="12"/>
      <c r="L94" s="13"/>
      <c r="M94" s="13"/>
    </row>
    <row r="95" spans="1:13">
      <c r="A95" s="12"/>
      <c r="B95" s="12"/>
      <c r="C95" s="12"/>
      <c r="D95" s="17"/>
      <c r="E95" s="12"/>
      <c r="F95" s="18"/>
      <c r="G95" s="12"/>
      <c r="H95" s="12"/>
      <c r="I95" s="14"/>
      <c r="J95" s="12"/>
      <c r="K95" s="12"/>
      <c r="L95" s="13"/>
      <c r="M95" s="13"/>
    </row>
    <row r="96" spans="1:13">
      <c r="A96" s="12"/>
      <c r="B96" s="12"/>
      <c r="C96" s="12"/>
      <c r="D96" s="17"/>
      <c r="E96" s="12"/>
      <c r="F96" s="18"/>
      <c r="G96" s="12"/>
      <c r="H96" s="12"/>
      <c r="I96" s="14"/>
      <c r="J96" s="12"/>
      <c r="K96" s="12"/>
      <c r="L96" s="13"/>
      <c r="M96" s="13"/>
    </row>
    <row r="97" spans="1:13">
      <c r="A97" s="12"/>
      <c r="B97" s="12"/>
      <c r="C97" s="12"/>
      <c r="D97" s="17"/>
      <c r="E97" s="12"/>
      <c r="F97" s="18"/>
      <c r="G97" s="12"/>
      <c r="H97" s="12"/>
      <c r="I97" s="14"/>
      <c r="J97" s="12"/>
      <c r="K97" s="12"/>
      <c r="L97" s="13"/>
      <c r="M97" s="13"/>
    </row>
    <row r="98" spans="1:13">
      <c r="A98" s="12"/>
      <c r="B98" s="12"/>
      <c r="C98" s="12"/>
      <c r="D98" s="17"/>
      <c r="E98" s="12"/>
      <c r="F98" s="18"/>
      <c r="G98" s="12"/>
      <c r="H98" s="12"/>
      <c r="I98" s="14"/>
      <c r="J98" s="12"/>
      <c r="K98" s="12"/>
      <c r="L98" s="13"/>
      <c r="M98" s="13"/>
    </row>
    <row r="99" spans="1:13">
      <c r="A99" s="12"/>
      <c r="B99" s="12"/>
      <c r="C99" s="12"/>
      <c r="D99" s="17"/>
      <c r="E99" s="12"/>
      <c r="F99" s="18"/>
      <c r="G99" s="12"/>
      <c r="H99" s="12"/>
      <c r="I99" s="14"/>
      <c r="J99" s="12"/>
      <c r="K99" s="12"/>
      <c r="L99" s="13"/>
      <c r="M99" s="13"/>
    </row>
    <row r="100" spans="1:13">
      <c r="A100" s="12"/>
      <c r="B100" s="12"/>
      <c r="C100" s="12"/>
      <c r="D100" s="17"/>
      <c r="E100" s="12"/>
      <c r="F100" s="18"/>
      <c r="G100" s="12"/>
      <c r="H100" s="12"/>
      <c r="I100" s="14"/>
      <c r="J100" s="12"/>
      <c r="K100" s="12"/>
      <c r="L100" s="13"/>
      <c r="M100" s="13"/>
    </row>
    <row r="101" spans="1:13">
      <c r="A101" s="12"/>
      <c r="B101" s="12"/>
      <c r="C101" s="12"/>
      <c r="D101" s="17"/>
      <c r="E101" s="12"/>
      <c r="F101" s="18"/>
      <c r="G101" s="12"/>
      <c r="H101" s="12"/>
      <c r="I101" s="14"/>
      <c r="J101" s="12"/>
      <c r="K101" s="12"/>
      <c r="L101" s="13"/>
      <c r="M101" s="13"/>
    </row>
    <row r="102" spans="1:13">
      <c r="A102" s="12"/>
      <c r="B102" s="12"/>
      <c r="C102" s="12"/>
      <c r="D102" s="17"/>
      <c r="E102" s="12"/>
      <c r="F102" s="18"/>
      <c r="G102" s="12"/>
      <c r="H102" s="12"/>
      <c r="I102" s="14"/>
      <c r="J102" s="12"/>
      <c r="K102" s="12"/>
      <c r="L102" s="13"/>
      <c r="M102" s="13"/>
    </row>
    <row r="103" spans="1:13">
      <c r="A103" s="12"/>
      <c r="B103" s="12"/>
      <c r="C103" s="12"/>
      <c r="D103" s="17"/>
      <c r="E103" s="12"/>
      <c r="F103" s="18"/>
      <c r="G103" s="12"/>
      <c r="H103" s="12"/>
      <c r="I103" s="14"/>
      <c r="J103" s="12"/>
      <c r="K103" s="12"/>
      <c r="L103" s="13"/>
      <c r="M103" s="13"/>
    </row>
    <row r="104" spans="1:13">
      <c r="A104" s="12"/>
      <c r="B104" s="12"/>
      <c r="C104" s="12"/>
      <c r="D104" s="17"/>
      <c r="E104" s="12"/>
      <c r="F104" s="18"/>
      <c r="G104" s="12"/>
      <c r="H104" s="12"/>
      <c r="I104" s="14"/>
      <c r="J104" s="12"/>
      <c r="K104" s="12"/>
      <c r="L104" s="13"/>
      <c r="M104" s="13"/>
    </row>
    <row r="105" spans="1:13">
      <c r="A105" s="12"/>
      <c r="B105" s="12"/>
      <c r="C105" s="12"/>
      <c r="D105" s="17"/>
      <c r="E105" s="12"/>
      <c r="F105" s="18"/>
      <c r="G105" s="12"/>
      <c r="H105" s="12"/>
      <c r="I105" s="14"/>
      <c r="J105" s="12"/>
      <c r="K105" s="12"/>
      <c r="L105" s="13"/>
      <c r="M105" s="13"/>
    </row>
    <row r="106" spans="1:13">
      <c r="A106" s="12"/>
      <c r="B106" s="12"/>
      <c r="C106" s="12"/>
      <c r="D106" s="17"/>
      <c r="E106" s="12"/>
      <c r="F106" s="18"/>
      <c r="G106" s="12"/>
      <c r="H106" s="12"/>
      <c r="I106" s="14"/>
      <c r="J106" s="12"/>
      <c r="K106" s="12"/>
      <c r="L106" s="13"/>
      <c r="M106" s="13"/>
    </row>
    <row r="107" spans="1:13">
      <c r="A107" s="12"/>
      <c r="B107" s="12"/>
      <c r="C107" s="12"/>
      <c r="D107" s="17"/>
      <c r="E107" s="12"/>
      <c r="F107" s="18"/>
      <c r="G107" s="12"/>
      <c r="H107" s="12"/>
      <c r="I107" s="14"/>
      <c r="J107" s="12"/>
      <c r="K107" s="12"/>
      <c r="L107" s="13"/>
      <c r="M107" s="13"/>
    </row>
    <row r="108" spans="1:13">
      <c r="A108" s="12"/>
      <c r="B108" s="12"/>
      <c r="C108" s="12"/>
      <c r="D108" s="17"/>
      <c r="E108" s="12"/>
      <c r="F108" s="18"/>
      <c r="G108" s="12"/>
      <c r="H108" s="12"/>
      <c r="I108" s="14"/>
      <c r="J108" s="12"/>
      <c r="K108" s="12"/>
      <c r="L108" s="13"/>
      <c r="M108" s="13"/>
    </row>
    <row r="109" spans="1:13">
      <c r="A109" s="12"/>
      <c r="B109" s="12"/>
      <c r="C109" s="12"/>
      <c r="D109" s="17"/>
      <c r="E109" s="12"/>
      <c r="F109" s="18"/>
      <c r="G109" s="12"/>
      <c r="H109" s="12"/>
      <c r="I109" s="14"/>
      <c r="J109" s="12"/>
      <c r="K109" s="12"/>
      <c r="L109" s="13"/>
      <c r="M109" s="13"/>
    </row>
    <row r="110" spans="1:13">
      <c r="A110" s="12"/>
      <c r="B110" s="12"/>
      <c r="C110" s="12"/>
      <c r="D110" s="17"/>
      <c r="E110" s="12"/>
      <c r="F110" s="18"/>
      <c r="G110" s="12"/>
      <c r="H110" s="12"/>
      <c r="I110" s="14"/>
      <c r="J110" s="12"/>
      <c r="K110" s="12"/>
      <c r="L110" s="13"/>
      <c r="M110" s="13"/>
    </row>
    <row r="111" spans="1:13">
      <c r="A111" s="12"/>
      <c r="B111" s="12"/>
      <c r="C111" s="12"/>
      <c r="D111" s="17"/>
      <c r="E111" s="12"/>
      <c r="F111" s="18"/>
      <c r="G111" s="12"/>
      <c r="H111" s="12"/>
      <c r="I111" s="14"/>
      <c r="J111" s="12"/>
      <c r="K111" s="12"/>
      <c r="L111" s="13"/>
      <c r="M111" s="13"/>
    </row>
    <row r="112" spans="1:13">
      <c r="A112" s="12"/>
      <c r="B112" s="12"/>
      <c r="C112" s="12"/>
      <c r="D112" s="17"/>
      <c r="E112" s="12"/>
      <c r="F112" s="18"/>
      <c r="G112" s="12"/>
      <c r="H112" s="12"/>
      <c r="I112" s="14"/>
      <c r="J112" s="12"/>
      <c r="K112" s="12"/>
      <c r="L112" s="13"/>
      <c r="M112" s="13"/>
    </row>
    <row r="113" spans="1:13">
      <c r="A113" s="12"/>
      <c r="B113" s="12"/>
      <c r="C113" s="12"/>
      <c r="D113" s="17"/>
      <c r="E113" s="12"/>
      <c r="F113" s="18"/>
      <c r="G113" s="12"/>
      <c r="H113" s="12"/>
      <c r="I113" s="14"/>
      <c r="J113" s="12"/>
      <c r="K113" s="12"/>
      <c r="L113" s="13"/>
      <c r="M113" s="13"/>
    </row>
    <row r="114" spans="1:13">
      <c r="A114" s="12"/>
      <c r="B114" s="12"/>
      <c r="C114" s="12"/>
      <c r="D114" s="17"/>
      <c r="E114" s="12"/>
      <c r="F114" s="18"/>
      <c r="G114" s="12"/>
      <c r="H114" s="12"/>
      <c r="I114" s="14"/>
      <c r="J114" s="12"/>
      <c r="K114" s="12"/>
      <c r="L114" s="13"/>
      <c r="M114" s="13"/>
    </row>
    <row r="115" spans="1:13">
      <c r="A115" s="12"/>
      <c r="B115" s="12"/>
      <c r="C115" s="12"/>
      <c r="D115" s="17"/>
      <c r="E115" s="12"/>
      <c r="F115" s="18"/>
      <c r="G115" s="12"/>
      <c r="H115" s="12"/>
      <c r="I115" s="14"/>
      <c r="J115" s="12"/>
      <c r="K115" s="12"/>
      <c r="L115" s="13"/>
      <c r="M115" s="13"/>
    </row>
    <row r="116" spans="1:13">
      <c r="A116" s="12"/>
      <c r="B116" s="12"/>
      <c r="C116" s="12"/>
      <c r="D116" s="17"/>
      <c r="E116" s="12"/>
      <c r="F116" s="18"/>
      <c r="G116" s="12"/>
      <c r="H116" s="12"/>
      <c r="I116" s="14"/>
      <c r="J116" s="12"/>
      <c r="K116" s="12"/>
      <c r="L116" s="13"/>
      <c r="M116" s="13"/>
    </row>
    <row r="117" spans="1:13">
      <c r="A117" s="12"/>
      <c r="B117" s="12"/>
      <c r="C117" s="12"/>
      <c r="D117" s="17"/>
      <c r="E117" s="12"/>
      <c r="F117" s="18"/>
      <c r="G117" s="12"/>
      <c r="H117" s="12"/>
      <c r="I117" s="14"/>
      <c r="J117" s="12"/>
      <c r="K117" s="12"/>
      <c r="L117" s="13"/>
      <c r="M117" s="13"/>
    </row>
    <row r="118" spans="1:13">
      <c r="A118" s="12"/>
      <c r="B118" s="12"/>
      <c r="C118" s="12"/>
      <c r="D118" s="17"/>
      <c r="E118" s="12"/>
      <c r="F118" s="18"/>
      <c r="G118" s="12"/>
      <c r="H118" s="12"/>
      <c r="I118" s="14"/>
      <c r="J118" s="12"/>
      <c r="K118" s="12"/>
      <c r="L118" s="13"/>
      <c r="M118" s="13"/>
    </row>
    <row r="119" spans="1:13">
      <c r="A119" s="12"/>
      <c r="B119" s="12"/>
      <c r="C119" s="12"/>
      <c r="D119" s="17"/>
      <c r="E119" s="12"/>
      <c r="F119" s="18"/>
      <c r="G119" s="12"/>
      <c r="H119" s="12"/>
      <c r="I119" s="14"/>
      <c r="J119" s="12"/>
      <c r="K119" s="12"/>
      <c r="L119" s="13"/>
      <c r="M119" s="13"/>
    </row>
    <row r="120" spans="1:13">
      <c r="A120" s="12"/>
      <c r="B120" s="12"/>
      <c r="C120" s="12"/>
      <c r="D120" s="17"/>
      <c r="E120" s="12"/>
      <c r="F120" s="18"/>
      <c r="G120" s="12"/>
      <c r="H120" s="12"/>
      <c r="I120" s="14"/>
      <c r="J120" s="12"/>
      <c r="K120" s="12"/>
      <c r="L120" s="13"/>
      <c r="M120" s="13"/>
    </row>
    <row r="121" spans="1:13">
      <c r="A121" s="12"/>
      <c r="B121" s="12"/>
      <c r="C121" s="12"/>
      <c r="D121" s="17"/>
      <c r="E121" s="12"/>
      <c r="F121" s="18"/>
      <c r="G121" s="12"/>
      <c r="H121" s="12"/>
      <c r="I121" s="14"/>
      <c r="J121" s="12"/>
      <c r="K121" s="12"/>
      <c r="L121" s="13"/>
      <c r="M121" s="13"/>
    </row>
    <row r="122" spans="1:13">
      <c r="A122" s="12"/>
      <c r="B122" s="12"/>
      <c r="C122" s="12"/>
      <c r="D122" s="17"/>
      <c r="E122" s="12"/>
      <c r="F122" s="18"/>
      <c r="G122" s="12"/>
      <c r="H122" s="12"/>
      <c r="I122" s="14"/>
      <c r="J122" s="12"/>
      <c r="K122" s="12"/>
      <c r="L122" s="13"/>
      <c r="M122" s="13"/>
    </row>
    <row r="123" spans="1:13">
      <c r="A123" s="12"/>
      <c r="B123" s="12"/>
      <c r="C123" s="12"/>
      <c r="D123" s="17"/>
      <c r="E123" s="12"/>
      <c r="F123" s="18"/>
      <c r="G123" s="12"/>
      <c r="H123" s="12"/>
      <c r="I123" s="14"/>
      <c r="J123" s="12"/>
      <c r="K123" s="12"/>
      <c r="L123" s="13"/>
      <c r="M123" s="13"/>
    </row>
    <row r="124" spans="1:13">
      <c r="A124" s="12"/>
      <c r="B124" s="12"/>
      <c r="C124" s="12"/>
      <c r="D124" s="17"/>
      <c r="E124" s="12"/>
      <c r="F124" s="18"/>
      <c r="G124" s="12"/>
      <c r="H124" s="12"/>
      <c r="I124" s="14"/>
      <c r="J124" s="12"/>
      <c r="K124" s="12"/>
      <c r="L124" s="13"/>
      <c r="M124" s="13"/>
    </row>
    <row r="125" spans="1:13">
      <c r="A125" s="12"/>
      <c r="B125" s="12"/>
      <c r="C125" s="12"/>
      <c r="D125" s="17"/>
      <c r="E125" s="12"/>
      <c r="F125" s="18"/>
      <c r="G125" s="12"/>
      <c r="H125" s="12"/>
      <c r="I125" s="14"/>
      <c r="J125" s="12"/>
      <c r="K125" s="12"/>
      <c r="L125" s="13"/>
      <c r="M125" s="13"/>
    </row>
    <row r="126" spans="1:13">
      <c r="A126" s="12"/>
      <c r="B126" s="12"/>
      <c r="C126" s="12"/>
      <c r="D126" s="17"/>
      <c r="E126" s="12"/>
      <c r="F126" s="18"/>
      <c r="G126" s="12"/>
      <c r="H126" s="12"/>
      <c r="I126" s="14"/>
      <c r="J126" s="12"/>
      <c r="K126" s="12"/>
      <c r="L126" s="13"/>
      <c r="M126" s="13"/>
    </row>
    <row r="127" spans="1:13">
      <c r="A127" s="12"/>
      <c r="B127" s="12"/>
      <c r="C127" s="12"/>
      <c r="D127" s="17"/>
      <c r="E127" s="12"/>
      <c r="F127" s="18"/>
      <c r="G127" s="12"/>
      <c r="H127" s="12"/>
      <c r="I127" s="14"/>
      <c r="J127" s="12"/>
      <c r="K127" s="12"/>
      <c r="L127" s="13"/>
      <c r="M127" s="13"/>
    </row>
    <row r="128" spans="1:13">
      <c r="A128" s="12"/>
      <c r="B128" s="12"/>
      <c r="C128" s="12"/>
      <c r="D128" s="17"/>
      <c r="E128" s="12"/>
      <c r="F128" s="18"/>
      <c r="G128" s="12"/>
      <c r="H128" s="12"/>
      <c r="I128" s="14"/>
      <c r="J128" s="12"/>
      <c r="K128" s="12"/>
      <c r="L128" s="13"/>
      <c r="M128" s="13"/>
    </row>
    <row r="129" spans="1:13">
      <c r="A129" s="12"/>
      <c r="B129" s="12"/>
      <c r="C129" s="12"/>
      <c r="D129" s="17"/>
      <c r="E129" s="12"/>
      <c r="F129" s="18"/>
      <c r="G129" s="12"/>
      <c r="H129" s="12"/>
      <c r="I129" s="14"/>
      <c r="J129" s="12"/>
      <c r="K129" s="12"/>
      <c r="L129" s="13"/>
      <c r="M129" s="13"/>
    </row>
    <row r="130" spans="1:13">
      <c r="A130" s="12"/>
      <c r="B130" s="12"/>
      <c r="C130" s="12"/>
      <c r="D130" s="17"/>
      <c r="E130" s="12"/>
      <c r="F130" s="18"/>
      <c r="G130" s="12"/>
      <c r="H130" s="12"/>
      <c r="I130" s="14"/>
      <c r="J130" s="12"/>
      <c r="K130" s="12"/>
      <c r="L130" s="13"/>
      <c r="M130" s="13"/>
    </row>
    <row r="131" spans="1:13">
      <c r="A131" s="12"/>
      <c r="B131" s="12"/>
      <c r="C131" s="12"/>
      <c r="D131" s="17"/>
      <c r="E131" s="12"/>
      <c r="F131" s="18"/>
      <c r="G131" s="12"/>
      <c r="H131" s="12"/>
      <c r="I131" s="14"/>
      <c r="J131" s="12"/>
      <c r="K131" s="12"/>
      <c r="L131" s="13"/>
      <c r="M131" s="13"/>
    </row>
    <row r="132" spans="1:13">
      <c r="A132" s="12"/>
      <c r="B132" s="12"/>
      <c r="C132" s="12"/>
      <c r="D132" s="17"/>
      <c r="E132" s="12"/>
      <c r="F132" s="18"/>
      <c r="G132" s="12"/>
      <c r="H132" s="12"/>
      <c r="I132" s="14"/>
      <c r="J132" s="12"/>
      <c r="K132" s="12"/>
      <c r="L132" s="13"/>
      <c r="M132" s="13"/>
    </row>
    <row r="133" spans="1:13">
      <c r="A133" s="12"/>
      <c r="B133" s="12"/>
      <c r="C133" s="12"/>
      <c r="D133" s="17"/>
      <c r="E133" s="12"/>
      <c r="F133" s="18"/>
      <c r="G133" s="12"/>
      <c r="H133" s="12"/>
      <c r="I133" s="14"/>
      <c r="J133" s="12"/>
      <c r="K133" s="12"/>
      <c r="L133" s="13"/>
      <c r="M133" s="13"/>
    </row>
    <row r="134" spans="1:13">
      <c r="A134" s="12"/>
      <c r="B134" s="12"/>
      <c r="C134" s="12"/>
      <c r="D134" s="17"/>
      <c r="E134" s="12"/>
      <c r="F134" s="18"/>
      <c r="G134" s="12"/>
      <c r="H134" s="12"/>
      <c r="I134" s="14"/>
      <c r="J134" s="12"/>
      <c r="K134" s="12"/>
      <c r="L134" s="13"/>
      <c r="M134" s="13"/>
    </row>
    <row r="135" spans="1:13">
      <c r="A135" s="12"/>
      <c r="B135" s="12"/>
      <c r="C135" s="12"/>
      <c r="D135" s="17"/>
      <c r="E135" s="12"/>
      <c r="F135" s="18"/>
      <c r="G135" s="12"/>
      <c r="H135" s="12"/>
      <c r="I135" s="14"/>
      <c r="J135" s="12"/>
      <c r="K135" s="12"/>
      <c r="L135" s="13"/>
      <c r="M135" s="13"/>
    </row>
    <row r="136" spans="1:13">
      <c r="A136" s="12"/>
      <c r="B136" s="12"/>
      <c r="C136" s="12"/>
      <c r="D136" s="17"/>
      <c r="E136" s="12"/>
      <c r="F136" s="18"/>
      <c r="G136" s="12"/>
      <c r="H136" s="12"/>
      <c r="I136" s="14"/>
      <c r="J136" s="12"/>
      <c r="K136" s="12"/>
      <c r="L136" s="13"/>
      <c r="M136" s="13"/>
    </row>
    <row r="137" spans="1:13">
      <c r="A137" s="12"/>
      <c r="B137" s="12"/>
      <c r="C137" s="12"/>
      <c r="D137" s="17"/>
      <c r="E137" s="12"/>
      <c r="F137" s="18"/>
      <c r="G137" s="12"/>
      <c r="H137" s="12"/>
      <c r="I137" s="14"/>
      <c r="J137" s="12"/>
      <c r="K137" s="12"/>
      <c r="L137" s="13"/>
      <c r="M137" s="13"/>
    </row>
    <row r="138" spans="1:13">
      <c r="A138" s="12"/>
      <c r="B138" s="12"/>
      <c r="C138" s="12"/>
      <c r="D138" s="17"/>
      <c r="E138" s="12"/>
      <c r="F138" s="18"/>
      <c r="G138" s="12"/>
      <c r="H138" s="12"/>
      <c r="I138" s="14"/>
      <c r="J138" s="12"/>
      <c r="K138" s="12"/>
      <c r="L138" s="13"/>
      <c r="M138" s="13"/>
    </row>
    <row r="139" spans="1:13">
      <c r="A139" s="12"/>
      <c r="B139" s="12"/>
      <c r="C139" s="12"/>
      <c r="D139" s="17"/>
      <c r="E139" s="12"/>
      <c r="F139" s="18"/>
      <c r="G139" s="12"/>
      <c r="H139" s="12"/>
      <c r="I139" s="14"/>
      <c r="J139" s="12"/>
      <c r="K139" s="12"/>
      <c r="L139" s="13"/>
      <c r="M139" s="13"/>
    </row>
    <row r="140" spans="1:13">
      <c r="A140" s="12"/>
      <c r="B140" s="12"/>
      <c r="C140" s="12"/>
      <c r="D140" s="17"/>
      <c r="E140" s="12"/>
      <c r="F140" s="18"/>
      <c r="G140" s="12"/>
      <c r="H140" s="12"/>
      <c r="I140" s="14"/>
      <c r="J140" s="12"/>
      <c r="K140" s="12"/>
      <c r="L140" s="13"/>
      <c r="M140" s="13"/>
    </row>
    <row r="141" spans="1:13">
      <c r="A141" s="12"/>
      <c r="B141" s="12"/>
      <c r="C141" s="12"/>
      <c r="D141" s="17"/>
      <c r="E141" s="12"/>
      <c r="F141" s="18"/>
      <c r="G141" s="12"/>
      <c r="H141" s="12"/>
      <c r="I141" s="14"/>
      <c r="J141" s="12"/>
      <c r="K141" s="12"/>
      <c r="L141" s="13"/>
      <c r="M141" s="13"/>
    </row>
    <row r="142" spans="1:13">
      <c r="A142" s="12"/>
      <c r="B142" s="12"/>
      <c r="C142" s="12"/>
      <c r="D142" s="17"/>
      <c r="E142" s="12"/>
      <c r="F142" s="18"/>
      <c r="G142" s="12"/>
      <c r="H142" s="12"/>
      <c r="I142" s="14"/>
      <c r="J142" s="12"/>
      <c r="K142" s="12"/>
      <c r="L142" s="13"/>
      <c r="M142" s="13"/>
    </row>
    <row r="143" spans="1:13">
      <c r="A143" s="12"/>
      <c r="B143" s="12"/>
      <c r="C143" s="12"/>
      <c r="D143" s="17"/>
      <c r="E143" s="12"/>
      <c r="F143" s="18"/>
      <c r="G143" s="12"/>
      <c r="H143" s="12"/>
      <c r="I143" s="14"/>
      <c r="J143" s="12"/>
      <c r="K143" s="12"/>
      <c r="L143" s="13"/>
      <c r="M143" s="13"/>
    </row>
    <row r="144" spans="1:13">
      <c r="A144" s="12"/>
      <c r="B144" s="12"/>
      <c r="C144" s="12"/>
      <c r="D144" s="17"/>
      <c r="E144" s="12"/>
      <c r="F144" s="18"/>
      <c r="G144" s="12"/>
      <c r="H144" s="12"/>
      <c r="I144" s="14"/>
      <c r="J144" s="12"/>
      <c r="K144" s="12"/>
      <c r="L144" s="13"/>
      <c r="M144" s="13"/>
    </row>
    <row r="145" spans="1:13">
      <c r="A145" s="12"/>
      <c r="B145" s="12"/>
      <c r="C145" s="12"/>
      <c r="D145" s="17"/>
      <c r="E145" s="12"/>
      <c r="F145" s="18"/>
      <c r="G145" s="12"/>
      <c r="H145" s="12"/>
      <c r="I145" s="14"/>
      <c r="J145" s="12"/>
      <c r="K145" s="12"/>
      <c r="L145" s="13"/>
      <c r="M145" s="13"/>
    </row>
    <row r="146" spans="1:13">
      <c r="A146" s="12"/>
      <c r="B146" s="12"/>
      <c r="C146" s="12"/>
      <c r="D146" s="17"/>
      <c r="E146" s="12"/>
      <c r="F146" s="18"/>
      <c r="G146" s="12"/>
      <c r="H146" s="12"/>
      <c r="I146" s="14"/>
      <c r="J146" s="12"/>
      <c r="K146" s="12"/>
      <c r="L146" s="13"/>
      <c r="M146" s="13"/>
    </row>
    <row r="147" spans="1:13">
      <c r="A147" s="12"/>
      <c r="B147" s="12"/>
      <c r="C147" s="12"/>
      <c r="D147" s="17"/>
      <c r="E147" s="12"/>
      <c r="F147" s="18"/>
      <c r="G147" s="12"/>
      <c r="H147" s="12"/>
      <c r="I147" s="14"/>
      <c r="J147" s="12"/>
      <c r="K147" s="12"/>
      <c r="L147" s="13"/>
      <c r="M147" s="13"/>
    </row>
    <row r="148" spans="1:13">
      <c r="A148" s="12"/>
      <c r="B148" s="12"/>
      <c r="C148" s="12"/>
      <c r="D148" s="17"/>
      <c r="E148" s="12"/>
      <c r="F148" s="18"/>
      <c r="G148" s="12"/>
      <c r="H148" s="12"/>
      <c r="I148" s="14"/>
      <c r="J148" s="12"/>
      <c r="K148" s="12"/>
      <c r="L148" s="13"/>
      <c r="M148" s="13"/>
    </row>
    <row r="149" spans="1:13">
      <c r="A149" s="12"/>
      <c r="B149" s="12"/>
      <c r="C149" s="12"/>
      <c r="D149" s="17"/>
      <c r="E149" s="12"/>
      <c r="F149" s="18"/>
      <c r="G149" s="12"/>
      <c r="H149" s="12"/>
      <c r="I149" s="14"/>
      <c r="J149" s="12"/>
      <c r="K149" s="12"/>
      <c r="L149" s="13"/>
      <c r="M149" s="13"/>
    </row>
    <row r="150" spans="1:13">
      <c r="A150" s="12"/>
      <c r="B150" s="12"/>
      <c r="C150" s="12"/>
      <c r="D150" s="17"/>
      <c r="E150" s="12"/>
      <c r="F150" s="18"/>
      <c r="G150" s="12"/>
      <c r="H150" s="12"/>
      <c r="I150" s="14"/>
      <c r="J150" s="12"/>
      <c r="K150" s="12"/>
      <c r="L150" s="13"/>
      <c r="M150" s="13"/>
    </row>
    <row r="151" spans="1:13">
      <c r="A151" s="12"/>
      <c r="B151" s="12"/>
      <c r="C151" s="12"/>
      <c r="D151" s="17"/>
      <c r="E151" s="12"/>
      <c r="F151" s="18"/>
      <c r="G151" s="12"/>
      <c r="H151" s="12"/>
      <c r="I151" s="14"/>
      <c r="J151" s="12"/>
      <c r="K151" s="12"/>
      <c r="L151" s="13"/>
      <c r="M151" s="13"/>
    </row>
    <row r="152" spans="1:13">
      <c r="A152" s="12"/>
      <c r="B152" s="12"/>
      <c r="C152" s="12"/>
      <c r="D152" s="17"/>
      <c r="E152" s="12"/>
      <c r="F152" s="18"/>
      <c r="G152" s="12"/>
      <c r="H152" s="12"/>
      <c r="I152" s="14"/>
      <c r="J152" s="12"/>
      <c r="K152" s="12"/>
      <c r="L152" s="13"/>
      <c r="M152" s="13"/>
    </row>
    <row r="153" spans="1:13">
      <c r="A153" s="12"/>
      <c r="B153" s="12"/>
      <c r="C153" s="12"/>
      <c r="D153" s="17"/>
      <c r="E153" s="12"/>
      <c r="F153" s="18"/>
      <c r="G153" s="12"/>
      <c r="H153" s="12"/>
      <c r="I153" s="14"/>
      <c r="J153" s="12"/>
      <c r="K153" s="12"/>
      <c r="L153" s="13"/>
      <c r="M153" s="13"/>
    </row>
    <row r="154" spans="1:13">
      <c r="A154" s="12"/>
      <c r="B154" s="12"/>
      <c r="C154" s="12"/>
      <c r="D154" s="17"/>
      <c r="E154" s="12"/>
      <c r="F154" s="18"/>
      <c r="G154" s="12"/>
      <c r="H154" s="12"/>
      <c r="I154" s="14"/>
      <c r="J154" s="12"/>
      <c r="K154" s="12"/>
      <c r="L154" s="13"/>
      <c r="M154" s="13"/>
    </row>
    <row r="155" spans="1:13">
      <c r="A155" s="12"/>
      <c r="B155" s="12"/>
      <c r="C155" s="12"/>
      <c r="D155" s="17"/>
      <c r="E155" s="12"/>
      <c r="F155" s="18"/>
      <c r="G155" s="12"/>
      <c r="H155" s="12"/>
      <c r="I155" s="14"/>
      <c r="J155" s="12"/>
      <c r="K155" s="12"/>
      <c r="L155" s="13"/>
      <c r="M155" s="13"/>
    </row>
    <row r="156" spans="1:13">
      <c r="A156" s="12"/>
      <c r="B156" s="12"/>
      <c r="C156" s="12"/>
      <c r="D156" s="17"/>
      <c r="E156" s="12"/>
      <c r="F156" s="18"/>
      <c r="G156" s="12"/>
      <c r="H156" s="12"/>
      <c r="I156" s="14"/>
      <c r="J156" s="12"/>
      <c r="K156" s="12"/>
      <c r="L156" s="13"/>
      <c r="M156" s="13"/>
    </row>
    <row r="157" spans="1:13">
      <c r="A157" s="12"/>
      <c r="B157" s="12"/>
      <c r="C157" s="12"/>
      <c r="D157" s="17"/>
      <c r="E157" s="12"/>
      <c r="F157" s="18"/>
      <c r="G157" s="12"/>
      <c r="H157" s="12"/>
      <c r="I157" s="14"/>
      <c r="J157" s="12"/>
      <c r="K157" s="12"/>
      <c r="L157" s="13"/>
      <c r="M157" s="13"/>
    </row>
    <row r="158" spans="1:13">
      <c r="A158" s="12"/>
      <c r="B158" s="12"/>
      <c r="C158" s="12"/>
      <c r="D158" s="17"/>
      <c r="E158" s="12"/>
      <c r="F158" s="18"/>
      <c r="G158" s="12"/>
      <c r="H158" s="12"/>
      <c r="I158" s="14"/>
      <c r="J158" s="12"/>
      <c r="K158" s="12"/>
      <c r="L158" s="13"/>
      <c r="M158" s="13"/>
    </row>
    <row r="159" spans="1:13">
      <c r="A159" s="12"/>
      <c r="B159" s="12"/>
      <c r="C159" s="12"/>
      <c r="D159" s="17"/>
      <c r="E159" s="12"/>
      <c r="F159" s="18"/>
      <c r="G159" s="12"/>
      <c r="H159" s="12"/>
      <c r="I159" s="14"/>
      <c r="J159" s="12"/>
      <c r="K159" s="12"/>
      <c r="L159" s="13"/>
      <c r="M159" s="13"/>
    </row>
    <row r="160" spans="1:13">
      <c r="A160" s="12"/>
      <c r="B160" s="12"/>
      <c r="C160" s="12"/>
      <c r="D160" s="17"/>
      <c r="E160" s="12"/>
      <c r="F160" s="18"/>
      <c r="G160" s="12"/>
      <c r="H160" s="12"/>
      <c r="I160" s="14"/>
      <c r="J160" s="12"/>
      <c r="K160" s="12"/>
      <c r="L160" s="13"/>
      <c r="M160" s="13"/>
    </row>
    <row r="161" spans="1:13">
      <c r="A161" s="12"/>
      <c r="B161" s="12"/>
      <c r="C161" s="12"/>
      <c r="D161" s="17"/>
      <c r="E161" s="12"/>
      <c r="F161" s="18"/>
      <c r="G161" s="12"/>
      <c r="H161" s="12"/>
      <c r="I161" s="14"/>
      <c r="J161" s="12"/>
      <c r="K161" s="12"/>
      <c r="L161" s="13"/>
      <c r="M161" s="13"/>
    </row>
    <row r="162" spans="1:13">
      <c r="A162" s="12"/>
      <c r="B162" s="12"/>
      <c r="C162" s="12"/>
      <c r="D162" s="17"/>
      <c r="E162" s="12"/>
      <c r="F162" s="18"/>
      <c r="G162" s="12"/>
      <c r="H162" s="12"/>
      <c r="I162" s="14"/>
      <c r="J162" s="12"/>
      <c r="K162" s="12"/>
      <c r="L162" s="13"/>
      <c r="M162" s="13"/>
    </row>
    <row r="163" spans="1:13">
      <c r="A163" s="12"/>
      <c r="B163" s="12"/>
      <c r="C163" s="12"/>
      <c r="D163" s="17"/>
      <c r="E163" s="12"/>
      <c r="F163" s="18"/>
      <c r="G163" s="12"/>
      <c r="H163" s="12"/>
      <c r="I163" s="14"/>
      <c r="J163" s="12"/>
      <c r="K163" s="12"/>
      <c r="L163" s="13"/>
      <c r="M163" s="13"/>
    </row>
    <row r="164" spans="1:13">
      <c r="A164" s="12"/>
      <c r="B164" s="12"/>
      <c r="C164" s="12"/>
      <c r="D164" s="17"/>
      <c r="E164" s="12"/>
      <c r="F164" s="18"/>
      <c r="G164" s="12"/>
      <c r="H164" s="12"/>
      <c r="I164" s="14"/>
      <c r="J164" s="12"/>
      <c r="K164" s="12"/>
      <c r="L164" s="13"/>
      <c r="M164" s="13"/>
    </row>
    <row r="165" spans="1:13">
      <c r="A165" s="12"/>
      <c r="B165" s="12"/>
      <c r="C165" s="12"/>
      <c r="D165" s="17"/>
      <c r="E165" s="12"/>
      <c r="F165" s="18"/>
      <c r="G165" s="12"/>
      <c r="H165" s="12"/>
      <c r="I165" s="14"/>
      <c r="J165" s="12"/>
      <c r="K165" s="12"/>
      <c r="L165" s="13"/>
      <c r="M165" s="13"/>
    </row>
    <row r="166" spans="1:13">
      <c r="A166" s="12"/>
      <c r="B166" s="12"/>
      <c r="C166" s="12"/>
      <c r="D166" s="17"/>
      <c r="E166" s="12"/>
      <c r="F166" s="18"/>
      <c r="G166" s="12"/>
      <c r="H166" s="12"/>
      <c r="I166" s="14"/>
      <c r="J166" s="12"/>
      <c r="K166" s="12"/>
      <c r="L166" s="13"/>
      <c r="M166" s="13"/>
    </row>
    <row r="167" spans="1:13">
      <c r="A167" s="12"/>
      <c r="B167" s="12"/>
      <c r="C167" s="12"/>
      <c r="D167" s="17"/>
      <c r="E167" s="12"/>
      <c r="F167" s="18"/>
      <c r="G167" s="12"/>
      <c r="H167" s="12"/>
      <c r="I167" s="14"/>
      <c r="J167" s="12"/>
      <c r="K167" s="12"/>
      <c r="L167" s="13"/>
      <c r="M167" s="13"/>
    </row>
    <row r="168" spans="1:13">
      <c r="A168" s="12"/>
      <c r="B168" s="12"/>
      <c r="C168" s="12"/>
      <c r="D168" s="17"/>
      <c r="E168" s="12"/>
      <c r="F168" s="18"/>
      <c r="G168" s="12"/>
      <c r="H168" s="12"/>
      <c r="I168" s="14"/>
      <c r="J168" s="12"/>
      <c r="K168" s="12"/>
      <c r="L168" s="13"/>
      <c r="M168" s="13"/>
    </row>
    <row r="169" spans="1:13">
      <c r="A169" s="12"/>
      <c r="B169" s="12"/>
      <c r="C169" s="12"/>
      <c r="D169" s="17"/>
      <c r="E169" s="12"/>
      <c r="F169" s="18"/>
      <c r="G169" s="12"/>
      <c r="H169" s="12"/>
      <c r="I169" s="14"/>
      <c r="J169" s="12"/>
      <c r="K169" s="12"/>
      <c r="L169" s="13"/>
      <c r="M169" s="13"/>
    </row>
    <row r="170" spans="1:13">
      <c r="A170" s="12"/>
      <c r="B170" s="12"/>
      <c r="C170" s="12"/>
      <c r="D170" s="17"/>
      <c r="E170" s="12"/>
      <c r="F170" s="18"/>
      <c r="G170" s="12"/>
      <c r="H170" s="12"/>
      <c r="I170" s="14"/>
      <c r="J170" s="12"/>
      <c r="K170" s="12"/>
      <c r="L170" s="13"/>
      <c r="M170" s="13"/>
    </row>
    <row r="171" spans="1:13">
      <c r="A171" s="12"/>
      <c r="B171" s="12"/>
      <c r="C171" s="12"/>
      <c r="D171" s="17"/>
      <c r="E171" s="12"/>
      <c r="F171" s="18"/>
      <c r="G171" s="12"/>
      <c r="H171" s="12"/>
      <c r="I171" s="14"/>
      <c r="J171" s="12"/>
      <c r="K171" s="12"/>
      <c r="L171" s="13"/>
      <c r="M171" s="13"/>
    </row>
    <row r="172" spans="1:13">
      <c r="A172" s="12"/>
      <c r="B172" s="12"/>
      <c r="C172" s="12"/>
      <c r="D172" s="17"/>
      <c r="E172" s="12"/>
      <c r="F172" s="18"/>
      <c r="G172" s="12"/>
      <c r="H172" s="12"/>
      <c r="I172" s="14"/>
      <c r="J172" s="12"/>
      <c r="K172" s="12"/>
      <c r="L172" s="13"/>
      <c r="M172" s="13"/>
    </row>
    <row r="173" spans="1:13">
      <c r="A173" s="12"/>
      <c r="B173" s="12"/>
      <c r="C173" s="12"/>
      <c r="D173" s="17"/>
      <c r="E173" s="12"/>
      <c r="F173" s="18"/>
      <c r="G173" s="12"/>
      <c r="H173" s="12"/>
      <c r="I173" s="14"/>
      <c r="J173" s="12"/>
      <c r="K173" s="12"/>
      <c r="L173" s="13"/>
      <c r="M173" s="13"/>
    </row>
    <row r="174" spans="1:13">
      <c r="A174" s="12"/>
      <c r="B174" s="12"/>
      <c r="C174" s="12"/>
      <c r="D174" s="17"/>
      <c r="E174" s="12"/>
      <c r="F174" s="18"/>
      <c r="G174" s="12"/>
      <c r="H174" s="12"/>
      <c r="I174" s="14"/>
      <c r="J174" s="12"/>
      <c r="K174" s="12"/>
      <c r="L174" s="13"/>
      <c r="M174" s="13"/>
    </row>
    <row r="175" spans="1:13">
      <c r="A175" s="12"/>
      <c r="B175" s="12"/>
      <c r="C175" s="12"/>
      <c r="D175" s="17"/>
      <c r="E175" s="12"/>
      <c r="F175" s="18"/>
      <c r="G175" s="12"/>
      <c r="H175" s="12"/>
      <c r="I175" s="14"/>
      <c r="J175" s="12"/>
      <c r="K175" s="12"/>
      <c r="L175" s="13"/>
      <c r="M175" s="13"/>
    </row>
    <row r="176" spans="1:13">
      <c r="A176" s="12"/>
      <c r="B176" s="12"/>
      <c r="C176" s="12"/>
      <c r="D176" s="17"/>
      <c r="E176" s="12"/>
      <c r="F176" s="18"/>
      <c r="G176" s="12"/>
      <c r="H176" s="12"/>
      <c r="I176" s="14"/>
      <c r="J176" s="12"/>
      <c r="K176" s="12"/>
      <c r="L176" s="13"/>
      <c r="M176" s="13"/>
    </row>
    <row r="177" spans="1:13">
      <c r="A177" s="12"/>
      <c r="B177" s="12"/>
      <c r="C177" s="12"/>
      <c r="D177" s="17"/>
      <c r="E177" s="12"/>
      <c r="F177" s="18"/>
      <c r="G177" s="12"/>
      <c r="H177" s="12"/>
      <c r="I177" s="14"/>
      <c r="J177" s="12"/>
      <c r="K177" s="12"/>
      <c r="L177" s="13"/>
      <c r="M177" s="13"/>
    </row>
    <row r="178" spans="1:13">
      <c r="A178" s="12"/>
      <c r="B178" s="12"/>
      <c r="C178" s="12"/>
      <c r="D178" s="17"/>
      <c r="E178" s="12"/>
      <c r="F178" s="18"/>
      <c r="G178" s="12"/>
      <c r="H178" s="12"/>
      <c r="I178" s="14"/>
      <c r="J178" s="12"/>
      <c r="K178" s="12"/>
      <c r="L178" s="13"/>
      <c r="M178" s="13"/>
    </row>
    <row r="179" spans="1:13">
      <c r="A179" s="12"/>
      <c r="B179" s="12"/>
      <c r="C179" s="12"/>
      <c r="D179" s="17"/>
      <c r="E179" s="12"/>
      <c r="F179" s="18"/>
      <c r="G179" s="12"/>
      <c r="H179" s="12"/>
      <c r="I179" s="14"/>
      <c r="J179" s="12"/>
      <c r="K179" s="12"/>
      <c r="L179" s="13"/>
      <c r="M179" s="13"/>
    </row>
    <row r="180" spans="1:13">
      <c r="A180" s="12"/>
      <c r="B180" s="12"/>
      <c r="C180" s="12"/>
      <c r="D180" s="17"/>
      <c r="E180" s="12"/>
      <c r="F180" s="18"/>
      <c r="G180" s="12"/>
      <c r="H180" s="12"/>
      <c r="I180" s="14"/>
      <c r="J180" s="12"/>
      <c r="K180" s="12"/>
      <c r="L180" s="13"/>
      <c r="M180" s="13"/>
    </row>
    <row r="181" spans="1:13">
      <c r="A181" s="12"/>
      <c r="B181" s="12"/>
      <c r="C181" s="12"/>
      <c r="D181" s="17"/>
      <c r="E181" s="12"/>
      <c r="F181" s="18"/>
      <c r="G181" s="12"/>
      <c r="H181" s="12"/>
      <c r="I181" s="14"/>
      <c r="J181" s="12"/>
      <c r="K181" s="12"/>
      <c r="L181" s="13"/>
      <c r="M181" s="13"/>
    </row>
    <row r="182" spans="1:13">
      <c r="A182" s="12"/>
      <c r="B182" s="12"/>
      <c r="C182" s="12"/>
      <c r="D182" s="17"/>
      <c r="E182" s="12"/>
      <c r="F182" s="18"/>
      <c r="G182" s="12"/>
      <c r="H182" s="12"/>
      <c r="I182" s="14"/>
      <c r="J182" s="12"/>
      <c r="K182" s="12"/>
      <c r="L182" s="13"/>
      <c r="M182" s="13"/>
    </row>
    <row r="183" spans="1:13">
      <c r="A183" s="12"/>
      <c r="B183" s="12"/>
      <c r="C183" s="12"/>
      <c r="D183" s="17"/>
      <c r="E183" s="12"/>
      <c r="F183" s="18"/>
      <c r="G183" s="12"/>
      <c r="H183" s="12"/>
      <c r="I183" s="14"/>
      <c r="J183" s="12"/>
      <c r="K183" s="12"/>
      <c r="L183" s="13"/>
      <c r="M183" s="13"/>
    </row>
    <row r="184" spans="1:13">
      <c r="A184" s="12"/>
      <c r="B184" s="12"/>
      <c r="C184" s="12"/>
      <c r="D184" s="17"/>
      <c r="E184" s="12"/>
      <c r="F184" s="18"/>
      <c r="G184" s="12"/>
      <c r="H184" s="12"/>
      <c r="I184" s="14"/>
      <c r="J184" s="12"/>
      <c r="K184" s="12"/>
      <c r="L184" s="13"/>
      <c r="M184" s="13"/>
    </row>
    <row r="185" spans="1:13">
      <c r="A185" s="12"/>
      <c r="B185" s="12"/>
      <c r="C185" s="12"/>
      <c r="D185" s="17"/>
      <c r="E185" s="12"/>
      <c r="F185" s="18"/>
      <c r="G185" s="12"/>
      <c r="H185" s="12"/>
      <c r="I185" s="14"/>
      <c r="J185" s="12"/>
      <c r="K185" s="12"/>
      <c r="L185" s="13"/>
      <c r="M185" s="13"/>
    </row>
    <row r="186" spans="1:13">
      <c r="A186" s="12"/>
      <c r="B186" s="12"/>
      <c r="C186" s="12"/>
      <c r="D186" s="17"/>
      <c r="E186" s="12"/>
      <c r="F186" s="18"/>
      <c r="G186" s="12"/>
      <c r="H186" s="12"/>
      <c r="I186" s="14"/>
      <c r="J186" s="12"/>
      <c r="K186" s="12"/>
      <c r="L186" s="13"/>
      <c r="M186" s="13"/>
    </row>
    <row r="187" spans="1:13">
      <c r="A187" s="12"/>
      <c r="B187" s="12"/>
      <c r="C187" s="12"/>
      <c r="D187" s="17"/>
      <c r="E187" s="12"/>
      <c r="F187" s="18"/>
      <c r="G187" s="12"/>
      <c r="H187" s="12"/>
      <c r="I187" s="14"/>
      <c r="J187" s="12"/>
      <c r="K187" s="12"/>
      <c r="L187" s="13"/>
      <c r="M187" s="13"/>
    </row>
    <row r="188" spans="1:13">
      <c r="A188" s="12"/>
      <c r="B188" s="12"/>
      <c r="C188" s="12"/>
      <c r="D188" s="17"/>
      <c r="E188" s="12"/>
      <c r="F188" s="18"/>
      <c r="G188" s="12"/>
      <c r="H188" s="12"/>
      <c r="I188" s="14"/>
      <c r="J188" s="12"/>
      <c r="K188" s="12"/>
      <c r="L188" s="13"/>
      <c r="M188" s="13"/>
    </row>
    <row r="189" spans="1:13">
      <c r="A189" s="12"/>
      <c r="B189" s="12"/>
      <c r="C189" s="12"/>
      <c r="D189" s="17"/>
      <c r="E189" s="12"/>
      <c r="F189" s="18"/>
      <c r="G189" s="12"/>
      <c r="H189" s="12"/>
      <c r="I189" s="14"/>
      <c r="J189" s="12"/>
      <c r="K189" s="12"/>
      <c r="L189" s="13"/>
      <c r="M189" s="13"/>
    </row>
    <row r="190" spans="1:13">
      <c r="A190" s="12"/>
      <c r="B190" s="12"/>
      <c r="C190" s="12"/>
      <c r="D190" s="17"/>
      <c r="E190" s="12"/>
      <c r="F190" s="18"/>
      <c r="G190" s="12"/>
      <c r="H190" s="12"/>
      <c r="I190" s="14"/>
      <c r="J190" s="12"/>
      <c r="K190" s="12"/>
      <c r="L190" s="13"/>
      <c r="M190" s="13"/>
    </row>
    <row r="191" spans="1:13">
      <c r="A191" s="12"/>
      <c r="B191" s="12"/>
      <c r="C191" s="12"/>
      <c r="D191" s="17"/>
      <c r="E191" s="12"/>
      <c r="F191" s="18"/>
      <c r="G191" s="12"/>
      <c r="H191" s="12"/>
      <c r="I191" s="14"/>
      <c r="J191" s="12"/>
      <c r="K191" s="12"/>
      <c r="L191" s="13"/>
      <c r="M191" s="13"/>
    </row>
    <row r="192" spans="1:13">
      <c r="A192" s="12"/>
      <c r="B192" s="12"/>
      <c r="C192" s="12"/>
      <c r="D192" s="17"/>
      <c r="E192" s="12"/>
      <c r="F192" s="18"/>
      <c r="G192" s="12"/>
      <c r="H192" s="12"/>
      <c r="I192" s="14"/>
      <c r="J192" s="12"/>
      <c r="K192" s="12"/>
      <c r="L192" s="13"/>
      <c r="M192" s="13"/>
    </row>
    <row r="193" spans="1:13">
      <c r="A193" s="12"/>
      <c r="B193" s="12"/>
      <c r="C193" s="12"/>
      <c r="D193" s="17"/>
      <c r="E193" s="12"/>
      <c r="F193" s="18"/>
      <c r="G193" s="12"/>
      <c r="H193" s="12"/>
      <c r="I193" s="14"/>
      <c r="J193" s="12"/>
      <c r="K193" s="12"/>
      <c r="L193" s="13"/>
      <c r="M193" s="13"/>
    </row>
    <row r="194" spans="1:13">
      <c r="A194" s="12"/>
      <c r="B194" s="12"/>
      <c r="C194" s="12"/>
      <c r="D194" s="17"/>
      <c r="E194" s="12"/>
      <c r="F194" s="18"/>
      <c r="G194" s="12"/>
      <c r="H194" s="12"/>
      <c r="I194" s="14"/>
      <c r="J194" s="12"/>
      <c r="K194" s="12"/>
      <c r="L194" s="13"/>
      <c r="M194" s="13"/>
    </row>
    <row r="195" spans="1:13">
      <c r="A195" s="12"/>
      <c r="B195" s="12"/>
      <c r="C195" s="12"/>
      <c r="D195" s="17"/>
      <c r="E195" s="12"/>
      <c r="F195" s="18"/>
      <c r="G195" s="12"/>
      <c r="H195" s="12"/>
      <c r="I195" s="14"/>
      <c r="J195" s="12"/>
      <c r="K195" s="12"/>
      <c r="L195" s="13"/>
      <c r="M195" s="13"/>
    </row>
    <row r="196" spans="1:13">
      <c r="A196" s="12"/>
      <c r="B196" s="12"/>
      <c r="C196" s="12"/>
      <c r="D196" s="17"/>
      <c r="E196" s="12"/>
      <c r="F196" s="18"/>
      <c r="G196" s="12"/>
      <c r="H196" s="12"/>
      <c r="I196" s="14"/>
      <c r="J196" s="12"/>
      <c r="K196" s="12"/>
      <c r="L196" s="13"/>
      <c r="M196" s="13"/>
    </row>
    <row r="197" spans="1:13">
      <c r="A197" s="12"/>
      <c r="B197" s="12"/>
      <c r="C197" s="12"/>
      <c r="D197" s="17"/>
      <c r="E197" s="12"/>
      <c r="F197" s="18"/>
      <c r="G197" s="12"/>
      <c r="H197" s="12"/>
      <c r="I197" s="14"/>
      <c r="J197" s="12"/>
      <c r="K197" s="12"/>
      <c r="L197" s="13"/>
      <c r="M197" s="13"/>
    </row>
    <row r="198" spans="1:13">
      <c r="A198" s="12"/>
      <c r="B198" s="12"/>
      <c r="C198" s="12"/>
      <c r="D198" s="17"/>
      <c r="E198" s="12"/>
      <c r="F198" s="18"/>
      <c r="G198" s="12"/>
      <c r="H198" s="12"/>
      <c r="I198" s="14"/>
      <c r="J198" s="12"/>
      <c r="K198" s="12"/>
      <c r="L198" s="13"/>
      <c r="M198" s="13"/>
    </row>
    <row r="199" spans="1:13">
      <c r="A199" s="12"/>
      <c r="B199" s="12"/>
      <c r="C199" s="12"/>
      <c r="D199" s="17"/>
      <c r="E199" s="12"/>
      <c r="F199" s="18"/>
      <c r="G199" s="12"/>
      <c r="H199" s="12"/>
      <c r="I199" s="14"/>
      <c r="J199" s="12"/>
      <c r="K199" s="12"/>
      <c r="L199" s="13"/>
      <c r="M199" s="13"/>
    </row>
    <row r="200" spans="1:13">
      <c r="A200" s="12"/>
      <c r="B200" s="12"/>
      <c r="C200" s="12"/>
      <c r="D200" s="17"/>
      <c r="E200" s="12"/>
      <c r="F200" s="18"/>
      <c r="G200" s="12"/>
      <c r="H200" s="12"/>
      <c r="I200" s="14"/>
      <c r="J200" s="12"/>
      <c r="K200" s="12"/>
      <c r="L200" s="13"/>
      <c r="M200" s="13"/>
    </row>
    <row r="201" spans="1:13">
      <c r="A201" s="12"/>
      <c r="B201" s="12"/>
      <c r="C201" s="12"/>
      <c r="D201" s="17"/>
      <c r="E201" s="12"/>
      <c r="F201" s="18"/>
      <c r="G201" s="12"/>
      <c r="H201" s="12"/>
      <c r="I201" s="14"/>
      <c r="J201" s="12"/>
      <c r="K201" s="12"/>
      <c r="L201" s="13"/>
      <c r="M201" s="13"/>
    </row>
    <row r="202" spans="1:13">
      <c r="A202" s="12"/>
      <c r="B202" s="12"/>
      <c r="C202" s="12"/>
      <c r="D202" s="17"/>
      <c r="E202" s="12"/>
      <c r="F202" s="18"/>
      <c r="G202" s="12"/>
      <c r="H202" s="12"/>
      <c r="I202" s="14"/>
      <c r="J202" s="12"/>
      <c r="K202" s="12"/>
      <c r="L202" s="13"/>
      <c r="M202" s="13"/>
    </row>
    <row r="203" spans="1:13">
      <c r="A203" s="12"/>
      <c r="B203" s="12"/>
      <c r="C203" s="12"/>
      <c r="D203" s="17"/>
      <c r="E203" s="12"/>
      <c r="F203" s="18"/>
      <c r="G203" s="12"/>
      <c r="H203" s="12"/>
      <c r="I203" s="14"/>
      <c r="J203" s="12"/>
      <c r="K203" s="12"/>
      <c r="L203" s="13"/>
      <c r="M203" s="13"/>
    </row>
    <row r="204" spans="1:13">
      <c r="A204" s="12"/>
      <c r="B204" s="12"/>
      <c r="C204" s="12"/>
      <c r="D204" s="17"/>
      <c r="E204" s="12"/>
      <c r="F204" s="18"/>
      <c r="G204" s="12"/>
      <c r="H204" s="12"/>
      <c r="I204" s="14"/>
      <c r="J204" s="12"/>
      <c r="K204" s="12"/>
      <c r="L204" s="13"/>
      <c r="M204" s="13"/>
    </row>
    <row r="205" spans="1:13">
      <c r="A205" s="12"/>
      <c r="B205" s="12"/>
      <c r="C205" s="12"/>
      <c r="D205" s="17"/>
      <c r="E205" s="12"/>
      <c r="F205" s="18"/>
      <c r="G205" s="12"/>
      <c r="H205" s="12"/>
      <c r="I205" s="14"/>
      <c r="J205" s="12"/>
      <c r="K205" s="12"/>
      <c r="L205" s="13"/>
      <c r="M205" s="13"/>
    </row>
    <row r="206" spans="1:13">
      <c r="A206" s="12"/>
      <c r="B206" s="12"/>
      <c r="C206" s="12"/>
      <c r="D206" s="17"/>
      <c r="E206" s="12"/>
      <c r="F206" s="18"/>
      <c r="G206" s="12"/>
      <c r="H206" s="12"/>
      <c r="I206" s="14"/>
      <c r="J206" s="12"/>
      <c r="K206" s="12"/>
      <c r="L206" s="13"/>
      <c r="M206" s="13"/>
    </row>
    <row r="207" spans="1:13">
      <c r="A207" s="12"/>
      <c r="B207" s="12"/>
      <c r="C207" s="12"/>
      <c r="D207" s="17"/>
      <c r="E207" s="12"/>
      <c r="F207" s="18"/>
      <c r="G207" s="12"/>
      <c r="H207" s="12"/>
      <c r="I207" s="14"/>
      <c r="J207" s="12"/>
      <c r="K207" s="12"/>
      <c r="L207" s="13"/>
      <c r="M207" s="13"/>
    </row>
    <row r="208" spans="1:13">
      <c r="A208" s="12"/>
      <c r="B208" s="12"/>
      <c r="C208" s="12"/>
      <c r="D208" s="17"/>
      <c r="E208" s="12"/>
      <c r="F208" s="18"/>
      <c r="G208" s="12"/>
      <c r="H208" s="12"/>
      <c r="I208" s="14"/>
      <c r="J208" s="12"/>
      <c r="K208" s="12"/>
      <c r="L208" s="13"/>
      <c r="M208" s="13"/>
    </row>
    <row r="209" spans="1:13">
      <c r="A209" s="12"/>
      <c r="B209" s="12"/>
      <c r="C209" s="12"/>
      <c r="D209" s="17"/>
      <c r="E209" s="12"/>
      <c r="F209" s="18"/>
      <c r="G209" s="12"/>
      <c r="H209" s="12"/>
      <c r="I209" s="14"/>
      <c r="J209" s="12"/>
      <c r="K209" s="12"/>
      <c r="L209" s="13"/>
      <c r="M209" s="13"/>
    </row>
    <row r="210" spans="1:13">
      <c r="A210" s="12"/>
      <c r="B210" s="12"/>
      <c r="C210" s="12"/>
      <c r="D210" s="17"/>
      <c r="E210" s="12"/>
      <c r="F210" s="18"/>
      <c r="G210" s="12"/>
      <c r="H210" s="12"/>
      <c r="I210" s="14"/>
      <c r="J210" s="12"/>
      <c r="K210" s="12"/>
      <c r="L210" s="13"/>
      <c r="M210" s="13"/>
    </row>
    <row r="211" spans="1:13">
      <c r="A211" s="12"/>
      <c r="B211" s="12"/>
      <c r="C211" s="12"/>
      <c r="D211" s="17"/>
      <c r="E211" s="12"/>
      <c r="F211" s="18"/>
      <c r="G211" s="12"/>
      <c r="H211" s="12"/>
      <c r="I211" s="14"/>
      <c r="J211" s="12"/>
      <c r="K211" s="12"/>
      <c r="L211" s="13"/>
      <c r="M211" s="13"/>
    </row>
    <row r="212" spans="1:13">
      <c r="A212" s="12"/>
      <c r="B212" s="12"/>
      <c r="C212" s="12"/>
      <c r="D212" s="17"/>
      <c r="E212" s="12"/>
      <c r="F212" s="18"/>
      <c r="G212" s="12"/>
      <c r="H212" s="12"/>
      <c r="I212" s="14"/>
      <c r="J212" s="12"/>
      <c r="K212" s="12"/>
      <c r="L212" s="13"/>
      <c r="M212" s="13"/>
    </row>
    <row r="213" spans="1:13">
      <c r="A213" s="12"/>
      <c r="B213" s="12"/>
      <c r="C213" s="12"/>
      <c r="D213" s="17"/>
      <c r="E213" s="12"/>
      <c r="F213" s="18"/>
      <c r="G213" s="12"/>
      <c r="H213" s="12"/>
      <c r="I213" s="14"/>
      <c r="J213" s="12"/>
      <c r="K213" s="12"/>
      <c r="L213" s="13"/>
      <c r="M213" s="13"/>
    </row>
    <row r="214" spans="1:13">
      <c r="A214" s="12"/>
      <c r="B214" s="12"/>
      <c r="C214" s="12"/>
      <c r="D214" s="17"/>
      <c r="E214" s="12"/>
      <c r="F214" s="18"/>
      <c r="G214" s="12"/>
      <c r="H214" s="12"/>
      <c r="I214" s="14"/>
      <c r="J214" s="12"/>
      <c r="K214" s="12"/>
      <c r="L214" s="13"/>
      <c r="M214" s="13"/>
    </row>
    <row r="215" spans="1:13">
      <c r="A215" s="12"/>
      <c r="B215" s="12"/>
      <c r="C215" s="12"/>
      <c r="D215" s="17"/>
      <c r="E215" s="12"/>
      <c r="F215" s="18"/>
      <c r="G215" s="12"/>
      <c r="H215" s="12"/>
      <c r="I215" s="14"/>
      <c r="J215" s="12"/>
      <c r="K215" s="12"/>
      <c r="L215" s="13"/>
      <c r="M215" s="13"/>
    </row>
    <row r="216" spans="1:13">
      <c r="A216" s="12"/>
      <c r="B216" s="12"/>
      <c r="C216" s="12"/>
      <c r="D216" s="17"/>
      <c r="E216" s="12"/>
      <c r="F216" s="18"/>
      <c r="G216" s="12"/>
      <c r="H216" s="12"/>
      <c r="I216" s="14"/>
      <c r="J216" s="12"/>
      <c r="K216" s="12"/>
      <c r="L216" s="13"/>
      <c r="M216" s="13"/>
    </row>
    <row r="217" spans="1:13">
      <c r="A217" s="12"/>
      <c r="B217" s="12"/>
      <c r="C217" s="12"/>
      <c r="D217" s="17"/>
      <c r="E217" s="12"/>
      <c r="F217" s="18"/>
      <c r="G217" s="12"/>
      <c r="H217" s="12"/>
      <c r="I217" s="14"/>
      <c r="J217" s="12"/>
      <c r="K217" s="12"/>
      <c r="L217" s="13"/>
      <c r="M217" s="13"/>
    </row>
    <row r="218" spans="1:13">
      <c r="A218" s="12"/>
      <c r="B218" s="12"/>
      <c r="C218" s="12"/>
      <c r="D218" s="17"/>
      <c r="E218" s="12"/>
      <c r="F218" s="18"/>
      <c r="G218" s="12"/>
      <c r="H218" s="12"/>
      <c r="I218" s="14"/>
      <c r="J218" s="12"/>
      <c r="K218" s="12"/>
      <c r="L218" s="13"/>
      <c r="M218" s="13"/>
    </row>
    <row r="219" spans="1:13">
      <c r="A219" s="12"/>
      <c r="B219" s="12"/>
      <c r="C219" s="12"/>
      <c r="D219" s="17"/>
      <c r="E219" s="12"/>
      <c r="F219" s="18"/>
      <c r="G219" s="12"/>
      <c r="H219" s="12"/>
      <c r="I219" s="14"/>
      <c r="J219" s="12"/>
      <c r="K219" s="12"/>
      <c r="L219" s="13"/>
      <c r="M219" s="13"/>
    </row>
    <row r="220" spans="1:13">
      <c r="A220" s="12"/>
      <c r="B220" s="12"/>
      <c r="C220" s="12"/>
      <c r="D220" s="17"/>
      <c r="E220" s="12"/>
      <c r="F220" s="18"/>
      <c r="G220" s="12"/>
      <c r="H220" s="12"/>
      <c r="I220" s="14"/>
      <c r="J220" s="12"/>
      <c r="K220" s="12"/>
      <c r="L220" s="13"/>
      <c r="M220" s="13"/>
    </row>
    <row r="221" spans="1:13">
      <c r="A221" s="12"/>
      <c r="B221" s="12"/>
      <c r="C221" s="12"/>
      <c r="D221" s="17"/>
      <c r="E221" s="12"/>
      <c r="F221" s="18"/>
      <c r="G221" s="12"/>
      <c r="H221" s="12"/>
      <c r="I221" s="14"/>
      <c r="J221" s="12"/>
      <c r="K221" s="12"/>
      <c r="L221" s="13"/>
      <c r="M221" s="13"/>
    </row>
    <row r="222" spans="1:13">
      <c r="A222" s="12"/>
      <c r="B222" s="12"/>
      <c r="C222" s="12"/>
      <c r="D222" s="17"/>
      <c r="E222" s="12"/>
      <c r="F222" s="18"/>
      <c r="G222" s="12"/>
      <c r="H222" s="12"/>
      <c r="I222" s="14"/>
      <c r="J222" s="12"/>
      <c r="K222" s="12"/>
      <c r="L222" s="13"/>
      <c r="M222" s="13"/>
    </row>
    <row r="223" spans="1:13">
      <c r="A223" s="12"/>
      <c r="B223" s="12"/>
      <c r="C223" s="12"/>
      <c r="D223" s="17"/>
      <c r="E223" s="12"/>
      <c r="F223" s="18"/>
      <c r="G223" s="12"/>
      <c r="H223" s="12"/>
      <c r="I223" s="14"/>
      <c r="J223" s="12"/>
      <c r="K223" s="12"/>
      <c r="L223" s="13"/>
      <c r="M223" s="13"/>
    </row>
    <row r="224" spans="1:13">
      <c r="A224" s="12"/>
      <c r="B224" s="12"/>
      <c r="C224" s="12"/>
      <c r="D224" s="17"/>
      <c r="E224" s="12"/>
      <c r="F224" s="18"/>
      <c r="G224" s="12"/>
      <c r="H224" s="12"/>
      <c r="I224" s="14"/>
      <c r="J224" s="12"/>
      <c r="K224" s="12"/>
      <c r="L224" s="13"/>
      <c r="M224" s="13"/>
    </row>
    <row r="225" spans="1:13">
      <c r="A225" s="12"/>
      <c r="B225" s="12"/>
      <c r="C225" s="12"/>
      <c r="D225" s="17"/>
      <c r="E225" s="12"/>
      <c r="F225" s="18"/>
      <c r="G225" s="12"/>
      <c r="H225" s="12"/>
      <c r="I225" s="14"/>
      <c r="J225" s="12"/>
      <c r="K225" s="12"/>
      <c r="L225" s="13"/>
      <c r="M225" s="13"/>
    </row>
    <row r="226" spans="1:13">
      <c r="A226" s="12"/>
      <c r="B226" s="12"/>
      <c r="C226" s="12"/>
      <c r="D226" s="17"/>
      <c r="E226" s="12"/>
      <c r="F226" s="18"/>
      <c r="G226" s="12"/>
      <c r="H226" s="12"/>
      <c r="I226" s="14"/>
      <c r="J226" s="12"/>
      <c r="K226" s="12"/>
      <c r="L226" s="13"/>
      <c r="M226" s="13"/>
    </row>
    <row r="227" spans="1:13">
      <c r="A227" s="12"/>
      <c r="B227" s="12"/>
      <c r="C227" s="12"/>
      <c r="D227" s="17"/>
      <c r="E227" s="12"/>
      <c r="F227" s="18"/>
      <c r="G227" s="12"/>
      <c r="H227" s="12"/>
      <c r="I227" s="14"/>
      <c r="J227" s="12"/>
      <c r="K227" s="12"/>
      <c r="L227" s="13"/>
      <c r="M227" s="13"/>
    </row>
    <row r="228" spans="1:13">
      <c r="A228" s="12"/>
      <c r="B228" s="12"/>
      <c r="C228" s="12"/>
      <c r="D228" s="17"/>
      <c r="E228" s="12"/>
      <c r="F228" s="18"/>
      <c r="G228" s="12"/>
      <c r="H228" s="12"/>
      <c r="I228" s="14"/>
      <c r="J228" s="12"/>
      <c r="K228" s="12"/>
      <c r="L228" s="13"/>
      <c r="M228" s="13"/>
    </row>
    <row r="229" spans="1:13">
      <c r="A229" s="12"/>
      <c r="B229" s="12"/>
      <c r="C229" s="12"/>
      <c r="D229" s="17"/>
      <c r="E229" s="12"/>
      <c r="F229" s="18"/>
      <c r="G229" s="12"/>
      <c r="H229" s="12"/>
      <c r="I229" s="14"/>
      <c r="J229" s="12"/>
      <c r="K229" s="12"/>
      <c r="L229" s="13"/>
      <c r="M229" s="13"/>
    </row>
    <row r="230" spans="1:13">
      <c r="A230" s="12"/>
      <c r="B230" s="12"/>
      <c r="C230" s="12"/>
      <c r="D230" s="17"/>
      <c r="E230" s="12"/>
      <c r="F230" s="18"/>
      <c r="G230" s="12"/>
      <c r="H230" s="12"/>
      <c r="I230" s="14"/>
      <c r="J230" s="12"/>
      <c r="K230" s="12"/>
      <c r="L230" s="13"/>
      <c r="M230" s="13"/>
    </row>
    <row r="231" spans="1:13">
      <c r="A231" s="12"/>
      <c r="B231" s="12"/>
      <c r="C231" s="12"/>
      <c r="D231" s="17"/>
      <c r="E231" s="12"/>
      <c r="F231" s="18"/>
      <c r="G231" s="12"/>
      <c r="H231" s="12"/>
      <c r="I231" s="14"/>
      <c r="J231" s="12"/>
      <c r="K231" s="12"/>
      <c r="L231" s="13"/>
      <c r="M231" s="13"/>
    </row>
    <row r="232" spans="1:13">
      <c r="A232" s="12"/>
      <c r="B232" s="12"/>
      <c r="C232" s="12"/>
      <c r="D232" s="17"/>
      <c r="E232" s="12"/>
      <c r="F232" s="18"/>
      <c r="G232" s="12"/>
      <c r="H232" s="12"/>
      <c r="I232" s="14"/>
      <c r="J232" s="12"/>
      <c r="K232" s="12"/>
      <c r="L232" s="13"/>
      <c r="M232" s="13"/>
    </row>
    <row r="233" spans="1:13">
      <c r="A233" s="12"/>
      <c r="B233" s="12"/>
      <c r="C233" s="12"/>
      <c r="D233" s="17"/>
      <c r="E233" s="12"/>
      <c r="F233" s="18"/>
      <c r="G233" s="12"/>
      <c r="H233" s="12"/>
      <c r="I233" s="14"/>
      <c r="J233" s="12"/>
      <c r="K233" s="12"/>
      <c r="L233" s="13"/>
      <c r="M233" s="13"/>
    </row>
    <row r="234" spans="1:13">
      <c r="A234" s="12"/>
      <c r="B234" s="12"/>
      <c r="C234" s="12"/>
      <c r="D234" s="17"/>
      <c r="E234" s="12"/>
      <c r="F234" s="18"/>
      <c r="G234" s="12"/>
      <c r="H234" s="12"/>
      <c r="I234" s="14"/>
      <c r="J234" s="12"/>
      <c r="K234" s="12"/>
      <c r="L234" s="13"/>
      <c r="M234" s="13"/>
    </row>
    <row r="235" spans="1:13">
      <c r="A235" s="12"/>
      <c r="B235" s="12"/>
      <c r="C235" s="12"/>
      <c r="D235" s="17"/>
      <c r="E235" s="12"/>
      <c r="F235" s="18"/>
      <c r="G235" s="12"/>
      <c r="H235" s="12"/>
      <c r="I235" s="14"/>
      <c r="J235" s="12"/>
      <c r="K235" s="12"/>
      <c r="L235" s="13"/>
      <c r="M235" s="13"/>
    </row>
    <row r="236" spans="1:13">
      <c r="A236" s="12"/>
      <c r="B236" s="12"/>
      <c r="C236" s="12"/>
      <c r="D236" s="17"/>
      <c r="E236" s="12"/>
      <c r="F236" s="18"/>
      <c r="G236" s="12"/>
      <c r="H236" s="12"/>
      <c r="I236" s="14"/>
      <c r="J236" s="12"/>
      <c r="K236" s="12"/>
      <c r="L236" s="13"/>
      <c r="M236" s="13"/>
    </row>
    <row r="237" spans="1:13">
      <c r="A237" s="12"/>
      <c r="B237" s="12"/>
      <c r="C237" s="12"/>
      <c r="D237" s="17"/>
      <c r="E237" s="12"/>
      <c r="F237" s="18"/>
      <c r="G237" s="12"/>
      <c r="H237" s="12"/>
      <c r="I237" s="14"/>
      <c r="J237" s="12"/>
      <c r="K237" s="12"/>
      <c r="L237" s="13"/>
      <c r="M237" s="13"/>
    </row>
    <row r="238" spans="1:13">
      <c r="A238" s="12"/>
      <c r="B238" s="12"/>
      <c r="C238" s="12"/>
      <c r="D238" s="17"/>
      <c r="E238" s="12"/>
      <c r="F238" s="18"/>
      <c r="G238" s="12"/>
      <c r="H238" s="12"/>
      <c r="I238" s="14"/>
      <c r="J238" s="12"/>
      <c r="K238" s="12"/>
      <c r="L238" s="13"/>
      <c r="M238" s="13"/>
    </row>
    <row r="239" spans="1:13">
      <c r="A239" s="12"/>
      <c r="B239" s="12"/>
      <c r="C239" s="12"/>
      <c r="D239" s="17"/>
      <c r="E239" s="12"/>
      <c r="F239" s="18"/>
      <c r="G239" s="12"/>
      <c r="H239" s="12"/>
      <c r="I239" s="14"/>
      <c r="J239" s="12"/>
      <c r="K239" s="12"/>
      <c r="L239" s="13"/>
      <c r="M239" s="13"/>
    </row>
    <row r="240" spans="1:13">
      <c r="A240" s="12"/>
      <c r="B240" s="12"/>
      <c r="C240" s="12"/>
      <c r="D240" s="17"/>
      <c r="E240" s="12"/>
      <c r="F240" s="18"/>
      <c r="G240" s="12"/>
      <c r="H240" s="12"/>
      <c r="I240" s="14"/>
      <c r="J240" s="12"/>
      <c r="K240" s="12"/>
      <c r="L240" s="13"/>
      <c r="M240" s="13"/>
    </row>
    <row r="241" spans="1:13">
      <c r="A241" s="12"/>
      <c r="B241" s="12"/>
      <c r="C241" s="12"/>
      <c r="D241" s="17"/>
      <c r="E241" s="12"/>
      <c r="F241" s="18"/>
      <c r="G241" s="12"/>
      <c r="H241" s="12"/>
      <c r="I241" s="14"/>
      <c r="J241" s="12"/>
      <c r="K241" s="12"/>
      <c r="L241" s="13"/>
      <c r="M241" s="13"/>
    </row>
    <row r="242" spans="1:13">
      <c r="A242" s="12"/>
      <c r="B242" s="12"/>
      <c r="C242" s="12"/>
      <c r="D242" s="17"/>
      <c r="E242" s="12"/>
      <c r="F242" s="18"/>
      <c r="G242" s="12"/>
      <c r="H242" s="12"/>
      <c r="I242" s="14"/>
      <c r="J242" s="12"/>
      <c r="K242" s="12"/>
      <c r="L242" s="13"/>
      <c r="M242" s="13"/>
    </row>
    <row r="243" spans="1:13">
      <c r="A243" s="12"/>
      <c r="B243" s="12"/>
      <c r="C243" s="12"/>
      <c r="D243" s="17"/>
      <c r="E243" s="12"/>
      <c r="F243" s="18"/>
      <c r="G243" s="12"/>
      <c r="H243" s="12"/>
      <c r="I243" s="14"/>
      <c r="J243" s="12"/>
      <c r="K243" s="12"/>
      <c r="L243" s="13"/>
      <c r="M243" s="13"/>
    </row>
    <row r="244" spans="1:13">
      <c r="A244" s="12"/>
      <c r="B244" s="12"/>
      <c r="C244" s="12"/>
      <c r="D244" s="17"/>
      <c r="E244" s="12"/>
      <c r="F244" s="18"/>
      <c r="G244" s="12"/>
      <c r="H244" s="12"/>
      <c r="I244" s="14"/>
      <c r="J244" s="12"/>
      <c r="K244" s="12"/>
      <c r="L244" s="13"/>
      <c r="M244" s="13"/>
    </row>
    <row r="245" spans="1:13">
      <c r="A245" s="12"/>
      <c r="B245" s="12"/>
      <c r="C245" s="12"/>
      <c r="D245" s="17"/>
      <c r="E245" s="12"/>
      <c r="F245" s="18"/>
      <c r="G245" s="12"/>
      <c r="H245" s="12"/>
      <c r="I245" s="14"/>
      <c r="J245" s="12"/>
      <c r="K245" s="12"/>
      <c r="L245" s="13"/>
      <c r="M245" s="13"/>
    </row>
    <row r="246" spans="1:13">
      <c r="A246" s="12"/>
      <c r="B246" s="12"/>
      <c r="C246" s="12"/>
      <c r="D246" s="17"/>
      <c r="E246" s="12"/>
      <c r="F246" s="18"/>
      <c r="G246" s="12"/>
      <c r="H246" s="12"/>
      <c r="I246" s="14"/>
      <c r="J246" s="12"/>
      <c r="K246" s="12"/>
      <c r="L246" s="13"/>
      <c r="M246" s="13"/>
    </row>
    <row r="247" spans="1:13">
      <c r="A247" s="12"/>
      <c r="B247" s="12"/>
      <c r="C247" s="12"/>
      <c r="D247" s="17"/>
      <c r="E247" s="12"/>
      <c r="F247" s="18"/>
      <c r="G247" s="12"/>
      <c r="H247" s="12"/>
      <c r="I247" s="14"/>
      <c r="J247" s="12"/>
      <c r="K247" s="12"/>
      <c r="L247" s="13"/>
      <c r="M247" s="13"/>
    </row>
    <row r="248" spans="1:13">
      <c r="A248" s="12"/>
      <c r="B248" s="12"/>
      <c r="C248" s="12"/>
      <c r="D248" s="17"/>
      <c r="E248" s="12"/>
      <c r="F248" s="18"/>
      <c r="G248" s="12"/>
      <c r="H248" s="12"/>
      <c r="I248" s="14"/>
      <c r="J248" s="12"/>
      <c r="K248" s="12"/>
      <c r="L248" s="13"/>
      <c r="M248" s="13"/>
    </row>
    <row r="249" spans="1:13">
      <c r="A249" s="12"/>
      <c r="B249" s="12"/>
      <c r="C249" s="12"/>
      <c r="D249" s="17"/>
      <c r="E249" s="12"/>
      <c r="F249" s="18"/>
      <c r="G249" s="12"/>
      <c r="H249" s="12"/>
      <c r="I249" s="14"/>
      <c r="J249" s="12"/>
      <c r="K249" s="12"/>
      <c r="L249" s="13"/>
      <c r="M249" s="13"/>
    </row>
    <row r="250" spans="1:13">
      <c r="A250" s="12"/>
      <c r="B250" s="12"/>
      <c r="C250" s="12"/>
      <c r="D250" s="17"/>
      <c r="E250" s="12"/>
      <c r="F250" s="18"/>
      <c r="G250" s="12"/>
      <c r="H250" s="12"/>
      <c r="I250" s="14"/>
      <c r="J250" s="12"/>
      <c r="K250" s="12"/>
      <c r="L250" s="13"/>
      <c r="M250" s="13"/>
    </row>
    <row r="251" spans="1:13">
      <c r="A251" s="12"/>
      <c r="B251" s="12"/>
      <c r="C251" s="12"/>
      <c r="D251" s="17"/>
      <c r="E251" s="12"/>
      <c r="F251" s="18"/>
      <c r="G251" s="12"/>
      <c r="H251" s="12"/>
      <c r="I251" s="14"/>
      <c r="J251" s="12"/>
      <c r="K251" s="12"/>
      <c r="L251" s="13"/>
      <c r="M251" s="13"/>
    </row>
    <row r="252" spans="1:13">
      <c r="A252" s="12"/>
      <c r="B252" s="12"/>
      <c r="C252" s="12"/>
      <c r="D252" s="17"/>
      <c r="E252" s="12"/>
      <c r="F252" s="18"/>
      <c r="G252" s="12"/>
      <c r="H252" s="12"/>
      <c r="I252" s="14"/>
      <c r="J252" s="12"/>
      <c r="K252" s="12"/>
      <c r="L252" s="13"/>
      <c r="M252" s="13"/>
    </row>
    <row r="253" spans="1:13">
      <c r="A253" s="12"/>
      <c r="B253" s="12"/>
      <c r="C253" s="12"/>
      <c r="D253" s="17"/>
      <c r="E253" s="12"/>
      <c r="F253" s="18"/>
      <c r="G253" s="12"/>
      <c r="H253" s="12"/>
      <c r="I253" s="14"/>
      <c r="J253" s="12"/>
      <c r="K253" s="12"/>
      <c r="L253" s="13"/>
      <c r="M253" s="13"/>
    </row>
  </sheetData>
  <autoFilter ref="A3:M253"/>
  <mergeCells count="2">
    <mergeCell ref="A1:M1"/>
    <mergeCell ref="A2:M2"/>
  </mergeCells>
  <conditionalFormatting sqref="J4:J253">
    <cfRule type="expression" dxfId="0" priority="1">
      <formula>OR(ISNUMBER(SEARCH("approved",J4)),ISNUMBER(SEARCH("complete",J4)),ISNUMBER(SEARCH("delivered",J4)),ISNUMBER(SEARCH("installed",J4)),ISNUMBER(SEARCH("paid",J4)),ISNUMBER(SEARCH("good condition",J4)))</formula>
    </cfRule>
    <cfRule type="expression" dxfId="1" priority="2">
      <formula>OR(ISNUMBER(SEARCH("pending",J4)),ISNUMBER(SEARCH("progress",J4)),ISNUMBER(SEARCH("review",J4)),ISNUMBER(SEARCH("sent",J4)),ISNUMBER(SEARCH("scheduled",J4)),ISNUMBER(SEARCH("waiting",J4)),ISNUMBER(SEARCH("ordered",J4)),ISNUMBER(SEARCH("shipped",J4)))</formula>
    </cfRule>
    <cfRule type="expression" dxfId="2" priority="3">
      <formula>OR(ISNUMBER(SEARCH("overdue",J4)),ISNUMBER(SEARCH("delayed",J4)),ISNUMBER(SEARCH("rejected",J4)),ISNUMBER(SEARCH("damaged",J4)),ISNUMBER(SEARCH("missing",J4)),ISNUMBER(SEARCH("wrong",J4)),ISNUMBER(SEARCH("backordered",J4)))</formula>
    </cfRule>
    <cfRule type="expression" dxfId="3" priority="4">
      <formula>OR(ISNUMBER(SEARCH("cancelled",J4)),ISNUMBER(SEARCH("on hold",J4)),ISNUMBER(SEARCH("returned",J4)))</formula>
    </cfRule>
  </conditionalFormatting>
  <conditionalFormatting sqref="K4:K253">
    <cfRule type="expression" dxfId="0" priority="5">
      <formula>OR(ISNUMBER(SEARCH("approved",K4)),ISNUMBER(SEARCH("complete",K4)),ISNUMBER(SEARCH("delivered",K4)),ISNUMBER(SEARCH("installed",K4)),ISNUMBER(SEARCH("paid",K4)),ISNUMBER(SEARCH("good condition",K4)))</formula>
    </cfRule>
    <cfRule type="expression" dxfId="1" priority="6">
      <formula>OR(ISNUMBER(SEARCH("pending",K4)),ISNUMBER(SEARCH("progress",K4)),ISNUMBER(SEARCH("review",K4)),ISNUMBER(SEARCH("sent",K4)),ISNUMBER(SEARCH("scheduled",K4)),ISNUMBER(SEARCH("waiting",K4)),ISNUMBER(SEARCH("ordered",K4)),ISNUMBER(SEARCH("shipped",K4)))</formula>
    </cfRule>
    <cfRule type="expression" dxfId="2" priority="7">
      <formula>OR(ISNUMBER(SEARCH("overdue",K4)),ISNUMBER(SEARCH("delayed",K4)),ISNUMBER(SEARCH("rejected",K4)),ISNUMBER(SEARCH("damaged",K4)),ISNUMBER(SEARCH("missing",K4)),ISNUMBER(SEARCH("wrong",K4)),ISNUMBER(SEARCH("backordered",K4)))</formula>
    </cfRule>
    <cfRule type="expression" dxfId="3" priority="8">
      <formula>OR(ISNUMBER(SEARCH("cancelled",K4)),ISNUMBER(SEARCH("on hold",K4)),ISNUMBER(SEARCH("returned",K4)))</formula>
    </cfRule>
  </conditionalFormatting>
  <dataValidations count="4">
    <dataValidation type="list" allowBlank="1" showInputMessage="1" showErrorMessage="1" errorTitle="Choose a listed value" error="Please select an option from the dropdown." promptTitle="Room" prompt="Select from the dropdown list." sqref="A4:A253">
      <formula1>RoomNames</formula1>
    </dataValidation>
    <dataValidation type="list" allowBlank="1" showInputMessage="1" showErrorMessage="1" errorTitle="Choose a listed value" error="Please select an option from the dropdown." promptTitle="Vendor" prompt="Select from the dropdown list." sqref="E4:E253">
      <formula1>VendorNames</formula1>
    </dataValidation>
    <dataValidation type="list" allowBlank="1" showInputMessage="1" showErrorMessage="1" errorTitle="Choose a listed value" error="Please select an option from the dropdown." promptTitle="Approval Status" prompt="Select from the dropdown list." sqref="J4:J253">
      <formula1>ApprovalStatuses</formula1>
    </dataValidation>
    <dataValidation type="list" allowBlank="1" showInputMessage="1" showErrorMessage="1" errorTitle="Choose a listed value" error="Please select an option from the dropdown." promptTitle="Order Status" prompt="Select from the dropdown list." sqref="K4:K253">
      <formula1>OrderStatuses</formula1>
    </dataValidation>
  </dataValidations>
  <pageMargins left="0.25" right="0.2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8.7109375" customWidth="1"/>
    <col min="3" max="3" width="22.7109375" customWidth="1"/>
    <col min="4" max="4" width="16.7109375" customWidth="1"/>
    <col min="5" max="5" width="14.7109375" customWidth="1"/>
    <col min="6" max="6" width="20.7109375" customWidth="1"/>
    <col min="7" max="7" width="18.7109375" customWidth="1"/>
    <col min="8" max="8" width="10.7109375" customWidth="1"/>
    <col min="9" max="10" width="14.7109375" customWidth="1"/>
    <col min="11" max="11" width="18.7109375" customWidth="1"/>
    <col min="12" max="13" width="16.7109375" customWidth="1"/>
    <col min="14" max="14" width="30.7109375" customWidth="1"/>
  </cols>
  <sheetData>
    <row r="1" spans="1:14" ht="30" customHeight="1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2" customHeight="1">
      <c r="A3" s="10" t="s">
        <v>167</v>
      </c>
      <c r="B3" s="10" t="s">
        <v>300</v>
      </c>
      <c r="C3" s="10" t="s">
        <v>272</v>
      </c>
      <c r="D3" s="10" t="s">
        <v>145</v>
      </c>
      <c r="E3" s="10" t="s">
        <v>301</v>
      </c>
      <c r="F3" s="10" t="s">
        <v>150</v>
      </c>
      <c r="G3" s="10" t="s">
        <v>302</v>
      </c>
      <c r="H3" s="10" t="s">
        <v>274</v>
      </c>
      <c r="I3" s="10" t="s">
        <v>281</v>
      </c>
      <c r="J3" s="10" t="s">
        <v>282</v>
      </c>
      <c r="K3" s="10" t="s">
        <v>303</v>
      </c>
      <c r="L3" s="10" t="s">
        <v>304</v>
      </c>
      <c r="M3" s="10" t="s">
        <v>297</v>
      </c>
      <c r="N3" s="10" t="s">
        <v>305</v>
      </c>
    </row>
    <row r="4" spans="1:14">
      <c r="A4" s="12"/>
      <c r="B4" s="12"/>
      <c r="C4" s="12"/>
      <c r="D4" s="12"/>
      <c r="E4" s="12"/>
      <c r="F4" s="12"/>
      <c r="G4" s="12"/>
      <c r="H4" s="17"/>
      <c r="I4" s="14"/>
      <c r="J4" s="16">
        <f>IF(OR(H4="",I4=""),"",H4*I4)</f>
        <v>0</v>
      </c>
      <c r="K4" s="13"/>
      <c r="L4" s="13"/>
      <c r="M4" s="13"/>
      <c r="N4" s="12"/>
    </row>
    <row r="5" spans="1:14">
      <c r="A5" s="12"/>
      <c r="B5" s="12"/>
      <c r="C5" s="12"/>
      <c r="D5" s="12"/>
      <c r="E5" s="12"/>
      <c r="F5" s="12"/>
      <c r="G5" s="12"/>
      <c r="H5" s="17"/>
      <c r="I5" s="14"/>
      <c r="J5" s="16">
        <f>IF(OR(H5="",I5=""),"",H5*I5)</f>
        <v>0</v>
      </c>
      <c r="K5" s="13"/>
      <c r="L5" s="13"/>
      <c r="M5" s="13"/>
      <c r="N5" s="12"/>
    </row>
    <row r="6" spans="1:14">
      <c r="A6" s="12"/>
      <c r="B6" s="12"/>
      <c r="C6" s="12"/>
      <c r="D6" s="12"/>
      <c r="E6" s="12"/>
      <c r="F6" s="12"/>
      <c r="G6" s="12"/>
      <c r="H6" s="17"/>
      <c r="I6" s="14"/>
      <c r="J6" s="16">
        <f>IF(OR(H6="",I6=""),"",H6*I6)</f>
        <v>0</v>
      </c>
      <c r="K6" s="13"/>
      <c r="L6" s="13"/>
      <c r="M6" s="13"/>
      <c r="N6" s="12"/>
    </row>
    <row r="7" spans="1:14">
      <c r="A7" s="12"/>
      <c r="B7" s="12"/>
      <c r="C7" s="12"/>
      <c r="D7" s="12"/>
      <c r="E7" s="12"/>
      <c r="F7" s="12"/>
      <c r="G7" s="12"/>
      <c r="H7" s="17"/>
      <c r="I7" s="14"/>
      <c r="J7" s="16">
        <f>IF(OR(H7="",I7=""),"",H7*I7)</f>
        <v>0</v>
      </c>
      <c r="K7" s="13"/>
      <c r="L7" s="13"/>
      <c r="M7" s="13"/>
      <c r="N7" s="12"/>
    </row>
    <row r="8" spans="1:14">
      <c r="A8" s="12"/>
      <c r="B8" s="12"/>
      <c r="C8" s="12"/>
      <c r="D8" s="12"/>
      <c r="E8" s="12"/>
      <c r="F8" s="12"/>
      <c r="G8" s="12"/>
      <c r="H8" s="17"/>
      <c r="I8" s="14"/>
      <c r="J8" s="16">
        <f>IF(OR(H8="",I8=""),"",H8*I8)</f>
        <v>0</v>
      </c>
      <c r="K8" s="13"/>
      <c r="L8" s="13"/>
      <c r="M8" s="13"/>
      <c r="N8" s="12"/>
    </row>
    <row r="9" spans="1:14">
      <c r="A9" s="12"/>
      <c r="B9" s="12"/>
      <c r="C9" s="12"/>
      <c r="D9" s="12"/>
      <c r="E9" s="12"/>
      <c r="F9" s="12"/>
      <c r="G9" s="12"/>
      <c r="H9" s="17"/>
      <c r="I9" s="14"/>
      <c r="J9" s="16">
        <f>IF(OR(H9="",I9=""),"",H9*I9)</f>
        <v>0</v>
      </c>
      <c r="K9" s="13"/>
      <c r="L9" s="13"/>
      <c r="M9" s="13"/>
      <c r="N9" s="12"/>
    </row>
    <row r="10" spans="1:14">
      <c r="A10" s="12"/>
      <c r="B10" s="12"/>
      <c r="C10" s="12"/>
      <c r="D10" s="12"/>
      <c r="E10" s="12"/>
      <c r="F10" s="12"/>
      <c r="G10" s="12"/>
      <c r="H10" s="17"/>
      <c r="I10" s="14"/>
      <c r="J10" s="16">
        <f>IF(OR(H10="",I10=""),"",H10*I10)</f>
        <v>0</v>
      </c>
      <c r="K10" s="13"/>
      <c r="L10" s="13"/>
      <c r="M10" s="13"/>
      <c r="N10" s="12"/>
    </row>
    <row r="11" spans="1:14">
      <c r="A11" s="12"/>
      <c r="B11" s="12"/>
      <c r="C11" s="12"/>
      <c r="D11" s="12"/>
      <c r="E11" s="12"/>
      <c r="F11" s="12"/>
      <c r="G11" s="12"/>
      <c r="H11" s="17"/>
      <c r="I11" s="14"/>
      <c r="J11" s="16">
        <f>IF(OR(H11="",I11=""),"",H11*I11)</f>
        <v>0</v>
      </c>
      <c r="K11" s="13"/>
      <c r="L11" s="13"/>
      <c r="M11" s="13"/>
      <c r="N11" s="12"/>
    </row>
    <row r="12" spans="1:14">
      <c r="A12" s="12"/>
      <c r="B12" s="12"/>
      <c r="C12" s="12"/>
      <c r="D12" s="12"/>
      <c r="E12" s="12"/>
      <c r="F12" s="12"/>
      <c r="G12" s="12"/>
      <c r="H12" s="17"/>
      <c r="I12" s="14"/>
      <c r="J12" s="16">
        <f>IF(OR(H12="",I12=""),"",H12*I12)</f>
        <v>0</v>
      </c>
      <c r="K12" s="13"/>
      <c r="L12" s="13"/>
      <c r="M12" s="13"/>
      <c r="N12" s="12"/>
    </row>
    <row r="13" spans="1:14">
      <c r="A13" s="12"/>
      <c r="B13" s="12"/>
      <c r="C13" s="12"/>
      <c r="D13" s="12"/>
      <c r="E13" s="12"/>
      <c r="F13" s="12"/>
      <c r="G13" s="12"/>
      <c r="H13" s="17"/>
      <c r="I13" s="14"/>
      <c r="J13" s="16">
        <f>IF(OR(H13="",I13=""),"",H13*I13)</f>
        <v>0</v>
      </c>
      <c r="K13" s="13"/>
      <c r="L13" s="13"/>
      <c r="M13" s="13"/>
      <c r="N13" s="12"/>
    </row>
    <row r="14" spans="1:14">
      <c r="A14" s="12"/>
      <c r="B14" s="12"/>
      <c r="C14" s="12"/>
      <c r="D14" s="12"/>
      <c r="E14" s="12"/>
      <c r="F14" s="12"/>
      <c r="G14" s="12"/>
      <c r="H14" s="17"/>
      <c r="I14" s="14"/>
      <c r="J14" s="16">
        <f>IF(OR(H14="",I14=""),"",H14*I14)</f>
        <v>0</v>
      </c>
      <c r="K14" s="13"/>
      <c r="L14" s="13"/>
      <c r="M14" s="13"/>
      <c r="N14" s="12"/>
    </row>
    <row r="15" spans="1:14">
      <c r="A15" s="12"/>
      <c r="B15" s="12"/>
      <c r="C15" s="12"/>
      <c r="D15" s="12"/>
      <c r="E15" s="12"/>
      <c r="F15" s="12"/>
      <c r="G15" s="12"/>
      <c r="H15" s="17"/>
      <c r="I15" s="14"/>
      <c r="J15" s="16">
        <f>IF(OR(H15="",I15=""),"",H15*I15)</f>
        <v>0</v>
      </c>
      <c r="K15" s="13"/>
      <c r="L15" s="13"/>
      <c r="M15" s="13"/>
      <c r="N15" s="12"/>
    </row>
    <row r="16" spans="1:14">
      <c r="A16" s="12"/>
      <c r="B16" s="12"/>
      <c r="C16" s="12"/>
      <c r="D16" s="12"/>
      <c r="E16" s="12"/>
      <c r="F16" s="12"/>
      <c r="G16" s="12"/>
      <c r="H16" s="17"/>
      <c r="I16" s="14"/>
      <c r="J16" s="16">
        <f>IF(OR(H16="",I16=""),"",H16*I16)</f>
        <v>0</v>
      </c>
      <c r="K16" s="13"/>
      <c r="L16" s="13"/>
      <c r="M16" s="13"/>
      <c r="N16" s="12"/>
    </row>
    <row r="17" spans="1:14">
      <c r="A17" s="12"/>
      <c r="B17" s="12"/>
      <c r="C17" s="12"/>
      <c r="D17" s="12"/>
      <c r="E17" s="12"/>
      <c r="F17" s="12"/>
      <c r="G17" s="12"/>
      <c r="H17" s="17"/>
      <c r="I17" s="14"/>
      <c r="J17" s="16">
        <f>IF(OR(H17="",I17=""),"",H17*I17)</f>
        <v>0</v>
      </c>
      <c r="K17" s="13"/>
      <c r="L17" s="13"/>
      <c r="M17" s="13"/>
      <c r="N17" s="12"/>
    </row>
    <row r="18" spans="1:14">
      <c r="A18" s="12"/>
      <c r="B18" s="12"/>
      <c r="C18" s="12"/>
      <c r="D18" s="12"/>
      <c r="E18" s="12"/>
      <c r="F18" s="12"/>
      <c r="G18" s="12"/>
      <c r="H18" s="17"/>
      <c r="I18" s="14"/>
      <c r="J18" s="16">
        <f>IF(OR(H18="",I18=""),"",H18*I18)</f>
        <v>0</v>
      </c>
      <c r="K18" s="13"/>
      <c r="L18" s="13"/>
      <c r="M18" s="13"/>
      <c r="N18" s="12"/>
    </row>
    <row r="19" spans="1:14">
      <c r="A19" s="12"/>
      <c r="B19" s="12"/>
      <c r="C19" s="12"/>
      <c r="D19" s="12"/>
      <c r="E19" s="12"/>
      <c r="F19" s="12"/>
      <c r="G19" s="12"/>
      <c r="H19" s="17"/>
      <c r="I19" s="14"/>
      <c r="J19" s="16">
        <f>IF(OR(H19="",I19=""),"",H19*I19)</f>
        <v>0</v>
      </c>
      <c r="K19" s="13"/>
      <c r="L19" s="13"/>
      <c r="M19" s="13"/>
      <c r="N19" s="12"/>
    </row>
    <row r="20" spans="1:14">
      <c r="A20" s="12"/>
      <c r="B20" s="12"/>
      <c r="C20" s="12"/>
      <c r="D20" s="12"/>
      <c r="E20" s="12"/>
      <c r="F20" s="12"/>
      <c r="G20" s="12"/>
      <c r="H20" s="17"/>
      <c r="I20" s="14"/>
      <c r="J20" s="16">
        <f>IF(OR(H20="",I20=""),"",H20*I20)</f>
        <v>0</v>
      </c>
      <c r="K20" s="13"/>
      <c r="L20" s="13"/>
      <c r="M20" s="13"/>
      <c r="N20" s="12"/>
    </row>
    <row r="21" spans="1:14">
      <c r="A21" s="12"/>
      <c r="B21" s="12"/>
      <c r="C21" s="12"/>
      <c r="D21" s="12"/>
      <c r="E21" s="12"/>
      <c r="F21" s="12"/>
      <c r="G21" s="12"/>
      <c r="H21" s="17"/>
      <c r="I21" s="14"/>
      <c r="J21" s="16">
        <f>IF(OR(H21="",I21=""),"",H21*I21)</f>
        <v>0</v>
      </c>
      <c r="K21" s="13"/>
      <c r="L21" s="13"/>
      <c r="M21" s="13"/>
      <c r="N21" s="12"/>
    </row>
    <row r="22" spans="1:14">
      <c r="A22" s="12"/>
      <c r="B22" s="12"/>
      <c r="C22" s="12"/>
      <c r="D22" s="12"/>
      <c r="E22" s="12"/>
      <c r="F22" s="12"/>
      <c r="G22" s="12"/>
      <c r="H22" s="17"/>
      <c r="I22" s="14"/>
      <c r="J22" s="16">
        <f>IF(OR(H22="",I22=""),"",H22*I22)</f>
        <v>0</v>
      </c>
      <c r="K22" s="13"/>
      <c r="L22" s="13"/>
      <c r="M22" s="13"/>
      <c r="N22" s="12"/>
    </row>
    <row r="23" spans="1:14">
      <c r="A23" s="12"/>
      <c r="B23" s="12"/>
      <c r="C23" s="12"/>
      <c r="D23" s="12"/>
      <c r="E23" s="12"/>
      <c r="F23" s="12"/>
      <c r="G23" s="12"/>
      <c r="H23" s="17"/>
      <c r="I23" s="14"/>
      <c r="J23" s="16">
        <f>IF(OR(H23="",I23=""),"",H23*I23)</f>
        <v>0</v>
      </c>
      <c r="K23" s="13"/>
      <c r="L23" s="13"/>
      <c r="M23" s="13"/>
      <c r="N23" s="12"/>
    </row>
    <row r="24" spans="1:14">
      <c r="A24" s="12"/>
      <c r="B24" s="12"/>
      <c r="C24" s="12"/>
      <c r="D24" s="12"/>
      <c r="E24" s="12"/>
      <c r="F24" s="12"/>
      <c r="G24" s="12"/>
      <c r="H24" s="17"/>
      <c r="I24" s="14"/>
      <c r="J24" s="16">
        <f>IF(OR(H24="",I24=""),"",H24*I24)</f>
        <v>0</v>
      </c>
      <c r="K24" s="13"/>
      <c r="L24" s="13"/>
      <c r="M24" s="13"/>
      <c r="N24" s="12"/>
    </row>
    <row r="25" spans="1:14">
      <c r="A25" s="12"/>
      <c r="B25" s="12"/>
      <c r="C25" s="12"/>
      <c r="D25" s="12"/>
      <c r="E25" s="12"/>
      <c r="F25" s="12"/>
      <c r="G25" s="12"/>
      <c r="H25" s="17"/>
      <c r="I25" s="14"/>
      <c r="J25" s="16">
        <f>IF(OR(H25="",I25=""),"",H25*I25)</f>
        <v>0</v>
      </c>
      <c r="K25" s="13"/>
      <c r="L25" s="13"/>
      <c r="M25" s="13"/>
      <c r="N25" s="12"/>
    </row>
    <row r="26" spans="1:14">
      <c r="A26" s="12"/>
      <c r="B26" s="12"/>
      <c r="C26" s="12"/>
      <c r="D26" s="12"/>
      <c r="E26" s="12"/>
      <c r="F26" s="12"/>
      <c r="G26" s="12"/>
      <c r="H26" s="17"/>
      <c r="I26" s="14"/>
      <c r="J26" s="16">
        <f>IF(OR(H26="",I26=""),"",H26*I26)</f>
        <v>0</v>
      </c>
      <c r="K26" s="13"/>
      <c r="L26" s="13"/>
      <c r="M26" s="13"/>
      <c r="N26" s="12"/>
    </row>
    <row r="27" spans="1:14">
      <c r="A27" s="12"/>
      <c r="B27" s="12"/>
      <c r="C27" s="12"/>
      <c r="D27" s="12"/>
      <c r="E27" s="12"/>
      <c r="F27" s="12"/>
      <c r="G27" s="12"/>
      <c r="H27" s="17"/>
      <c r="I27" s="14"/>
      <c r="J27" s="16">
        <f>IF(OR(H27="",I27=""),"",H27*I27)</f>
        <v>0</v>
      </c>
      <c r="K27" s="13"/>
      <c r="L27" s="13"/>
      <c r="M27" s="13"/>
      <c r="N27" s="12"/>
    </row>
    <row r="28" spans="1:14">
      <c r="A28" s="12"/>
      <c r="B28" s="12"/>
      <c r="C28" s="12"/>
      <c r="D28" s="12"/>
      <c r="E28" s="12"/>
      <c r="F28" s="12"/>
      <c r="G28" s="12"/>
      <c r="H28" s="17"/>
      <c r="I28" s="14"/>
      <c r="J28" s="16">
        <f>IF(OR(H28="",I28=""),"",H28*I28)</f>
        <v>0</v>
      </c>
      <c r="K28" s="13"/>
      <c r="L28" s="13"/>
      <c r="M28" s="13"/>
      <c r="N28" s="12"/>
    </row>
    <row r="29" spans="1:14">
      <c r="A29" s="12"/>
      <c r="B29" s="12"/>
      <c r="C29" s="12"/>
      <c r="D29" s="12"/>
      <c r="E29" s="12"/>
      <c r="F29" s="12"/>
      <c r="G29" s="12"/>
      <c r="H29" s="17"/>
      <c r="I29" s="14"/>
      <c r="J29" s="16">
        <f>IF(OR(H29="",I29=""),"",H29*I29)</f>
        <v>0</v>
      </c>
      <c r="K29" s="13"/>
      <c r="L29" s="13"/>
      <c r="M29" s="13"/>
      <c r="N29" s="12"/>
    </row>
    <row r="30" spans="1:14">
      <c r="A30" s="12"/>
      <c r="B30" s="12"/>
      <c r="C30" s="12"/>
      <c r="D30" s="12"/>
      <c r="E30" s="12"/>
      <c r="F30" s="12"/>
      <c r="G30" s="12"/>
      <c r="H30" s="17"/>
      <c r="I30" s="14"/>
      <c r="J30" s="16">
        <f>IF(OR(H30="",I30=""),"",H30*I30)</f>
        <v>0</v>
      </c>
      <c r="K30" s="13"/>
      <c r="L30" s="13"/>
      <c r="M30" s="13"/>
      <c r="N30" s="12"/>
    </row>
    <row r="31" spans="1:14">
      <c r="A31" s="12"/>
      <c r="B31" s="12"/>
      <c r="C31" s="12"/>
      <c r="D31" s="12"/>
      <c r="E31" s="12"/>
      <c r="F31" s="12"/>
      <c r="G31" s="12"/>
      <c r="H31" s="17"/>
      <c r="I31" s="14"/>
      <c r="J31" s="16">
        <f>IF(OR(H31="",I31=""),"",H31*I31)</f>
        <v>0</v>
      </c>
      <c r="K31" s="13"/>
      <c r="L31" s="13"/>
      <c r="M31" s="13"/>
      <c r="N31" s="12"/>
    </row>
    <row r="32" spans="1:14">
      <c r="A32" s="12"/>
      <c r="B32" s="12"/>
      <c r="C32" s="12"/>
      <c r="D32" s="12"/>
      <c r="E32" s="12"/>
      <c r="F32" s="12"/>
      <c r="G32" s="12"/>
      <c r="H32" s="17"/>
      <c r="I32" s="14"/>
      <c r="J32" s="16">
        <f>IF(OR(H32="",I32=""),"",H32*I32)</f>
        <v>0</v>
      </c>
      <c r="K32" s="13"/>
      <c r="L32" s="13"/>
      <c r="M32" s="13"/>
      <c r="N32" s="12"/>
    </row>
    <row r="33" spans="1:14">
      <c r="A33" s="12"/>
      <c r="B33" s="12"/>
      <c r="C33" s="12"/>
      <c r="D33" s="12"/>
      <c r="E33" s="12"/>
      <c r="F33" s="12"/>
      <c r="G33" s="12"/>
      <c r="H33" s="17"/>
      <c r="I33" s="14"/>
      <c r="J33" s="16">
        <f>IF(OR(H33="",I33=""),"",H33*I33)</f>
        <v>0</v>
      </c>
      <c r="K33" s="13"/>
      <c r="L33" s="13"/>
      <c r="M33" s="13"/>
      <c r="N33" s="12"/>
    </row>
    <row r="34" spans="1:14">
      <c r="A34" s="12"/>
      <c r="B34" s="12"/>
      <c r="C34" s="12"/>
      <c r="D34" s="12"/>
      <c r="E34" s="12"/>
      <c r="F34" s="12"/>
      <c r="G34" s="12"/>
      <c r="H34" s="17"/>
      <c r="I34" s="14"/>
      <c r="J34" s="16">
        <f>IF(OR(H34="",I34=""),"",H34*I34)</f>
        <v>0</v>
      </c>
      <c r="K34" s="13"/>
      <c r="L34" s="13"/>
      <c r="M34" s="13"/>
      <c r="N34" s="12"/>
    </row>
    <row r="35" spans="1:14">
      <c r="A35" s="12"/>
      <c r="B35" s="12"/>
      <c r="C35" s="12"/>
      <c r="D35" s="12"/>
      <c r="E35" s="12"/>
      <c r="F35" s="12"/>
      <c r="G35" s="12"/>
      <c r="H35" s="17"/>
      <c r="I35" s="14"/>
      <c r="J35" s="16">
        <f>IF(OR(H35="",I35=""),"",H35*I35)</f>
        <v>0</v>
      </c>
      <c r="K35" s="13"/>
      <c r="L35" s="13"/>
      <c r="M35" s="13"/>
      <c r="N35" s="12"/>
    </row>
    <row r="36" spans="1:14">
      <c r="A36" s="12"/>
      <c r="B36" s="12"/>
      <c r="C36" s="12"/>
      <c r="D36" s="12"/>
      <c r="E36" s="12"/>
      <c r="F36" s="12"/>
      <c r="G36" s="12"/>
      <c r="H36" s="17"/>
      <c r="I36" s="14"/>
      <c r="J36" s="16">
        <f>IF(OR(H36="",I36=""),"",H36*I36)</f>
        <v>0</v>
      </c>
      <c r="K36" s="13"/>
      <c r="L36" s="13"/>
      <c r="M36" s="13"/>
      <c r="N36" s="12"/>
    </row>
    <row r="37" spans="1:14">
      <c r="A37" s="12"/>
      <c r="B37" s="12"/>
      <c r="C37" s="12"/>
      <c r="D37" s="12"/>
      <c r="E37" s="12"/>
      <c r="F37" s="12"/>
      <c r="G37" s="12"/>
      <c r="H37" s="17"/>
      <c r="I37" s="14"/>
      <c r="J37" s="16">
        <f>IF(OR(H37="",I37=""),"",H37*I37)</f>
        <v>0</v>
      </c>
      <c r="K37" s="13"/>
      <c r="L37" s="13"/>
      <c r="M37" s="13"/>
      <c r="N37" s="12"/>
    </row>
    <row r="38" spans="1:14">
      <c r="A38" s="12"/>
      <c r="B38" s="12"/>
      <c r="C38" s="12"/>
      <c r="D38" s="12"/>
      <c r="E38" s="12"/>
      <c r="F38" s="12"/>
      <c r="G38" s="12"/>
      <c r="H38" s="17"/>
      <c r="I38" s="14"/>
      <c r="J38" s="16">
        <f>IF(OR(H38="",I38=""),"",H38*I38)</f>
        <v>0</v>
      </c>
      <c r="K38" s="13"/>
      <c r="L38" s="13"/>
      <c r="M38" s="13"/>
      <c r="N38" s="12"/>
    </row>
    <row r="39" spans="1:14">
      <c r="A39" s="12"/>
      <c r="B39" s="12"/>
      <c r="C39" s="12"/>
      <c r="D39" s="12"/>
      <c r="E39" s="12"/>
      <c r="F39" s="12"/>
      <c r="G39" s="12"/>
      <c r="H39" s="17"/>
      <c r="I39" s="14"/>
      <c r="J39" s="16">
        <f>IF(OR(H39="",I39=""),"",H39*I39)</f>
        <v>0</v>
      </c>
      <c r="K39" s="13"/>
      <c r="L39" s="13"/>
      <c r="M39" s="13"/>
      <c r="N39" s="12"/>
    </row>
    <row r="40" spans="1:14">
      <c r="A40" s="12"/>
      <c r="B40" s="12"/>
      <c r="C40" s="12"/>
      <c r="D40" s="12"/>
      <c r="E40" s="12"/>
      <c r="F40" s="12"/>
      <c r="G40" s="12"/>
      <c r="H40" s="17"/>
      <c r="I40" s="14"/>
      <c r="J40" s="16">
        <f>IF(OR(H40="",I40=""),"",H40*I40)</f>
        <v>0</v>
      </c>
      <c r="K40" s="13"/>
      <c r="L40" s="13"/>
      <c r="M40" s="13"/>
      <c r="N40" s="12"/>
    </row>
    <row r="41" spans="1:14">
      <c r="A41" s="12"/>
      <c r="B41" s="12"/>
      <c r="C41" s="12"/>
      <c r="D41" s="12"/>
      <c r="E41" s="12"/>
      <c r="F41" s="12"/>
      <c r="G41" s="12"/>
      <c r="H41" s="17"/>
      <c r="I41" s="14"/>
      <c r="J41" s="16">
        <f>IF(OR(H41="",I41=""),"",H41*I41)</f>
        <v>0</v>
      </c>
      <c r="K41" s="13"/>
      <c r="L41" s="13"/>
      <c r="M41" s="13"/>
      <c r="N41" s="12"/>
    </row>
    <row r="42" spans="1:14">
      <c r="A42" s="12"/>
      <c r="B42" s="12"/>
      <c r="C42" s="12"/>
      <c r="D42" s="12"/>
      <c r="E42" s="12"/>
      <c r="F42" s="12"/>
      <c r="G42" s="12"/>
      <c r="H42" s="17"/>
      <c r="I42" s="14"/>
      <c r="J42" s="16">
        <f>IF(OR(H42="",I42=""),"",H42*I42)</f>
        <v>0</v>
      </c>
      <c r="K42" s="13"/>
      <c r="L42" s="13"/>
      <c r="M42" s="13"/>
      <c r="N42" s="12"/>
    </row>
    <row r="43" spans="1:14">
      <c r="A43" s="12"/>
      <c r="B43" s="12"/>
      <c r="C43" s="12"/>
      <c r="D43" s="12"/>
      <c r="E43" s="12"/>
      <c r="F43" s="12"/>
      <c r="G43" s="12"/>
      <c r="H43" s="17"/>
      <c r="I43" s="14"/>
      <c r="J43" s="16">
        <f>IF(OR(H43="",I43=""),"",H43*I43)</f>
        <v>0</v>
      </c>
      <c r="K43" s="13"/>
      <c r="L43" s="13"/>
      <c r="M43" s="13"/>
      <c r="N43" s="12"/>
    </row>
    <row r="44" spans="1:14">
      <c r="A44" s="12"/>
      <c r="B44" s="12"/>
      <c r="C44" s="12"/>
      <c r="D44" s="12"/>
      <c r="E44" s="12"/>
      <c r="F44" s="12"/>
      <c r="G44" s="12"/>
      <c r="H44" s="17"/>
      <c r="I44" s="14"/>
      <c r="J44" s="16">
        <f>IF(OR(H44="",I44=""),"",H44*I44)</f>
        <v>0</v>
      </c>
      <c r="K44" s="13"/>
      <c r="L44" s="13"/>
      <c r="M44" s="13"/>
      <c r="N44" s="12"/>
    </row>
    <row r="45" spans="1:14">
      <c r="A45" s="12"/>
      <c r="B45" s="12"/>
      <c r="C45" s="12"/>
      <c r="D45" s="12"/>
      <c r="E45" s="12"/>
      <c r="F45" s="12"/>
      <c r="G45" s="12"/>
      <c r="H45" s="17"/>
      <c r="I45" s="14"/>
      <c r="J45" s="16">
        <f>IF(OR(H45="",I45=""),"",H45*I45)</f>
        <v>0</v>
      </c>
      <c r="K45" s="13"/>
      <c r="L45" s="13"/>
      <c r="M45" s="13"/>
      <c r="N45" s="12"/>
    </row>
    <row r="46" spans="1:14">
      <c r="A46" s="12"/>
      <c r="B46" s="12"/>
      <c r="C46" s="12"/>
      <c r="D46" s="12"/>
      <c r="E46" s="12"/>
      <c r="F46" s="12"/>
      <c r="G46" s="12"/>
      <c r="H46" s="17"/>
      <c r="I46" s="14"/>
      <c r="J46" s="16">
        <f>IF(OR(H46="",I46=""),"",H46*I46)</f>
        <v>0</v>
      </c>
      <c r="K46" s="13"/>
      <c r="L46" s="13"/>
      <c r="M46" s="13"/>
      <c r="N46" s="12"/>
    </row>
    <row r="47" spans="1:14">
      <c r="A47" s="12"/>
      <c r="B47" s="12"/>
      <c r="C47" s="12"/>
      <c r="D47" s="12"/>
      <c r="E47" s="12"/>
      <c r="F47" s="12"/>
      <c r="G47" s="12"/>
      <c r="H47" s="17"/>
      <c r="I47" s="14"/>
      <c r="J47" s="16">
        <f>IF(OR(H47="",I47=""),"",H47*I47)</f>
        <v>0</v>
      </c>
      <c r="K47" s="13"/>
      <c r="L47" s="13"/>
      <c r="M47" s="13"/>
      <c r="N47" s="12"/>
    </row>
    <row r="48" spans="1:14">
      <c r="A48" s="12"/>
      <c r="B48" s="12"/>
      <c r="C48" s="12"/>
      <c r="D48" s="12"/>
      <c r="E48" s="12"/>
      <c r="F48" s="12"/>
      <c r="G48" s="12"/>
      <c r="H48" s="17"/>
      <c r="I48" s="14"/>
      <c r="J48" s="16">
        <f>IF(OR(H48="",I48=""),"",H48*I48)</f>
        <v>0</v>
      </c>
      <c r="K48" s="13"/>
      <c r="L48" s="13"/>
      <c r="M48" s="13"/>
      <c r="N48" s="12"/>
    </row>
    <row r="49" spans="1:14">
      <c r="A49" s="12"/>
      <c r="B49" s="12"/>
      <c r="C49" s="12"/>
      <c r="D49" s="12"/>
      <c r="E49" s="12"/>
      <c r="F49" s="12"/>
      <c r="G49" s="12"/>
      <c r="H49" s="17"/>
      <c r="I49" s="14"/>
      <c r="J49" s="16">
        <f>IF(OR(H49="",I49=""),"",H49*I49)</f>
        <v>0</v>
      </c>
      <c r="K49" s="13"/>
      <c r="L49" s="13"/>
      <c r="M49" s="13"/>
      <c r="N49" s="12"/>
    </row>
    <row r="50" spans="1:14">
      <c r="A50" s="12"/>
      <c r="B50" s="12"/>
      <c r="C50" s="12"/>
      <c r="D50" s="12"/>
      <c r="E50" s="12"/>
      <c r="F50" s="12"/>
      <c r="G50" s="12"/>
      <c r="H50" s="17"/>
      <c r="I50" s="14"/>
      <c r="J50" s="16">
        <f>IF(OR(H50="",I50=""),"",H50*I50)</f>
        <v>0</v>
      </c>
      <c r="K50" s="13"/>
      <c r="L50" s="13"/>
      <c r="M50" s="13"/>
      <c r="N50" s="12"/>
    </row>
    <row r="51" spans="1:14">
      <c r="A51" s="12"/>
      <c r="B51" s="12"/>
      <c r="C51" s="12"/>
      <c r="D51" s="12"/>
      <c r="E51" s="12"/>
      <c r="F51" s="12"/>
      <c r="G51" s="12"/>
      <c r="H51" s="17"/>
      <c r="I51" s="14"/>
      <c r="J51" s="16">
        <f>IF(OR(H51="",I51=""),"",H51*I51)</f>
        <v>0</v>
      </c>
      <c r="K51" s="13"/>
      <c r="L51" s="13"/>
      <c r="M51" s="13"/>
      <c r="N51" s="12"/>
    </row>
    <row r="52" spans="1:14">
      <c r="A52" s="12"/>
      <c r="B52" s="12"/>
      <c r="C52" s="12"/>
      <c r="D52" s="12"/>
      <c r="E52" s="12"/>
      <c r="F52" s="12"/>
      <c r="G52" s="12"/>
      <c r="H52" s="17"/>
      <c r="I52" s="14"/>
      <c r="J52" s="16">
        <f>IF(OR(H52="",I52=""),"",H52*I52)</f>
        <v>0</v>
      </c>
      <c r="K52" s="13"/>
      <c r="L52" s="13"/>
      <c r="M52" s="13"/>
      <c r="N52" s="12"/>
    </row>
    <row r="53" spans="1:14">
      <c r="A53" s="12"/>
      <c r="B53" s="12"/>
      <c r="C53" s="12"/>
      <c r="D53" s="12"/>
      <c r="E53" s="12"/>
      <c r="F53" s="12"/>
      <c r="G53" s="12"/>
      <c r="H53" s="17"/>
      <c r="I53" s="14"/>
      <c r="J53" s="16">
        <f>IF(OR(H53="",I53=""),"",H53*I53)</f>
        <v>0</v>
      </c>
      <c r="K53" s="13"/>
      <c r="L53" s="13"/>
      <c r="M53" s="13"/>
      <c r="N53" s="12"/>
    </row>
    <row r="54" spans="1:14">
      <c r="A54" s="12"/>
      <c r="B54" s="12"/>
      <c r="C54" s="12"/>
      <c r="D54" s="12"/>
      <c r="E54" s="12"/>
      <c r="F54" s="12"/>
      <c r="G54" s="12"/>
      <c r="H54" s="17"/>
      <c r="I54" s="14"/>
      <c r="J54" s="16">
        <f>IF(OR(H54="",I54=""),"",H54*I54)</f>
        <v>0</v>
      </c>
      <c r="K54" s="13"/>
      <c r="L54" s="13"/>
      <c r="M54" s="13"/>
      <c r="N54" s="12"/>
    </row>
    <row r="55" spans="1:14">
      <c r="A55" s="12"/>
      <c r="B55" s="12"/>
      <c r="C55" s="12"/>
      <c r="D55" s="12"/>
      <c r="E55" s="12"/>
      <c r="F55" s="12"/>
      <c r="G55" s="12"/>
      <c r="H55" s="17"/>
      <c r="I55" s="14"/>
      <c r="J55" s="16">
        <f>IF(OR(H55="",I55=""),"",H55*I55)</f>
        <v>0</v>
      </c>
      <c r="K55" s="13"/>
      <c r="L55" s="13"/>
      <c r="M55" s="13"/>
      <c r="N55" s="12"/>
    </row>
    <row r="56" spans="1:14">
      <c r="A56" s="12"/>
      <c r="B56" s="12"/>
      <c r="C56" s="12"/>
      <c r="D56" s="12"/>
      <c r="E56" s="12"/>
      <c r="F56" s="12"/>
      <c r="G56" s="12"/>
      <c r="H56" s="17"/>
      <c r="I56" s="14"/>
      <c r="J56" s="16">
        <f>IF(OR(H56="",I56=""),"",H56*I56)</f>
        <v>0</v>
      </c>
      <c r="K56" s="13"/>
      <c r="L56" s="13"/>
      <c r="M56" s="13"/>
      <c r="N56" s="12"/>
    </row>
    <row r="57" spans="1:14">
      <c r="A57" s="12"/>
      <c r="B57" s="12"/>
      <c r="C57" s="12"/>
      <c r="D57" s="12"/>
      <c r="E57" s="12"/>
      <c r="F57" s="12"/>
      <c r="G57" s="12"/>
      <c r="H57" s="17"/>
      <c r="I57" s="14"/>
      <c r="J57" s="16">
        <f>IF(OR(H57="",I57=""),"",H57*I57)</f>
        <v>0</v>
      </c>
      <c r="K57" s="13"/>
      <c r="L57" s="13"/>
      <c r="M57" s="13"/>
      <c r="N57" s="12"/>
    </row>
    <row r="58" spans="1:14">
      <c r="A58" s="12"/>
      <c r="B58" s="12"/>
      <c r="C58" s="12"/>
      <c r="D58" s="12"/>
      <c r="E58" s="12"/>
      <c r="F58" s="12"/>
      <c r="G58" s="12"/>
      <c r="H58" s="17"/>
      <c r="I58" s="14"/>
      <c r="J58" s="16">
        <f>IF(OR(H58="",I58=""),"",H58*I58)</f>
        <v>0</v>
      </c>
      <c r="K58" s="13"/>
      <c r="L58" s="13"/>
      <c r="M58" s="13"/>
      <c r="N58" s="12"/>
    </row>
    <row r="59" spans="1:14">
      <c r="A59" s="12"/>
      <c r="B59" s="12"/>
      <c r="C59" s="12"/>
      <c r="D59" s="12"/>
      <c r="E59" s="12"/>
      <c r="F59" s="12"/>
      <c r="G59" s="12"/>
      <c r="H59" s="17"/>
      <c r="I59" s="14"/>
      <c r="J59" s="16">
        <f>IF(OR(H59="",I59=""),"",H59*I59)</f>
        <v>0</v>
      </c>
      <c r="K59" s="13"/>
      <c r="L59" s="13"/>
      <c r="M59" s="13"/>
      <c r="N59" s="12"/>
    </row>
    <row r="60" spans="1:14">
      <c r="A60" s="12"/>
      <c r="B60" s="12"/>
      <c r="C60" s="12"/>
      <c r="D60" s="12"/>
      <c r="E60" s="12"/>
      <c r="F60" s="12"/>
      <c r="G60" s="12"/>
      <c r="H60" s="17"/>
      <c r="I60" s="14"/>
      <c r="J60" s="16">
        <f>IF(OR(H60="",I60=""),"",H60*I60)</f>
        <v>0</v>
      </c>
      <c r="K60" s="13"/>
      <c r="L60" s="13"/>
      <c r="M60" s="13"/>
      <c r="N60" s="12"/>
    </row>
    <row r="61" spans="1:14">
      <c r="A61" s="12"/>
      <c r="B61" s="12"/>
      <c r="C61" s="12"/>
      <c r="D61" s="12"/>
      <c r="E61" s="12"/>
      <c r="F61" s="12"/>
      <c r="G61" s="12"/>
      <c r="H61" s="17"/>
      <c r="I61" s="14"/>
      <c r="J61" s="16">
        <f>IF(OR(H61="",I61=""),"",H61*I61)</f>
        <v>0</v>
      </c>
      <c r="K61" s="13"/>
      <c r="L61" s="13"/>
      <c r="M61" s="13"/>
      <c r="N61" s="12"/>
    </row>
    <row r="62" spans="1:14">
      <c r="A62" s="12"/>
      <c r="B62" s="12"/>
      <c r="C62" s="12"/>
      <c r="D62" s="12"/>
      <c r="E62" s="12"/>
      <c r="F62" s="12"/>
      <c r="G62" s="12"/>
      <c r="H62" s="17"/>
      <c r="I62" s="14"/>
      <c r="J62" s="16">
        <f>IF(OR(H62="",I62=""),"",H62*I62)</f>
        <v>0</v>
      </c>
      <c r="K62" s="13"/>
      <c r="L62" s="13"/>
      <c r="M62" s="13"/>
      <c r="N62" s="12"/>
    </row>
    <row r="63" spans="1:14">
      <c r="A63" s="12"/>
      <c r="B63" s="12"/>
      <c r="C63" s="12"/>
      <c r="D63" s="12"/>
      <c r="E63" s="12"/>
      <c r="F63" s="12"/>
      <c r="G63" s="12"/>
      <c r="H63" s="17"/>
      <c r="I63" s="14"/>
      <c r="J63" s="16">
        <f>IF(OR(H63="",I63=""),"",H63*I63)</f>
        <v>0</v>
      </c>
      <c r="K63" s="13"/>
      <c r="L63" s="13"/>
      <c r="M63" s="13"/>
      <c r="N63" s="12"/>
    </row>
    <row r="64" spans="1:14">
      <c r="A64" s="12"/>
      <c r="B64" s="12"/>
      <c r="C64" s="12"/>
      <c r="D64" s="12"/>
      <c r="E64" s="12"/>
      <c r="F64" s="12"/>
      <c r="G64" s="12"/>
      <c r="H64" s="17"/>
      <c r="I64" s="14"/>
      <c r="J64" s="16">
        <f>IF(OR(H64="",I64=""),"",H64*I64)</f>
        <v>0</v>
      </c>
      <c r="K64" s="13"/>
      <c r="L64" s="13"/>
      <c r="M64" s="13"/>
      <c r="N64" s="12"/>
    </row>
    <row r="65" spans="1:14">
      <c r="A65" s="12"/>
      <c r="B65" s="12"/>
      <c r="C65" s="12"/>
      <c r="D65" s="12"/>
      <c r="E65" s="12"/>
      <c r="F65" s="12"/>
      <c r="G65" s="12"/>
      <c r="H65" s="17"/>
      <c r="I65" s="14"/>
      <c r="J65" s="16">
        <f>IF(OR(H65="",I65=""),"",H65*I65)</f>
        <v>0</v>
      </c>
      <c r="K65" s="13"/>
      <c r="L65" s="13"/>
      <c r="M65" s="13"/>
      <c r="N65" s="12"/>
    </row>
    <row r="66" spans="1:14">
      <c r="A66" s="12"/>
      <c r="B66" s="12"/>
      <c r="C66" s="12"/>
      <c r="D66" s="12"/>
      <c r="E66" s="12"/>
      <c r="F66" s="12"/>
      <c r="G66" s="12"/>
      <c r="H66" s="17"/>
      <c r="I66" s="14"/>
      <c r="J66" s="16">
        <f>IF(OR(H66="",I66=""),"",H66*I66)</f>
        <v>0</v>
      </c>
      <c r="K66" s="13"/>
      <c r="L66" s="13"/>
      <c r="M66" s="13"/>
      <c r="N66" s="12"/>
    </row>
    <row r="67" spans="1:14">
      <c r="A67" s="12"/>
      <c r="B67" s="12"/>
      <c r="C67" s="12"/>
      <c r="D67" s="12"/>
      <c r="E67" s="12"/>
      <c r="F67" s="12"/>
      <c r="G67" s="12"/>
      <c r="H67" s="17"/>
      <c r="I67" s="14"/>
      <c r="J67" s="16">
        <f>IF(OR(H67="",I67=""),"",H67*I67)</f>
        <v>0</v>
      </c>
      <c r="K67" s="13"/>
      <c r="L67" s="13"/>
      <c r="M67" s="13"/>
      <c r="N67" s="12"/>
    </row>
    <row r="68" spans="1:14">
      <c r="A68" s="12"/>
      <c r="B68" s="12"/>
      <c r="C68" s="12"/>
      <c r="D68" s="12"/>
      <c r="E68" s="12"/>
      <c r="F68" s="12"/>
      <c r="G68" s="12"/>
      <c r="H68" s="17"/>
      <c r="I68" s="14"/>
      <c r="J68" s="16">
        <f>IF(OR(H68="",I68=""),"",H68*I68)</f>
        <v>0</v>
      </c>
      <c r="K68" s="13"/>
      <c r="L68" s="13"/>
      <c r="M68" s="13"/>
      <c r="N68" s="12"/>
    </row>
    <row r="69" spans="1:14">
      <c r="A69" s="12"/>
      <c r="B69" s="12"/>
      <c r="C69" s="12"/>
      <c r="D69" s="12"/>
      <c r="E69" s="12"/>
      <c r="F69" s="12"/>
      <c r="G69" s="12"/>
      <c r="H69" s="17"/>
      <c r="I69" s="14"/>
      <c r="J69" s="16">
        <f>IF(OR(H69="",I69=""),"",H69*I69)</f>
        <v>0</v>
      </c>
      <c r="K69" s="13"/>
      <c r="L69" s="13"/>
      <c r="M69" s="13"/>
      <c r="N69" s="12"/>
    </row>
    <row r="70" spans="1:14">
      <c r="A70" s="12"/>
      <c r="B70" s="12"/>
      <c r="C70" s="12"/>
      <c r="D70" s="12"/>
      <c r="E70" s="12"/>
      <c r="F70" s="12"/>
      <c r="G70" s="12"/>
      <c r="H70" s="17"/>
      <c r="I70" s="14"/>
      <c r="J70" s="16">
        <f>IF(OR(H70="",I70=""),"",H70*I70)</f>
        <v>0</v>
      </c>
      <c r="K70" s="13"/>
      <c r="L70" s="13"/>
      <c r="M70" s="13"/>
      <c r="N70" s="12"/>
    </row>
    <row r="71" spans="1:14">
      <c r="A71" s="12"/>
      <c r="B71" s="12"/>
      <c r="C71" s="12"/>
      <c r="D71" s="12"/>
      <c r="E71" s="12"/>
      <c r="F71" s="12"/>
      <c r="G71" s="12"/>
      <c r="H71" s="17"/>
      <c r="I71" s="14"/>
      <c r="J71" s="16">
        <f>IF(OR(H71="",I71=""),"",H71*I71)</f>
        <v>0</v>
      </c>
      <c r="K71" s="13"/>
      <c r="L71" s="13"/>
      <c r="M71" s="13"/>
      <c r="N71" s="12"/>
    </row>
    <row r="72" spans="1:14">
      <c r="A72" s="12"/>
      <c r="B72" s="12"/>
      <c r="C72" s="12"/>
      <c r="D72" s="12"/>
      <c r="E72" s="12"/>
      <c r="F72" s="12"/>
      <c r="G72" s="12"/>
      <c r="H72" s="17"/>
      <c r="I72" s="14"/>
      <c r="J72" s="16">
        <f>IF(OR(H72="",I72=""),"",H72*I72)</f>
        <v>0</v>
      </c>
      <c r="K72" s="13"/>
      <c r="L72" s="13"/>
      <c r="M72" s="13"/>
      <c r="N72" s="12"/>
    </row>
    <row r="73" spans="1:14">
      <c r="A73" s="12"/>
      <c r="B73" s="12"/>
      <c r="C73" s="12"/>
      <c r="D73" s="12"/>
      <c r="E73" s="12"/>
      <c r="F73" s="12"/>
      <c r="G73" s="12"/>
      <c r="H73" s="17"/>
      <c r="I73" s="14"/>
      <c r="J73" s="16">
        <f>IF(OR(H73="",I73=""),"",H73*I73)</f>
        <v>0</v>
      </c>
      <c r="K73" s="13"/>
      <c r="L73" s="13"/>
      <c r="M73" s="13"/>
      <c r="N73" s="12"/>
    </row>
    <row r="74" spans="1:14">
      <c r="A74" s="12"/>
      <c r="B74" s="12"/>
      <c r="C74" s="12"/>
      <c r="D74" s="12"/>
      <c r="E74" s="12"/>
      <c r="F74" s="12"/>
      <c r="G74" s="12"/>
      <c r="H74" s="17"/>
      <c r="I74" s="14"/>
      <c r="J74" s="16">
        <f>IF(OR(H74="",I74=""),"",H74*I74)</f>
        <v>0</v>
      </c>
      <c r="K74" s="13"/>
      <c r="L74" s="13"/>
      <c r="M74" s="13"/>
      <c r="N74" s="12"/>
    </row>
    <row r="75" spans="1:14">
      <c r="A75" s="12"/>
      <c r="B75" s="12"/>
      <c r="C75" s="12"/>
      <c r="D75" s="12"/>
      <c r="E75" s="12"/>
      <c r="F75" s="12"/>
      <c r="G75" s="12"/>
      <c r="H75" s="17"/>
      <c r="I75" s="14"/>
      <c r="J75" s="16">
        <f>IF(OR(H75="",I75=""),"",H75*I75)</f>
        <v>0</v>
      </c>
      <c r="K75" s="13"/>
      <c r="L75" s="13"/>
      <c r="M75" s="13"/>
      <c r="N75" s="12"/>
    </row>
    <row r="76" spans="1:14">
      <c r="A76" s="12"/>
      <c r="B76" s="12"/>
      <c r="C76" s="12"/>
      <c r="D76" s="12"/>
      <c r="E76" s="12"/>
      <c r="F76" s="12"/>
      <c r="G76" s="12"/>
      <c r="H76" s="17"/>
      <c r="I76" s="14"/>
      <c r="J76" s="16">
        <f>IF(OR(H76="",I76=""),"",H76*I76)</f>
        <v>0</v>
      </c>
      <c r="K76" s="13"/>
      <c r="L76" s="13"/>
      <c r="M76" s="13"/>
      <c r="N76" s="12"/>
    </row>
    <row r="77" spans="1:14">
      <c r="A77" s="12"/>
      <c r="B77" s="12"/>
      <c r="C77" s="12"/>
      <c r="D77" s="12"/>
      <c r="E77" s="12"/>
      <c r="F77" s="12"/>
      <c r="G77" s="12"/>
      <c r="H77" s="17"/>
      <c r="I77" s="14"/>
      <c r="J77" s="16">
        <f>IF(OR(H77="",I77=""),"",H77*I77)</f>
        <v>0</v>
      </c>
      <c r="K77" s="13"/>
      <c r="L77" s="13"/>
      <c r="M77" s="13"/>
      <c r="N77" s="12"/>
    </row>
    <row r="78" spans="1:14">
      <c r="A78" s="12"/>
      <c r="B78" s="12"/>
      <c r="C78" s="12"/>
      <c r="D78" s="12"/>
      <c r="E78" s="12"/>
      <c r="F78" s="12"/>
      <c r="G78" s="12"/>
      <c r="H78" s="17"/>
      <c r="I78" s="14"/>
      <c r="J78" s="16">
        <f>IF(OR(H78="",I78=""),"",H78*I78)</f>
        <v>0</v>
      </c>
      <c r="K78" s="13"/>
      <c r="L78" s="13"/>
      <c r="M78" s="13"/>
      <c r="N78" s="12"/>
    </row>
    <row r="79" spans="1:14">
      <c r="A79" s="12"/>
      <c r="B79" s="12"/>
      <c r="C79" s="12"/>
      <c r="D79" s="12"/>
      <c r="E79" s="12"/>
      <c r="F79" s="12"/>
      <c r="G79" s="12"/>
      <c r="H79" s="17"/>
      <c r="I79" s="14"/>
      <c r="J79" s="16">
        <f>IF(OR(H79="",I79=""),"",H79*I79)</f>
        <v>0</v>
      </c>
      <c r="K79" s="13"/>
      <c r="L79" s="13"/>
      <c r="M79" s="13"/>
      <c r="N79" s="12"/>
    </row>
    <row r="80" spans="1:14">
      <c r="A80" s="12"/>
      <c r="B80" s="12"/>
      <c r="C80" s="12"/>
      <c r="D80" s="12"/>
      <c r="E80" s="12"/>
      <c r="F80" s="12"/>
      <c r="G80" s="12"/>
      <c r="H80" s="17"/>
      <c r="I80" s="14"/>
      <c r="J80" s="16">
        <f>IF(OR(H80="",I80=""),"",H80*I80)</f>
        <v>0</v>
      </c>
      <c r="K80" s="13"/>
      <c r="L80" s="13"/>
      <c r="M80" s="13"/>
      <c r="N80" s="12"/>
    </row>
    <row r="81" spans="1:14">
      <c r="A81" s="12"/>
      <c r="B81" s="12"/>
      <c r="C81" s="12"/>
      <c r="D81" s="12"/>
      <c r="E81" s="12"/>
      <c r="F81" s="12"/>
      <c r="G81" s="12"/>
      <c r="H81" s="17"/>
      <c r="I81" s="14"/>
      <c r="J81" s="16">
        <f>IF(OR(H81="",I81=""),"",H81*I81)</f>
        <v>0</v>
      </c>
      <c r="K81" s="13"/>
      <c r="L81" s="13"/>
      <c r="M81" s="13"/>
      <c r="N81" s="12"/>
    </row>
    <row r="82" spans="1:14">
      <c r="A82" s="12"/>
      <c r="B82" s="12"/>
      <c r="C82" s="12"/>
      <c r="D82" s="12"/>
      <c r="E82" s="12"/>
      <c r="F82" s="12"/>
      <c r="G82" s="12"/>
      <c r="H82" s="17"/>
      <c r="I82" s="14"/>
      <c r="J82" s="16">
        <f>IF(OR(H82="",I82=""),"",H82*I82)</f>
        <v>0</v>
      </c>
      <c r="K82" s="13"/>
      <c r="L82" s="13"/>
      <c r="M82" s="13"/>
      <c r="N82" s="12"/>
    </row>
    <row r="83" spans="1:14">
      <c r="A83" s="12"/>
      <c r="B83" s="12"/>
      <c r="C83" s="12"/>
      <c r="D83" s="12"/>
      <c r="E83" s="12"/>
      <c r="F83" s="12"/>
      <c r="G83" s="12"/>
      <c r="H83" s="17"/>
      <c r="I83" s="14"/>
      <c r="J83" s="16">
        <f>IF(OR(H83="",I83=""),"",H83*I83)</f>
        <v>0</v>
      </c>
      <c r="K83" s="13"/>
      <c r="L83" s="13"/>
      <c r="M83" s="13"/>
      <c r="N83" s="12"/>
    </row>
    <row r="84" spans="1:14">
      <c r="A84" s="12"/>
      <c r="B84" s="12"/>
      <c r="C84" s="12"/>
      <c r="D84" s="12"/>
      <c r="E84" s="12"/>
      <c r="F84" s="12"/>
      <c r="G84" s="12"/>
      <c r="H84" s="17"/>
      <c r="I84" s="14"/>
      <c r="J84" s="16">
        <f>IF(OR(H84="",I84=""),"",H84*I84)</f>
        <v>0</v>
      </c>
      <c r="K84" s="13"/>
      <c r="L84" s="13"/>
      <c r="M84" s="13"/>
      <c r="N84" s="12"/>
    </row>
    <row r="85" spans="1:14">
      <c r="A85" s="12"/>
      <c r="B85" s="12"/>
      <c r="C85" s="12"/>
      <c r="D85" s="12"/>
      <c r="E85" s="12"/>
      <c r="F85" s="12"/>
      <c r="G85" s="12"/>
      <c r="H85" s="17"/>
      <c r="I85" s="14"/>
      <c r="J85" s="16">
        <f>IF(OR(H85="",I85=""),"",H85*I85)</f>
        <v>0</v>
      </c>
      <c r="K85" s="13"/>
      <c r="L85" s="13"/>
      <c r="M85" s="13"/>
      <c r="N85" s="12"/>
    </row>
    <row r="86" spans="1:14">
      <c r="A86" s="12"/>
      <c r="B86" s="12"/>
      <c r="C86" s="12"/>
      <c r="D86" s="12"/>
      <c r="E86" s="12"/>
      <c r="F86" s="12"/>
      <c r="G86" s="12"/>
      <c r="H86" s="17"/>
      <c r="I86" s="14"/>
      <c r="J86" s="16">
        <f>IF(OR(H86="",I86=""),"",H86*I86)</f>
        <v>0</v>
      </c>
      <c r="K86" s="13"/>
      <c r="L86" s="13"/>
      <c r="M86" s="13"/>
      <c r="N86" s="12"/>
    </row>
    <row r="87" spans="1:14">
      <c r="A87" s="12"/>
      <c r="B87" s="12"/>
      <c r="C87" s="12"/>
      <c r="D87" s="12"/>
      <c r="E87" s="12"/>
      <c r="F87" s="12"/>
      <c r="G87" s="12"/>
      <c r="H87" s="17"/>
      <c r="I87" s="14"/>
      <c r="J87" s="16">
        <f>IF(OR(H87="",I87=""),"",H87*I87)</f>
        <v>0</v>
      </c>
      <c r="K87" s="13"/>
      <c r="L87" s="13"/>
      <c r="M87" s="13"/>
      <c r="N87" s="12"/>
    </row>
    <row r="88" spans="1:14">
      <c r="A88" s="12"/>
      <c r="B88" s="12"/>
      <c r="C88" s="12"/>
      <c r="D88" s="12"/>
      <c r="E88" s="12"/>
      <c r="F88" s="12"/>
      <c r="G88" s="12"/>
      <c r="H88" s="17"/>
      <c r="I88" s="14"/>
      <c r="J88" s="16">
        <f>IF(OR(H88="",I88=""),"",H88*I88)</f>
        <v>0</v>
      </c>
      <c r="K88" s="13"/>
      <c r="L88" s="13"/>
      <c r="M88" s="13"/>
      <c r="N88" s="12"/>
    </row>
    <row r="89" spans="1:14">
      <c r="A89" s="12"/>
      <c r="B89" s="12"/>
      <c r="C89" s="12"/>
      <c r="D89" s="12"/>
      <c r="E89" s="12"/>
      <c r="F89" s="12"/>
      <c r="G89" s="12"/>
      <c r="H89" s="17"/>
      <c r="I89" s="14"/>
      <c r="J89" s="16">
        <f>IF(OR(H89="",I89=""),"",H89*I89)</f>
        <v>0</v>
      </c>
      <c r="K89" s="13"/>
      <c r="L89" s="13"/>
      <c r="M89" s="13"/>
      <c r="N89" s="12"/>
    </row>
    <row r="90" spans="1:14">
      <c r="A90" s="12"/>
      <c r="B90" s="12"/>
      <c r="C90" s="12"/>
      <c r="D90" s="12"/>
      <c r="E90" s="12"/>
      <c r="F90" s="12"/>
      <c r="G90" s="12"/>
      <c r="H90" s="17"/>
      <c r="I90" s="14"/>
      <c r="J90" s="16">
        <f>IF(OR(H90="",I90=""),"",H90*I90)</f>
        <v>0</v>
      </c>
      <c r="K90" s="13"/>
      <c r="L90" s="13"/>
      <c r="M90" s="13"/>
      <c r="N90" s="12"/>
    </row>
    <row r="91" spans="1:14">
      <c r="A91" s="12"/>
      <c r="B91" s="12"/>
      <c r="C91" s="12"/>
      <c r="D91" s="12"/>
      <c r="E91" s="12"/>
      <c r="F91" s="12"/>
      <c r="G91" s="12"/>
      <c r="H91" s="17"/>
      <c r="I91" s="14"/>
      <c r="J91" s="16">
        <f>IF(OR(H91="",I91=""),"",H91*I91)</f>
        <v>0</v>
      </c>
      <c r="K91" s="13"/>
      <c r="L91" s="13"/>
      <c r="M91" s="13"/>
      <c r="N91" s="12"/>
    </row>
    <row r="92" spans="1:14">
      <c r="A92" s="12"/>
      <c r="B92" s="12"/>
      <c r="C92" s="12"/>
      <c r="D92" s="12"/>
      <c r="E92" s="12"/>
      <c r="F92" s="12"/>
      <c r="G92" s="12"/>
      <c r="H92" s="17"/>
      <c r="I92" s="14"/>
      <c r="J92" s="16">
        <f>IF(OR(H92="",I92=""),"",H92*I92)</f>
        <v>0</v>
      </c>
      <c r="K92" s="13"/>
      <c r="L92" s="13"/>
      <c r="M92" s="13"/>
      <c r="N92" s="12"/>
    </row>
    <row r="93" spans="1:14">
      <c r="A93" s="12"/>
      <c r="B93" s="12"/>
      <c r="C93" s="12"/>
      <c r="D93" s="12"/>
      <c r="E93" s="12"/>
      <c r="F93" s="12"/>
      <c r="G93" s="12"/>
      <c r="H93" s="17"/>
      <c r="I93" s="14"/>
      <c r="J93" s="16">
        <f>IF(OR(H93="",I93=""),"",H93*I93)</f>
        <v>0</v>
      </c>
      <c r="K93" s="13"/>
      <c r="L93" s="13"/>
      <c r="M93" s="13"/>
      <c r="N93" s="12"/>
    </row>
    <row r="94" spans="1:14">
      <c r="A94" s="12"/>
      <c r="B94" s="12"/>
      <c r="C94" s="12"/>
      <c r="D94" s="12"/>
      <c r="E94" s="12"/>
      <c r="F94" s="12"/>
      <c r="G94" s="12"/>
      <c r="H94" s="17"/>
      <c r="I94" s="14"/>
      <c r="J94" s="16">
        <f>IF(OR(H94="",I94=""),"",H94*I94)</f>
        <v>0</v>
      </c>
      <c r="K94" s="13"/>
      <c r="L94" s="13"/>
      <c r="M94" s="13"/>
      <c r="N94" s="12"/>
    </row>
    <row r="95" spans="1:14">
      <c r="A95" s="12"/>
      <c r="B95" s="12"/>
      <c r="C95" s="12"/>
      <c r="D95" s="12"/>
      <c r="E95" s="12"/>
      <c r="F95" s="12"/>
      <c r="G95" s="12"/>
      <c r="H95" s="17"/>
      <c r="I95" s="14"/>
      <c r="J95" s="16">
        <f>IF(OR(H95="",I95=""),"",H95*I95)</f>
        <v>0</v>
      </c>
      <c r="K95" s="13"/>
      <c r="L95" s="13"/>
      <c r="M95" s="13"/>
      <c r="N95" s="12"/>
    </row>
    <row r="96" spans="1:14">
      <c r="A96" s="12"/>
      <c r="B96" s="12"/>
      <c r="C96" s="12"/>
      <c r="D96" s="12"/>
      <c r="E96" s="12"/>
      <c r="F96" s="12"/>
      <c r="G96" s="12"/>
      <c r="H96" s="17"/>
      <c r="I96" s="14"/>
      <c r="J96" s="16">
        <f>IF(OR(H96="",I96=""),"",H96*I96)</f>
        <v>0</v>
      </c>
      <c r="K96" s="13"/>
      <c r="L96" s="13"/>
      <c r="M96" s="13"/>
      <c r="N96" s="12"/>
    </row>
    <row r="97" spans="1:14">
      <c r="A97" s="12"/>
      <c r="B97" s="12"/>
      <c r="C97" s="12"/>
      <c r="D97" s="12"/>
      <c r="E97" s="12"/>
      <c r="F97" s="12"/>
      <c r="G97" s="12"/>
      <c r="H97" s="17"/>
      <c r="I97" s="14"/>
      <c r="J97" s="16">
        <f>IF(OR(H97="",I97=""),"",H97*I97)</f>
        <v>0</v>
      </c>
      <c r="K97" s="13"/>
      <c r="L97" s="13"/>
      <c r="M97" s="13"/>
      <c r="N97" s="12"/>
    </row>
    <row r="98" spans="1:14">
      <c r="A98" s="12"/>
      <c r="B98" s="12"/>
      <c r="C98" s="12"/>
      <c r="D98" s="12"/>
      <c r="E98" s="12"/>
      <c r="F98" s="12"/>
      <c r="G98" s="12"/>
      <c r="H98" s="17"/>
      <c r="I98" s="14"/>
      <c r="J98" s="16">
        <f>IF(OR(H98="",I98=""),"",H98*I98)</f>
        <v>0</v>
      </c>
      <c r="K98" s="13"/>
      <c r="L98" s="13"/>
      <c r="M98" s="13"/>
      <c r="N98" s="12"/>
    </row>
    <row r="99" spans="1:14">
      <c r="A99" s="12"/>
      <c r="B99" s="12"/>
      <c r="C99" s="12"/>
      <c r="D99" s="12"/>
      <c r="E99" s="12"/>
      <c r="F99" s="12"/>
      <c r="G99" s="12"/>
      <c r="H99" s="17"/>
      <c r="I99" s="14"/>
      <c r="J99" s="16">
        <f>IF(OR(H99="",I99=""),"",H99*I99)</f>
        <v>0</v>
      </c>
      <c r="K99" s="13"/>
      <c r="L99" s="13"/>
      <c r="M99" s="13"/>
      <c r="N99" s="12"/>
    </row>
    <row r="100" spans="1:14">
      <c r="A100" s="12"/>
      <c r="B100" s="12"/>
      <c r="C100" s="12"/>
      <c r="D100" s="12"/>
      <c r="E100" s="12"/>
      <c r="F100" s="12"/>
      <c r="G100" s="12"/>
      <c r="H100" s="17"/>
      <c r="I100" s="14"/>
      <c r="J100" s="16">
        <f>IF(OR(H100="",I100=""),"",H100*I100)</f>
        <v>0</v>
      </c>
      <c r="K100" s="13"/>
      <c r="L100" s="13"/>
      <c r="M100" s="13"/>
      <c r="N100" s="12"/>
    </row>
    <row r="101" spans="1:14">
      <c r="A101" s="12"/>
      <c r="B101" s="12"/>
      <c r="C101" s="12"/>
      <c r="D101" s="12"/>
      <c r="E101" s="12"/>
      <c r="F101" s="12"/>
      <c r="G101" s="12"/>
      <c r="H101" s="17"/>
      <c r="I101" s="14"/>
      <c r="J101" s="16">
        <f>IF(OR(H101="",I101=""),"",H101*I101)</f>
        <v>0</v>
      </c>
      <c r="K101" s="13"/>
      <c r="L101" s="13"/>
      <c r="M101" s="13"/>
      <c r="N101" s="12"/>
    </row>
    <row r="102" spans="1:14">
      <c r="A102" s="12"/>
      <c r="B102" s="12"/>
      <c r="C102" s="12"/>
      <c r="D102" s="12"/>
      <c r="E102" s="12"/>
      <c r="F102" s="12"/>
      <c r="G102" s="12"/>
      <c r="H102" s="17"/>
      <c r="I102" s="14"/>
      <c r="J102" s="16">
        <f>IF(OR(H102="",I102=""),"",H102*I102)</f>
        <v>0</v>
      </c>
      <c r="K102" s="13"/>
      <c r="L102" s="13"/>
      <c r="M102" s="13"/>
      <c r="N102" s="12"/>
    </row>
    <row r="103" spans="1:14">
      <c r="A103" s="12"/>
      <c r="B103" s="12"/>
      <c r="C103" s="12"/>
      <c r="D103" s="12"/>
      <c r="E103" s="12"/>
      <c r="F103" s="12"/>
      <c r="G103" s="12"/>
      <c r="H103" s="17"/>
      <c r="I103" s="14"/>
      <c r="J103" s="16">
        <f>IF(OR(H103="",I103=""),"",H103*I103)</f>
        <v>0</v>
      </c>
      <c r="K103" s="13"/>
      <c r="L103" s="13"/>
      <c r="M103" s="13"/>
      <c r="N103" s="12"/>
    </row>
    <row r="104" spans="1:14">
      <c r="A104" s="12"/>
      <c r="B104" s="12"/>
      <c r="C104" s="12"/>
      <c r="D104" s="12"/>
      <c r="E104" s="12"/>
      <c r="F104" s="12"/>
      <c r="G104" s="12"/>
      <c r="H104" s="17"/>
      <c r="I104" s="14"/>
      <c r="J104" s="16">
        <f>IF(OR(H104="",I104=""),"",H104*I104)</f>
        <v>0</v>
      </c>
      <c r="K104" s="13"/>
      <c r="L104" s="13"/>
      <c r="M104" s="13"/>
      <c r="N104" s="12"/>
    </row>
    <row r="105" spans="1:14">
      <c r="A105" s="12"/>
      <c r="B105" s="12"/>
      <c r="C105" s="12"/>
      <c r="D105" s="12"/>
      <c r="E105" s="12"/>
      <c r="F105" s="12"/>
      <c r="G105" s="12"/>
      <c r="H105" s="17"/>
      <c r="I105" s="14"/>
      <c r="J105" s="16">
        <f>IF(OR(H105="",I105=""),"",H105*I105)</f>
        <v>0</v>
      </c>
      <c r="K105" s="13"/>
      <c r="L105" s="13"/>
      <c r="M105" s="13"/>
      <c r="N105" s="12"/>
    </row>
    <row r="106" spans="1:14">
      <c r="A106" s="12"/>
      <c r="B106" s="12"/>
      <c r="C106" s="12"/>
      <c r="D106" s="12"/>
      <c r="E106" s="12"/>
      <c r="F106" s="12"/>
      <c r="G106" s="12"/>
      <c r="H106" s="17"/>
      <c r="I106" s="14"/>
      <c r="J106" s="16">
        <f>IF(OR(H106="",I106=""),"",H106*I106)</f>
        <v>0</v>
      </c>
      <c r="K106" s="13"/>
      <c r="L106" s="13"/>
      <c r="M106" s="13"/>
      <c r="N106" s="12"/>
    </row>
    <row r="107" spans="1:14">
      <c r="A107" s="12"/>
      <c r="B107" s="12"/>
      <c r="C107" s="12"/>
      <c r="D107" s="12"/>
      <c r="E107" s="12"/>
      <c r="F107" s="12"/>
      <c r="G107" s="12"/>
      <c r="H107" s="17"/>
      <c r="I107" s="14"/>
      <c r="J107" s="16">
        <f>IF(OR(H107="",I107=""),"",H107*I107)</f>
        <v>0</v>
      </c>
      <c r="K107" s="13"/>
      <c r="L107" s="13"/>
      <c r="M107" s="13"/>
      <c r="N107" s="12"/>
    </row>
    <row r="108" spans="1:14">
      <c r="A108" s="12"/>
      <c r="B108" s="12"/>
      <c r="C108" s="12"/>
      <c r="D108" s="12"/>
      <c r="E108" s="12"/>
      <c r="F108" s="12"/>
      <c r="G108" s="12"/>
      <c r="H108" s="17"/>
      <c r="I108" s="14"/>
      <c r="J108" s="16">
        <f>IF(OR(H108="",I108=""),"",H108*I108)</f>
        <v>0</v>
      </c>
      <c r="K108" s="13"/>
      <c r="L108" s="13"/>
      <c r="M108" s="13"/>
      <c r="N108" s="12"/>
    </row>
    <row r="109" spans="1:14">
      <c r="A109" s="12"/>
      <c r="B109" s="12"/>
      <c r="C109" s="12"/>
      <c r="D109" s="12"/>
      <c r="E109" s="12"/>
      <c r="F109" s="12"/>
      <c r="G109" s="12"/>
      <c r="H109" s="17"/>
      <c r="I109" s="14"/>
      <c r="J109" s="16">
        <f>IF(OR(H109="",I109=""),"",H109*I109)</f>
        <v>0</v>
      </c>
      <c r="K109" s="13"/>
      <c r="L109" s="13"/>
      <c r="M109" s="13"/>
      <c r="N109" s="12"/>
    </row>
    <row r="110" spans="1:14">
      <c r="A110" s="12"/>
      <c r="B110" s="12"/>
      <c r="C110" s="12"/>
      <c r="D110" s="12"/>
      <c r="E110" s="12"/>
      <c r="F110" s="12"/>
      <c r="G110" s="12"/>
      <c r="H110" s="17"/>
      <c r="I110" s="14"/>
      <c r="J110" s="16">
        <f>IF(OR(H110="",I110=""),"",H110*I110)</f>
        <v>0</v>
      </c>
      <c r="K110" s="13"/>
      <c r="L110" s="13"/>
      <c r="M110" s="13"/>
      <c r="N110" s="12"/>
    </row>
    <row r="111" spans="1:14">
      <c r="A111" s="12"/>
      <c r="B111" s="12"/>
      <c r="C111" s="12"/>
      <c r="D111" s="12"/>
      <c r="E111" s="12"/>
      <c r="F111" s="12"/>
      <c r="G111" s="12"/>
      <c r="H111" s="17"/>
      <c r="I111" s="14"/>
      <c r="J111" s="16">
        <f>IF(OR(H111="",I111=""),"",H111*I111)</f>
        <v>0</v>
      </c>
      <c r="K111" s="13"/>
      <c r="L111" s="13"/>
      <c r="M111" s="13"/>
      <c r="N111" s="12"/>
    </row>
    <row r="112" spans="1:14">
      <c r="A112" s="12"/>
      <c r="B112" s="12"/>
      <c r="C112" s="12"/>
      <c r="D112" s="12"/>
      <c r="E112" s="12"/>
      <c r="F112" s="12"/>
      <c r="G112" s="12"/>
      <c r="H112" s="17"/>
      <c r="I112" s="14"/>
      <c r="J112" s="16">
        <f>IF(OR(H112="",I112=""),"",H112*I112)</f>
        <v>0</v>
      </c>
      <c r="K112" s="13"/>
      <c r="L112" s="13"/>
      <c r="M112" s="13"/>
      <c r="N112" s="12"/>
    </row>
    <row r="113" spans="1:14">
      <c r="A113" s="12"/>
      <c r="B113" s="12"/>
      <c r="C113" s="12"/>
      <c r="D113" s="12"/>
      <c r="E113" s="12"/>
      <c r="F113" s="12"/>
      <c r="G113" s="12"/>
      <c r="H113" s="17"/>
      <c r="I113" s="14"/>
      <c r="J113" s="16">
        <f>IF(OR(H113="",I113=""),"",H113*I113)</f>
        <v>0</v>
      </c>
      <c r="K113" s="13"/>
      <c r="L113" s="13"/>
      <c r="M113" s="13"/>
      <c r="N113" s="12"/>
    </row>
    <row r="114" spans="1:14">
      <c r="A114" s="12"/>
      <c r="B114" s="12"/>
      <c r="C114" s="12"/>
      <c r="D114" s="12"/>
      <c r="E114" s="12"/>
      <c r="F114" s="12"/>
      <c r="G114" s="12"/>
      <c r="H114" s="17"/>
      <c r="I114" s="14"/>
      <c r="J114" s="16">
        <f>IF(OR(H114="",I114=""),"",H114*I114)</f>
        <v>0</v>
      </c>
      <c r="K114" s="13"/>
      <c r="L114" s="13"/>
      <c r="M114" s="13"/>
      <c r="N114" s="12"/>
    </row>
    <row r="115" spans="1:14">
      <c r="A115" s="12"/>
      <c r="B115" s="12"/>
      <c r="C115" s="12"/>
      <c r="D115" s="12"/>
      <c r="E115" s="12"/>
      <c r="F115" s="12"/>
      <c r="G115" s="12"/>
      <c r="H115" s="17"/>
      <c r="I115" s="14"/>
      <c r="J115" s="16">
        <f>IF(OR(H115="",I115=""),"",H115*I115)</f>
        <v>0</v>
      </c>
      <c r="K115" s="13"/>
      <c r="L115" s="13"/>
      <c r="M115" s="13"/>
      <c r="N115" s="12"/>
    </row>
    <row r="116" spans="1:14">
      <c r="A116" s="12"/>
      <c r="B116" s="12"/>
      <c r="C116" s="12"/>
      <c r="D116" s="12"/>
      <c r="E116" s="12"/>
      <c r="F116" s="12"/>
      <c r="G116" s="12"/>
      <c r="H116" s="17"/>
      <c r="I116" s="14"/>
      <c r="J116" s="16">
        <f>IF(OR(H116="",I116=""),"",H116*I116)</f>
        <v>0</v>
      </c>
      <c r="K116" s="13"/>
      <c r="L116" s="13"/>
      <c r="M116" s="13"/>
      <c r="N116" s="12"/>
    </row>
    <row r="117" spans="1:14">
      <c r="A117" s="12"/>
      <c r="B117" s="12"/>
      <c r="C117" s="12"/>
      <c r="D117" s="12"/>
      <c r="E117" s="12"/>
      <c r="F117" s="12"/>
      <c r="G117" s="12"/>
      <c r="H117" s="17"/>
      <c r="I117" s="14"/>
      <c r="J117" s="16">
        <f>IF(OR(H117="",I117=""),"",H117*I117)</f>
        <v>0</v>
      </c>
      <c r="K117" s="13"/>
      <c r="L117" s="13"/>
      <c r="M117" s="13"/>
      <c r="N117" s="12"/>
    </row>
    <row r="118" spans="1:14">
      <c r="A118" s="12"/>
      <c r="B118" s="12"/>
      <c r="C118" s="12"/>
      <c r="D118" s="12"/>
      <c r="E118" s="12"/>
      <c r="F118" s="12"/>
      <c r="G118" s="12"/>
      <c r="H118" s="17"/>
      <c r="I118" s="14"/>
      <c r="J118" s="16">
        <f>IF(OR(H118="",I118=""),"",H118*I118)</f>
        <v>0</v>
      </c>
      <c r="K118" s="13"/>
      <c r="L118" s="13"/>
      <c r="M118" s="13"/>
      <c r="N118" s="12"/>
    </row>
    <row r="119" spans="1:14">
      <c r="A119" s="12"/>
      <c r="B119" s="12"/>
      <c r="C119" s="12"/>
      <c r="D119" s="12"/>
      <c r="E119" s="12"/>
      <c r="F119" s="12"/>
      <c r="G119" s="12"/>
      <c r="H119" s="17"/>
      <c r="I119" s="14"/>
      <c r="J119" s="16">
        <f>IF(OR(H119="",I119=""),"",H119*I119)</f>
        <v>0</v>
      </c>
      <c r="K119" s="13"/>
      <c r="L119" s="13"/>
      <c r="M119" s="13"/>
      <c r="N119" s="12"/>
    </row>
    <row r="120" spans="1:14">
      <c r="A120" s="12"/>
      <c r="B120" s="12"/>
      <c r="C120" s="12"/>
      <c r="D120" s="12"/>
      <c r="E120" s="12"/>
      <c r="F120" s="12"/>
      <c r="G120" s="12"/>
      <c r="H120" s="17"/>
      <c r="I120" s="14"/>
      <c r="J120" s="16">
        <f>IF(OR(H120="",I120=""),"",H120*I120)</f>
        <v>0</v>
      </c>
      <c r="K120" s="13"/>
      <c r="L120" s="13"/>
      <c r="M120" s="13"/>
      <c r="N120" s="12"/>
    </row>
    <row r="121" spans="1:14">
      <c r="A121" s="12"/>
      <c r="B121" s="12"/>
      <c r="C121" s="12"/>
      <c r="D121" s="12"/>
      <c r="E121" s="12"/>
      <c r="F121" s="12"/>
      <c r="G121" s="12"/>
      <c r="H121" s="17"/>
      <c r="I121" s="14"/>
      <c r="J121" s="16">
        <f>IF(OR(H121="",I121=""),"",H121*I121)</f>
        <v>0</v>
      </c>
      <c r="K121" s="13"/>
      <c r="L121" s="13"/>
      <c r="M121" s="13"/>
      <c r="N121" s="12"/>
    </row>
    <row r="122" spans="1:14">
      <c r="A122" s="12"/>
      <c r="B122" s="12"/>
      <c r="C122" s="12"/>
      <c r="D122" s="12"/>
      <c r="E122" s="12"/>
      <c r="F122" s="12"/>
      <c r="G122" s="12"/>
      <c r="H122" s="17"/>
      <c r="I122" s="14"/>
      <c r="J122" s="16">
        <f>IF(OR(H122="",I122=""),"",H122*I122)</f>
        <v>0</v>
      </c>
      <c r="K122" s="13"/>
      <c r="L122" s="13"/>
      <c r="M122" s="13"/>
      <c r="N122" s="12"/>
    </row>
    <row r="123" spans="1:14">
      <c r="A123" s="12"/>
      <c r="B123" s="12"/>
      <c r="C123" s="12"/>
      <c r="D123" s="12"/>
      <c r="E123" s="12"/>
      <c r="F123" s="12"/>
      <c r="G123" s="12"/>
      <c r="H123" s="17"/>
      <c r="I123" s="14"/>
      <c r="J123" s="16">
        <f>IF(OR(H123="",I123=""),"",H123*I123)</f>
        <v>0</v>
      </c>
      <c r="K123" s="13"/>
      <c r="L123" s="13"/>
      <c r="M123" s="13"/>
      <c r="N123" s="12"/>
    </row>
    <row r="124" spans="1:14">
      <c r="A124" s="12"/>
      <c r="B124" s="12"/>
      <c r="C124" s="12"/>
      <c r="D124" s="12"/>
      <c r="E124" s="12"/>
      <c r="F124" s="12"/>
      <c r="G124" s="12"/>
      <c r="H124" s="17"/>
      <c r="I124" s="14"/>
      <c r="J124" s="16">
        <f>IF(OR(H124="",I124=""),"",H124*I124)</f>
        <v>0</v>
      </c>
      <c r="K124" s="13"/>
      <c r="L124" s="13"/>
      <c r="M124" s="13"/>
      <c r="N124" s="12"/>
    </row>
    <row r="125" spans="1:14">
      <c r="A125" s="12"/>
      <c r="B125" s="12"/>
      <c r="C125" s="12"/>
      <c r="D125" s="12"/>
      <c r="E125" s="12"/>
      <c r="F125" s="12"/>
      <c r="G125" s="12"/>
      <c r="H125" s="17"/>
      <c r="I125" s="14"/>
      <c r="J125" s="16">
        <f>IF(OR(H125="",I125=""),"",H125*I125)</f>
        <v>0</v>
      </c>
      <c r="K125" s="13"/>
      <c r="L125" s="13"/>
      <c r="M125" s="13"/>
      <c r="N125" s="12"/>
    </row>
    <row r="126" spans="1:14">
      <c r="A126" s="12"/>
      <c r="B126" s="12"/>
      <c r="C126" s="12"/>
      <c r="D126" s="12"/>
      <c r="E126" s="12"/>
      <c r="F126" s="12"/>
      <c r="G126" s="12"/>
      <c r="H126" s="17"/>
      <c r="I126" s="14"/>
      <c r="J126" s="16">
        <f>IF(OR(H126="",I126=""),"",H126*I126)</f>
        <v>0</v>
      </c>
      <c r="K126" s="13"/>
      <c r="L126" s="13"/>
      <c r="M126" s="13"/>
      <c r="N126" s="12"/>
    </row>
    <row r="127" spans="1:14">
      <c r="A127" s="12"/>
      <c r="B127" s="12"/>
      <c r="C127" s="12"/>
      <c r="D127" s="12"/>
      <c r="E127" s="12"/>
      <c r="F127" s="12"/>
      <c r="G127" s="12"/>
      <c r="H127" s="17"/>
      <c r="I127" s="14"/>
      <c r="J127" s="16">
        <f>IF(OR(H127="",I127=""),"",H127*I127)</f>
        <v>0</v>
      </c>
      <c r="K127" s="13"/>
      <c r="L127" s="13"/>
      <c r="M127" s="13"/>
      <c r="N127" s="12"/>
    </row>
    <row r="128" spans="1:14">
      <c r="A128" s="12"/>
      <c r="B128" s="12"/>
      <c r="C128" s="12"/>
      <c r="D128" s="12"/>
      <c r="E128" s="12"/>
      <c r="F128" s="12"/>
      <c r="G128" s="12"/>
      <c r="H128" s="17"/>
      <c r="I128" s="14"/>
      <c r="J128" s="16">
        <f>IF(OR(H128="",I128=""),"",H128*I128)</f>
        <v>0</v>
      </c>
      <c r="K128" s="13"/>
      <c r="L128" s="13"/>
      <c r="M128" s="13"/>
      <c r="N128" s="12"/>
    </row>
    <row r="129" spans="1:14">
      <c r="A129" s="12"/>
      <c r="B129" s="12"/>
      <c r="C129" s="12"/>
      <c r="D129" s="12"/>
      <c r="E129" s="12"/>
      <c r="F129" s="12"/>
      <c r="G129" s="12"/>
      <c r="H129" s="17"/>
      <c r="I129" s="14"/>
      <c r="J129" s="16">
        <f>IF(OR(H129="",I129=""),"",H129*I129)</f>
        <v>0</v>
      </c>
      <c r="K129" s="13"/>
      <c r="L129" s="13"/>
      <c r="M129" s="13"/>
      <c r="N129" s="12"/>
    </row>
    <row r="130" spans="1:14">
      <c r="A130" s="12"/>
      <c r="B130" s="12"/>
      <c r="C130" s="12"/>
      <c r="D130" s="12"/>
      <c r="E130" s="12"/>
      <c r="F130" s="12"/>
      <c r="G130" s="12"/>
      <c r="H130" s="17"/>
      <c r="I130" s="14"/>
      <c r="J130" s="16">
        <f>IF(OR(H130="",I130=""),"",H130*I130)</f>
        <v>0</v>
      </c>
      <c r="K130" s="13"/>
      <c r="L130" s="13"/>
      <c r="M130" s="13"/>
      <c r="N130" s="12"/>
    </row>
    <row r="131" spans="1:14">
      <c r="A131" s="12"/>
      <c r="B131" s="12"/>
      <c r="C131" s="12"/>
      <c r="D131" s="12"/>
      <c r="E131" s="12"/>
      <c r="F131" s="12"/>
      <c r="G131" s="12"/>
      <c r="H131" s="17"/>
      <c r="I131" s="14"/>
      <c r="J131" s="16">
        <f>IF(OR(H131="",I131=""),"",H131*I131)</f>
        <v>0</v>
      </c>
      <c r="K131" s="13"/>
      <c r="L131" s="13"/>
      <c r="M131" s="13"/>
      <c r="N131" s="12"/>
    </row>
    <row r="132" spans="1:14">
      <c r="A132" s="12"/>
      <c r="B132" s="12"/>
      <c r="C132" s="12"/>
      <c r="D132" s="12"/>
      <c r="E132" s="12"/>
      <c r="F132" s="12"/>
      <c r="G132" s="12"/>
      <c r="H132" s="17"/>
      <c r="I132" s="14"/>
      <c r="J132" s="16">
        <f>IF(OR(H132="",I132=""),"",H132*I132)</f>
        <v>0</v>
      </c>
      <c r="K132" s="13"/>
      <c r="L132" s="13"/>
      <c r="M132" s="13"/>
      <c r="N132" s="12"/>
    </row>
    <row r="133" spans="1:14">
      <c r="A133" s="12"/>
      <c r="B133" s="12"/>
      <c r="C133" s="12"/>
      <c r="D133" s="12"/>
      <c r="E133" s="12"/>
      <c r="F133" s="12"/>
      <c r="G133" s="12"/>
      <c r="H133" s="17"/>
      <c r="I133" s="14"/>
      <c r="J133" s="16">
        <f>IF(OR(H133="",I133=""),"",H133*I133)</f>
        <v>0</v>
      </c>
      <c r="K133" s="13"/>
      <c r="L133" s="13"/>
      <c r="M133" s="13"/>
      <c r="N133" s="12"/>
    </row>
    <row r="134" spans="1:14">
      <c r="A134" s="12"/>
      <c r="B134" s="12"/>
      <c r="C134" s="12"/>
      <c r="D134" s="12"/>
      <c r="E134" s="12"/>
      <c r="F134" s="12"/>
      <c r="G134" s="12"/>
      <c r="H134" s="17"/>
      <c r="I134" s="14"/>
      <c r="J134" s="16">
        <f>IF(OR(H134="",I134=""),"",H134*I134)</f>
        <v>0</v>
      </c>
      <c r="K134" s="13"/>
      <c r="L134" s="13"/>
      <c r="M134" s="13"/>
      <c r="N134" s="12"/>
    </row>
    <row r="135" spans="1:14">
      <c r="A135" s="12"/>
      <c r="B135" s="12"/>
      <c r="C135" s="12"/>
      <c r="D135" s="12"/>
      <c r="E135" s="12"/>
      <c r="F135" s="12"/>
      <c r="G135" s="12"/>
      <c r="H135" s="17"/>
      <c r="I135" s="14"/>
      <c r="J135" s="16">
        <f>IF(OR(H135="",I135=""),"",H135*I135)</f>
        <v>0</v>
      </c>
      <c r="K135" s="13"/>
      <c r="L135" s="13"/>
      <c r="M135" s="13"/>
      <c r="N135" s="12"/>
    </row>
    <row r="136" spans="1:14">
      <c r="A136" s="12"/>
      <c r="B136" s="12"/>
      <c r="C136" s="12"/>
      <c r="D136" s="12"/>
      <c r="E136" s="12"/>
      <c r="F136" s="12"/>
      <c r="G136" s="12"/>
      <c r="H136" s="17"/>
      <c r="I136" s="14"/>
      <c r="J136" s="16">
        <f>IF(OR(H136="",I136=""),"",H136*I136)</f>
        <v>0</v>
      </c>
      <c r="K136" s="13"/>
      <c r="L136" s="13"/>
      <c r="M136" s="13"/>
      <c r="N136" s="12"/>
    </row>
    <row r="137" spans="1:14">
      <c r="A137" s="12"/>
      <c r="B137" s="12"/>
      <c r="C137" s="12"/>
      <c r="D137" s="12"/>
      <c r="E137" s="12"/>
      <c r="F137" s="12"/>
      <c r="G137" s="12"/>
      <c r="H137" s="17"/>
      <c r="I137" s="14"/>
      <c r="J137" s="16">
        <f>IF(OR(H137="",I137=""),"",H137*I137)</f>
        <v>0</v>
      </c>
      <c r="K137" s="13"/>
      <c r="L137" s="13"/>
      <c r="M137" s="13"/>
      <c r="N137" s="12"/>
    </row>
    <row r="138" spans="1:14">
      <c r="A138" s="12"/>
      <c r="B138" s="12"/>
      <c r="C138" s="12"/>
      <c r="D138" s="12"/>
      <c r="E138" s="12"/>
      <c r="F138" s="12"/>
      <c r="G138" s="12"/>
      <c r="H138" s="17"/>
      <c r="I138" s="14"/>
      <c r="J138" s="16">
        <f>IF(OR(H138="",I138=""),"",H138*I138)</f>
        <v>0</v>
      </c>
      <c r="K138" s="13"/>
      <c r="L138" s="13"/>
      <c r="M138" s="13"/>
      <c r="N138" s="12"/>
    </row>
    <row r="139" spans="1:14">
      <c r="A139" s="12"/>
      <c r="B139" s="12"/>
      <c r="C139" s="12"/>
      <c r="D139" s="12"/>
      <c r="E139" s="12"/>
      <c r="F139" s="12"/>
      <c r="G139" s="12"/>
      <c r="H139" s="17"/>
      <c r="I139" s="14"/>
      <c r="J139" s="16">
        <f>IF(OR(H139="",I139=""),"",H139*I139)</f>
        <v>0</v>
      </c>
      <c r="K139" s="13"/>
      <c r="L139" s="13"/>
      <c r="M139" s="13"/>
      <c r="N139" s="12"/>
    </row>
    <row r="140" spans="1:14">
      <c r="A140" s="12"/>
      <c r="B140" s="12"/>
      <c r="C140" s="12"/>
      <c r="D140" s="12"/>
      <c r="E140" s="12"/>
      <c r="F140" s="12"/>
      <c r="G140" s="12"/>
      <c r="H140" s="17"/>
      <c r="I140" s="14"/>
      <c r="J140" s="16">
        <f>IF(OR(H140="",I140=""),"",H140*I140)</f>
        <v>0</v>
      </c>
      <c r="K140" s="13"/>
      <c r="L140" s="13"/>
      <c r="M140" s="13"/>
      <c r="N140" s="12"/>
    </row>
    <row r="141" spans="1:14">
      <c r="A141" s="12"/>
      <c r="B141" s="12"/>
      <c r="C141" s="12"/>
      <c r="D141" s="12"/>
      <c r="E141" s="12"/>
      <c r="F141" s="12"/>
      <c r="G141" s="12"/>
      <c r="H141" s="17"/>
      <c r="I141" s="14"/>
      <c r="J141" s="16">
        <f>IF(OR(H141="",I141=""),"",H141*I141)</f>
        <v>0</v>
      </c>
      <c r="K141" s="13"/>
      <c r="L141" s="13"/>
      <c r="M141" s="13"/>
      <c r="N141" s="12"/>
    </row>
    <row r="142" spans="1:14">
      <c r="A142" s="12"/>
      <c r="B142" s="12"/>
      <c r="C142" s="12"/>
      <c r="D142" s="12"/>
      <c r="E142" s="12"/>
      <c r="F142" s="12"/>
      <c r="G142" s="12"/>
      <c r="H142" s="17"/>
      <c r="I142" s="14"/>
      <c r="J142" s="16">
        <f>IF(OR(H142="",I142=""),"",H142*I142)</f>
        <v>0</v>
      </c>
      <c r="K142" s="13"/>
      <c r="L142" s="13"/>
      <c r="M142" s="13"/>
      <c r="N142" s="12"/>
    </row>
    <row r="143" spans="1:14">
      <c r="A143" s="12"/>
      <c r="B143" s="12"/>
      <c r="C143" s="12"/>
      <c r="D143" s="12"/>
      <c r="E143" s="12"/>
      <c r="F143" s="12"/>
      <c r="G143" s="12"/>
      <c r="H143" s="17"/>
      <c r="I143" s="14"/>
      <c r="J143" s="16">
        <f>IF(OR(H143="",I143=""),"",H143*I143)</f>
        <v>0</v>
      </c>
      <c r="K143" s="13"/>
      <c r="L143" s="13"/>
      <c r="M143" s="13"/>
      <c r="N143" s="12"/>
    </row>
    <row r="144" spans="1:14">
      <c r="A144" s="12"/>
      <c r="B144" s="12"/>
      <c r="C144" s="12"/>
      <c r="D144" s="12"/>
      <c r="E144" s="12"/>
      <c r="F144" s="12"/>
      <c r="G144" s="12"/>
      <c r="H144" s="17"/>
      <c r="I144" s="14"/>
      <c r="J144" s="16">
        <f>IF(OR(H144="",I144=""),"",H144*I144)</f>
        <v>0</v>
      </c>
      <c r="K144" s="13"/>
      <c r="L144" s="13"/>
      <c r="M144" s="13"/>
      <c r="N144" s="12"/>
    </row>
    <row r="145" spans="1:14">
      <c r="A145" s="12"/>
      <c r="B145" s="12"/>
      <c r="C145" s="12"/>
      <c r="D145" s="12"/>
      <c r="E145" s="12"/>
      <c r="F145" s="12"/>
      <c r="G145" s="12"/>
      <c r="H145" s="17"/>
      <c r="I145" s="14"/>
      <c r="J145" s="16">
        <f>IF(OR(H145="",I145=""),"",H145*I145)</f>
        <v>0</v>
      </c>
      <c r="K145" s="13"/>
      <c r="L145" s="13"/>
      <c r="M145" s="13"/>
      <c r="N145" s="12"/>
    </row>
    <row r="146" spans="1:14">
      <c r="A146" s="12"/>
      <c r="B146" s="12"/>
      <c r="C146" s="12"/>
      <c r="D146" s="12"/>
      <c r="E146" s="12"/>
      <c r="F146" s="12"/>
      <c r="G146" s="12"/>
      <c r="H146" s="17"/>
      <c r="I146" s="14"/>
      <c r="J146" s="16">
        <f>IF(OR(H146="",I146=""),"",H146*I146)</f>
        <v>0</v>
      </c>
      <c r="K146" s="13"/>
      <c r="L146" s="13"/>
      <c r="M146" s="13"/>
      <c r="N146" s="12"/>
    </row>
    <row r="147" spans="1:14">
      <c r="A147" s="12"/>
      <c r="B147" s="12"/>
      <c r="C147" s="12"/>
      <c r="D147" s="12"/>
      <c r="E147" s="12"/>
      <c r="F147" s="12"/>
      <c r="G147" s="12"/>
      <c r="H147" s="17"/>
      <c r="I147" s="14"/>
      <c r="J147" s="16">
        <f>IF(OR(H147="",I147=""),"",H147*I147)</f>
        <v>0</v>
      </c>
      <c r="K147" s="13"/>
      <c r="L147" s="13"/>
      <c r="M147" s="13"/>
      <c r="N147" s="12"/>
    </row>
    <row r="148" spans="1:14">
      <c r="A148" s="12"/>
      <c r="B148" s="12"/>
      <c r="C148" s="12"/>
      <c r="D148" s="12"/>
      <c r="E148" s="12"/>
      <c r="F148" s="12"/>
      <c r="G148" s="12"/>
      <c r="H148" s="17"/>
      <c r="I148" s="14"/>
      <c r="J148" s="16">
        <f>IF(OR(H148="",I148=""),"",H148*I148)</f>
        <v>0</v>
      </c>
      <c r="K148" s="13"/>
      <c r="L148" s="13"/>
      <c r="M148" s="13"/>
      <c r="N148" s="12"/>
    </row>
    <row r="149" spans="1:14">
      <c r="A149" s="12"/>
      <c r="B149" s="12"/>
      <c r="C149" s="12"/>
      <c r="D149" s="12"/>
      <c r="E149" s="12"/>
      <c r="F149" s="12"/>
      <c r="G149" s="12"/>
      <c r="H149" s="17"/>
      <c r="I149" s="14"/>
      <c r="J149" s="16">
        <f>IF(OR(H149="",I149=""),"",H149*I149)</f>
        <v>0</v>
      </c>
      <c r="K149" s="13"/>
      <c r="L149" s="13"/>
      <c r="M149" s="13"/>
      <c r="N149" s="12"/>
    </row>
    <row r="150" spans="1:14">
      <c r="A150" s="12"/>
      <c r="B150" s="12"/>
      <c r="C150" s="12"/>
      <c r="D150" s="12"/>
      <c r="E150" s="12"/>
      <c r="F150" s="12"/>
      <c r="G150" s="12"/>
      <c r="H150" s="17"/>
      <c r="I150" s="14"/>
      <c r="J150" s="16">
        <f>IF(OR(H150="",I150=""),"",H150*I150)</f>
        <v>0</v>
      </c>
      <c r="K150" s="13"/>
      <c r="L150" s="13"/>
      <c r="M150" s="13"/>
      <c r="N150" s="12"/>
    </row>
    <row r="151" spans="1:14">
      <c r="A151" s="12"/>
      <c r="B151" s="12"/>
      <c r="C151" s="12"/>
      <c r="D151" s="12"/>
      <c r="E151" s="12"/>
      <c r="F151" s="12"/>
      <c r="G151" s="12"/>
      <c r="H151" s="17"/>
      <c r="I151" s="14"/>
      <c r="J151" s="16">
        <f>IF(OR(H151="",I151=""),"",H151*I151)</f>
        <v>0</v>
      </c>
      <c r="K151" s="13"/>
      <c r="L151" s="13"/>
      <c r="M151" s="13"/>
      <c r="N151" s="12"/>
    </row>
    <row r="152" spans="1:14">
      <c r="A152" s="12"/>
      <c r="B152" s="12"/>
      <c r="C152" s="12"/>
      <c r="D152" s="12"/>
      <c r="E152" s="12"/>
      <c r="F152" s="12"/>
      <c r="G152" s="12"/>
      <c r="H152" s="17"/>
      <c r="I152" s="14"/>
      <c r="J152" s="16">
        <f>IF(OR(H152="",I152=""),"",H152*I152)</f>
        <v>0</v>
      </c>
      <c r="K152" s="13"/>
      <c r="L152" s="13"/>
      <c r="M152" s="13"/>
      <c r="N152" s="12"/>
    </row>
    <row r="153" spans="1:14">
      <c r="A153" s="12"/>
      <c r="B153" s="12"/>
      <c r="C153" s="12"/>
      <c r="D153" s="12"/>
      <c r="E153" s="12"/>
      <c r="F153" s="12"/>
      <c r="G153" s="12"/>
      <c r="H153" s="17"/>
      <c r="I153" s="14"/>
      <c r="J153" s="16">
        <f>IF(OR(H153="",I153=""),"",H153*I153)</f>
        <v>0</v>
      </c>
      <c r="K153" s="13"/>
      <c r="L153" s="13"/>
      <c r="M153" s="13"/>
      <c r="N153" s="12"/>
    </row>
    <row r="154" spans="1:14">
      <c r="A154" s="12"/>
      <c r="B154" s="12"/>
      <c r="C154" s="12"/>
      <c r="D154" s="12"/>
      <c r="E154" s="12"/>
      <c r="F154" s="12"/>
      <c r="G154" s="12"/>
      <c r="H154" s="17"/>
      <c r="I154" s="14"/>
      <c r="J154" s="16">
        <f>IF(OR(H154="",I154=""),"",H154*I154)</f>
        <v>0</v>
      </c>
      <c r="K154" s="13"/>
      <c r="L154" s="13"/>
      <c r="M154" s="13"/>
      <c r="N154" s="12"/>
    </row>
    <row r="155" spans="1:14">
      <c r="A155" s="12"/>
      <c r="B155" s="12"/>
      <c r="C155" s="12"/>
      <c r="D155" s="12"/>
      <c r="E155" s="12"/>
      <c r="F155" s="12"/>
      <c r="G155" s="12"/>
      <c r="H155" s="17"/>
      <c r="I155" s="14"/>
      <c r="J155" s="16">
        <f>IF(OR(H155="",I155=""),"",H155*I155)</f>
        <v>0</v>
      </c>
      <c r="K155" s="13"/>
      <c r="L155" s="13"/>
      <c r="M155" s="13"/>
      <c r="N155" s="12"/>
    </row>
    <row r="156" spans="1:14">
      <c r="A156" s="12"/>
      <c r="B156" s="12"/>
      <c r="C156" s="12"/>
      <c r="D156" s="12"/>
      <c r="E156" s="12"/>
      <c r="F156" s="12"/>
      <c r="G156" s="12"/>
      <c r="H156" s="17"/>
      <c r="I156" s="14"/>
      <c r="J156" s="16">
        <f>IF(OR(H156="",I156=""),"",H156*I156)</f>
        <v>0</v>
      </c>
      <c r="K156" s="13"/>
      <c r="L156" s="13"/>
      <c r="M156" s="13"/>
      <c r="N156" s="12"/>
    </row>
    <row r="157" spans="1:14">
      <c r="A157" s="12"/>
      <c r="B157" s="12"/>
      <c r="C157" s="12"/>
      <c r="D157" s="12"/>
      <c r="E157" s="12"/>
      <c r="F157" s="12"/>
      <c r="G157" s="12"/>
      <c r="H157" s="17"/>
      <c r="I157" s="14"/>
      <c r="J157" s="16">
        <f>IF(OR(H157="",I157=""),"",H157*I157)</f>
        <v>0</v>
      </c>
      <c r="K157" s="13"/>
      <c r="L157" s="13"/>
      <c r="M157" s="13"/>
      <c r="N157" s="12"/>
    </row>
    <row r="158" spans="1:14">
      <c r="A158" s="12"/>
      <c r="B158" s="12"/>
      <c r="C158" s="12"/>
      <c r="D158" s="12"/>
      <c r="E158" s="12"/>
      <c r="F158" s="12"/>
      <c r="G158" s="12"/>
      <c r="H158" s="17"/>
      <c r="I158" s="14"/>
      <c r="J158" s="16">
        <f>IF(OR(H158="",I158=""),"",H158*I158)</f>
        <v>0</v>
      </c>
      <c r="K158" s="13"/>
      <c r="L158" s="13"/>
      <c r="M158" s="13"/>
      <c r="N158" s="12"/>
    </row>
    <row r="159" spans="1:14">
      <c r="A159" s="12"/>
      <c r="B159" s="12"/>
      <c r="C159" s="12"/>
      <c r="D159" s="12"/>
      <c r="E159" s="12"/>
      <c r="F159" s="12"/>
      <c r="G159" s="12"/>
      <c r="H159" s="17"/>
      <c r="I159" s="14"/>
      <c r="J159" s="16">
        <f>IF(OR(H159="",I159=""),"",H159*I159)</f>
        <v>0</v>
      </c>
      <c r="K159" s="13"/>
      <c r="L159" s="13"/>
      <c r="M159" s="13"/>
      <c r="N159" s="12"/>
    </row>
    <row r="160" spans="1:14">
      <c r="A160" s="12"/>
      <c r="B160" s="12"/>
      <c r="C160" s="12"/>
      <c r="D160" s="12"/>
      <c r="E160" s="12"/>
      <c r="F160" s="12"/>
      <c r="G160" s="12"/>
      <c r="H160" s="17"/>
      <c r="I160" s="14"/>
      <c r="J160" s="16">
        <f>IF(OR(H160="",I160=""),"",H160*I160)</f>
        <v>0</v>
      </c>
      <c r="K160" s="13"/>
      <c r="L160" s="13"/>
      <c r="M160" s="13"/>
      <c r="N160" s="12"/>
    </row>
    <row r="161" spans="1:14">
      <c r="A161" s="12"/>
      <c r="B161" s="12"/>
      <c r="C161" s="12"/>
      <c r="D161" s="12"/>
      <c r="E161" s="12"/>
      <c r="F161" s="12"/>
      <c r="G161" s="12"/>
      <c r="H161" s="17"/>
      <c r="I161" s="14"/>
      <c r="J161" s="16">
        <f>IF(OR(H161="",I161=""),"",H161*I161)</f>
        <v>0</v>
      </c>
      <c r="K161" s="13"/>
      <c r="L161" s="13"/>
      <c r="M161" s="13"/>
      <c r="N161" s="12"/>
    </row>
    <row r="162" spans="1:14">
      <c r="A162" s="12"/>
      <c r="B162" s="12"/>
      <c r="C162" s="12"/>
      <c r="D162" s="12"/>
      <c r="E162" s="12"/>
      <c r="F162" s="12"/>
      <c r="G162" s="12"/>
      <c r="H162" s="17"/>
      <c r="I162" s="14"/>
      <c r="J162" s="16">
        <f>IF(OR(H162="",I162=""),"",H162*I162)</f>
        <v>0</v>
      </c>
      <c r="K162" s="13"/>
      <c r="L162" s="13"/>
      <c r="M162" s="13"/>
      <c r="N162" s="12"/>
    </row>
    <row r="163" spans="1:14">
      <c r="A163" s="12"/>
      <c r="B163" s="12"/>
      <c r="C163" s="12"/>
      <c r="D163" s="12"/>
      <c r="E163" s="12"/>
      <c r="F163" s="12"/>
      <c r="G163" s="12"/>
      <c r="H163" s="17"/>
      <c r="I163" s="14"/>
      <c r="J163" s="16">
        <f>IF(OR(H163="",I163=""),"",H163*I163)</f>
        <v>0</v>
      </c>
      <c r="K163" s="13"/>
      <c r="L163" s="13"/>
      <c r="M163" s="13"/>
      <c r="N163" s="12"/>
    </row>
    <row r="164" spans="1:14">
      <c r="A164" s="12"/>
      <c r="B164" s="12"/>
      <c r="C164" s="12"/>
      <c r="D164" s="12"/>
      <c r="E164" s="12"/>
      <c r="F164" s="12"/>
      <c r="G164" s="12"/>
      <c r="H164" s="17"/>
      <c r="I164" s="14"/>
      <c r="J164" s="16">
        <f>IF(OR(H164="",I164=""),"",H164*I164)</f>
        <v>0</v>
      </c>
      <c r="K164" s="13"/>
      <c r="L164" s="13"/>
      <c r="M164" s="13"/>
      <c r="N164" s="12"/>
    </row>
    <row r="165" spans="1:14">
      <c r="A165" s="12"/>
      <c r="B165" s="12"/>
      <c r="C165" s="12"/>
      <c r="D165" s="12"/>
      <c r="E165" s="12"/>
      <c r="F165" s="12"/>
      <c r="G165" s="12"/>
      <c r="H165" s="17"/>
      <c r="I165" s="14"/>
      <c r="J165" s="16">
        <f>IF(OR(H165="",I165=""),"",H165*I165)</f>
        <v>0</v>
      </c>
      <c r="K165" s="13"/>
      <c r="L165" s="13"/>
      <c r="M165" s="13"/>
      <c r="N165" s="12"/>
    </row>
    <row r="166" spans="1:14">
      <c r="A166" s="12"/>
      <c r="B166" s="12"/>
      <c r="C166" s="12"/>
      <c r="D166" s="12"/>
      <c r="E166" s="12"/>
      <c r="F166" s="12"/>
      <c r="G166" s="12"/>
      <c r="H166" s="17"/>
      <c r="I166" s="14"/>
      <c r="J166" s="16">
        <f>IF(OR(H166="",I166=""),"",H166*I166)</f>
        <v>0</v>
      </c>
      <c r="K166" s="13"/>
      <c r="L166" s="13"/>
      <c r="M166" s="13"/>
      <c r="N166" s="12"/>
    </row>
    <row r="167" spans="1:14">
      <c r="A167" s="12"/>
      <c r="B167" s="12"/>
      <c r="C167" s="12"/>
      <c r="D167" s="12"/>
      <c r="E167" s="12"/>
      <c r="F167" s="12"/>
      <c r="G167" s="12"/>
      <c r="H167" s="17"/>
      <c r="I167" s="14"/>
      <c r="J167" s="16">
        <f>IF(OR(H167="",I167=""),"",H167*I167)</f>
        <v>0</v>
      </c>
      <c r="K167" s="13"/>
      <c r="L167" s="13"/>
      <c r="M167" s="13"/>
      <c r="N167" s="12"/>
    </row>
    <row r="168" spans="1:14">
      <c r="A168" s="12"/>
      <c r="B168" s="12"/>
      <c r="C168" s="12"/>
      <c r="D168" s="12"/>
      <c r="E168" s="12"/>
      <c r="F168" s="12"/>
      <c r="G168" s="12"/>
      <c r="H168" s="17"/>
      <c r="I168" s="14"/>
      <c r="J168" s="16">
        <f>IF(OR(H168="",I168=""),"",H168*I168)</f>
        <v>0</v>
      </c>
      <c r="K168" s="13"/>
      <c r="L168" s="13"/>
      <c r="M168" s="13"/>
      <c r="N168" s="12"/>
    </row>
    <row r="169" spans="1:14">
      <c r="A169" s="12"/>
      <c r="B169" s="12"/>
      <c r="C169" s="12"/>
      <c r="D169" s="12"/>
      <c r="E169" s="12"/>
      <c r="F169" s="12"/>
      <c r="G169" s="12"/>
      <c r="H169" s="17"/>
      <c r="I169" s="14"/>
      <c r="J169" s="16">
        <f>IF(OR(H169="",I169=""),"",H169*I169)</f>
        <v>0</v>
      </c>
      <c r="K169" s="13"/>
      <c r="L169" s="13"/>
      <c r="M169" s="13"/>
      <c r="N169" s="12"/>
    </row>
    <row r="170" spans="1:14">
      <c r="A170" s="12"/>
      <c r="B170" s="12"/>
      <c r="C170" s="12"/>
      <c r="D170" s="12"/>
      <c r="E170" s="12"/>
      <c r="F170" s="12"/>
      <c r="G170" s="12"/>
      <c r="H170" s="17"/>
      <c r="I170" s="14"/>
      <c r="J170" s="16">
        <f>IF(OR(H170="",I170=""),"",H170*I170)</f>
        <v>0</v>
      </c>
      <c r="K170" s="13"/>
      <c r="L170" s="13"/>
      <c r="M170" s="13"/>
      <c r="N170" s="12"/>
    </row>
    <row r="171" spans="1:14">
      <c r="A171" s="12"/>
      <c r="B171" s="12"/>
      <c r="C171" s="12"/>
      <c r="D171" s="12"/>
      <c r="E171" s="12"/>
      <c r="F171" s="12"/>
      <c r="G171" s="12"/>
      <c r="H171" s="17"/>
      <c r="I171" s="14"/>
      <c r="J171" s="16">
        <f>IF(OR(H171="",I171=""),"",H171*I171)</f>
        <v>0</v>
      </c>
      <c r="K171" s="13"/>
      <c r="L171" s="13"/>
      <c r="M171" s="13"/>
      <c r="N171" s="12"/>
    </row>
    <row r="172" spans="1:14">
      <c r="A172" s="12"/>
      <c r="B172" s="12"/>
      <c r="C172" s="12"/>
      <c r="D172" s="12"/>
      <c r="E172" s="12"/>
      <c r="F172" s="12"/>
      <c r="G172" s="12"/>
      <c r="H172" s="17"/>
      <c r="I172" s="14"/>
      <c r="J172" s="16">
        <f>IF(OR(H172="",I172=""),"",H172*I172)</f>
        <v>0</v>
      </c>
      <c r="K172" s="13"/>
      <c r="L172" s="13"/>
      <c r="M172" s="13"/>
      <c r="N172" s="12"/>
    </row>
    <row r="173" spans="1:14">
      <c r="A173" s="12"/>
      <c r="B173" s="12"/>
      <c r="C173" s="12"/>
      <c r="D173" s="12"/>
      <c r="E173" s="12"/>
      <c r="F173" s="12"/>
      <c r="G173" s="12"/>
      <c r="H173" s="17"/>
      <c r="I173" s="14"/>
      <c r="J173" s="16">
        <f>IF(OR(H173="",I173=""),"",H173*I173)</f>
        <v>0</v>
      </c>
      <c r="K173" s="13"/>
      <c r="L173" s="13"/>
      <c r="M173" s="13"/>
      <c r="N173" s="12"/>
    </row>
    <row r="174" spans="1:14">
      <c r="A174" s="12"/>
      <c r="B174" s="12"/>
      <c r="C174" s="12"/>
      <c r="D174" s="12"/>
      <c r="E174" s="12"/>
      <c r="F174" s="12"/>
      <c r="G174" s="12"/>
      <c r="H174" s="17"/>
      <c r="I174" s="14"/>
      <c r="J174" s="16">
        <f>IF(OR(H174="",I174=""),"",H174*I174)</f>
        <v>0</v>
      </c>
      <c r="K174" s="13"/>
      <c r="L174" s="13"/>
      <c r="M174" s="13"/>
      <c r="N174" s="12"/>
    </row>
    <row r="175" spans="1:14">
      <c r="A175" s="12"/>
      <c r="B175" s="12"/>
      <c r="C175" s="12"/>
      <c r="D175" s="12"/>
      <c r="E175" s="12"/>
      <c r="F175" s="12"/>
      <c r="G175" s="12"/>
      <c r="H175" s="17"/>
      <c r="I175" s="14"/>
      <c r="J175" s="16">
        <f>IF(OR(H175="",I175=""),"",H175*I175)</f>
        <v>0</v>
      </c>
      <c r="K175" s="13"/>
      <c r="L175" s="13"/>
      <c r="M175" s="13"/>
      <c r="N175" s="12"/>
    </row>
    <row r="176" spans="1:14">
      <c r="A176" s="12"/>
      <c r="B176" s="12"/>
      <c r="C176" s="12"/>
      <c r="D176" s="12"/>
      <c r="E176" s="12"/>
      <c r="F176" s="12"/>
      <c r="G176" s="12"/>
      <c r="H176" s="17"/>
      <c r="I176" s="14"/>
      <c r="J176" s="16">
        <f>IF(OR(H176="",I176=""),"",H176*I176)</f>
        <v>0</v>
      </c>
      <c r="K176" s="13"/>
      <c r="L176" s="13"/>
      <c r="M176" s="13"/>
      <c r="N176" s="12"/>
    </row>
    <row r="177" spans="1:14">
      <c r="A177" s="12"/>
      <c r="B177" s="12"/>
      <c r="C177" s="12"/>
      <c r="D177" s="12"/>
      <c r="E177" s="12"/>
      <c r="F177" s="12"/>
      <c r="G177" s="12"/>
      <c r="H177" s="17"/>
      <c r="I177" s="14"/>
      <c r="J177" s="16">
        <f>IF(OR(H177="",I177=""),"",H177*I177)</f>
        <v>0</v>
      </c>
      <c r="K177" s="13"/>
      <c r="L177" s="13"/>
      <c r="M177" s="13"/>
      <c r="N177" s="12"/>
    </row>
    <row r="178" spans="1:14">
      <c r="A178" s="12"/>
      <c r="B178" s="12"/>
      <c r="C178" s="12"/>
      <c r="D178" s="12"/>
      <c r="E178" s="12"/>
      <c r="F178" s="12"/>
      <c r="G178" s="12"/>
      <c r="H178" s="17"/>
      <c r="I178" s="14"/>
      <c r="J178" s="16">
        <f>IF(OR(H178="",I178=""),"",H178*I178)</f>
        <v>0</v>
      </c>
      <c r="K178" s="13"/>
      <c r="L178" s="13"/>
      <c r="M178" s="13"/>
      <c r="N178" s="12"/>
    </row>
    <row r="179" spans="1:14">
      <c r="A179" s="12"/>
      <c r="B179" s="12"/>
      <c r="C179" s="12"/>
      <c r="D179" s="12"/>
      <c r="E179" s="12"/>
      <c r="F179" s="12"/>
      <c r="G179" s="12"/>
      <c r="H179" s="17"/>
      <c r="I179" s="14"/>
      <c r="J179" s="16">
        <f>IF(OR(H179="",I179=""),"",H179*I179)</f>
        <v>0</v>
      </c>
      <c r="K179" s="13"/>
      <c r="L179" s="13"/>
      <c r="M179" s="13"/>
      <c r="N179" s="12"/>
    </row>
    <row r="180" spans="1:14">
      <c r="A180" s="12"/>
      <c r="B180" s="12"/>
      <c r="C180" s="12"/>
      <c r="D180" s="12"/>
      <c r="E180" s="12"/>
      <c r="F180" s="12"/>
      <c r="G180" s="12"/>
      <c r="H180" s="17"/>
      <c r="I180" s="14"/>
      <c r="J180" s="16">
        <f>IF(OR(H180="",I180=""),"",H180*I180)</f>
        <v>0</v>
      </c>
      <c r="K180" s="13"/>
      <c r="L180" s="13"/>
      <c r="M180" s="13"/>
      <c r="N180" s="12"/>
    </row>
    <row r="181" spans="1:14">
      <c r="A181" s="12"/>
      <c r="B181" s="12"/>
      <c r="C181" s="12"/>
      <c r="D181" s="12"/>
      <c r="E181" s="12"/>
      <c r="F181" s="12"/>
      <c r="G181" s="12"/>
      <c r="H181" s="17"/>
      <c r="I181" s="14"/>
      <c r="J181" s="16">
        <f>IF(OR(H181="",I181=""),"",H181*I181)</f>
        <v>0</v>
      </c>
      <c r="K181" s="13"/>
      <c r="L181" s="13"/>
      <c r="M181" s="13"/>
      <c r="N181" s="12"/>
    </row>
    <row r="182" spans="1:14">
      <c r="A182" s="12"/>
      <c r="B182" s="12"/>
      <c r="C182" s="12"/>
      <c r="D182" s="12"/>
      <c r="E182" s="12"/>
      <c r="F182" s="12"/>
      <c r="G182" s="12"/>
      <c r="H182" s="17"/>
      <c r="I182" s="14"/>
      <c r="J182" s="16">
        <f>IF(OR(H182="",I182=""),"",H182*I182)</f>
        <v>0</v>
      </c>
      <c r="K182" s="13"/>
      <c r="L182" s="13"/>
      <c r="M182" s="13"/>
      <c r="N182" s="12"/>
    </row>
    <row r="183" spans="1:14">
      <c r="A183" s="12"/>
      <c r="B183" s="12"/>
      <c r="C183" s="12"/>
      <c r="D183" s="12"/>
      <c r="E183" s="12"/>
      <c r="F183" s="12"/>
      <c r="G183" s="12"/>
      <c r="H183" s="17"/>
      <c r="I183" s="14"/>
      <c r="J183" s="16">
        <f>IF(OR(H183="",I183=""),"",H183*I183)</f>
        <v>0</v>
      </c>
      <c r="K183" s="13"/>
      <c r="L183" s="13"/>
      <c r="M183" s="13"/>
      <c r="N183" s="12"/>
    </row>
    <row r="184" spans="1:14">
      <c r="A184" s="12"/>
      <c r="B184" s="12"/>
      <c r="C184" s="12"/>
      <c r="D184" s="12"/>
      <c r="E184" s="12"/>
      <c r="F184" s="12"/>
      <c r="G184" s="12"/>
      <c r="H184" s="17"/>
      <c r="I184" s="14"/>
      <c r="J184" s="16">
        <f>IF(OR(H184="",I184=""),"",H184*I184)</f>
        <v>0</v>
      </c>
      <c r="K184" s="13"/>
      <c r="L184" s="13"/>
      <c r="M184" s="13"/>
      <c r="N184" s="12"/>
    </row>
    <row r="185" spans="1:14">
      <c r="A185" s="12"/>
      <c r="B185" s="12"/>
      <c r="C185" s="12"/>
      <c r="D185" s="12"/>
      <c r="E185" s="12"/>
      <c r="F185" s="12"/>
      <c r="G185" s="12"/>
      <c r="H185" s="17"/>
      <c r="I185" s="14"/>
      <c r="J185" s="16">
        <f>IF(OR(H185="",I185=""),"",H185*I185)</f>
        <v>0</v>
      </c>
      <c r="K185" s="13"/>
      <c r="L185" s="13"/>
      <c r="M185" s="13"/>
      <c r="N185" s="12"/>
    </row>
    <row r="186" spans="1:14">
      <c r="A186" s="12"/>
      <c r="B186" s="12"/>
      <c r="C186" s="12"/>
      <c r="D186" s="12"/>
      <c r="E186" s="12"/>
      <c r="F186" s="12"/>
      <c r="G186" s="12"/>
      <c r="H186" s="17"/>
      <c r="I186" s="14"/>
      <c r="J186" s="16">
        <f>IF(OR(H186="",I186=""),"",H186*I186)</f>
        <v>0</v>
      </c>
      <c r="K186" s="13"/>
      <c r="L186" s="13"/>
      <c r="M186" s="13"/>
      <c r="N186" s="12"/>
    </row>
    <row r="187" spans="1:14">
      <c r="A187" s="12"/>
      <c r="B187" s="12"/>
      <c r="C187" s="12"/>
      <c r="D187" s="12"/>
      <c r="E187" s="12"/>
      <c r="F187" s="12"/>
      <c r="G187" s="12"/>
      <c r="H187" s="17"/>
      <c r="I187" s="14"/>
      <c r="J187" s="16">
        <f>IF(OR(H187="",I187=""),"",H187*I187)</f>
        <v>0</v>
      </c>
      <c r="K187" s="13"/>
      <c r="L187" s="13"/>
      <c r="M187" s="13"/>
      <c r="N187" s="12"/>
    </row>
    <row r="188" spans="1:14">
      <c r="A188" s="12"/>
      <c r="B188" s="12"/>
      <c r="C188" s="12"/>
      <c r="D188" s="12"/>
      <c r="E188" s="12"/>
      <c r="F188" s="12"/>
      <c r="G188" s="12"/>
      <c r="H188" s="17"/>
      <c r="I188" s="14"/>
      <c r="J188" s="16">
        <f>IF(OR(H188="",I188=""),"",H188*I188)</f>
        <v>0</v>
      </c>
      <c r="K188" s="13"/>
      <c r="L188" s="13"/>
      <c r="M188" s="13"/>
      <c r="N188" s="12"/>
    </row>
    <row r="189" spans="1:14">
      <c r="A189" s="12"/>
      <c r="B189" s="12"/>
      <c r="C189" s="12"/>
      <c r="D189" s="12"/>
      <c r="E189" s="12"/>
      <c r="F189" s="12"/>
      <c r="G189" s="12"/>
      <c r="H189" s="17"/>
      <c r="I189" s="14"/>
      <c r="J189" s="16">
        <f>IF(OR(H189="",I189=""),"",H189*I189)</f>
        <v>0</v>
      </c>
      <c r="K189" s="13"/>
      <c r="L189" s="13"/>
      <c r="M189" s="13"/>
      <c r="N189" s="12"/>
    </row>
    <row r="190" spans="1:14">
      <c r="A190" s="12"/>
      <c r="B190" s="12"/>
      <c r="C190" s="12"/>
      <c r="D190" s="12"/>
      <c r="E190" s="12"/>
      <c r="F190" s="12"/>
      <c r="G190" s="12"/>
      <c r="H190" s="17"/>
      <c r="I190" s="14"/>
      <c r="J190" s="16">
        <f>IF(OR(H190="",I190=""),"",H190*I190)</f>
        <v>0</v>
      </c>
      <c r="K190" s="13"/>
      <c r="L190" s="13"/>
      <c r="M190" s="13"/>
      <c r="N190" s="12"/>
    </row>
    <row r="191" spans="1:14">
      <c r="A191" s="12"/>
      <c r="B191" s="12"/>
      <c r="C191" s="12"/>
      <c r="D191" s="12"/>
      <c r="E191" s="12"/>
      <c r="F191" s="12"/>
      <c r="G191" s="12"/>
      <c r="H191" s="17"/>
      <c r="I191" s="14"/>
      <c r="J191" s="16">
        <f>IF(OR(H191="",I191=""),"",H191*I191)</f>
        <v>0</v>
      </c>
      <c r="K191" s="13"/>
      <c r="L191" s="13"/>
      <c r="M191" s="13"/>
      <c r="N191" s="12"/>
    </row>
    <row r="192" spans="1:14">
      <c r="A192" s="12"/>
      <c r="B192" s="12"/>
      <c r="C192" s="12"/>
      <c r="D192" s="12"/>
      <c r="E192" s="12"/>
      <c r="F192" s="12"/>
      <c r="G192" s="12"/>
      <c r="H192" s="17"/>
      <c r="I192" s="14"/>
      <c r="J192" s="16">
        <f>IF(OR(H192="",I192=""),"",H192*I192)</f>
        <v>0</v>
      </c>
      <c r="K192" s="13"/>
      <c r="L192" s="13"/>
      <c r="M192" s="13"/>
      <c r="N192" s="12"/>
    </row>
    <row r="193" spans="1:14">
      <c r="A193" s="12"/>
      <c r="B193" s="12"/>
      <c r="C193" s="12"/>
      <c r="D193" s="12"/>
      <c r="E193" s="12"/>
      <c r="F193" s="12"/>
      <c r="G193" s="12"/>
      <c r="H193" s="17"/>
      <c r="I193" s="14"/>
      <c r="J193" s="16">
        <f>IF(OR(H193="",I193=""),"",H193*I193)</f>
        <v>0</v>
      </c>
      <c r="K193" s="13"/>
      <c r="L193" s="13"/>
      <c r="M193" s="13"/>
      <c r="N193" s="12"/>
    </row>
    <row r="194" spans="1:14">
      <c r="A194" s="12"/>
      <c r="B194" s="12"/>
      <c r="C194" s="12"/>
      <c r="D194" s="12"/>
      <c r="E194" s="12"/>
      <c r="F194" s="12"/>
      <c r="G194" s="12"/>
      <c r="H194" s="17"/>
      <c r="I194" s="14"/>
      <c r="J194" s="16">
        <f>IF(OR(H194="",I194=""),"",H194*I194)</f>
        <v>0</v>
      </c>
      <c r="K194" s="13"/>
      <c r="L194" s="13"/>
      <c r="M194" s="13"/>
      <c r="N194" s="12"/>
    </row>
    <row r="195" spans="1:14">
      <c r="A195" s="12"/>
      <c r="B195" s="12"/>
      <c r="C195" s="12"/>
      <c r="D195" s="12"/>
      <c r="E195" s="12"/>
      <c r="F195" s="12"/>
      <c r="G195" s="12"/>
      <c r="H195" s="17"/>
      <c r="I195" s="14"/>
      <c r="J195" s="16">
        <f>IF(OR(H195="",I195=""),"",H195*I195)</f>
        <v>0</v>
      </c>
      <c r="K195" s="13"/>
      <c r="L195" s="13"/>
      <c r="M195" s="13"/>
      <c r="N195" s="12"/>
    </row>
    <row r="196" spans="1:14">
      <c r="A196" s="12"/>
      <c r="B196" s="12"/>
      <c r="C196" s="12"/>
      <c r="D196" s="12"/>
      <c r="E196" s="12"/>
      <c r="F196" s="12"/>
      <c r="G196" s="12"/>
      <c r="H196" s="17"/>
      <c r="I196" s="14"/>
      <c r="J196" s="16">
        <f>IF(OR(H196="",I196=""),"",H196*I196)</f>
        <v>0</v>
      </c>
      <c r="K196" s="13"/>
      <c r="L196" s="13"/>
      <c r="M196" s="13"/>
      <c r="N196" s="12"/>
    </row>
    <row r="197" spans="1:14">
      <c r="A197" s="12"/>
      <c r="B197" s="12"/>
      <c r="C197" s="12"/>
      <c r="D197" s="12"/>
      <c r="E197" s="12"/>
      <c r="F197" s="12"/>
      <c r="G197" s="12"/>
      <c r="H197" s="17"/>
      <c r="I197" s="14"/>
      <c r="J197" s="16">
        <f>IF(OR(H197="",I197=""),"",H197*I197)</f>
        <v>0</v>
      </c>
      <c r="K197" s="13"/>
      <c r="L197" s="13"/>
      <c r="M197" s="13"/>
      <c r="N197" s="12"/>
    </row>
    <row r="198" spans="1:14">
      <c r="A198" s="12"/>
      <c r="B198" s="12"/>
      <c r="C198" s="12"/>
      <c r="D198" s="12"/>
      <c r="E198" s="12"/>
      <c r="F198" s="12"/>
      <c r="G198" s="12"/>
      <c r="H198" s="17"/>
      <c r="I198" s="14"/>
      <c r="J198" s="16">
        <f>IF(OR(H198="",I198=""),"",H198*I198)</f>
        <v>0</v>
      </c>
      <c r="K198" s="13"/>
      <c r="L198" s="13"/>
      <c r="M198" s="13"/>
      <c r="N198" s="12"/>
    </row>
    <row r="199" spans="1:14">
      <c r="A199" s="12"/>
      <c r="B199" s="12"/>
      <c r="C199" s="12"/>
      <c r="D199" s="12"/>
      <c r="E199" s="12"/>
      <c r="F199" s="12"/>
      <c r="G199" s="12"/>
      <c r="H199" s="17"/>
      <c r="I199" s="14"/>
      <c r="J199" s="16">
        <f>IF(OR(H199="",I199=""),"",H199*I199)</f>
        <v>0</v>
      </c>
      <c r="K199" s="13"/>
      <c r="L199" s="13"/>
      <c r="M199" s="13"/>
      <c r="N199" s="12"/>
    </row>
    <row r="200" spans="1:14">
      <c r="A200" s="12"/>
      <c r="B200" s="12"/>
      <c r="C200" s="12"/>
      <c r="D200" s="12"/>
      <c r="E200" s="12"/>
      <c r="F200" s="12"/>
      <c r="G200" s="12"/>
      <c r="H200" s="17"/>
      <c r="I200" s="14"/>
      <c r="J200" s="16">
        <f>IF(OR(H200="",I200=""),"",H200*I200)</f>
        <v>0</v>
      </c>
      <c r="K200" s="13"/>
      <c r="L200" s="13"/>
      <c r="M200" s="13"/>
      <c r="N200" s="12"/>
    </row>
    <row r="201" spans="1:14">
      <c r="A201" s="12"/>
      <c r="B201" s="12"/>
      <c r="C201" s="12"/>
      <c r="D201" s="12"/>
      <c r="E201" s="12"/>
      <c r="F201" s="12"/>
      <c r="G201" s="12"/>
      <c r="H201" s="17"/>
      <c r="I201" s="14"/>
      <c r="J201" s="16">
        <f>IF(OR(H201="",I201=""),"",H201*I201)</f>
        <v>0</v>
      </c>
      <c r="K201" s="13"/>
      <c r="L201" s="13"/>
      <c r="M201" s="13"/>
      <c r="N201" s="12"/>
    </row>
    <row r="202" spans="1:14">
      <c r="A202" s="12"/>
      <c r="B202" s="12"/>
      <c r="C202" s="12"/>
      <c r="D202" s="12"/>
      <c r="E202" s="12"/>
      <c r="F202" s="12"/>
      <c r="G202" s="12"/>
      <c r="H202" s="17"/>
      <c r="I202" s="14"/>
      <c r="J202" s="16">
        <f>IF(OR(H202="",I202=""),"",H202*I202)</f>
        <v>0</v>
      </c>
      <c r="K202" s="13"/>
      <c r="L202" s="13"/>
      <c r="M202" s="13"/>
      <c r="N202" s="12"/>
    </row>
    <row r="203" spans="1:14">
      <c r="A203" s="12"/>
      <c r="B203" s="12"/>
      <c r="C203" s="12"/>
      <c r="D203" s="12"/>
      <c r="E203" s="12"/>
      <c r="F203" s="12"/>
      <c r="G203" s="12"/>
      <c r="H203" s="17"/>
      <c r="I203" s="14"/>
      <c r="J203" s="16">
        <f>IF(OR(H203="",I203=""),"",H203*I203)</f>
        <v>0</v>
      </c>
      <c r="K203" s="13"/>
      <c r="L203" s="13"/>
      <c r="M203" s="13"/>
      <c r="N203" s="12"/>
    </row>
    <row r="204" spans="1:14">
      <c r="A204" s="12"/>
      <c r="B204" s="12"/>
      <c r="C204" s="12"/>
      <c r="D204" s="12"/>
      <c r="E204" s="12"/>
      <c r="F204" s="12"/>
      <c r="G204" s="12"/>
      <c r="H204" s="17"/>
      <c r="I204" s="14"/>
      <c r="J204" s="16">
        <f>IF(OR(H204="",I204=""),"",H204*I204)</f>
        <v>0</v>
      </c>
      <c r="K204" s="13"/>
      <c r="L204" s="13"/>
      <c r="M204" s="13"/>
      <c r="N204" s="12"/>
    </row>
    <row r="205" spans="1:14">
      <c r="A205" s="12"/>
      <c r="B205" s="12"/>
      <c r="C205" s="12"/>
      <c r="D205" s="12"/>
      <c r="E205" s="12"/>
      <c r="F205" s="12"/>
      <c r="G205" s="12"/>
      <c r="H205" s="17"/>
      <c r="I205" s="14"/>
      <c r="J205" s="16">
        <f>IF(OR(H205="",I205=""),"",H205*I205)</f>
        <v>0</v>
      </c>
      <c r="K205" s="13"/>
      <c r="L205" s="13"/>
      <c r="M205" s="13"/>
      <c r="N205" s="12"/>
    </row>
    <row r="206" spans="1:14">
      <c r="A206" s="12"/>
      <c r="B206" s="12"/>
      <c r="C206" s="12"/>
      <c r="D206" s="12"/>
      <c r="E206" s="12"/>
      <c r="F206" s="12"/>
      <c r="G206" s="12"/>
      <c r="H206" s="17"/>
      <c r="I206" s="14"/>
      <c r="J206" s="16">
        <f>IF(OR(H206="",I206=""),"",H206*I206)</f>
        <v>0</v>
      </c>
      <c r="K206" s="13"/>
      <c r="L206" s="13"/>
      <c r="M206" s="13"/>
      <c r="N206" s="12"/>
    </row>
    <row r="207" spans="1:14">
      <c r="A207" s="12"/>
      <c r="B207" s="12"/>
      <c r="C207" s="12"/>
      <c r="D207" s="12"/>
      <c r="E207" s="12"/>
      <c r="F207" s="12"/>
      <c r="G207" s="12"/>
      <c r="H207" s="17"/>
      <c r="I207" s="14"/>
      <c r="J207" s="16">
        <f>IF(OR(H207="",I207=""),"",H207*I207)</f>
        <v>0</v>
      </c>
      <c r="K207" s="13"/>
      <c r="L207" s="13"/>
      <c r="M207" s="13"/>
      <c r="N207" s="12"/>
    </row>
    <row r="208" spans="1:14">
      <c r="A208" s="12"/>
      <c r="B208" s="12"/>
      <c r="C208" s="12"/>
      <c r="D208" s="12"/>
      <c r="E208" s="12"/>
      <c r="F208" s="12"/>
      <c r="G208" s="12"/>
      <c r="H208" s="17"/>
      <c r="I208" s="14"/>
      <c r="J208" s="16">
        <f>IF(OR(H208="",I208=""),"",H208*I208)</f>
        <v>0</v>
      </c>
      <c r="K208" s="13"/>
      <c r="L208" s="13"/>
      <c r="M208" s="13"/>
      <c r="N208" s="12"/>
    </row>
    <row r="209" spans="1:14">
      <c r="A209" s="12"/>
      <c r="B209" s="12"/>
      <c r="C209" s="12"/>
      <c r="D209" s="12"/>
      <c r="E209" s="12"/>
      <c r="F209" s="12"/>
      <c r="G209" s="12"/>
      <c r="H209" s="17"/>
      <c r="I209" s="14"/>
      <c r="J209" s="16">
        <f>IF(OR(H209="",I209=""),"",H209*I209)</f>
        <v>0</v>
      </c>
      <c r="K209" s="13"/>
      <c r="L209" s="13"/>
      <c r="M209" s="13"/>
      <c r="N209" s="12"/>
    </row>
    <row r="210" spans="1:14">
      <c r="A210" s="12"/>
      <c r="B210" s="12"/>
      <c r="C210" s="12"/>
      <c r="D210" s="12"/>
      <c r="E210" s="12"/>
      <c r="F210" s="12"/>
      <c r="G210" s="12"/>
      <c r="H210" s="17"/>
      <c r="I210" s="14"/>
      <c r="J210" s="16">
        <f>IF(OR(H210="",I210=""),"",H210*I210)</f>
        <v>0</v>
      </c>
      <c r="K210" s="13"/>
      <c r="L210" s="13"/>
      <c r="M210" s="13"/>
      <c r="N210" s="12"/>
    </row>
    <row r="211" spans="1:14">
      <c r="A211" s="12"/>
      <c r="B211" s="12"/>
      <c r="C211" s="12"/>
      <c r="D211" s="12"/>
      <c r="E211" s="12"/>
      <c r="F211" s="12"/>
      <c r="G211" s="12"/>
      <c r="H211" s="17"/>
      <c r="I211" s="14"/>
      <c r="J211" s="16">
        <f>IF(OR(H211="",I211=""),"",H211*I211)</f>
        <v>0</v>
      </c>
      <c r="K211" s="13"/>
      <c r="L211" s="13"/>
      <c r="M211" s="13"/>
      <c r="N211" s="12"/>
    </row>
    <row r="212" spans="1:14">
      <c r="A212" s="12"/>
      <c r="B212" s="12"/>
      <c r="C212" s="12"/>
      <c r="D212" s="12"/>
      <c r="E212" s="12"/>
      <c r="F212" s="12"/>
      <c r="G212" s="12"/>
      <c r="H212" s="17"/>
      <c r="I212" s="14"/>
      <c r="J212" s="16">
        <f>IF(OR(H212="",I212=""),"",H212*I212)</f>
        <v>0</v>
      </c>
      <c r="K212" s="13"/>
      <c r="L212" s="13"/>
      <c r="M212" s="13"/>
      <c r="N212" s="12"/>
    </row>
    <row r="213" spans="1:14">
      <c r="A213" s="12"/>
      <c r="B213" s="12"/>
      <c r="C213" s="12"/>
      <c r="D213" s="12"/>
      <c r="E213" s="12"/>
      <c r="F213" s="12"/>
      <c r="G213" s="12"/>
      <c r="H213" s="17"/>
      <c r="I213" s="14"/>
      <c r="J213" s="16">
        <f>IF(OR(H213="",I213=""),"",H213*I213)</f>
        <v>0</v>
      </c>
      <c r="K213" s="13"/>
      <c r="L213" s="13"/>
      <c r="M213" s="13"/>
      <c r="N213" s="12"/>
    </row>
    <row r="214" spans="1:14">
      <c r="A214" s="12"/>
      <c r="B214" s="12"/>
      <c r="C214" s="12"/>
      <c r="D214" s="12"/>
      <c r="E214" s="12"/>
      <c r="F214" s="12"/>
      <c r="G214" s="12"/>
      <c r="H214" s="17"/>
      <c r="I214" s="14"/>
      <c r="J214" s="16">
        <f>IF(OR(H214="",I214=""),"",H214*I214)</f>
        <v>0</v>
      </c>
      <c r="K214" s="13"/>
      <c r="L214" s="13"/>
      <c r="M214" s="13"/>
      <c r="N214" s="12"/>
    </row>
    <row r="215" spans="1:14">
      <c r="A215" s="12"/>
      <c r="B215" s="12"/>
      <c r="C215" s="12"/>
      <c r="D215" s="12"/>
      <c r="E215" s="12"/>
      <c r="F215" s="12"/>
      <c r="G215" s="12"/>
      <c r="H215" s="17"/>
      <c r="I215" s="14"/>
      <c r="J215" s="16">
        <f>IF(OR(H215="",I215=""),"",H215*I215)</f>
        <v>0</v>
      </c>
      <c r="K215" s="13"/>
      <c r="L215" s="13"/>
      <c r="M215" s="13"/>
      <c r="N215" s="12"/>
    </row>
    <row r="216" spans="1:14">
      <c r="A216" s="12"/>
      <c r="B216" s="12"/>
      <c r="C216" s="12"/>
      <c r="D216" s="12"/>
      <c r="E216" s="12"/>
      <c r="F216" s="12"/>
      <c r="G216" s="12"/>
      <c r="H216" s="17"/>
      <c r="I216" s="14"/>
      <c r="J216" s="16">
        <f>IF(OR(H216="",I216=""),"",H216*I216)</f>
        <v>0</v>
      </c>
      <c r="K216" s="13"/>
      <c r="L216" s="13"/>
      <c r="M216" s="13"/>
      <c r="N216" s="12"/>
    </row>
    <row r="217" spans="1:14">
      <c r="A217" s="12"/>
      <c r="B217" s="12"/>
      <c r="C217" s="12"/>
      <c r="D217" s="12"/>
      <c r="E217" s="12"/>
      <c r="F217" s="12"/>
      <c r="G217" s="12"/>
      <c r="H217" s="17"/>
      <c r="I217" s="14"/>
      <c r="J217" s="16">
        <f>IF(OR(H217="",I217=""),"",H217*I217)</f>
        <v>0</v>
      </c>
      <c r="K217" s="13"/>
      <c r="L217" s="13"/>
      <c r="M217" s="13"/>
      <c r="N217" s="12"/>
    </row>
    <row r="218" spans="1:14">
      <c r="A218" s="12"/>
      <c r="B218" s="12"/>
      <c r="C218" s="12"/>
      <c r="D218" s="12"/>
      <c r="E218" s="12"/>
      <c r="F218" s="12"/>
      <c r="G218" s="12"/>
      <c r="H218" s="17"/>
      <c r="I218" s="14"/>
      <c r="J218" s="16">
        <f>IF(OR(H218="",I218=""),"",H218*I218)</f>
        <v>0</v>
      </c>
      <c r="K218" s="13"/>
      <c r="L218" s="13"/>
      <c r="M218" s="13"/>
      <c r="N218" s="12"/>
    </row>
    <row r="219" spans="1:14">
      <c r="A219" s="12"/>
      <c r="B219" s="12"/>
      <c r="C219" s="12"/>
      <c r="D219" s="12"/>
      <c r="E219" s="12"/>
      <c r="F219" s="12"/>
      <c r="G219" s="12"/>
      <c r="H219" s="17"/>
      <c r="I219" s="14"/>
      <c r="J219" s="16">
        <f>IF(OR(H219="",I219=""),"",H219*I219)</f>
        <v>0</v>
      </c>
      <c r="K219" s="13"/>
      <c r="L219" s="13"/>
      <c r="M219" s="13"/>
      <c r="N219" s="12"/>
    </row>
    <row r="220" spans="1:14">
      <c r="A220" s="12"/>
      <c r="B220" s="12"/>
      <c r="C220" s="12"/>
      <c r="D220" s="12"/>
      <c r="E220" s="12"/>
      <c r="F220" s="12"/>
      <c r="G220" s="12"/>
      <c r="H220" s="17"/>
      <c r="I220" s="14"/>
      <c r="J220" s="16">
        <f>IF(OR(H220="",I220=""),"",H220*I220)</f>
        <v>0</v>
      </c>
      <c r="K220" s="13"/>
      <c r="L220" s="13"/>
      <c r="M220" s="13"/>
      <c r="N220" s="12"/>
    </row>
    <row r="221" spans="1:14">
      <c r="A221" s="12"/>
      <c r="B221" s="12"/>
      <c r="C221" s="12"/>
      <c r="D221" s="12"/>
      <c r="E221" s="12"/>
      <c r="F221" s="12"/>
      <c r="G221" s="12"/>
      <c r="H221" s="17"/>
      <c r="I221" s="14"/>
      <c r="J221" s="16">
        <f>IF(OR(H221="",I221=""),"",H221*I221)</f>
        <v>0</v>
      </c>
      <c r="K221" s="13"/>
      <c r="L221" s="13"/>
      <c r="M221" s="13"/>
      <c r="N221" s="12"/>
    </row>
    <row r="222" spans="1:14">
      <c r="A222" s="12"/>
      <c r="B222" s="12"/>
      <c r="C222" s="12"/>
      <c r="D222" s="12"/>
      <c r="E222" s="12"/>
      <c r="F222" s="12"/>
      <c r="G222" s="12"/>
      <c r="H222" s="17"/>
      <c r="I222" s="14"/>
      <c r="J222" s="16">
        <f>IF(OR(H222="",I222=""),"",H222*I222)</f>
        <v>0</v>
      </c>
      <c r="K222" s="13"/>
      <c r="L222" s="13"/>
      <c r="M222" s="13"/>
      <c r="N222" s="12"/>
    </row>
    <row r="223" spans="1:14">
      <c r="A223" s="12"/>
      <c r="B223" s="12"/>
      <c r="C223" s="12"/>
      <c r="D223" s="12"/>
      <c r="E223" s="12"/>
      <c r="F223" s="12"/>
      <c r="G223" s="12"/>
      <c r="H223" s="17"/>
      <c r="I223" s="14"/>
      <c r="J223" s="16">
        <f>IF(OR(H223="",I223=""),"",H223*I223)</f>
        <v>0</v>
      </c>
      <c r="K223" s="13"/>
      <c r="L223" s="13"/>
      <c r="M223" s="13"/>
      <c r="N223" s="12"/>
    </row>
    <row r="224" spans="1:14">
      <c r="A224" s="12"/>
      <c r="B224" s="12"/>
      <c r="C224" s="12"/>
      <c r="D224" s="12"/>
      <c r="E224" s="12"/>
      <c r="F224" s="12"/>
      <c r="G224" s="12"/>
      <c r="H224" s="17"/>
      <c r="I224" s="14"/>
      <c r="J224" s="16">
        <f>IF(OR(H224="",I224=""),"",H224*I224)</f>
        <v>0</v>
      </c>
      <c r="K224" s="13"/>
      <c r="L224" s="13"/>
      <c r="M224" s="13"/>
      <c r="N224" s="12"/>
    </row>
    <row r="225" spans="1:14">
      <c r="A225" s="12"/>
      <c r="B225" s="12"/>
      <c r="C225" s="12"/>
      <c r="D225" s="12"/>
      <c r="E225" s="12"/>
      <c r="F225" s="12"/>
      <c r="G225" s="12"/>
      <c r="H225" s="17"/>
      <c r="I225" s="14"/>
      <c r="J225" s="16">
        <f>IF(OR(H225="",I225=""),"",H225*I225)</f>
        <v>0</v>
      </c>
      <c r="K225" s="13"/>
      <c r="L225" s="13"/>
      <c r="M225" s="13"/>
      <c r="N225" s="12"/>
    </row>
    <row r="226" spans="1:14">
      <c r="A226" s="12"/>
      <c r="B226" s="12"/>
      <c r="C226" s="12"/>
      <c r="D226" s="12"/>
      <c r="E226" s="12"/>
      <c r="F226" s="12"/>
      <c r="G226" s="12"/>
      <c r="H226" s="17"/>
      <c r="I226" s="14"/>
      <c r="J226" s="16">
        <f>IF(OR(H226="",I226=""),"",H226*I226)</f>
        <v>0</v>
      </c>
      <c r="K226" s="13"/>
      <c r="L226" s="13"/>
      <c r="M226" s="13"/>
      <c r="N226" s="12"/>
    </row>
    <row r="227" spans="1:14">
      <c r="A227" s="12"/>
      <c r="B227" s="12"/>
      <c r="C227" s="12"/>
      <c r="D227" s="12"/>
      <c r="E227" s="12"/>
      <c r="F227" s="12"/>
      <c r="G227" s="12"/>
      <c r="H227" s="17"/>
      <c r="I227" s="14"/>
      <c r="J227" s="16">
        <f>IF(OR(H227="",I227=""),"",H227*I227)</f>
        <v>0</v>
      </c>
      <c r="K227" s="13"/>
      <c r="L227" s="13"/>
      <c r="M227" s="13"/>
      <c r="N227" s="12"/>
    </row>
    <row r="228" spans="1:14">
      <c r="A228" s="12"/>
      <c r="B228" s="12"/>
      <c r="C228" s="12"/>
      <c r="D228" s="12"/>
      <c r="E228" s="12"/>
      <c r="F228" s="12"/>
      <c r="G228" s="12"/>
      <c r="H228" s="17"/>
      <c r="I228" s="14"/>
      <c r="J228" s="16">
        <f>IF(OR(H228="",I228=""),"",H228*I228)</f>
        <v>0</v>
      </c>
      <c r="K228" s="13"/>
      <c r="L228" s="13"/>
      <c r="M228" s="13"/>
      <c r="N228" s="12"/>
    </row>
    <row r="229" spans="1:14">
      <c r="A229" s="12"/>
      <c r="B229" s="12"/>
      <c r="C229" s="12"/>
      <c r="D229" s="12"/>
      <c r="E229" s="12"/>
      <c r="F229" s="12"/>
      <c r="G229" s="12"/>
      <c r="H229" s="17"/>
      <c r="I229" s="14"/>
      <c r="J229" s="16">
        <f>IF(OR(H229="",I229=""),"",H229*I229)</f>
        <v>0</v>
      </c>
      <c r="K229" s="13"/>
      <c r="L229" s="13"/>
      <c r="M229" s="13"/>
      <c r="N229" s="12"/>
    </row>
    <row r="230" spans="1:14">
      <c r="A230" s="12"/>
      <c r="B230" s="12"/>
      <c r="C230" s="12"/>
      <c r="D230" s="12"/>
      <c r="E230" s="12"/>
      <c r="F230" s="12"/>
      <c r="G230" s="12"/>
      <c r="H230" s="17"/>
      <c r="I230" s="14"/>
      <c r="J230" s="16">
        <f>IF(OR(H230="",I230=""),"",H230*I230)</f>
        <v>0</v>
      </c>
      <c r="K230" s="13"/>
      <c r="L230" s="13"/>
      <c r="M230" s="13"/>
      <c r="N230" s="12"/>
    </row>
    <row r="231" spans="1:14">
      <c r="A231" s="12"/>
      <c r="B231" s="12"/>
      <c r="C231" s="12"/>
      <c r="D231" s="12"/>
      <c r="E231" s="12"/>
      <c r="F231" s="12"/>
      <c r="G231" s="12"/>
      <c r="H231" s="17"/>
      <c r="I231" s="14"/>
      <c r="J231" s="16">
        <f>IF(OR(H231="",I231=""),"",H231*I231)</f>
        <v>0</v>
      </c>
      <c r="K231" s="13"/>
      <c r="L231" s="13"/>
      <c r="M231" s="13"/>
      <c r="N231" s="12"/>
    </row>
    <row r="232" spans="1:14">
      <c r="A232" s="12"/>
      <c r="B232" s="12"/>
      <c r="C232" s="12"/>
      <c r="D232" s="12"/>
      <c r="E232" s="12"/>
      <c r="F232" s="12"/>
      <c r="G232" s="12"/>
      <c r="H232" s="17"/>
      <c r="I232" s="14"/>
      <c r="J232" s="16">
        <f>IF(OR(H232="",I232=""),"",H232*I232)</f>
        <v>0</v>
      </c>
      <c r="K232" s="13"/>
      <c r="L232" s="13"/>
      <c r="M232" s="13"/>
      <c r="N232" s="12"/>
    </row>
    <row r="233" spans="1:14">
      <c r="A233" s="12"/>
      <c r="B233" s="12"/>
      <c r="C233" s="12"/>
      <c r="D233" s="12"/>
      <c r="E233" s="12"/>
      <c r="F233" s="12"/>
      <c r="G233" s="12"/>
      <c r="H233" s="17"/>
      <c r="I233" s="14"/>
      <c r="J233" s="16">
        <f>IF(OR(H233="",I233=""),"",H233*I233)</f>
        <v>0</v>
      </c>
      <c r="K233" s="13"/>
      <c r="L233" s="13"/>
      <c r="M233" s="13"/>
      <c r="N233" s="12"/>
    </row>
    <row r="234" spans="1:14">
      <c r="A234" s="12"/>
      <c r="B234" s="12"/>
      <c r="C234" s="12"/>
      <c r="D234" s="12"/>
      <c r="E234" s="12"/>
      <c r="F234" s="12"/>
      <c r="G234" s="12"/>
      <c r="H234" s="17"/>
      <c r="I234" s="14"/>
      <c r="J234" s="16">
        <f>IF(OR(H234="",I234=""),"",H234*I234)</f>
        <v>0</v>
      </c>
      <c r="K234" s="13"/>
      <c r="L234" s="13"/>
      <c r="M234" s="13"/>
      <c r="N234" s="12"/>
    </row>
    <row r="235" spans="1:14">
      <c r="A235" s="12"/>
      <c r="B235" s="12"/>
      <c r="C235" s="12"/>
      <c r="D235" s="12"/>
      <c r="E235" s="12"/>
      <c r="F235" s="12"/>
      <c r="G235" s="12"/>
      <c r="H235" s="17"/>
      <c r="I235" s="14"/>
      <c r="J235" s="16">
        <f>IF(OR(H235="",I235=""),"",H235*I235)</f>
        <v>0</v>
      </c>
      <c r="K235" s="13"/>
      <c r="L235" s="13"/>
      <c r="M235" s="13"/>
      <c r="N235" s="12"/>
    </row>
    <row r="236" spans="1:14">
      <c r="A236" s="12"/>
      <c r="B236" s="12"/>
      <c r="C236" s="12"/>
      <c r="D236" s="12"/>
      <c r="E236" s="12"/>
      <c r="F236" s="12"/>
      <c r="G236" s="12"/>
      <c r="H236" s="17"/>
      <c r="I236" s="14"/>
      <c r="J236" s="16">
        <f>IF(OR(H236="",I236=""),"",H236*I236)</f>
        <v>0</v>
      </c>
      <c r="K236" s="13"/>
      <c r="L236" s="13"/>
      <c r="M236" s="13"/>
      <c r="N236" s="12"/>
    </row>
    <row r="237" spans="1:14">
      <c r="A237" s="12"/>
      <c r="B237" s="12"/>
      <c r="C237" s="12"/>
      <c r="D237" s="12"/>
      <c r="E237" s="12"/>
      <c r="F237" s="12"/>
      <c r="G237" s="12"/>
      <c r="H237" s="17"/>
      <c r="I237" s="14"/>
      <c r="J237" s="16">
        <f>IF(OR(H237="",I237=""),"",H237*I237)</f>
        <v>0</v>
      </c>
      <c r="K237" s="13"/>
      <c r="L237" s="13"/>
      <c r="M237" s="13"/>
      <c r="N237" s="12"/>
    </row>
    <row r="238" spans="1:14">
      <c r="A238" s="12"/>
      <c r="B238" s="12"/>
      <c r="C238" s="12"/>
      <c r="D238" s="12"/>
      <c r="E238" s="12"/>
      <c r="F238" s="12"/>
      <c r="G238" s="12"/>
      <c r="H238" s="17"/>
      <c r="I238" s="14"/>
      <c r="J238" s="16">
        <f>IF(OR(H238="",I238=""),"",H238*I238)</f>
        <v>0</v>
      </c>
      <c r="K238" s="13"/>
      <c r="L238" s="13"/>
      <c r="M238" s="13"/>
      <c r="N238" s="12"/>
    </row>
    <row r="239" spans="1:14">
      <c r="A239" s="12"/>
      <c r="B239" s="12"/>
      <c r="C239" s="12"/>
      <c r="D239" s="12"/>
      <c r="E239" s="12"/>
      <c r="F239" s="12"/>
      <c r="G239" s="12"/>
      <c r="H239" s="17"/>
      <c r="I239" s="14"/>
      <c r="J239" s="16">
        <f>IF(OR(H239="",I239=""),"",H239*I239)</f>
        <v>0</v>
      </c>
      <c r="K239" s="13"/>
      <c r="L239" s="13"/>
      <c r="M239" s="13"/>
      <c r="N239" s="12"/>
    </row>
    <row r="240" spans="1:14">
      <c r="A240" s="12"/>
      <c r="B240" s="12"/>
      <c r="C240" s="12"/>
      <c r="D240" s="12"/>
      <c r="E240" s="12"/>
      <c r="F240" s="12"/>
      <c r="G240" s="12"/>
      <c r="H240" s="17"/>
      <c r="I240" s="14"/>
      <c r="J240" s="16">
        <f>IF(OR(H240="",I240=""),"",H240*I240)</f>
        <v>0</v>
      </c>
      <c r="K240" s="13"/>
      <c r="L240" s="13"/>
      <c r="M240" s="13"/>
      <c r="N240" s="12"/>
    </row>
    <row r="241" spans="1:14">
      <c r="A241" s="12"/>
      <c r="B241" s="12"/>
      <c r="C241" s="12"/>
      <c r="D241" s="12"/>
      <c r="E241" s="12"/>
      <c r="F241" s="12"/>
      <c r="G241" s="12"/>
      <c r="H241" s="17"/>
      <c r="I241" s="14"/>
      <c r="J241" s="16">
        <f>IF(OR(H241="",I241=""),"",H241*I241)</f>
        <v>0</v>
      </c>
      <c r="K241" s="13"/>
      <c r="L241" s="13"/>
      <c r="M241" s="13"/>
      <c r="N241" s="12"/>
    </row>
    <row r="242" spans="1:14">
      <c r="A242" s="12"/>
      <c r="B242" s="12"/>
      <c r="C242" s="12"/>
      <c r="D242" s="12"/>
      <c r="E242" s="12"/>
      <c r="F242" s="12"/>
      <c r="G242" s="12"/>
      <c r="H242" s="17"/>
      <c r="I242" s="14"/>
      <c r="J242" s="16">
        <f>IF(OR(H242="",I242=""),"",H242*I242)</f>
        <v>0</v>
      </c>
      <c r="K242" s="13"/>
      <c r="L242" s="13"/>
      <c r="M242" s="13"/>
      <c r="N242" s="12"/>
    </row>
    <row r="243" spans="1:14">
      <c r="A243" s="12"/>
      <c r="B243" s="12"/>
      <c r="C243" s="12"/>
      <c r="D243" s="12"/>
      <c r="E243" s="12"/>
      <c r="F243" s="12"/>
      <c r="G243" s="12"/>
      <c r="H243" s="17"/>
      <c r="I243" s="14"/>
      <c r="J243" s="16">
        <f>IF(OR(H243="",I243=""),"",H243*I243)</f>
        <v>0</v>
      </c>
      <c r="K243" s="13"/>
      <c r="L243" s="13"/>
      <c r="M243" s="13"/>
      <c r="N243" s="12"/>
    </row>
    <row r="244" spans="1:14">
      <c r="A244" s="12"/>
      <c r="B244" s="12"/>
      <c r="C244" s="12"/>
      <c r="D244" s="12"/>
      <c r="E244" s="12"/>
      <c r="F244" s="12"/>
      <c r="G244" s="12"/>
      <c r="H244" s="17"/>
      <c r="I244" s="14"/>
      <c r="J244" s="16">
        <f>IF(OR(H244="",I244=""),"",H244*I244)</f>
        <v>0</v>
      </c>
      <c r="K244" s="13"/>
      <c r="L244" s="13"/>
      <c r="M244" s="13"/>
      <c r="N244" s="12"/>
    </row>
    <row r="245" spans="1:14">
      <c r="A245" s="12"/>
      <c r="B245" s="12"/>
      <c r="C245" s="12"/>
      <c r="D245" s="12"/>
      <c r="E245" s="12"/>
      <c r="F245" s="12"/>
      <c r="G245" s="12"/>
      <c r="H245" s="17"/>
      <c r="I245" s="14"/>
      <c r="J245" s="16">
        <f>IF(OR(H245="",I245=""),"",H245*I245)</f>
        <v>0</v>
      </c>
      <c r="K245" s="13"/>
      <c r="L245" s="13"/>
      <c r="M245" s="13"/>
      <c r="N245" s="12"/>
    </row>
    <row r="246" spans="1:14">
      <c r="A246" s="12"/>
      <c r="B246" s="12"/>
      <c r="C246" s="12"/>
      <c r="D246" s="12"/>
      <c r="E246" s="12"/>
      <c r="F246" s="12"/>
      <c r="G246" s="12"/>
      <c r="H246" s="17"/>
      <c r="I246" s="14"/>
      <c r="J246" s="16">
        <f>IF(OR(H246="",I246=""),"",H246*I246)</f>
        <v>0</v>
      </c>
      <c r="K246" s="13"/>
      <c r="L246" s="13"/>
      <c r="M246" s="13"/>
      <c r="N246" s="12"/>
    </row>
    <row r="247" spans="1:14">
      <c r="A247" s="12"/>
      <c r="B247" s="12"/>
      <c r="C247" s="12"/>
      <c r="D247" s="12"/>
      <c r="E247" s="12"/>
      <c r="F247" s="12"/>
      <c r="G247" s="12"/>
      <c r="H247" s="17"/>
      <c r="I247" s="14"/>
      <c r="J247" s="16">
        <f>IF(OR(H247="",I247=""),"",H247*I247)</f>
        <v>0</v>
      </c>
      <c r="K247" s="13"/>
      <c r="L247" s="13"/>
      <c r="M247" s="13"/>
      <c r="N247" s="12"/>
    </row>
    <row r="248" spans="1:14">
      <c r="A248" s="12"/>
      <c r="B248" s="12"/>
      <c r="C248" s="12"/>
      <c r="D248" s="12"/>
      <c r="E248" s="12"/>
      <c r="F248" s="12"/>
      <c r="G248" s="12"/>
      <c r="H248" s="17"/>
      <c r="I248" s="14"/>
      <c r="J248" s="16">
        <f>IF(OR(H248="",I248=""),"",H248*I248)</f>
        <v>0</v>
      </c>
      <c r="K248" s="13"/>
      <c r="L248" s="13"/>
      <c r="M248" s="13"/>
      <c r="N248" s="12"/>
    </row>
    <row r="249" spans="1:14">
      <c r="A249" s="12"/>
      <c r="B249" s="12"/>
      <c r="C249" s="12"/>
      <c r="D249" s="12"/>
      <c r="E249" s="12"/>
      <c r="F249" s="12"/>
      <c r="G249" s="12"/>
      <c r="H249" s="17"/>
      <c r="I249" s="14"/>
      <c r="J249" s="16">
        <f>IF(OR(H249="",I249=""),"",H249*I249)</f>
        <v>0</v>
      </c>
      <c r="K249" s="13"/>
      <c r="L249" s="13"/>
      <c r="M249" s="13"/>
      <c r="N249" s="12"/>
    </row>
    <row r="250" spans="1:14">
      <c r="A250" s="12"/>
      <c r="B250" s="12"/>
      <c r="C250" s="12"/>
      <c r="D250" s="12"/>
      <c r="E250" s="12"/>
      <c r="F250" s="12"/>
      <c r="G250" s="12"/>
      <c r="H250" s="17"/>
      <c r="I250" s="14"/>
      <c r="J250" s="16">
        <f>IF(OR(H250="",I250=""),"",H250*I250)</f>
        <v>0</v>
      </c>
      <c r="K250" s="13"/>
      <c r="L250" s="13"/>
      <c r="M250" s="13"/>
      <c r="N250" s="12"/>
    </row>
    <row r="251" spans="1:14">
      <c r="A251" s="12"/>
      <c r="B251" s="12"/>
      <c r="C251" s="12"/>
      <c r="D251" s="12"/>
      <c r="E251" s="12"/>
      <c r="F251" s="12"/>
      <c r="G251" s="12"/>
      <c r="H251" s="17"/>
      <c r="I251" s="14"/>
      <c r="J251" s="16">
        <f>IF(OR(H251="",I251=""),"",H251*I251)</f>
        <v>0</v>
      </c>
      <c r="K251" s="13"/>
      <c r="L251" s="13"/>
      <c r="M251" s="13"/>
      <c r="N251" s="12"/>
    </row>
    <row r="252" spans="1:14">
      <c r="A252" s="12"/>
      <c r="B252" s="12"/>
      <c r="C252" s="12"/>
      <c r="D252" s="12"/>
      <c r="E252" s="12"/>
      <c r="F252" s="12"/>
      <c r="G252" s="12"/>
      <c r="H252" s="17"/>
      <c r="I252" s="14"/>
      <c r="J252" s="16">
        <f>IF(OR(H252="",I252=""),"",H252*I252)</f>
        <v>0</v>
      </c>
      <c r="K252" s="13"/>
      <c r="L252" s="13"/>
      <c r="M252" s="13"/>
      <c r="N252" s="12"/>
    </row>
    <row r="253" spans="1:14">
      <c r="A253" s="12"/>
      <c r="B253" s="12"/>
      <c r="C253" s="12"/>
      <c r="D253" s="12"/>
      <c r="E253" s="12"/>
      <c r="F253" s="12"/>
      <c r="G253" s="12"/>
      <c r="H253" s="17"/>
      <c r="I253" s="14"/>
      <c r="J253" s="16">
        <f>IF(OR(H253="",I253=""),"",H253*I253)</f>
        <v>0</v>
      </c>
      <c r="K253" s="13"/>
      <c r="L253" s="13"/>
      <c r="M253" s="13"/>
      <c r="N253" s="12"/>
    </row>
  </sheetData>
  <autoFilter ref="A3:N253"/>
  <mergeCells count="2">
    <mergeCell ref="A1:N1"/>
    <mergeCell ref="A2:N2"/>
  </mergeCells>
  <dataValidations count="3">
    <dataValidation type="list" allowBlank="1" showInputMessage="1" showErrorMessage="1" errorTitle="Choose a listed value" error="Please select an option from the dropdown." promptTitle="Room" prompt="Select from the dropdown list." sqref="A4:A253">
      <formula1>RoomNames</formula1>
    </dataValidation>
    <dataValidation type="list" allowBlank="1" showInputMessage="1" showErrorMessage="1" errorTitle="Choose a listed value" error="Please select an option from the dropdown." promptTitle="Fixture Type" prompt="Select from the dropdown list." sqref="B4:B253">
      <formula1>FixtureTypes</formula1>
    </dataValidation>
    <dataValidation type="list" allowBlank="1" showInputMessage="1" showErrorMessage="1" errorTitle="Choose a listed value" error="Please select an option from the dropdown." promptTitle="Vendor" prompt="Select from the dropdown list." sqref="F4:F253">
      <formula1>VendorNames</formula1>
    </dataValidation>
  </dataValidations>
  <pageMargins left="0.25" right="0.25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18.7109375" customWidth="1"/>
    <col min="4" max="4" width="22.7109375" customWidth="1"/>
    <col min="5" max="6" width="18.7109375" customWidth="1"/>
    <col min="7" max="7" width="20.7109375" customWidth="1"/>
    <col min="8" max="8" width="28.7109375" customWidth="1"/>
    <col min="9" max="9" width="16.7109375" customWidth="1"/>
    <col min="10" max="12" width="14.7109375" customWidth="1"/>
    <col min="13" max="14" width="16.7109375" customWidth="1"/>
    <col min="15" max="15" width="30.7109375" customWidth="1"/>
  </cols>
  <sheetData>
    <row r="1" spans="1:15" ht="30" customHeight="1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10" t="s">
        <v>167</v>
      </c>
      <c r="B3" s="10" t="s">
        <v>307</v>
      </c>
      <c r="C3" s="10" t="s">
        <v>308</v>
      </c>
      <c r="D3" s="10" t="s">
        <v>309</v>
      </c>
      <c r="E3" s="10" t="s">
        <v>310</v>
      </c>
      <c r="F3" s="10" t="s">
        <v>276</v>
      </c>
      <c r="G3" s="10" t="s">
        <v>150</v>
      </c>
      <c r="H3" s="10" t="s">
        <v>279</v>
      </c>
      <c r="I3" s="10" t="s">
        <v>311</v>
      </c>
      <c r="J3" s="10" t="s">
        <v>312</v>
      </c>
      <c r="K3" s="10" t="s">
        <v>281</v>
      </c>
      <c r="L3" s="10" t="s">
        <v>282</v>
      </c>
      <c r="M3" s="10" t="s">
        <v>313</v>
      </c>
      <c r="N3" s="10" t="s">
        <v>314</v>
      </c>
      <c r="O3" s="10" t="s">
        <v>305</v>
      </c>
    </row>
    <row r="4" spans="1:15">
      <c r="A4" s="12"/>
      <c r="B4" s="12"/>
      <c r="C4" s="12"/>
      <c r="D4" s="12"/>
      <c r="E4" s="12"/>
      <c r="F4" s="12"/>
      <c r="G4" s="12"/>
      <c r="H4" s="18"/>
      <c r="I4" s="12"/>
      <c r="J4" s="15"/>
      <c r="K4" s="14"/>
      <c r="L4" s="16">
        <f>IF(OR(J4="",K4=""),"",J4*K4)</f>
        <v>0</v>
      </c>
      <c r="M4" s="12"/>
      <c r="N4" s="12"/>
      <c r="O4" s="12"/>
    </row>
    <row r="5" spans="1:15">
      <c r="A5" s="12"/>
      <c r="B5" s="12"/>
      <c r="C5" s="12"/>
      <c r="D5" s="12"/>
      <c r="E5" s="12"/>
      <c r="F5" s="12"/>
      <c r="G5" s="12"/>
      <c r="H5" s="18"/>
      <c r="I5" s="12"/>
      <c r="J5" s="15"/>
      <c r="K5" s="14"/>
      <c r="L5" s="16">
        <f>IF(OR(J5="",K5=""),"",J5*K5)</f>
        <v>0</v>
      </c>
      <c r="M5" s="12"/>
      <c r="N5" s="12"/>
      <c r="O5" s="12"/>
    </row>
    <row r="6" spans="1:15">
      <c r="A6" s="12"/>
      <c r="B6" s="12"/>
      <c r="C6" s="12"/>
      <c r="D6" s="12"/>
      <c r="E6" s="12"/>
      <c r="F6" s="12"/>
      <c r="G6" s="12"/>
      <c r="H6" s="18"/>
      <c r="I6" s="12"/>
      <c r="J6" s="15"/>
      <c r="K6" s="14"/>
      <c r="L6" s="16">
        <f>IF(OR(J6="",K6=""),"",J6*K6)</f>
        <v>0</v>
      </c>
      <c r="M6" s="12"/>
      <c r="N6" s="12"/>
      <c r="O6" s="12"/>
    </row>
    <row r="7" spans="1:15">
      <c r="A7" s="12"/>
      <c r="B7" s="12"/>
      <c r="C7" s="12"/>
      <c r="D7" s="12"/>
      <c r="E7" s="12"/>
      <c r="F7" s="12"/>
      <c r="G7" s="12"/>
      <c r="H7" s="18"/>
      <c r="I7" s="12"/>
      <c r="J7" s="15"/>
      <c r="K7" s="14"/>
      <c r="L7" s="16">
        <f>IF(OR(J7="",K7=""),"",J7*K7)</f>
        <v>0</v>
      </c>
      <c r="M7" s="12"/>
      <c r="N7" s="12"/>
      <c r="O7" s="12"/>
    </row>
    <row r="8" spans="1:15">
      <c r="A8" s="12"/>
      <c r="B8" s="12"/>
      <c r="C8" s="12"/>
      <c r="D8" s="12"/>
      <c r="E8" s="12"/>
      <c r="F8" s="12"/>
      <c r="G8" s="12"/>
      <c r="H8" s="18"/>
      <c r="I8" s="12"/>
      <c r="J8" s="15"/>
      <c r="K8" s="14"/>
      <c r="L8" s="16">
        <f>IF(OR(J8="",K8=""),"",J8*K8)</f>
        <v>0</v>
      </c>
      <c r="M8" s="12"/>
      <c r="N8" s="12"/>
      <c r="O8" s="12"/>
    </row>
    <row r="9" spans="1:15">
      <c r="A9" s="12"/>
      <c r="B9" s="12"/>
      <c r="C9" s="12"/>
      <c r="D9" s="12"/>
      <c r="E9" s="12"/>
      <c r="F9" s="12"/>
      <c r="G9" s="12"/>
      <c r="H9" s="18"/>
      <c r="I9" s="12"/>
      <c r="J9" s="15"/>
      <c r="K9" s="14"/>
      <c r="L9" s="16">
        <f>IF(OR(J9="",K9=""),"",J9*K9)</f>
        <v>0</v>
      </c>
      <c r="M9" s="12"/>
      <c r="N9" s="12"/>
      <c r="O9" s="12"/>
    </row>
    <row r="10" spans="1:15">
      <c r="A10" s="12"/>
      <c r="B10" s="12"/>
      <c r="C10" s="12"/>
      <c r="D10" s="12"/>
      <c r="E10" s="12"/>
      <c r="F10" s="12"/>
      <c r="G10" s="12"/>
      <c r="H10" s="18"/>
      <c r="I10" s="12"/>
      <c r="J10" s="15"/>
      <c r="K10" s="14"/>
      <c r="L10" s="16">
        <f>IF(OR(J10="",K10=""),"",J10*K10)</f>
        <v>0</v>
      </c>
      <c r="M10" s="12"/>
      <c r="N10" s="12"/>
      <c r="O10" s="12"/>
    </row>
    <row r="11" spans="1:15">
      <c r="A11" s="12"/>
      <c r="B11" s="12"/>
      <c r="C11" s="12"/>
      <c r="D11" s="12"/>
      <c r="E11" s="12"/>
      <c r="F11" s="12"/>
      <c r="G11" s="12"/>
      <c r="H11" s="18"/>
      <c r="I11" s="12"/>
      <c r="J11" s="15"/>
      <c r="K11" s="14"/>
      <c r="L11" s="16">
        <f>IF(OR(J11="",K11=""),"",J11*K11)</f>
        <v>0</v>
      </c>
      <c r="M11" s="12"/>
      <c r="N11" s="12"/>
      <c r="O11" s="12"/>
    </row>
    <row r="12" spans="1:15">
      <c r="A12" s="12"/>
      <c r="B12" s="12"/>
      <c r="C12" s="12"/>
      <c r="D12" s="12"/>
      <c r="E12" s="12"/>
      <c r="F12" s="12"/>
      <c r="G12" s="12"/>
      <c r="H12" s="18"/>
      <c r="I12" s="12"/>
      <c r="J12" s="15"/>
      <c r="K12" s="14"/>
      <c r="L12" s="16">
        <f>IF(OR(J12="",K12=""),"",J12*K12)</f>
        <v>0</v>
      </c>
      <c r="M12" s="12"/>
      <c r="N12" s="12"/>
      <c r="O12" s="12"/>
    </row>
    <row r="13" spans="1:15">
      <c r="A13" s="12"/>
      <c r="B13" s="12"/>
      <c r="C13" s="12"/>
      <c r="D13" s="12"/>
      <c r="E13" s="12"/>
      <c r="F13" s="12"/>
      <c r="G13" s="12"/>
      <c r="H13" s="18"/>
      <c r="I13" s="12"/>
      <c r="J13" s="15"/>
      <c r="K13" s="14"/>
      <c r="L13" s="16">
        <f>IF(OR(J13="",K13=""),"",J13*K13)</f>
        <v>0</v>
      </c>
      <c r="M13" s="12"/>
      <c r="N13" s="12"/>
      <c r="O13" s="12"/>
    </row>
    <row r="14" spans="1:15">
      <c r="A14" s="12"/>
      <c r="B14" s="12"/>
      <c r="C14" s="12"/>
      <c r="D14" s="12"/>
      <c r="E14" s="12"/>
      <c r="F14" s="12"/>
      <c r="G14" s="12"/>
      <c r="H14" s="18"/>
      <c r="I14" s="12"/>
      <c r="J14" s="15"/>
      <c r="K14" s="14"/>
      <c r="L14" s="16">
        <f>IF(OR(J14="",K14=""),"",J14*K14)</f>
        <v>0</v>
      </c>
      <c r="M14" s="12"/>
      <c r="N14" s="12"/>
      <c r="O14" s="12"/>
    </row>
    <row r="15" spans="1:15">
      <c r="A15" s="12"/>
      <c r="B15" s="12"/>
      <c r="C15" s="12"/>
      <c r="D15" s="12"/>
      <c r="E15" s="12"/>
      <c r="F15" s="12"/>
      <c r="G15" s="12"/>
      <c r="H15" s="18"/>
      <c r="I15" s="12"/>
      <c r="J15" s="15"/>
      <c r="K15" s="14"/>
      <c r="L15" s="16">
        <f>IF(OR(J15="",K15=""),"",J15*K15)</f>
        <v>0</v>
      </c>
      <c r="M15" s="12"/>
      <c r="N15" s="12"/>
      <c r="O15" s="12"/>
    </row>
    <row r="16" spans="1:15">
      <c r="A16" s="12"/>
      <c r="B16" s="12"/>
      <c r="C16" s="12"/>
      <c r="D16" s="12"/>
      <c r="E16" s="12"/>
      <c r="F16" s="12"/>
      <c r="G16" s="12"/>
      <c r="H16" s="18"/>
      <c r="I16" s="12"/>
      <c r="J16" s="15"/>
      <c r="K16" s="14"/>
      <c r="L16" s="16">
        <f>IF(OR(J16="",K16=""),"",J16*K16)</f>
        <v>0</v>
      </c>
      <c r="M16" s="12"/>
      <c r="N16" s="12"/>
      <c r="O16" s="12"/>
    </row>
    <row r="17" spans="1:15">
      <c r="A17" s="12"/>
      <c r="B17" s="12"/>
      <c r="C17" s="12"/>
      <c r="D17" s="12"/>
      <c r="E17" s="12"/>
      <c r="F17" s="12"/>
      <c r="G17" s="12"/>
      <c r="H17" s="18"/>
      <c r="I17" s="12"/>
      <c r="J17" s="15"/>
      <c r="K17" s="14"/>
      <c r="L17" s="16">
        <f>IF(OR(J17="",K17=""),"",J17*K17)</f>
        <v>0</v>
      </c>
      <c r="M17" s="12"/>
      <c r="N17" s="12"/>
      <c r="O17" s="12"/>
    </row>
    <row r="18" spans="1:15">
      <c r="A18" s="12"/>
      <c r="B18" s="12"/>
      <c r="C18" s="12"/>
      <c r="D18" s="12"/>
      <c r="E18" s="12"/>
      <c r="F18" s="12"/>
      <c r="G18" s="12"/>
      <c r="H18" s="18"/>
      <c r="I18" s="12"/>
      <c r="J18" s="15"/>
      <c r="K18" s="14"/>
      <c r="L18" s="16">
        <f>IF(OR(J18="",K18=""),"",J18*K18)</f>
        <v>0</v>
      </c>
      <c r="M18" s="12"/>
      <c r="N18" s="12"/>
      <c r="O18" s="12"/>
    </row>
    <row r="19" spans="1:15">
      <c r="A19" s="12"/>
      <c r="B19" s="12"/>
      <c r="C19" s="12"/>
      <c r="D19" s="12"/>
      <c r="E19" s="12"/>
      <c r="F19" s="12"/>
      <c r="G19" s="12"/>
      <c r="H19" s="18"/>
      <c r="I19" s="12"/>
      <c r="J19" s="15"/>
      <c r="K19" s="14"/>
      <c r="L19" s="16">
        <f>IF(OR(J19="",K19=""),"",J19*K19)</f>
        <v>0</v>
      </c>
      <c r="M19" s="12"/>
      <c r="N19" s="12"/>
      <c r="O19" s="12"/>
    </row>
    <row r="20" spans="1:15">
      <c r="A20" s="12"/>
      <c r="B20" s="12"/>
      <c r="C20" s="12"/>
      <c r="D20" s="12"/>
      <c r="E20" s="12"/>
      <c r="F20" s="12"/>
      <c r="G20" s="12"/>
      <c r="H20" s="18"/>
      <c r="I20" s="12"/>
      <c r="J20" s="15"/>
      <c r="K20" s="14"/>
      <c r="L20" s="16">
        <f>IF(OR(J20="",K20=""),"",J20*K20)</f>
        <v>0</v>
      </c>
      <c r="M20" s="12"/>
      <c r="N20" s="12"/>
      <c r="O20" s="12"/>
    </row>
    <row r="21" spans="1:15">
      <c r="A21" s="12"/>
      <c r="B21" s="12"/>
      <c r="C21" s="12"/>
      <c r="D21" s="12"/>
      <c r="E21" s="12"/>
      <c r="F21" s="12"/>
      <c r="G21" s="12"/>
      <c r="H21" s="18"/>
      <c r="I21" s="12"/>
      <c r="J21" s="15"/>
      <c r="K21" s="14"/>
      <c r="L21" s="16">
        <f>IF(OR(J21="",K21=""),"",J21*K21)</f>
        <v>0</v>
      </c>
      <c r="M21" s="12"/>
      <c r="N21" s="12"/>
      <c r="O21" s="12"/>
    </row>
    <row r="22" spans="1:15">
      <c r="A22" s="12"/>
      <c r="B22" s="12"/>
      <c r="C22" s="12"/>
      <c r="D22" s="12"/>
      <c r="E22" s="12"/>
      <c r="F22" s="12"/>
      <c r="G22" s="12"/>
      <c r="H22" s="18"/>
      <c r="I22" s="12"/>
      <c r="J22" s="15"/>
      <c r="K22" s="14"/>
      <c r="L22" s="16">
        <f>IF(OR(J22="",K22=""),"",J22*K22)</f>
        <v>0</v>
      </c>
      <c r="M22" s="12"/>
      <c r="N22" s="12"/>
      <c r="O22" s="12"/>
    </row>
    <row r="23" spans="1:15">
      <c r="A23" s="12"/>
      <c r="B23" s="12"/>
      <c r="C23" s="12"/>
      <c r="D23" s="12"/>
      <c r="E23" s="12"/>
      <c r="F23" s="12"/>
      <c r="G23" s="12"/>
      <c r="H23" s="18"/>
      <c r="I23" s="12"/>
      <c r="J23" s="15"/>
      <c r="K23" s="14"/>
      <c r="L23" s="16">
        <f>IF(OR(J23="",K23=""),"",J23*K23)</f>
        <v>0</v>
      </c>
      <c r="M23" s="12"/>
      <c r="N23" s="12"/>
      <c r="O23" s="12"/>
    </row>
    <row r="24" spans="1:15">
      <c r="A24" s="12"/>
      <c r="B24" s="12"/>
      <c r="C24" s="12"/>
      <c r="D24" s="12"/>
      <c r="E24" s="12"/>
      <c r="F24" s="12"/>
      <c r="G24" s="12"/>
      <c r="H24" s="18"/>
      <c r="I24" s="12"/>
      <c r="J24" s="15"/>
      <c r="K24" s="14"/>
      <c r="L24" s="16">
        <f>IF(OR(J24="",K24=""),"",J24*K24)</f>
        <v>0</v>
      </c>
      <c r="M24" s="12"/>
      <c r="N24" s="12"/>
      <c r="O24" s="12"/>
    </row>
    <row r="25" spans="1:15">
      <c r="A25" s="12"/>
      <c r="B25" s="12"/>
      <c r="C25" s="12"/>
      <c r="D25" s="12"/>
      <c r="E25" s="12"/>
      <c r="F25" s="12"/>
      <c r="G25" s="12"/>
      <c r="H25" s="18"/>
      <c r="I25" s="12"/>
      <c r="J25" s="15"/>
      <c r="K25" s="14"/>
      <c r="L25" s="16">
        <f>IF(OR(J25="",K25=""),"",J25*K25)</f>
        <v>0</v>
      </c>
      <c r="M25" s="12"/>
      <c r="N25" s="12"/>
      <c r="O25" s="12"/>
    </row>
    <row r="26" spans="1:15">
      <c r="A26" s="12"/>
      <c r="B26" s="12"/>
      <c r="C26" s="12"/>
      <c r="D26" s="12"/>
      <c r="E26" s="12"/>
      <c r="F26" s="12"/>
      <c r="G26" s="12"/>
      <c r="H26" s="18"/>
      <c r="I26" s="12"/>
      <c r="J26" s="15"/>
      <c r="K26" s="14"/>
      <c r="L26" s="16">
        <f>IF(OR(J26="",K26=""),"",J26*K26)</f>
        <v>0</v>
      </c>
      <c r="M26" s="12"/>
      <c r="N26" s="12"/>
      <c r="O26" s="12"/>
    </row>
    <row r="27" spans="1:15">
      <c r="A27" s="12"/>
      <c r="B27" s="12"/>
      <c r="C27" s="12"/>
      <c r="D27" s="12"/>
      <c r="E27" s="12"/>
      <c r="F27" s="12"/>
      <c r="G27" s="12"/>
      <c r="H27" s="18"/>
      <c r="I27" s="12"/>
      <c r="J27" s="15"/>
      <c r="K27" s="14"/>
      <c r="L27" s="16">
        <f>IF(OR(J27="",K27=""),"",J27*K27)</f>
        <v>0</v>
      </c>
      <c r="M27" s="12"/>
      <c r="N27" s="12"/>
      <c r="O27" s="12"/>
    </row>
    <row r="28" spans="1:15">
      <c r="A28" s="12"/>
      <c r="B28" s="12"/>
      <c r="C28" s="12"/>
      <c r="D28" s="12"/>
      <c r="E28" s="12"/>
      <c r="F28" s="12"/>
      <c r="G28" s="12"/>
      <c r="H28" s="18"/>
      <c r="I28" s="12"/>
      <c r="J28" s="15"/>
      <c r="K28" s="14"/>
      <c r="L28" s="16">
        <f>IF(OR(J28="",K28=""),"",J28*K28)</f>
        <v>0</v>
      </c>
      <c r="M28" s="12"/>
      <c r="N28" s="12"/>
      <c r="O28" s="12"/>
    </row>
    <row r="29" spans="1:15">
      <c r="A29" s="12"/>
      <c r="B29" s="12"/>
      <c r="C29" s="12"/>
      <c r="D29" s="12"/>
      <c r="E29" s="12"/>
      <c r="F29" s="12"/>
      <c r="G29" s="12"/>
      <c r="H29" s="18"/>
      <c r="I29" s="12"/>
      <c r="J29" s="15"/>
      <c r="K29" s="14"/>
      <c r="L29" s="16">
        <f>IF(OR(J29="",K29=""),"",J29*K29)</f>
        <v>0</v>
      </c>
      <c r="M29" s="12"/>
      <c r="N29" s="12"/>
      <c r="O29" s="12"/>
    </row>
    <row r="30" spans="1:15">
      <c r="A30" s="12"/>
      <c r="B30" s="12"/>
      <c r="C30" s="12"/>
      <c r="D30" s="12"/>
      <c r="E30" s="12"/>
      <c r="F30" s="12"/>
      <c r="G30" s="12"/>
      <c r="H30" s="18"/>
      <c r="I30" s="12"/>
      <c r="J30" s="15"/>
      <c r="K30" s="14"/>
      <c r="L30" s="16">
        <f>IF(OR(J30="",K30=""),"",J30*K30)</f>
        <v>0</v>
      </c>
      <c r="M30" s="12"/>
      <c r="N30" s="12"/>
      <c r="O30" s="12"/>
    </row>
    <row r="31" spans="1:15">
      <c r="A31" s="12"/>
      <c r="B31" s="12"/>
      <c r="C31" s="12"/>
      <c r="D31" s="12"/>
      <c r="E31" s="12"/>
      <c r="F31" s="12"/>
      <c r="G31" s="12"/>
      <c r="H31" s="18"/>
      <c r="I31" s="12"/>
      <c r="J31" s="15"/>
      <c r="K31" s="14"/>
      <c r="L31" s="16">
        <f>IF(OR(J31="",K31=""),"",J31*K31)</f>
        <v>0</v>
      </c>
      <c r="M31" s="12"/>
      <c r="N31" s="12"/>
      <c r="O31" s="12"/>
    </row>
    <row r="32" spans="1:15">
      <c r="A32" s="12"/>
      <c r="B32" s="12"/>
      <c r="C32" s="12"/>
      <c r="D32" s="12"/>
      <c r="E32" s="12"/>
      <c r="F32" s="12"/>
      <c r="G32" s="12"/>
      <c r="H32" s="18"/>
      <c r="I32" s="12"/>
      <c r="J32" s="15"/>
      <c r="K32" s="14"/>
      <c r="L32" s="16">
        <f>IF(OR(J32="",K32=""),"",J32*K32)</f>
        <v>0</v>
      </c>
      <c r="M32" s="12"/>
      <c r="N32" s="12"/>
      <c r="O32" s="12"/>
    </row>
    <row r="33" spans="1:15">
      <c r="A33" s="12"/>
      <c r="B33" s="12"/>
      <c r="C33" s="12"/>
      <c r="D33" s="12"/>
      <c r="E33" s="12"/>
      <c r="F33" s="12"/>
      <c r="G33" s="12"/>
      <c r="H33" s="18"/>
      <c r="I33" s="12"/>
      <c r="J33" s="15"/>
      <c r="K33" s="14"/>
      <c r="L33" s="16">
        <f>IF(OR(J33="",K33=""),"",J33*K33)</f>
        <v>0</v>
      </c>
      <c r="M33" s="12"/>
      <c r="N33" s="12"/>
      <c r="O33" s="12"/>
    </row>
    <row r="34" spans="1:15">
      <c r="A34" s="12"/>
      <c r="B34" s="12"/>
      <c r="C34" s="12"/>
      <c r="D34" s="12"/>
      <c r="E34" s="12"/>
      <c r="F34" s="12"/>
      <c r="G34" s="12"/>
      <c r="H34" s="18"/>
      <c r="I34" s="12"/>
      <c r="J34" s="15"/>
      <c r="K34" s="14"/>
      <c r="L34" s="16">
        <f>IF(OR(J34="",K34=""),"",J34*K34)</f>
        <v>0</v>
      </c>
      <c r="M34" s="12"/>
      <c r="N34" s="12"/>
      <c r="O34" s="12"/>
    </row>
    <row r="35" spans="1:15">
      <c r="A35" s="12"/>
      <c r="B35" s="12"/>
      <c r="C35" s="12"/>
      <c r="D35" s="12"/>
      <c r="E35" s="12"/>
      <c r="F35" s="12"/>
      <c r="G35" s="12"/>
      <c r="H35" s="18"/>
      <c r="I35" s="12"/>
      <c r="J35" s="15"/>
      <c r="K35" s="14"/>
      <c r="L35" s="16">
        <f>IF(OR(J35="",K35=""),"",J35*K35)</f>
        <v>0</v>
      </c>
      <c r="M35" s="12"/>
      <c r="N35" s="12"/>
      <c r="O35" s="12"/>
    </row>
    <row r="36" spans="1:15">
      <c r="A36" s="12"/>
      <c r="B36" s="12"/>
      <c r="C36" s="12"/>
      <c r="D36" s="12"/>
      <c r="E36" s="12"/>
      <c r="F36" s="12"/>
      <c r="G36" s="12"/>
      <c r="H36" s="18"/>
      <c r="I36" s="12"/>
      <c r="J36" s="15"/>
      <c r="K36" s="14"/>
      <c r="L36" s="16">
        <f>IF(OR(J36="",K36=""),"",J36*K36)</f>
        <v>0</v>
      </c>
      <c r="M36" s="12"/>
      <c r="N36" s="12"/>
      <c r="O36" s="12"/>
    </row>
    <row r="37" spans="1:15">
      <c r="A37" s="12"/>
      <c r="B37" s="12"/>
      <c r="C37" s="12"/>
      <c r="D37" s="12"/>
      <c r="E37" s="12"/>
      <c r="F37" s="12"/>
      <c r="G37" s="12"/>
      <c r="H37" s="18"/>
      <c r="I37" s="12"/>
      <c r="J37" s="15"/>
      <c r="K37" s="14"/>
      <c r="L37" s="16">
        <f>IF(OR(J37="",K37=""),"",J37*K37)</f>
        <v>0</v>
      </c>
      <c r="M37" s="12"/>
      <c r="N37" s="12"/>
      <c r="O37" s="12"/>
    </row>
    <row r="38" spans="1:15">
      <c r="A38" s="12"/>
      <c r="B38" s="12"/>
      <c r="C38" s="12"/>
      <c r="D38" s="12"/>
      <c r="E38" s="12"/>
      <c r="F38" s="12"/>
      <c r="G38" s="12"/>
      <c r="H38" s="18"/>
      <c r="I38" s="12"/>
      <c r="J38" s="15"/>
      <c r="K38" s="14"/>
      <c r="L38" s="16">
        <f>IF(OR(J38="",K38=""),"",J38*K38)</f>
        <v>0</v>
      </c>
      <c r="M38" s="12"/>
      <c r="N38" s="12"/>
      <c r="O38" s="12"/>
    </row>
    <row r="39" spans="1:15">
      <c r="A39" s="12"/>
      <c r="B39" s="12"/>
      <c r="C39" s="12"/>
      <c r="D39" s="12"/>
      <c r="E39" s="12"/>
      <c r="F39" s="12"/>
      <c r="G39" s="12"/>
      <c r="H39" s="18"/>
      <c r="I39" s="12"/>
      <c r="J39" s="15"/>
      <c r="K39" s="14"/>
      <c r="L39" s="16">
        <f>IF(OR(J39="",K39=""),"",J39*K39)</f>
        <v>0</v>
      </c>
      <c r="M39" s="12"/>
      <c r="N39" s="12"/>
      <c r="O39" s="12"/>
    </row>
    <row r="40" spans="1:15">
      <c r="A40" s="12"/>
      <c r="B40" s="12"/>
      <c r="C40" s="12"/>
      <c r="D40" s="12"/>
      <c r="E40" s="12"/>
      <c r="F40" s="12"/>
      <c r="G40" s="12"/>
      <c r="H40" s="18"/>
      <c r="I40" s="12"/>
      <c r="J40" s="15"/>
      <c r="K40" s="14"/>
      <c r="L40" s="16">
        <f>IF(OR(J40="",K40=""),"",J40*K40)</f>
        <v>0</v>
      </c>
      <c r="M40" s="12"/>
      <c r="N40" s="12"/>
      <c r="O40" s="12"/>
    </row>
    <row r="41" spans="1:15">
      <c r="A41" s="12"/>
      <c r="B41" s="12"/>
      <c r="C41" s="12"/>
      <c r="D41" s="12"/>
      <c r="E41" s="12"/>
      <c r="F41" s="12"/>
      <c r="G41" s="12"/>
      <c r="H41" s="18"/>
      <c r="I41" s="12"/>
      <c r="J41" s="15"/>
      <c r="K41" s="14"/>
      <c r="L41" s="16">
        <f>IF(OR(J41="",K41=""),"",J41*K41)</f>
        <v>0</v>
      </c>
      <c r="M41" s="12"/>
      <c r="N41" s="12"/>
      <c r="O41" s="12"/>
    </row>
    <row r="42" spans="1:15">
      <c r="A42" s="12"/>
      <c r="B42" s="12"/>
      <c r="C42" s="12"/>
      <c r="D42" s="12"/>
      <c r="E42" s="12"/>
      <c r="F42" s="12"/>
      <c r="G42" s="12"/>
      <c r="H42" s="18"/>
      <c r="I42" s="12"/>
      <c r="J42" s="15"/>
      <c r="K42" s="14"/>
      <c r="L42" s="16">
        <f>IF(OR(J42="",K42=""),"",J42*K42)</f>
        <v>0</v>
      </c>
      <c r="M42" s="12"/>
      <c r="N42" s="12"/>
      <c r="O42" s="12"/>
    </row>
    <row r="43" spans="1:15">
      <c r="A43" s="12"/>
      <c r="B43" s="12"/>
      <c r="C43" s="12"/>
      <c r="D43" s="12"/>
      <c r="E43" s="12"/>
      <c r="F43" s="12"/>
      <c r="G43" s="12"/>
      <c r="H43" s="18"/>
      <c r="I43" s="12"/>
      <c r="J43" s="15"/>
      <c r="K43" s="14"/>
      <c r="L43" s="16">
        <f>IF(OR(J43="",K43=""),"",J43*K43)</f>
        <v>0</v>
      </c>
      <c r="M43" s="12"/>
      <c r="N43" s="12"/>
      <c r="O43" s="12"/>
    </row>
    <row r="44" spans="1:15">
      <c r="A44" s="12"/>
      <c r="B44" s="12"/>
      <c r="C44" s="12"/>
      <c r="D44" s="12"/>
      <c r="E44" s="12"/>
      <c r="F44" s="12"/>
      <c r="G44" s="12"/>
      <c r="H44" s="18"/>
      <c r="I44" s="12"/>
      <c r="J44" s="15"/>
      <c r="K44" s="14"/>
      <c r="L44" s="16">
        <f>IF(OR(J44="",K44=""),"",J44*K44)</f>
        <v>0</v>
      </c>
      <c r="M44" s="12"/>
      <c r="N44" s="12"/>
      <c r="O44" s="12"/>
    </row>
    <row r="45" spans="1:15">
      <c r="A45" s="12"/>
      <c r="B45" s="12"/>
      <c r="C45" s="12"/>
      <c r="D45" s="12"/>
      <c r="E45" s="12"/>
      <c r="F45" s="12"/>
      <c r="G45" s="12"/>
      <c r="H45" s="18"/>
      <c r="I45" s="12"/>
      <c r="J45" s="15"/>
      <c r="K45" s="14"/>
      <c r="L45" s="16">
        <f>IF(OR(J45="",K45=""),"",J45*K45)</f>
        <v>0</v>
      </c>
      <c r="M45" s="12"/>
      <c r="N45" s="12"/>
      <c r="O45" s="12"/>
    </row>
    <row r="46" spans="1:15">
      <c r="A46" s="12"/>
      <c r="B46" s="12"/>
      <c r="C46" s="12"/>
      <c r="D46" s="12"/>
      <c r="E46" s="12"/>
      <c r="F46" s="12"/>
      <c r="G46" s="12"/>
      <c r="H46" s="18"/>
      <c r="I46" s="12"/>
      <c r="J46" s="15"/>
      <c r="K46" s="14"/>
      <c r="L46" s="16">
        <f>IF(OR(J46="",K46=""),"",J46*K46)</f>
        <v>0</v>
      </c>
      <c r="M46" s="12"/>
      <c r="N46" s="12"/>
      <c r="O46" s="12"/>
    </row>
    <row r="47" spans="1:15">
      <c r="A47" s="12"/>
      <c r="B47" s="12"/>
      <c r="C47" s="12"/>
      <c r="D47" s="12"/>
      <c r="E47" s="12"/>
      <c r="F47" s="12"/>
      <c r="G47" s="12"/>
      <c r="H47" s="18"/>
      <c r="I47" s="12"/>
      <c r="J47" s="15"/>
      <c r="K47" s="14"/>
      <c r="L47" s="16">
        <f>IF(OR(J47="",K47=""),"",J47*K47)</f>
        <v>0</v>
      </c>
      <c r="M47" s="12"/>
      <c r="N47" s="12"/>
      <c r="O47" s="12"/>
    </row>
    <row r="48" spans="1:15">
      <c r="A48" s="12"/>
      <c r="B48" s="12"/>
      <c r="C48" s="12"/>
      <c r="D48" s="12"/>
      <c r="E48" s="12"/>
      <c r="F48" s="12"/>
      <c r="G48" s="12"/>
      <c r="H48" s="18"/>
      <c r="I48" s="12"/>
      <c r="J48" s="15"/>
      <c r="K48" s="14"/>
      <c r="L48" s="16">
        <f>IF(OR(J48="",K48=""),"",J48*K48)</f>
        <v>0</v>
      </c>
      <c r="M48" s="12"/>
      <c r="N48" s="12"/>
      <c r="O48" s="12"/>
    </row>
    <row r="49" spans="1:15">
      <c r="A49" s="12"/>
      <c r="B49" s="12"/>
      <c r="C49" s="12"/>
      <c r="D49" s="12"/>
      <c r="E49" s="12"/>
      <c r="F49" s="12"/>
      <c r="G49" s="12"/>
      <c r="H49" s="18"/>
      <c r="I49" s="12"/>
      <c r="J49" s="15"/>
      <c r="K49" s="14"/>
      <c r="L49" s="16">
        <f>IF(OR(J49="",K49=""),"",J49*K49)</f>
        <v>0</v>
      </c>
      <c r="M49" s="12"/>
      <c r="N49" s="12"/>
      <c r="O49" s="12"/>
    </row>
    <row r="50" spans="1:15">
      <c r="A50" s="12"/>
      <c r="B50" s="12"/>
      <c r="C50" s="12"/>
      <c r="D50" s="12"/>
      <c r="E50" s="12"/>
      <c r="F50" s="12"/>
      <c r="G50" s="12"/>
      <c r="H50" s="18"/>
      <c r="I50" s="12"/>
      <c r="J50" s="15"/>
      <c r="K50" s="14"/>
      <c r="L50" s="16">
        <f>IF(OR(J50="",K50=""),"",J50*K50)</f>
        <v>0</v>
      </c>
      <c r="M50" s="12"/>
      <c r="N50" s="12"/>
      <c r="O50" s="12"/>
    </row>
    <row r="51" spans="1:15">
      <c r="A51" s="12"/>
      <c r="B51" s="12"/>
      <c r="C51" s="12"/>
      <c r="D51" s="12"/>
      <c r="E51" s="12"/>
      <c r="F51" s="12"/>
      <c r="G51" s="12"/>
      <c r="H51" s="18"/>
      <c r="I51" s="12"/>
      <c r="J51" s="15"/>
      <c r="K51" s="14"/>
      <c r="L51" s="16">
        <f>IF(OR(J51="",K51=""),"",J51*K51)</f>
        <v>0</v>
      </c>
      <c r="M51" s="12"/>
      <c r="N51" s="12"/>
      <c r="O51" s="12"/>
    </row>
    <row r="52" spans="1:15">
      <c r="A52" s="12"/>
      <c r="B52" s="12"/>
      <c r="C52" s="12"/>
      <c r="D52" s="12"/>
      <c r="E52" s="12"/>
      <c r="F52" s="12"/>
      <c r="G52" s="12"/>
      <c r="H52" s="18"/>
      <c r="I52" s="12"/>
      <c r="J52" s="15"/>
      <c r="K52" s="14"/>
      <c r="L52" s="16">
        <f>IF(OR(J52="",K52=""),"",J52*K52)</f>
        <v>0</v>
      </c>
      <c r="M52" s="12"/>
      <c r="N52" s="12"/>
      <c r="O52" s="12"/>
    </row>
    <row r="53" spans="1:15">
      <c r="A53" s="12"/>
      <c r="B53" s="12"/>
      <c r="C53" s="12"/>
      <c r="D53" s="12"/>
      <c r="E53" s="12"/>
      <c r="F53" s="12"/>
      <c r="G53" s="12"/>
      <c r="H53" s="18"/>
      <c r="I53" s="12"/>
      <c r="J53" s="15"/>
      <c r="K53" s="14"/>
      <c r="L53" s="16">
        <f>IF(OR(J53="",K53=""),"",J53*K53)</f>
        <v>0</v>
      </c>
      <c r="M53" s="12"/>
      <c r="N53" s="12"/>
      <c r="O53" s="12"/>
    </row>
    <row r="54" spans="1:15">
      <c r="A54" s="12"/>
      <c r="B54" s="12"/>
      <c r="C54" s="12"/>
      <c r="D54" s="12"/>
      <c r="E54" s="12"/>
      <c r="F54" s="12"/>
      <c r="G54" s="12"/>
      <c r="H54" s="18"/>
      <c r="I54" s="12"/>
      <c r="J54" s="15"/>
      <c r="K54" s="14"/>
      <c r="L54" s="16">
        <f>IF(OR(J54="",K54=""),"",J54*K54)</f>
        <v>0</v>
      </c>
      <c r="M54" s="12"/>
      <c r="N54" s="12"/>
      <c r="O54" s="12"/>
    </row>
    <row r="55" spans="1:15">
      <c r="A55" s="12"/>
      <c r="B55" s="12"/>
      <c r="C55" s="12"/>
      <c r="D55" s="12"/>
      <c r="E55" s="12"/>
      <c r="F55" s="12"/>
      <c r="G55" s="12"/>
      <c r="H55" s="18"/>
      <c r="I55" s="12"/>
      <c r="J55" s="15"/>
      <c r="K55" s="14"/>
      <c r="L55" s="16">
        <f>IF(OR(J55="",K55=""),"",J55*K55)</f>
        <v>0</v>
      </c>
      <c r="M55" s="12"/>
      <c r="N55" s="12"/>
      <c r="O55" s="12"/>
    </row>
    <row r="56" spans="1:15">
      <c r="A56" s="12"/>
      <c r="B56" s="12"/>
      <c r="C56" s="12"/>
      <c r="D56" s="12"/>
      <c r="E56" s="12"/>
      <c r="F56" s="12"/>
      <c r="G56" s="12"/>
      <c r="H56" s="18"/>
      <c r="I56" s="12"/>
      <c r="J56" s="15"/>
      <c r="K56" s="14"/>
      <c r="L56" s="16">
        <f>IF(OR(J56="",K56=""),"",J56*K56)</f>
        <v>0</v>
      </c>
      <c r="M56" s="12"/>
      <c r="N56" s="12"/>
      <c r="O56" s="12"/>
    </row>
    <row r="57" spans="1:15">
      <c r="A57" s="12"/>
      <c r="B57" s="12"/>
      <c r="C57" s="12"/>
      <c r="D57" s="12"/>
      <c r="E57" s="12"/>
      <c r="F57" s="12"/>
      <c r="G57" s="12"/>
      <c r="H57" s="18"/>
      <c r="I57" s="12"/>
      <c r="J57" s="15"/>
      <c r="K57" s="14"/>
      <c r="L57" s="16">
        <f>IF(OR(J57="",K57=""),"",J57*K57)</f>
        <v>0</v>
      </c>
      <c r="M57" s="12"/>
      <c r="N57" s="12"/>
      <c r="O57" s="12"/>
    </row>
    <row r="58" spans="1:15">
      <c r="A58" s="12"/>
      <c r="B58" s="12"/>
      <c r="C58" s="12"/>
      <c r="D58" s="12"/>
      <c r="E58" s="12"/>
      <c r="F58" s="12"/>
      <c r="G58" s="12"/>
      <c r="H58" s="18"/>
      <c r="I58" s="12"/>
      <c r="J58" s="15"/>
      <c r="K58" s="14"/>
      <c r="L58" s="16">
        <f>IF(OR(J58="",K58=""),"",J58*K58)</f>
        <v>0</v>
      </c>
      <c r="M58" s="12"/>
      <c r="N58" s="12"/>
      <c r="O58" s="12"/>
    </row>
    <row r="59" spans="1:15">
      <c r="A59" s="12"/>
      <c r="B59" s="12"/>
      <c r="C59" s="12"/>
      <c r="D59" s="12"/>
      <c r="E59" s="12"/>
      <c r="F59" s="12"/>
      <c r="G59" s="12"/>
      <c r="H59" s="18"/>
      <c r="I59" s="12"/>
      <c r="J59" s="15"/>
      <c r="K59" s="14"/>
      <c r="L59" s="16">
        <f>IF(OR(J59="",K59=""),"",J59*K59)</f>
        <v>0</v>
      </c>
      <c r="M59" s="12"/>
      <c r="N59" s="12"/>
      <c r="O59" s="12"/>
    </row>
    <row r="60" spans="1:15">
      <c r="A60" s="12"/>
      <c r="B60" s="12"/>
      <c r="C60" s="12"/>
      <c r="D60" s="12"/>
      <c r="E60" s="12"/>
      <c r="F60" s="12"/>
      <c r="G60" s="12"/>
      <c r="H60" s="18"/>
      <c r="I60" s="12"/>
      <c r="J60" s="15"/>
      <c r="K60" s="14"/>
      <c r="L60" s="16">
        <f>IF(OR(J60="",K60=""),"",J60*K60)</f>
        <v>0</v>
      </c>
      <c r="M60" s="12"/>
      <c r="N60" s="12"/>
      <c r="O60" s="12"/>
    </row>
    <row r="61" spans="1:15">
      <c r="A61" s="12"/>
      <c r="B61" s="12"/>
      <c r="C61" s="12"/>
      <c r="D61" s="12"/>
      <c r="E61" s="12"/>
      <c r="F61" s="12"/>
      <c r="G61" s="12"/>
      <c r="H61" s="18"/>
      <c r="I61" s="12"/>
      <c r="J61" s="15"/>
      <c r="K61" s="14"/>
      <c r="L61" s="16">
        <f>IF(OR(J61="",K61=""),"",J61*K61)</f>
        <v>0</v>
      </c>
      <c r="M61" s="12"/>
      <c r="N61" s="12"/>
      <c r="O61" s="12"/>
    </row>
    <row r="62" spans="1:15">
      <c r="A62" s="12"/>
      <c r="B62" s="12"/>
      <c r="C62" s="12"/>
      <c r="D62" s="12"/>
      <c r="E62" s="12"/>
      <c r="F62" s="12"/>
      <c r="G62" s="12"/>
      <c r="H62" s="18"/>
      <c r="I62" s="12"/>
      <c r="J62" s="15"/>
      <c r="K62" s="14"/>
      <c r="L62" s="16">
        <f>IF(OR(J62="",K62=""),"",J62*K62)</f>
        <v>0</v>
      </c>
      <c r="M62" s="12"/>
      <c r="N62" s="12"/>
      <c r="O62" s="12"/>
    </row>
    <row r="63" spans="1:15">
      <c r="A63" s="12"/>
      <c r="B63" s="12"/>
      <c r="C63" s="12"/>
      <c r="D63" s="12"/>
      <c r="E63" s="12"/>
      <c r="F63" s="12"/>
      <c r="G63" s="12"/>
      <c r="H63" s="18"/>
      <c r="I63" s="12"/>
      <c r="J63" s="15"/>
      <c r="K63" s="14"/>
      <c r="L63" s="16">
        <f>IF(OR(J63="",K63=""),"",J63*K63)</f>
        <v>0</v>
      </c>
      <c r="M63" s="12"/>
      <c r="N63" s="12"/>
      <c r="O63" s="12"/>
    </row>
    <row r="64" spans="1:15">
      <c r="A64" s="12"/>
      <c r="B64" s="12"/>
      <c r="C64" s="12"/>
      <c r="D64" s="12"/>
      <c r="E64" s="12"/>
      <c r="F64" s="12"/>
      <c r="G64" s="12"/>
      <c r="H64" s="18"/>
      <c r="I64" s="12"/>
      <c r="J64" s="15"/>
      <c r="K64" s="14"/>
      <c r="L64" s="16">
        <f>IF(OR(J64="",K64=""),"",J64*K64)</f>
        <v>0</v>
      </c>
      <c r="M64" s="12"/>
      <c r="N64" s="12"/>
      <c r="O64" s="12"/>
    </row>
    <row r="65" spans="1:15">
      <c r="A65" s="12"/>
      <c r="B65" s="12"/>
      <c r="C65" s="12"/>
      <c r="D65" s="12"/>
      <c r="E65" s="12"/>
      <c r="F65" s="12"/>
      <c r="G65" s="12"/>
      <c r="H65" s="18"/>
      <c r="I65" s="12"/>
      <c r="J65" s="15"/>
      <c r="K65" s="14"/>
      <c r="L65" s="16">
        <f>IF(OR(J65="",K65=""),"",J65*K65)</f>
        <v>0</v>
      </c>
      <c r="M65" s="12"/>
      <c r="N65" s="12"/>
      <c r="O65" s="12"/>
    </row>
    <row r="66" spans="1:15">
      <c r="A66" s="12"/>
      <c r="B66" s="12"/>
      <c r="C66" s="12"/>
      <c r="D66" s="12"/>
      <c r="E66" s="12"/>
      <c r="F66" s="12"/>
      <c r="G66" s="12"/>
      <c r="H66" s="18"/>
      <c r="I66" s="12"/>
      <c r="J66" s="15"/>
      <c r="K66" s="14"/>
      <c r="L66" s="16">
        <f>IF(OR(J66="",K66=""),"",J66*K66)</f>
        <v>0</v>
      </c>
      <c r="M66" s="12"/>
      <c r="N66" s="12"/>
      <c r="O66" s="12"/>
    </row>
    <row r="67" spans="1:15">
      <c r="A67" s="12"/>
      <c r="B67" s="12"/>
      <c r="C67" s="12"/>
      <c r="D67" s="12"/>
      <c r="E67" s="12"/>
      <c r="F67" s="12"/>
      <c r="G67" s="12"/>
      <c r="H67" s="18"/>
      <c r="I67" s="12"/>
      <c r="J67" s="15"/>
      <c r="K67" s="14"/>
      <c r="L67" s="16">
        <f>IF(OR(J67="",K67=""),"",J67*K67)</f>
        <v>0</v>
      </c>
      <c r="M67" s="12"/>
      <c r="N67" s="12"/>
      <c r="O67" s="12"/>
    </row>
    <row r="68" spans="1:15">
      <c r="A68" s="12"/>
      <c r="B68" s="12"/>
      <c r="C68" s="12"/>
      <c r="D68" s="12"/>
      <c r="E68" s="12"/>
      <c r="F68" s="12"/>
      <c r="G68" s="12"/>
      <c r="H68" s="18"/>
      <c r="I68" s="12"/>
      <c r="J68" s="15"/>
      <c r="K68" s="14"/>
      <c r="L68" s="16">
        <f>IF(OR(J68="",K68=""),"",J68*K68)</f>
        <v>0</v>
      </c>
      <c r="M68" s="12"/>
      <c r="N68" s="12"/>
      <c r="O68" s="12"/>
    </row>
    <row r="69" spans="1:15">
      <c r="A69" s="12"/>
      <c r="B69" s="12"/>
      <c r="C69" s="12"/>
      <c r="D69" s="12"/>
      <c r="E69" s="12"/>
      <c r="F69" s="12"/>
      <c r="G69" s="12"/>
      <c r="H69" s="18"/>
      <c r="I69" s="12"/>
      <c r="J69" s="15"/>
      <c r="K69" s="14"/>
      <c r="L69" s="16">
        <f>IF(OR(J69="",K69=""),"",J69*K69)</f>
        <v>0</v>
      </c>
      <c r="M69" s="12"/>
      <c r="N69" s="12"/>
      <c r="O69" s="12"/>
    </row>
    <row r="70" spans="1:15">
      <c r="A70" s="12"/>
      <c r="B70" s="12"/>
      <c r="C70" s="12"/>
      <c r="D70" s="12"/>
      <c r="E70" s="12"/>
      <c r="F70" s="12"/>
      <c r="G70" s="12"/>
      <c r="H70" s="18"/>
      <c r="I70" s="12"/>
      <c r="J70" s="15"/>
      <c r="K70" s="14"/>
      <c r="L70" s="16">
        <f>IF(OR(J70="",K70=""),"",J70*K70)</f>
        <v>0</v>
      </c>
      <c r="M70" s="12"/>
      <c r="N70" s="12"/>
      <c r="O70" s="12"/>
    </row>
    <row r="71" spans="1:15">
      <c r="A71" s="12"/>
      <c r="B71" s="12"/>
      <c r="C71" s="12"/>
      <c r="D71" s="12"/>
      <c r="E71" s="12"/>
      <c r="F71" s="12"/>
      <c r="G71" s="12"/>
      <c r="H71" s="18"/>
      <c r="I71" s="12"/>
      <c r="J71" s="15"/>
      <c r="K71" s="14"/>
      <c r="L71" s="16">
        <f>IF(OR(J71="",K71=""),"",J71*K71)</f>
        <v>0</v>
      </c>
      <c r="M71" s="12"/>
      <c r="N71" s="12"/>
      <c r="O71" s="12"/>
    </row>
    <row r="72" spans="1:15">
      <c r="A72" s="12"/>
      <c r="B72" s="12"/>
      <c r="C72" s="12"/>
      <c r="D72" s="12"/>
      <c r="E72" s="12"/>
      <c r="F72" s="12"/>
      <c r="G72" s="12"/>
      <c r="H72" s="18"/>
      <c r="I72" s="12"/>
      <c r="J72" s="15"/>
      <c r="K72" s="14"/>
      <c r="L72" s="16">
        <f>IF(OR(J72="",K72=""),"",J72*K72)</f>
        <v>0</v>
      </c>
      <c r="M72" s="12"/>
      <c r="N72" s="12"/>
      <c r="O72" s="12"/>
    </row>
    <row r="73" spans="1:15">
      <c r="A73" s="12"/>
      <c r="B73" s="12"/>
      <c r="C73" s="12"/>
      <c r="D73" s="12"/>
      <c r="E73" s="12"/>
      <c r="F73" s="12"/>
      <c r="G73" s="12"/>
      <c r="H73" s="18"/>
      <c r="I73" s="12"/>
      <c r="J73" s="15"/>
      <c r="K73" s="14"/>
      <c r="L73" s="16">
        <f>IF(OR(J73="",K73=""),"",J73*K73)</f>
        <v>0</v>
      </c>
      <c r="M73" s="12"/>
      <c r="N73" s="12"/>
      <c r="O73" s="12"/>
    </row>
    <row r="74" spans="1:15">
      <c r="A74" s="12"/>
      <c r="B74" s="12"/>
      <c r="C74" s="12"/>
      <c r="D74" s="12"/>
      <c r="E74" s="12"/>
      <c r="F74" s="12"/>
      <c r="G74" s="12"/>
      <c r="H74" s="18"/>
      <c r="I74" s="12"/>
      <c r="J74" s="15"/>
      <c r="K74" s="14"/>
      <c r="L74" s="16">
        <f>IF(OR(J74="",K74=""),"",J74*K74)</f>
        <v>0</v>
      </c>
      <c r="M74" s="12"/>
      <c r="N74" s="12"/>
      <c r="O74" s="12"/>
    </row>
    <row r="75" spans="1:15">
      <c r="A75" s="12"/>
      <c r="B75" s="12"/>
      <c r="C75" s="12"/>
      <c r="D75" s="12"/>
      <c r="E75" s="12"/>
      <c r="F75" s="12"/>
      <c r="G75" s="12"/>
      <c r="H75" s="18"/>
      <c r="I75" s="12"/>
      <c r="J75" s="15"/>
      <c r="K75" s="14"/>
      <c r="L75" s="16">
        <f>IF(OR(J75="",K75=""),"",J75*K75)</f>
        <v>0</v>
      </c>
      <c r="M75" s="12"/>
      <c r="N75" s="12"/>
      <c r="O75" s="12"/>
    </row>
    <row r="76" spans="1:15">
      <c r="A76" s="12"/>
      <c r="B76" s="12"/>
      <c r="C76" s="12"/>
      <c r="D76" s="12"/>
      <c r="E76" s="12"/>
      <c r="F76" s="12"/>
      <c r="G76" s="12"/>
      <c r="H76" s="18"/>
      <c r="I76" s="12"/>
      <c r="J76" s="15"/>
      <c r="K76" s="14"/>
      <c r="L76" s="16">
        <f>IF(OR(J76="",K76=""),"",J76*K76)</f>
        <v>0</v>
      </c>
      <c r="M76" s="12"/>
      <c r="N76" s="12"/>
      <c r="O76" s="12"/>
    </row>
    <row r="77" spans="1:15">
      <c r="A77" s="12"/>
      <c r="B77" s="12"/>
      <c r="C77" s="12"/>
      <c r="D77" s="12"/>
      <c r="E77" s="12"/>
      <c r="F77" s="12"/>
      <c r="G77" s="12"/>
      <c r="H77" s="18"/>
      <c r="I77" s="12"/>
      <c r="J77" s="15"/>
      <c r="K77" s="14"/>
      <c r="L77" s="16">
        <f>IF(OR(J77="",K77=""),"",J77*K77)</f>
        <v>0</v>
      </c>
      <c r="M77" s="12"/>
      <c r="N77" s="12"/>
      <c r="O77" s="12"/>
    </row>
    <row r="78" spans="1:15">
      <c r="A78" s="12"/>
      <c r="B78" s="12"/>
      <c r="C78" s="12"/>
      <c r="D78" s="12"/>
      <c r="E78" s="12"/>
      <c r="F78" s="12"/>
      <c r="G78" s="12"/>
      <c r="H78" s="18"/>
      <c r="I78" s="12"/>
      <c r="J78" s="15"/>
      <c r="K78" s="14"/>
      <c r="L78" s="16">
        <f>IF(OR(J78="",K78=""),"",J78*K78)</f>
        <v>0</v>
      </c>
      <c r="M78" s="12"/>
      <c r="N78" s="12"/>
      <c r="O78" s="12"/>
    </row>
    <row r="79" spans="1:15">
      <c r="A79" s="12"/>
      <c r="B79" s="12"/>
      <c r="C79" s="12"/>
      <c r="D79" s="12"/>
      <c r="E79" s="12"/>
      <c r="F79" s="12"/>
      <c r="G79" s="12"/>
      <c r="H79" s="18"/>
      <c r="I79" s="12"/>
      <c r="J79" s="15"/>
      <c r="K79" s="14"/>
      <c r="L79" s="16">
        <f>IF(OR(J79="",K79=""),"",J79*K79)</f>
        <v>0</v>
      </c>
      <c r="M79" s="12"/>
      <c r="N79" s="12"/>
      <c r="O79" s="12"/>
    </row>
    <row r="80" spans="1:15">
      <c r="A80" s="12"/>
      <c r="B80" s="12"/>
      <c r="C80" s="12"/>
      <c r="D80" s="12"/>
      <c r="E80" s="12"/>
      <c r="F80" s="12"/>
      <c r="G80" s="12"/>
      <c r="H80" s="18"/>
      <c r="I80" s="12"/>
      <c r="J80" s="15"/>
      <c r="K80" s="14"/>
      <c r="L80" s="16">
        <f>IF(OR(J80="",K80=""),"",J80*K80)</f>
        <v>0</v>
      </c>
      <c r="M80" s="12"/>
      <c r="N80" s="12"/>
      <c r="O80" s="12"/>
    </row>
    <row r="81" spans="1:15">
      <c r="A81" s="12"/>
      <c r="B81" s="12"/>
      <c r="C81" s="12"/>
      <c r="D81" s="12"/>
      <c r="E81" s="12"/>
      <c r="F81" s="12"/>
      <c r="G81" s="12"/>
      <c r="H81" s="18"/>
      <c r="I81" s="12"/>
      <c r="J81" s="15"/>
      <c r="K81" s="14"/>
      <c r="L81" s="16">
        <f>IF(OR(J81="",K81=""),"",J81*K81)</f>
        <v>0</v>
      </c>
      <c r="M81" s="12"/>
      <c r="N81" s="12"/>
      <c r="O81" s="12"/>
    </row>
    <row r="82" spans="1:15">
      <c r="A82" s="12"/>
      <c r="B82" s="12"/>
      <c r="C82" s="12"/>
      <c r="D82" s="12"/>
      <c r="E82" s="12"/>
      <c r="F82" s="12"/>
      <c r="G82" s="12"/>
      <c r="H82" s="18"/>
      <c r="I82" s="12"/>
      <c r="J82" s="15"/>
      <c r="K82" s="14"/>
      <c r="L82" s="16">
        <f>IF(OR(J82="",K82=""),"",J82*K82)</f>
        <v>0</v>
      </c>
      <c r="M82" s="12"/>
      <c r="N82" s="12"/>
      <c r="O82" s="12"/>
    </row>
    <row r="83" spans="1:15">
      <c r="A83" s="12"/>
      <c r="B83" s="12"/>
      <c r="C83" s="12"/>
      <c r="D83" s="12"/>
      <c r="E83" s="12"/>
      <c r="F83" s="12"/>
      <c r="G83" s="12"/>
      <c r="H83" s="18"/>
      <c r="I83" s="12"/>
      <c r="J83" s="15"/>
      <c r="K83" s="14"/>
      <c r="L83" s="16">
        <f>IF(OR(J83="",K83=""),"",J83*K83)</f>
        <v>0</v>
      </c>
      <c r="M83" s="12"/>
      <c r="N83" s="12"/>
      <c r="O83" s="12"/>
    </row>
    <row r="84" spans="1:15">
      <c r="A84" s="12"/>
      <c r="B84" s="12"/>
      <c r="C84" s="12"/>
      <c r="D84" s="12"/>
      <c r="E84" s="12"/>
      <c r="F84" s="12"/>
      <c r="G84" s="12"/>
      <c r="H84" s="18"/>
      <c r="I84" s="12"/>
      <c r="J84" s="15"/>
      <c r="K84" s="14"/>
      <c r="L84" s="16">
        <f>IF(OR(J84="",K84=""),"",J84*K84)</f>
        <v>0</v>
      </c>
      <c r="M84" s="12"/>
      <c r="N84" s="12"/>
      <c r="O84" s="12"/>
    </row>
    <row r="85" spans="1:15">
      <c r="A85" s="12"/>
      <c r="B85" s="12"/>
      <c r="C85" s="12"/>
      <c r="D85" s="12"/>
      <c r="E85" s="12"/>
      <c r="F85" s="12"/>
      <c r="G85" s="12"/>
      <c r="H85" s="18"/>
      <c r="I85" s="12"/>
      <c r="J85" s="15"/>
      <c r="K85" s="14"/>
      <c r="L85" s="16">
        <f>IF(OR(J85="",K85=""),"",J85*K85)</f>
        <v>0</v>
      </c>
      <c r="M85" s="12"/>
      <c r="N85" s="12"/>
      <c r="O85" s="12"/>
    </row>
    <row r="86" spans="1:15">
      <c r="A86" s="12"/>
      <c r="B86" s="12"/>
      <c r="C86" s="12"/>
      <c r="D86" s="12"/>
      <c r="E86" s="12"/>
      <c r="F86" s="12"/>
      <c r="G86" s="12"/>
      <c r="H86" s="18"/>
      <c r="I86" s="12"/>
      <c r="J86" s="15"/>
      <c r="K86" s="14"/>
      <c r="L86" s="16">
        <f>IF(OR(J86="",K86=""),"",J86*K86)</f>
        <v>0</v>
      </c>
      <c r="M86" s="12"/>
      <c r="N86" s="12"/>
      <c r="O86" s="12"/>
    </row>
    <row r="87" spans="1:15">
      <c r="A87" s="12"/>
      <c r="B87" s="12"/>
      <c r="C87" s="12"/>
      <c r="D87" s="12"/>
      <c r="E87" s="12"/>
      <c r="F87" s="12"/>
      <c r="G87" s="12"/>
      <c r="H87" s="18"/>
      <c r="I87" s="12"/>
      <c r="J87" s="15"/>
      <c r="K87" s="14"/>
      <c r="L87" s="16">
        <f>IF(OR(J87="",K87=""),"",J87*K87)</f>
        <v>0</v>
      </c>
      <c r="M87" s="12"/>
      <c r="N87" s="12"/>
      <c r="O87" s="12"/>
    </row>
    <row r="88" spans="1:15">
      <c r="A88" s="12"/>
      <c r="B88" s="12"/>
      <c r="C88" s="12"/>
      <c r="D88" s="12"/>
      <c r="E88" s="12"/>
      <c r="F88" s="12"/>
      <c r="G88" s="12"/>
      <c r="H88" s="18"/>
      <c r="I88" s="12"/>
      <c r="J88" s="15"/>
      <c r="K88" s="14"/>
      <c r="L88" s="16">
        <f>IF(OR(J88="",K88=""),"",J88*K88)</f>
        <v>0</v>
      </c>
      <c r="M88" s="12"/>
      <c r="N88" s="12"/>
      <c r="O88" s="12"/>
    </row>
    <row r="89" spans="1:15">
      <c r="A89" s="12"/>
      <c r="B89" s="12"/>
      <c r="C89" s="12"/>
      <c r="D89" s="12"/>
      <c r="E89" s="12"/>
      <c r="F89" s="12"/>
      <c r="G89" s="12"/>
      <c r="H89" s="18"/>
      <c r="I89" s="12"/>
      <c r="J89" s="15"/>
      <c r="K89" s="14"/>
      <c r="L89" s="16">
        <f>IF(OR(J89="",K89=""),"",J89*K89)</f>
        <v>0</v>
      </c>
      <c r="M89" s="12"/>
      <c r="N89" s="12"/>
      <c r="O89" s="12"/>
    </row>
    <row r="90" spans="1:15">
      <c r="A90" s="12"/>
      <c r="B90" s="12"/>
      <c r="C90" s="12"/>
      <c r="D90" s="12"/>
      <c r="E90" s="12"/>
      <c r="F90" s="12"/>
      <c r="G90" s="12"/>
      <c r="H90" s="18"/>
      <c r="I90" s="12"/>
      <c r="J90" s="15"/>
      <c r="K90" s="14"/>
      <c r="L90" s="16">
        <f>IF(OR(J90="",K90=""),"",J90*K90)</f>
        <v>0</v>
      </c>
      <c r="M90" s="12"/>
      <c r="N90" s="12"/>
      <c r="O90" s="12"/>
    </row>
    <row r="91" spans="1:15">
      <c r="A91" s="12"/>
      <c r="B91" s="12"/>
      <c r="C91" s="12"/>
      <c r="D91" s="12"/>
      <c r="E91" s="12"/>
      <c r="F91" s="12"/>
      <c r="G91" s="12"/>
      <c r="H91" s="18"/>
      <c r="I91" s="12"/>
      <c r="J91" s="15"/>
      <c r="K91" s="14"/>
      <c r="L91" s="16">
        <f>IF(OR(J91="",K91=""),"",J91*K91)</f>
        <v>0</v>
      </c>
      <c r="M91" s="12"/>
      <c r="N91" s="12"/>
      <c r="O91" s="12"/>
    </row>
    <row r="92" spans="1:15">
      <c r="A92" s="12"/>
      <c r="B92" s="12"/>
      <c r="C92" s="12"/>
      <c r="D92" s="12"/>
      <c r="E92" s="12"/>
      <c r="F92" s="12"/>
      <c r="G92" s="12"/>
      <c r="H92" s="18"/>
      <c r="I92" s="12"/>
      <c r="J92" s="15"/>
      <c r="K92" s="14"/>
      <c r="L92" s="16">
        <f>IF(OR(J92="",K92=""),"",J92*K92)</f>
        <v>0</v>
      </c>
      <c r="M92" s="12"/>
      <c r="N92" s="12"/>
      <c r="O92" s="12"/>
    </row>
    <row r="93" spans="1:15">
      <c r="A93" s="12"/>
      <c r="B93" s="12"/>
      <c r="C93" s="12"/>
      <c r="D93" s="12"/>
      <c r="E93" s="12"/>
      <c r="F93" s="12"/>
      <c r="G93" s="12"/>
      <c r="H93" s="18"/>
      <c r="I93" s="12"/>
      <c r="J93" s="15"/>
      <c r="K93" s="14"/>
      <c r="L93" s="16">
        <f>IF(OR(J93="",K93=""),"",J93*K93)</f>
        <v>0</v>
      </c>
      <c r="M93" s="12"/>
      <c r="N93" s="12"/>
      <c r="O93" s="12"/>
    </row>
    <row r="94" spans="1:15">
      <c r="A94" s="12"/>
      <c r="B94" s="12"/>
      <c r="C94" s="12"/>
      <c r="D94" s="12"/>
      <c r="E94" s="12"/>
      <c r="F94" s="12"/>
      <c r="G94" s="12"/>
      <c r="H94" s="18"/>
      <c r="I94" s="12"/>
      <c r="J94" s="15"/>
      <c r="K94" s="14"/>
      <c r="L94" s="16">
        <f>IF(OR(J94="",K94=""),"",J94*K94)</f>
        <v>0</v>
      </c>
      <c r="M94" s="12"/>
      <c r="N94" s="12"/>
      <c r="O94" s="12"/>
    </row>
    <row r="95" spans="1:15">
      <c r="A95" s="12"/>
      <c r="B95" s="12"/>
      <c r="C95" s="12"/>
      <c r="D95" s="12"/>
      <c r="E95" s="12"/>
      <c r="F95" s="12"/>
      <c r="G95" s="12"/>
      <c r="H95" s="18"/>
      <c r="I95" s="12"/>
      <c r="J95" s="15"/>
      <c r="K95" s="14"/>
      <c r="L95" s="16">
        <f>IF(OR(J95="",K95=""),"",J95*K95)</f>
        <v>0</v>
      </c>
      <c r="M95" s="12"/>
      <c r="N95" s="12"/>
      <c r="O95" s="12"/>
    </row>
    <row r="96" spans="1:15">
      <c r="A96" s="12"/>
      <c r="B96" s="12"/>
      <c r="C96" s="12"/>
      <c r="D96" s="12"/>
      <c r="E96" s="12"/>
      <c r="F96" s="12"/>
      <c r="G96" s="12"/>
      <c r="H96" s="18"/>
      <c r="I96" s="12"/>
      <c r="J96" s="15"/>
      <c r="K96" s="14"/>
      <c r="L96" s="16">
        <f>IF(OR(J96="",K96=""),"",J96*K96)</f>
        <v>0</v>
      </c>
      <c r="M96" s="12"/>
      <c r="N96" s="12"/>
      <c r="O96" s="12"/>
    </row>
    <row r="97" spans="1:15">
      <c r="A97" s="12"/>
      <c r="B97" s="12"/>
      <c r="C97" s="12"/>
      <c r="D97" s="12"/>
      <c r="E97" s="12"/>
      <c r="F97" s="12"/>
      <c r="G97" s="12"/>
      <c r="H97" s="18"/>
      <c r="I97" s="12"/>
      <c r="J97" s="15"/>
      <c r="K97" s="14"/>
      <c r="L97" s="16">
        <f>IF(OR(J97="",K97=""),"",J97*K97)</f>
        <v>0</v>
      </c>
      <c r="M97" s="12"/>
      <c r="N97" s="12"/>
      <c r="O97" s="12"/>
    </row>
    <row r="98" spans="1:15">
      <c r="A98" s="12"/>
      <c r="B98" s="12"/>
      <c r="C98" s="12"/>
      <c r="D98" s="12"/>
      <c r="E98" s="12"/>
      <c r="F98" s="12"/>
      <c r="G98" s="12"/>
      <c r="H98" s="18"/>
      <c r="I98" s="12"/>
      <c r="J98" s="15"/>
      <c r="K98" s="14"/>
      <c r="L98" s="16">
        <f>IF(OR(J98="",K98=""),"",J98*K98)</f>
        <v>0</v>
      </c>
      <c r="M98" s="12"/>
      <c r="N98" s="12"/>
      <c r="O98" s="12"/>
    </row>
    <row r="99" spans="1:15">
      <c r="A99" s="12"/>
      <c r="B99" s="12"/>
      <c r="C99" s="12"/>
      <c r="D99" s="12"/>
      <c r="E99" s="12"/>
      <c r="F99" s="12"/>
      <c r="G99" s="12"/>
      <c r="H99" s="18"/>
      <c r="I99" s="12"/>
      <c r="J99" s="15"/>
      <c r="K99" s="14"/>
      <c r="L99" s="16">
        <f>IF(OR(J99="",K99=""),"",J99*K99)</f>
        <v>0</v>
      </c>
      <c r="M99" s="12"/>
      <c r="N99" s="12"/>
      <c r="O99" s="12"/>
    </row>
    <row r="100" spans="1:15">
      <c r="A100" s="12"/>
      <c r="B100" s="12"/>
      <c r="C100" s="12"/>
      <c r="D100" s="12"/>
      <c r="E100" s="12"/>
      <c r="F100" s="12"/>
      <c r="G100" s="12"/>
      <c r="H100" s="18"/>
      <c r="I100" s="12"/>
      <c r="J100" s="15"/>
      <c r="K100" s="14"/>
      <c r="L100" s="16">
        <f>IF(OR(J100="",K100=""),"",J100*K100)</f>
        <v>0</v>
      </c>
      <c r="M100" s="12"/>
      <c r="N100" s="12"/>
      <c r="O100" s="12"/>
    </row>
    <row r="101" spans="1:15">
      <c r="A101" s="12"/>
      <c r="B101" s="12"/>
      <c r="C101" s="12"/>
      <c r="D101" s="12"/>
      <c r="E101" s="12"/>
      <c r="F101" s="12"/>
      <c r="G101" s="12"/>
      <c r="H101" s="18"/>
      <c r="I101" s="12"/>
      <c r="J101" s="15"/>
      <c r="K101" s="14"/>
      <c r="L101" s="16">
        <f>IF(OR(J101="",K101=""),"",J101*K101)</f>
        <v>0</v>
      </c>
      <c r="M101" s="12"/>
      <c r="N101" s="12"/>
      <c r="O101" s="12"/>
    </row>
    <row r="102" spans="1:15">
      <c r="A102" s="12"/>
      <c r="B102" s="12"/>
      <c r="C102" s="12"/>
      <c r="D102" s="12"/>
      <c r="E102" s="12"/>
      <c r="F102" s="12"/>
      <c r="G102" s="12"/>
      <c r="H102" s="18"/>
      <c r="I102" s="12"/>
      <c r="J102" s="15"/>
      <c r="K102" s="14"/>
      <c r="L102" s="16">
        <f>IF(OR(J102="",K102=""),"",J102*K102)</f>
        <v>0</v>
      </c>
      <c r="M102" s="12"/>
      <c r="N102" s="12"/>
      <c r="O102" s="12"/>
    </row>
    <row r="103" spans="1:15">
      <c r="A103" s="12"/>
      <c r="B103" s="12"/>
      <c r="C103" s="12"/>
      <c r="D103" s="12"/>
      <c r="E103" s="12"/>
      <c r="F103" s="12"/>
      <c r="G103" s="12"/>
      <c r="H103" s="18"/>
      <c r="I103" s="12"/>
      <c r="J103" s="15"/>
      <c r="K103" s="14"/>
      <c r="L103" s="16">
        <f>IF(OR(J103="",K103=""),"",J103*K103)</f>
        <v>0</v>
      </c>
      <c r="M103" s="12"/>
      <c r="N103" s="12"/>
      <c r="O103" s="12"/>
    </row>
    <row r="104" spans="1:15">
      <c r="A104" s="12"/>
      <c r="B104" s="12"/>
      <c r="C104" s="12"/>
      <c r="D104" s="12"/>
      <c r="E104" s="12"/>
      <c r="F104" s="12"/>
      <c r="G104" s="12"/>
      <c r="H104" s="18"/>
      <c r="I104" s="12"/>
      <c r="J104" s="15"/>
      <c r="K104" s="14"/>
      <c r="L104" s="16">
        <f>IF(OR(J104="",K104=""),"",J104*K104)</f>
        <v>0</v>
      </c>
      <c r="M104" s="12"/>
      <c r="N104" s="12"/>
      <c r="O104" s="12"/>
    </row>
    <row r="105" spans="1:15">
      <c r="A105" s="12"/>
      <c r="B105" s="12"/>
      <c r="C105" s="12"/>
      <c r="D105" s="12"/>
      <c r="E105" s="12"/>
      <c r="F105" s="12"/>
      <c r="G105" s="12"/>
      <c r="H105" s="18"/>
      <c r="I105" s="12"/>
      <c r="J105" s="15"/>
      <c r="K105" s="14"/>
      <c r="L105" s="16">
        <f>IF(OR(J105="",K105=""),"",J105*K105)</f>
        <v>0</v>
      </c>
      <c r="M105" s="12"/>
      <c r="N105" s="12"/>
      <c r="O105" s="12"/>
    </row>
    <row r="106" spans="1:15">
      <c r="A106" s="12"/>
      <c r="B106" s="12"/>
      <c r="C106" s="12"/>
      <c r="D106" s="12"/>
      <c r="E106" s="12"/>
      <c r="F106" s="12"/>
      <c r="G106" s="12"/>
      <c r="H106" s="18"/>
      <c r="I106" s="12"/>
      <c r="J106" s="15"/>
      <c r="K106" s="14"/>
      <c r="L106" s="16">
        <f>IF(OR(J106="",K106=""),"",J106*K106)</f>
        <v>0</v>
      </c>
      <c r="M106" s="12"/>
      <c r="N106" s="12"/>
      <c r="O106" s="12"/>
    </row>
    <row r="107" spans="1:15">
      <c r="A107" s="12"/>
      <c r="B107" s="12"/>
      <c r="C107" s="12"/>
      <c r="D107" s="12"/>
      <c r="E107" s="12"/>
      <c r="F107" s="12"/>
      <c r="G107" s="12"/>
      <c r="H107" s="18"/>
      <c r="I107" s="12"/>
      <c r="J107" s="15"/>
      <c r="K107" s="14"/>
      <c r="L107" s="16">
        <f>IF(OR(J107="",K107=""),"",J107*K107)</f>
        <v>0</v>
      </c>
      <c r="M107" s="12"/>
      <c r="N107" s="12"/>
      <c r="O107" s="12"/>
    </row>
    <row r="108" spans="1:15">
      <c r="A108" s="12"/>
      <c r="B108" s="12"/>
      <c r="C108" s="12"/>
      <c r="D108" s="12"/>
      <c r="E108" s="12"/>
      <c r="F108" s="12"/>
      <c r="G108" s="12"/>
      <c r="H108" s="18"/>
      <c r="I108" s="12"/>
      <c r="J108" s="15"/>
      <c r="K108" s="14"/>
      <c r="L108" s="16">
        <f>IF(OR(J108="",K108=""),"",J108*K108)</f>
        <v>0</v>
      </c>
      <c r="M108" s="12"/>
      <c r="N108" s="12"/>
      <c r="O108" s="12"/>
    </row>
    <row r="109" spans="1:15">
      <c r="A109" s="12"/>
      <c r="B109" s="12"/>
      <c r="C109" s="12"/>
      <c r="D109" s="12"/>
      <c r="E109" s="12"/>
      <c r="F109" s="12"/>
      <c r="G109" s="12"/>
      <c r="H109" s="18"/>
      <c r="I109" s="12"/>
      <c r="J109" s="15"/>
      <c r="K109" s="14"/>
      <c r="L109" s="16">
        <f>IF(OR(J109="",K109=""),"",J109*K109)</f>
        <v>0</v>
      </c>
      <c r="M109" s="12"/>
      <c r="N109" s="12"/>
      <c r="O109" s="12"/>
    </row>
    <row r="110" spans="1:15">
      <c r="A110" s="12"/>
      <c r="B110" s="12"/>
      <c r="C110" s="12"/>
      <c r="D110" s="12"/>
      <c r="E110" s="12"/>
      <c r="F110" s="12"/>
      <c r="G110" s="12"/>
      <c r="H110" s="18"/>
      <c r="I110" s="12"/>
      <c r="J110" s="15"/>
      <c r="K110" s="14"/>
      <c r="L110" s="16">
        <f>IF(OR(J110="",K110=""),"",J110*K110)</f>
        <v>0</v>
      </c>
      <c r="M110" s="12"/>
      <c r="N110" s="12"/>
      <c r="O110" s="12"/>
    </row>
    <row r="111" spans="1:15">
      <c r="A111" s="12"/>
      <c r="B111" s="12"/>
      <c r="C111" s="12"/>
      <c r="D111" s="12"/>
      <c r="E111" s="12"/>
      <c r="F111" s="12"/>
      <c r="G111" s="12"/>
      <c r="H111" s="18"/>
      <c r="I111" s="12"/>
      <c r="J111" s="15"/>
      <c r="K111" s="14"/>
      <c r="L111" s="16">
        <f>IF(OR(J111="",K111=""),"",J111*K111)</f>
        <v>0</v>
      </c>
      <c r="M111" s="12"/>
      <c r="N111" s="12"/>
      <c r="O111" s="12"/>
    </row>
    <row r="112" spans="1:15">
      <c r="A112" s="12"/>
      <c r="B112" s="12"/>
      <c r="C112" s="12"/>
      <c r="D112" s="12"/>
      <c r="E112" s="12"/>
      <c r="F112" s="12"/>
      <c r="G112" s="12"/>
      <c r="H112" s="18"/>
      <c r="I112" s="12"/>
      <c r="J112" s="15"/>
      <c r="K112" s="14"/>
      <c r="L112" s="16">
        <f>IF(OR(J112="",K112=""),"",J112*K112)</f>
        <v>0</v>
      </c>
      <c r="M112" s="12"/>
      <c r="N112" s="12"/>
      <c r="O112" s="12"/>
    </row>
    <row r="113" spans="1:15">
      <c r="A113" s="12"/>
      <c r="B113" s="12"/>
      <c r="C113" s="12"/>
      <c r="D113" s="12"/>
      <c r="E113" s="12"/>
      <c r="F113" s="12"/>
      <c r="G113" s="12"/>
      <c r="H113" s="18"/>
      <c r="I113" s="12"/>
      <c r="J113" s="15"/>
      <c r="K113" s="14"/>
      <c r="L113" s="16">
        <f>IF(OR(J113="",K113=""),"",J113*K113)</f>
        <v>0</v>
      </c>
      <c r="M113" s="12"/>
      <c r="N113" s="12"/>
      <c r="O113" s="12"/>
    </row>
    <row r="114" spans="1:15">
      <c r="A114" s="12"/>
      <c r="B114" s="12"/>
      <c r="C114" s="12"/>
      <c r="D114" s="12"/>
      <c r="E114" s="12"/>
      <c r="F114" s="12"/>
      <c r="G114" s="12"/>
      <c r="H114" s="18"/>
      <c r="I114" s="12"/>
      <c r="J114" s="15"/>
      <c r="K114" s="14"/>
      <c r="L114" s="16">
        <f>IF(OR(J114="",K114=""),"",J114*K114)</f>
        <v>0</v>
      </c>
      <c r="M114" s="12"/>
      <c r="N114" s="12"/>
      <c r="O114" s="12"/>
    </row>
    <row r="115" spans="1:15">
      <c r="A115" s="12"/>
      <c r="B115" s="12"/>
      <c r="C115" s="12"/>
      <c r="D115" s="12"/>
      <c r="E115" s="12"/>
      <c r="F115" s="12"/>
      <c r="G115" s="12"/>
      <c r="H115" s="18"/>
      <c r="I115" s="12"/>
      <c r="J115" s="15"/>
      <c r="K115" s="14"/>
      <c r="L115" s="16">
        <f>IF(OR(J115="",K115=""),"",J115*K115)</f>
        <v>0</v>
      </c>
      <c r="M115" s="12"/>
      <c r="N115" s="12"/>
      <c r="O115" s="12"/>
    </row>
    <row r="116" spans="1:15">
      <c r="A116" s="12"/>
      <c r="B116" s="12"/>
      <c r="C116" s="12"/>
      <c r="D116" s="12"/>
      <c r="E116" s="12"/>
      <c r="F116" s="12"/>
      <c r="G116" s="12"/>
      <c r="H116" s="18"/>
      <c r="I116" s="12"/>
      <c r="J116" s="15"/>
      <c r="K116" s="14"/>
      <c r="L116" s="16">
        <f>IF(OR(J116="",K116=""),"",J116*K116)</f>
        <v>0</v>
      </c>
      <c r="M116" s="12"/>
      <c r="N116" s="12"/>
      <c r="O116" s="12"/>
    </row>
    <row r="117" spans="1:15">
      <c r="A117" s="12"/>
      <c r="B117" s="12"/>
      <c r="C117" s="12"/>
      <c r="D117" s="12"/>
      <c r="E117" s="12"/>
      <c r="F117" s="12"/>
      <c r="G117" s="12"/>
      <c r="H117" s="18"/>
      <c r="I117" s="12"/>
      <c r="J117" s="15"/>
      <c r="K117" s="14"/>
      <c r="L117" s="16">
        <f>IF(OR(J117="",K117=""),"",J117*K117)</f>
        <v>0</v>
      </c>
      <c r="M117" s="12"/>
      <c r="N117" s="12"/>
      <c r="O117" s="12"/>
    </row>
    <row r="118" spans="1:15">
      <c r="A118" s="12"/>
      <c r="B118" s="12"/>
      <c r="C118" s="12"/>
      <c r="D118" s="12"/>
      <c r="E118" s="12"/>
      <c r="F118" s="12"/>
      <c r="G118" s="12"/>
      <c r="H118" s="18"/>
      <c r="I118" s="12"/>
      <c r="J118" s="15"/>
      <c r="K118" s="14"/>
      <c r="L118" s="16">
        <f>IF(OR(J118="",K118=""),"",J118*K118)</f>
        <v>0</v>
      </c>
      <c r="M118" s="12"/>
      <c r="N118" s="12"/>
      <c r="O118" s="12"/>
    </row>
    <row r="119" spans="1:15">
      <c r="A119" s="12"/>
      <c r="B119" s="12"/>
      <c r="C119" s="12"/>
      <c r="D119" s="12"/>
      <c r="E119" s="12"/>
      <c r="F119" s="12"/>
      <c r="G119" s="12"/>
      <c r="H119" s="18"/>
      <c r="I119" s="12"/>
      <c r="J119" s="15"/>
      <c r="K119" s="14"/>
      <c r="L119" s="16">
        <f>IF(OR(J119="",K119=""),"",J119*K119)</f>
        <v>0</v>
      </c>
      <c r="M119" s="12"/>
      <c r="N119" s="12"/>
      <c r="O119" s="12"/>
    </row>
    <row r="120" spans="1:15">
      <c r="A120" s="12"/>
      <c r="B120" s="12"/>
      <c r="C120" s="12"/>
      <c r="D120" s="12"/>
      <c r="E120" s="12"/>
      <c r="F120" s="12"/>
      <c r="G120" s="12"/>
      <c r="H120" s="18"/>
      <c r="I120" s="12"/>
      <c r="J120" s="15"/>
      <c r="K120" s="14"/>
      <c r="L120" s="16">
        <f>IF(OR(J120="",K120=""),"",J120*K120)</f>
        <v>0</v>
      </c>
      <c r="M120" s="12"/>
      <c r="N120" s="12"/>
      <c r="O120" s="12"/>
    </row>
    <row r="121" spans="1:15">
      <c r="A121" s="12"/>
      <c r="B121" s="12"/>
      <c r="C121" s="12"/>
      <c r="D121" s="12"/>
      <c r="E121" s="12"/>
      <c r="F121" s="12"/>
      <c r="G121" s="12"/>
      <c r="H121" s="18"/>
      <c r="I121" s="12"/>
      <c r="J121" s="15"/>
      <c r="K121" s="14"/>
      <c r="L121" s="16">
        <f>IF(OR(J121="",K121=""),"",J121*K121)</f>
        <v>0</v>
      </c>
      <c r="M121" s="12"/>
      <c r="N121" s="12"/>
      <c r="O121" s="12"/>
    </row>
    <row r="122" spans="1:15">
      <c r="A122" s="12"/>
      <c r="B122" s="12"/>
      <c r="C122" s="12"/>
      <c r="D122" s="12"/>
      <c r="E122" s="12"/>
      <c r="F122" s="12"/>
      <c r="G122" s="12"/>
      <c r="H122" s="18"/>
      <c r="I122" s="12"/>
      <c r="J122" s="15"/>
      <c r="K122" s="14"/>
      <c r="L122" s="16">
        <f>IF(OR(J122="",K122=""),"",J122*K122)</f>
        <v>0</v>
      </c>
      <c r="M122" s="12"/>
      <c r="N122" s="12"/>
      <c r="O122" s="12"/>
    </row>
    <row r="123" spans="1:15">
      <c r="A123" s="12"/>
      <c r="B123" s="12"/>
      <c r="C123" s="12"/>
      <c r="D123" s="12"/>
      <c r="E123" s="12"/>
      <c r="F123" s="12"/>
      <c r="G123" s="12"/>
      <c r="H123" s="18"/>
      <c r="I123" s="12"/>
      <c r="J123" s="15"/>
      <c r="K123" s="14"/>
      <c r="L123" s="16">
        <f>IF(OR(J123="",K123=""),"",J123*K123)</f>
        <v>0</v>
      </c>
      <c r="M123" s="12"/>
      <c r="N123" s="12"/>
      <c r="O123" s="12"/>
    </row>
    <row r="124" spans="1:15">
      <c r="A124" s="12"/>
      <c r="B124" s="12"/>
      <c r="C124" s="12"/>
      <c r="D124" s="12"/>
      <c r="E124" s="12"/>
      <c r="F124" s="12"/>
      <c r="G124" s="12"/>
      <c r="H124" s="18"/>
      <c r="I124" s="12"/>
      <c r="J124" s="15"/>
      <c r="K124" s="14"/>
      <c r="L124" s="16">
        <f>IF(OR(J124="",K124=""),"",J124*K124)</f>
        <v>0</v>
      </c>
      <c r="M124" s="12"/>
      <c r="N124" s="12"/>
      <c r="O124" s="12"/>
    </row>
    <row r="125" spans="1:15">
      <c r="A125" s="12"/>
      <c r="B125" s="12"/>
      <c r="C125" s="12"/>
      <c r="D125" s="12"/>
      <c r="E125" s="12"/>
      <c r="F125" s="12"/>
      <c r="G125" s="12"/>
      <c r="H125" s="18"/>
      <c r="I125" s="12"/>
      <c r="J125" s="15"/>
      <c r="K125" s="14"/>
      <c r="L125" s="16">
        <f>IF(OR(J125="",K125=""),"",J125*K125)</f>
        <v>0</v>
      </c>
      <c r="M125" s="12"/>
      <c r="N125" s="12"/>
      <c r="O125" s="12"/>
    </row>
    <row r="126" spans="1:15">
      <c r="A126" s="12"/>
      <c r="B126" s="12"/>
      <c r="C126" s="12"/>
      <c r="D126" s="12"/>
      <c r="E126" s="12"/>
      <c r="F126" s="12"/>
      <c r="G126" s="12"/>
      <c r="H126" s="18"/>
      <c r="I126" s="12"/>
      <c r="J126" s="15"/>
      <c r="K126" s="14"/>
      <c r="L126" s="16">
        <f>IF(OR(J126="",K126=""),"",J126*K126)</f>
        <v>0</v>
      </c>
      <c r="M126" s="12"/>
      <c r="N126" s="12"/>
      <c r="O126" s="12"/>
    </row>
    <row r="127" spans="1:15">
      <c r="A127" s="12"/>
      <c r="B127" s="12"/>
      <c r="C127" s="12"/>
      <c r="D127" s="12"/>
      <c r="E127" s="12"/>
      <c r="F127" s="12"/>
      <c r="G127" s="12"/>
      <c r="H127" s="18"/>
      <c r="I127" s="12"/>
      <c r="J127" s="15"/>
      <c r="K127" s="14"/>
      <c r="L127" s="16">
        <f>IF(OR(J127="",K127=""),"",J127*K127)</f>
        <v>0</v>
      </c>
      <c r="M127" s="12"/>
      <c r="N127" s="12"/>
      <c r="O127" s="12"/>
    </row>
    <row r="128" spans="1:15">
      <c r="A128" s="12"/>
      <c r="B128" s="12"/>
      <c r="C128" s="12"/>
      <c r="D128" s="12"/>
      <c r="E128" s="12"/>
      <c r="F128" s="12"/>
      <c r="G128" s="12"/>
      <c r="H128" s="18"/>
      <c r="I128" s="12"/>
      <c r="J128" s="15"/>
      <c r="K128" s="14"/>
      <c r="L128" s="16">
        <f>IF(OR(J128="",K128=""),"",J128*K128)</f>
        <v>0</v>
      </c>
      <c r="M128" s="12"/>
      <c r="N128" s="12"/>
      <c r="O128" s="12"/>
    </row>
    <row r="129" spans="1:15">
      <c r="A129" s="12"/>
      <c r="B129" s="12"/>
      <c r="C129" s="12"/>
      <c r="D129" s="12"/>
      <c r="E129" s="12"/>
      <c r="F129" s="12"/>
      <c r="G129" s="12"/>
      <c r="H129" s="18"/>
      <c r="I129" s="12"/>
      <c r="J129" s="15"/>
      <c r="K129" s="14"/>
      <c r="L129" s="16">
        <f>IF(OR(J129="",K129=""),"",J129*K129)</f>
        <v>0</v>
      </c>
      <c r="M129" s="12"/>
      <c r="N129" s="12"/>
      <c r="O129" s="12"/>
    </row>
    <row r="130" spans="1:15">
      <c r="A130" s="12"/>
      <c r="B130" s="12"/>
      <c r="C130" s="12"/>
      <c r="D130" s="12"/>
      <c r="E130" s="12"/>
      <c r="F130" s="12"/>
      <c r="G130" s="12"/>
      <c r="H130" s="18"/>
      <c r="I130" s="12"/>
      <c r="J130" s="15"/>
      <c r="K130" s="14"/>
      <c r="L130" s="16">
        <f>IF(OR(J130="",K130=""),"",J130*K130)</f>
        <v>0</v>
      </c>
      <c r="M130" s="12"/>
      <c r="N130" s="12"/>
      <c r="O130" s="12"/>
    </row>
    <row r="131" spans="1:15">
      <c r="A131" s="12"/>
      <c r="B131" s="12"/>
      <c r="C131" s="12"/>
      <c r="D131" s="12"/>
      <c r="E131" s="12"/>
      <c r="F131" s="12"/>
      <c r="G131" s="12"/>
      <c r="H131" s="18"/>
      <c r="I131" s="12"/>
      <c r="J131" s="15"/>
      <c r="K131" s="14"/>
      <c r="L131" s="16">
        <f>IF(OR(J131="",K131=""),"",J131*K131)</f>
        <v>0</v>
      </c>
      <c r="M131" s="12"/>
      <c r="N131" s="12"/>
      <c r="O131" s="12"/>
    </row>
    <row r="132" spans="1:15">
      <c r="A132" s="12"/>
      <c r="B132" s="12"/>
      <c r="C132" s="12"/>
      <c r="D132" s="12"/>
      <c r="E132" s="12"/>
      <c r="F132" s="12"/>
      <c r="G132" s="12"/>
      <c r="H132" s="18"/>
      <c r="I132" s="12"/>
      <c r="J132" s="15"/>
      <c r="K132" s="14"/>
      <c r="L132" s="16">
        <f>IF(OR(J132="",K132=""),"",J132*K132)</f>
        <v>0</v>
      </c>
      <c r="M132" s="12"/>
      <c r="N132" s="12"/>
      <c r="O132" s="12"/>
    </row>
    <row r="133" spans="1:15">
      <c r="A133" s="12"/>
      <c r="B133" s="12"/>
      <c r="C133" s="12"/>
      <c r="D133" s="12"/>
      <c r="E133" s="12"/>
      <c r="F133" s="12"/>
      <c r="G133" s="12"/>
      <c r="H133" s="18"/>
      <c r="I133" s="12"/>
      <c r="J133" s="15"/>
      <c r="K133" s="14"/>
      <c r="L133" s="16">
        <f>IF(OR(J133="",K133=""),"",J133*K133)</f>
        <v>0</v>
      </c>
      <c r="M133" s="12"/>
      <c r="N133" s="12"/>
      <c r="O133" s="12"/>
    </row>
    <row r="134" spans="1:15">
      <c r="A134" s="12"/>
      <c r="B134" s="12"/>
      <c r="C134" s="12"/>
      <c r="D134" s="12"/>
      <c r="E134" s="12"/>
      <c r="F134" s="12"/>
      <c r="G134" s="12"/>
      <c r="H134" s="18"/>
      <c r="I134" s="12"/>
      <c r="J134" s="15"/>
      <c r="K134" s="14"/>
      <c r="L134" s="16">
        <f>IF(OR(J134="",K134=""),"",J134*K134)</f>
        <v>0</v>
      </c>
      <c r="M134" s="12"/>
      <c r="N134" s="12"/>
      <c r="O134" s="12"/>
    </row>
    <row r="135" spans="1:15">
      <c r="A135" s="12"/>
      <c r="B135" s="12"/>
      <c r="C135" s="12"/>
      <c r="D135" s="12"/>
      <c r="E135" s="12"/>
      <c r="F135" s="12"/>
      <c r="G135" s="12"/>
      <c r="H135" s="18"/>
      <c r="I135" s="12"/>
      <c r="J135" s="15"/>
      <c r="K135" s="14"/>
      <c r="L135" s="16">
        <f>IF(OR(J135="",K135=""),"",J135*K135)</f>
        <v>0</v>
      </c>
      <c r="M135" s="12"/>
      <c r="N135" s="12"/>
      <c r="O135" s="12"/>
    </row>
    <row r="136" spans="1:15">
      <c r="A136" s="12"/>
      <c r="B136" s="12"/>
      <c r="C136" s="12"/>
      <c r="D136" s="12"/>
      <c r="E136" s="12"/>
      <c r="F136" s="12"/>
      <c r="G136" s="12"/>
      <c r="H136" s="18"/>
      <c r="I136" s="12"/>
      <c r="J136" s="15"/>
      <c r="K136" s="14"/>
      <c r="L136" s="16">
        <f>IF(OR(J136="",K136=""),"",J136*K136)</f>
        <v>0</v>
      </c>
      <c r="M136" s="12"/>
      <c r="N136" s="12"/>
      <c r="O136" s="12"/>
    </row>
    <row r="137" spans="1:15">
      <c r="A137" s="12"/>
      <c r="B137" s="12"/>
      <c r="C137" s="12"/>
      <c r="D137" s="12"/>
      <c r="E137" s="12"/>
      <c r="F137" s="12"/>
      <c r="G137" s="12"/>
      <c r="H137" s="18"/>
      <c r="I137" s="12"/>
      <c r="J137" s="15"/>
      <c r="K137" s="14"/>
      <c r="L137" s="16">
        <f>IF(OR(J137="",K137=""),"",J137*K137)</f>
        <v>0</v>
      </c>
      <c r="M137" s="12"/>
      <c r="N137" s="12"/>
      <c r="O137" s="12"/>
    </row>
    <row r="138" spans="1:15">
      <c r="A138" s="12"/>
      <c r="B138" s="12"/>
      <c r="C138" s="12"/>
      <c r="D138" s="12"/>
      <c r="E138" s="12"/>
      <c r="F138" s="12"/>
      <c r="G138" s="12"/>
      <c r="H138" s="18"/>
      <c r="I138" s="12"/>
      <c r="J138" s="15"/>
      <c r="K138" s="14"/>
      <c r="L138" s="16">
        <f>IF(OR(J138="",K138=""),"",J138*K138)</f>
        <v>0</v>
      </c>
      <c r="M138" s="12"/>
      <c r="N138" s="12"/>
      <c r="O138" s="12"/>
    </row>
    <row r="139" spans="1:15">
      <c r="A139" s="12"/>
      <c r="B139" s="12"/>
      <c r="C139" s="12"/>
      <c r="D139" s="12"/>
      <c r="E139" s="12"/>
      <c r="F139" s="12"/>
      <c r="G139" s="12"/>
      <c r="H139" s="18"/>
      <c r="I139" s="12"/>
      <c r="J139" s="15"/>
      <c r="K139" s="14"/>
      <c r="L139" s="16">
        <f>IF(OR(J139="",K139=""),"",J139*K139)</f>
        <v>0</v>
      </c>
      <c r="M139" s="12"/>
      <c r="N139" s="12"/>
      <c r="O139" s="12"/>
    </row>
    <row r="140" spans="1:15">
      <c r="A140" s="12"/>
      <c r="B140" s="12"/>
      <c r="C140" s="12"/>
      <c r="D140" s="12"/>
      <c r="E140" s="12"/>
      <c r="F140" s="12"/>
      <c r="G140" s="12"/>
      <c r="H140" s="18"/>
      <c r="I140" s="12"/>
      <c r="J140" s="15"/>
      <c r="K140" s="14"/>
      <c r="L140" s="16">
        <f>IF(OR(J140="",K140=""),"",J140*K140)</f>
        <v>0</v>
      </c>
      <c r="M140" s="12"/>
      <c r="N140" s="12"/>
      <c r="O140" s="12"/>
    </row>
    <row r="141" spans="1:15">
      <c r="A141" s="12"/>
      <c r="B141" s="12"/>
      <c r="C141" s="12"/>
      <c r="D141" s="12"/>
      <c r="E141" s="12"/>
      <c r="F141" s="12"/>
      <c r="G141" s="12"/>
      <c r="H141" s="18"/>
      <c r="I141" s="12"/>
      <c r="J141" s="15"/>
      <c r="K141" s="14"/>
      <c r="L141" s="16">
        <f>IF(OR(J141="",K141=""),"",J141*K141)</f>
        <v>0</v>
      </c>
      <c r="M141" s="12"/>
      <c r="N141" s="12"/>
      <c r="O141" s="12"/>
    </row>
    <row r="142" spans="1:15">
      <c r="A142" s="12"/>
      <c r="B142" s="12"/>
      <c r="C142" s="12"/>
      <c r="D142" s="12"/>
      <c r="E142" s="12"/>
      <c r="F142" s="12"/>
      <c r="G142" s="12"/>
      <c r="H142" s="18"/>
      <c r="I142" s="12"/>
      <c r="J142" s="15"/>
      <c r="K142" s="14"/>
      <c r="L142" s="16">
        <f>IF(OR(J142="",K142=""),"",J142*K142)</f>
        <v>0</v>
      </c>
      <c r="M142" s="12"/>
      <c r="N142" s="12"/>
      <c r="O142" s="12"/>
    </row>
    <row r="143" spans="1:15">
      <c r="A143" s="12"/>
      <c r="B143" s="12"/>
      <c r="C143" s="12"/>
      <c r="D143" s="12"/>
      <c r="E143" s="12"/>
      <c r="F143" s="12"/>
      <c r="G143" s="12"/>
      <c r="H143" s="18"/>
      <c r="I143" s="12"/>
      <c r="J143" s="15"/>
      <c r="K143" s="14"/>
      <c r="L143" s="16">
        <f>IF(OR(J143="",K143=""),"",J143*K143)</f>
        <v>0</v>
      </c>
      <c r="M143" s="12"/>
      <c r="N143" s="12"/>
      <c r="O143" s="12"/>
    </row>
    <row r="144" spans="1:15">
      <c r="A144" s="12"/>
      <c r="B144" s="12"/>
      <c r="C144" s="12"/>
      <c r="D144" s="12"/>
      <c r="E144" s="12"/>
      <c r="F144" s="12"/>
      <c r="G144" s="12"/>
      <c r="H144" s="18"/>
      <c r="I144" s="12"/>
      <c r="J144" s="15"/>
      <c r="K144" s="14"/>
      <c r="L144" s="16">
        <f>IF(OR(J144="",K144=""),"",J144*K144)</f>
        <v>0</v>
      </c>
      <c r="M144" s="12"/>
      <c r="N144" s="12"/>
      <c r="O144" s="12"/>
    </row>
    <row r="145" spans="1:15">
      <c r="A145" s="12"/>
      <c r="B145" s="12"/>
      <c r="C145" s="12"/>
      <c r="D145" s="12"/>
      <c r="E145" s="12"/>
      <c r="F145" s="12"/>
      <c r="G145" s="12"/>
      <c r="H145" s="18"/>
      <c r="I145" s="12"/>
      <c r="J145" s="15"/>
      <c r="K145" s="14"/>
      <c r="L145" s="16">
        <f>IF(OR(J145="",K145=""),"",J145*K145)</f>
        <v>0</v>
      </c>
      <c r="M145" s="12"/>
      <c r="N145" s="12"/>
      <c r="O145" s="12"/>
    </row>
    <row r="146" spans="1:15">
      <c r="A146" s="12"/>
      <c r="B146" s="12"/>
      <c r="C146" s="12"/>
      <c r="D146" s="12"/>
      <c r="E146" s="12"/>
      <c r="F146" s="12"/>
      <c r="G146" s="12"/>
      <c r="H146" s="18"/>
      <c r="I146" s="12"/>
      <c r="J146" s="15"/>
      <c r="K146" s="14"/>
      <c r="L146" s="16">
        <f>IF(OR(J146="",K146=""),"",J146*K146)</f>
        <v>0</v>
      </c>
      <c r="M146" s="12"/>
      <c r="N146" s="12"/>
      <c r="O146" s="12"/>
    </row>
    <row r="147" spans="1:15">
      <c r="A147" s="12"/>
      <c r="B147" s="12"/>
      <c r="C147" s="12"/>
      <c r="D147" s="12"/>
      <c r="E147" s="12"/>
      <c r="F147" s="12"/>
      <c r="G147" s="12"/>
      <c r="H147" s="18"/>
      <c r="I147" s="12"/>
      <c r="J147" s="15"/>
      <c r="K147" s="14"/>
      <c r="L147" s="16">
        <f>IF(OR(J147="",K147=""),"",J147*K147)</f>
        <v>0</v>
      </c>
      <c r="M147" s="12"/>
      <c r="N147" s="12"/>
      <c r="O147" s="12"/>
    </row>
    <row r="148" spans="1:15">
      <c r="A148" s="12"/>
      <c r="B148" s="12"/>
      <c r="C148" s="12"/>
      <c r="D148" s="12"/>
      <c r="E148" s="12"/>
      <c r="F148" s="12"/>
      <c r="G148" s="12"/>
      <c r="H148" s="18"/>
      <c r="I148" s="12"/>
      <c r="J148" s="15"/>
      <c r="K148" s="14"/>
      <c r="L148" s="16">
        <f>IF(OR(J148="",K148=""),"",J148*K148)</f>
        <v>0</v>
      </c>
      <c r="M148" s="12"/>
      <c r="N148" s="12"/>
      <c r="O148" s="12"/>
    </row>
    <row r="149" spans="1:15">
      <c r="A149" s="12"/>
      <c r="B149" s="12"/>
      <c r="C149" s="12"/>
      <c r="D149" s="12"/>
      <c r="E149" s="12"/>
      <c r="F149" s="12"/>
      <c r="G149" s="12"/>
      <c r="H149" s="18"/>
      <c r="I149" s="12"/>
      <c r="J149" s="15"/>
      <c r="K149" s="14"/>
      <c r="L149" s="16">
        <f>IF(OR(J149="",K149=""),"",J149*K149)</f>
        <v>0</v>
      </c>
      <c r="M149" s="12"/>
      <c r="N149" s="12"/>
      <c r="O149" s="12"/>
    </row>
    <row r="150" spans="1:15">
      <c r="A150" s="12"/>
      <c r="B150" s="12"/>
      <c r="C150" s="12"/>
      <c r="D150" s="12"/>
      <c r="E150" s="12"/>
      <c r="F150" s="12"/>
      <c r="G150" s="12"/>
      <c r="H150" s="18"/>
      <c r="I150" s="12"/>
      <c r="J150" s="15"/>
      <c r="K150" s="14"/>
      <c r="L150" s="16">
        <f>IF(OR(J150="",K150=""),"",J150*K150)</f>
        <v>0</v>
      </c>
      <c r="M150" s="12"/>
      <c r="N150" s="12"/>
      <c r="O150" s="12"/>
    </row>
    <row r="151" spans="1:15">
      <c r="A151" s="12"/>
      <c r="B151" s="12"/>
      <c r="C151" s="12"/>
      <c r="D151" s="12"/>
      <c r="E151" s="12"/>
      <c r="F151" s="12"/>
      <c r="G151" s="12"/>
      <c r="H151" s="18"/>
      <c r="I151" s="12"/>
      <c r="J151" s="15"/>
      <c r="K151" s="14"/>
      <c r="L151" s="16">
        <f>IF(OR(J151="",K151=""),"",J151*K151)</f>
        <v>0</v>
      </c>
      <c r="M151" s="12"/>
      <c r="N151" s="12"/>
      <c r="O151" s="12"/>
    </row>
    <row r="152" spans="1:15">
      <c r="A152" s="12"/>
      <c r="B152" s="12"/>
      <c r="C152" s="12"/>
      <c r="D152" s="12"/>
      <c r="E152" s="12"/>
      <c r="F152" s="12"/>
      <c r="G152" s="12"/>
      <c r="H152" s="18"/>
      <c r="I152" s="12"/>
      <c r="J152" s="15"/>
      <c r="K152" s="14"/>
      <c r="L152" s="16">
        <f>IF(OR(J152="",K152=""),"",J152*K152)</f>
        <v>0</v>
      </c>
      <c r="M152" s="12"/>
      <c r="N152" s="12"/>
      <c r="O152" s="12"/>
    </row>
    <row r="153" spans="1:15">
      <c r="A153" s="12"/>
      <c r="B153" s="12"/>
      <c r="C153" s="12"/>
      <c r="D153" s="12"/>
      <c r="E153" s="12"/>
      <c r="F153" s="12"/>
      <c r="G153" s="12"/>
      <c r="H153" s="18"/>
      <c r="I153" s="12"/>
      <c r="J153" s="15"/>
      <c r="K153" s="14"/>
      <c r="L153" s="16">
        <f>IF(OR(J153="",K153=""),"",J153*K153)</f>
        <v>0</v>
      </c>
      <c r="M153" s="12"/>
      <c r="N153" s="12"/>
      <c r="O153" s="12"/>
    </row>
    <row r="154" spans="1:15">
      <c r="A154" s="12"/>
      <c r="B154" s="12"/>
      <c r="C154" s="12"/>
      <c r="D154" s="12"/>
      <c r="E154" s="12"/>
      <c r="F154" s="12"/>
      <c r="G154" s="12"/>
      <c r="H154" s="18"/>
      <c r="I154" s="12"/>
      <c r="J154" s="15"/>
      <c r="K154" s="14"/>
      <c r="L154" s="16">
        <f>IF(OR(J154="",K154=""),"",J154*K154)</f>
        <v>0</v>
      </c>
      <c r="M154" s="12"/>
      <c r="N154" s="12"/>
      <c r="O154" s="12"/>
    </row>
    <row r="155" spans="1:15">
      <c r="A155" s="12"/>
      <c r="B155" s="12"/>
      <c r="C155" s="12"/>
      <c r="D155" s="12"/>
      <c r="E155" s="12"/>
      <c r="F155" s="12"/>
      <c r="G155" s="12"/>
      <c r="H155" s="18"/>
      <c r="I155" s="12"/>
      <c r="J155" s="15"/>
      <c r="K155" s="14"/>
      <c r="L155" s="16">
        <f>IF(OR(J155="",K155=""),"",J155*K155)</f>
        <v>0</v>
      </c>
      <c r="M155" s="12"/>
      <c r="N155" s="12"/>
      <c r="O155" s="12"/>
    </row>
    <row r="156" spans="1:15">
      <c r="A156" s="12"/>
      <c r="B156" s="12"/>
      <c r="C156" s="12"/>
      <c r="D156" s="12"/>
      <c r="E156" s="12"/>
      <c r="F156" s="12"/>
      <c r="G156" s="12"/>
      <c r="H156" s="18"/>
      <c r="I156" s="12"/>
      <c r="J156" s="15"/>
      <c r="K156" s="14"/>
      <c r="L156" s="16">
        <f>IF(OR(J156="",K156=""),"",J156*K156)</f>
        <v>0</v>
      </c>
      <c r="M156" s="12"/>
      <c r="N156" s="12"/>
      <c r="O156" s="12"/>
    </row>
    <row r="157" spans="1:15">
      <c r="A157" s="12"/>
      <c r="B157" s="12"/>
      <c r="C157" s="12"/>
      <c r="D157" s="12"/>
      <c r="E157" s="12"/>
      <c r="F157" s="12"/>
      <c r="G157" s="12"/>
      <c r="H157" s="18"/>
      <c r="I157" s="12"/>
      <c r="J157" s="15"/>
      <c r="K157" s="14"/>
      <c r="L157" s="16">
        <f>IF(OR(J157="",K157=""),"",J157*K157)</f>
        <v>0</v>
      </c>
      <c r="M157" s="12"/>
      <c r="N157" s="12"/>
      <c r="O157" s="12"/>
    </row>
    <row r="158" spans="1:15">
      <c r="A158" s="12"/>
      <c r="B158" s="12"/>
      <c r="C158" s="12"/>
      <c r="D158" s="12"/>
      <c r="E158" s="12"/>
      <c r="F158" s="12"/>
      <c r="G158" s="12"/>
      <c r="H158" s="18"/>
      <c r="I158" s="12"/>
      <c r="J158" s="15"/>
      <c r="K158" s="14"/>
      <c r="L158" s="16">
        <f>IF(OR(J158="",K158=""),"",J158*K158)</f>
        <v>0</v>
      </c>
      <c r="M158" s="12"/>
      <c r="N158" s="12"/>
      <c r="O158" s="12"/>
    </row>
    <row r="159" spans="1:15">
      <c r="A159" s="12"/>
      <c r="B159" s="12"/>
      <c r="C159" s="12"/>
      <c r="D159" s="12"/>
      <c r="E159" s="12"/>
      <c r="F159" s="12"/>
      <c r="G159" s="12"/>
      <c r="H159" s="18"/>
      <c r="I159" s="12"/>
      <c r="J159" s="15"/>
      <c r="K159" s="14"/>
      <c r="L159" s="16">
        <f>IF(OR(J159="",K159=""),"",J159*K159)</f>
        <v>0</v>
      </c>
      <c r="M159" s="12"/>
      <c r="N159" s="12"/>
      <c r="O159" s="12"/>
    </row>
    <row r="160" spans="1:15">
      <c r="A160" s="12"/>
      <c r="B160" s="12"/>
      <c r="C160" s="12"/>
      <c r="D160" s="12"/>
      <c r="E160" s="12"/>
      <c r="F160" s="12"/>
      <c r="G160" s="12"/>
      <c r="H160" s="18"/>
      <c r="I160" s="12"/>
      <c r="J160" s="15"/>
      <c r="K160" s="14"/>
      <c r="L160" s="16">
        <f>IF(OR(J160="",K160=""),"",J160*K160)</f>
        <v>0</v>
      </c>
      <c r="M160" s="12"/>
      <c r="N160" s="12"/>
      <c r="O160" s="12"/>
    </row>
    <row r="161" spans="1:15">
      <c r="A161" s="12"/>
      <c r="B161" s="12"/>
      <c r="C161" s="12"/>
      <c r="D161" s="12"/>
      <c r="E161" s="12"/>
      <c r="F161" s="12"/>
      <c r="G161" s="12"/>
      <c r="H161" s="18"/>
      <c r="I161" s="12"/>
      <c r="J161" s="15"/>
      <c r="K161" s="14"/>
      <c r="L161" s="16">
        <f>IF(OR(J161="",K161=""),"",J161*K161)</f>
        <v>0</v>
      </c>
      <c r="M161" s="12"/>
      <c r="N161" s="12"/>
      <c r="O161" s="12"/>
    </row>
    <row r="162" spans="1:15">
      <c r="A162" s="12"/>
      <c r="B162" s="12"/>
      <c r="C162" s="12"/>
      <c r="D162" s="12"/>
      <c r="E162" s="12"/>
      <c r="F162" s="12"/>
      <c r="G162" s="12"/>
      <c r="H162" s="18"/>
      <c r="I162" s="12"/>
      <c r="J162" s="15"/>
      <c r="K162" s="14"/>
      <c r="L162" s="16">
        <f>IF(OR(J162="",K162=""),"",J162*K162)</f>
        <v>0</v>
      </c>
      <c r="M162" s="12"/>
      <c r="N162" s="12"/>
      <c r="O162" s="12"/>
    </row>
    <row r="163" spans="1:15">
      <c r="A163" s="12"/>
      <c r="B163" s="12"/>
      <c r="C163" s="12"/>
      <c r="D163" s="12"/>
      <c r="E163" s="12"/>
      <c r="F163" s="12"/>
      <c r="G163" s="12"/>
      <c r="H163" s="18"/>
      <c r="I163" s="12"/>
      <c r="J163" s="15"/>
      <c r="K163" s="14"/>
      <c r="L163" s="16">
        <f>IF(OR(J163="",K163=""),"",J163*K163)</f>
        <v>0</v>
      </c>
      <c r="M163" s="12"/>
      <c r="N163" s="12"/>
      <c r="O163" s="12"/>
    </row>
    <row r="164" spans="1:15">
      <c r="A164" s="12"/>
      <c r="B164" s="12"/>
      <c r="C164" s="12"/>
      <c r="D164" s="12"/>
      <c r="E164" s="12"/>
      <c r="F164" s="12"/>
      <c r="G164" s="12"/>
      <c r="H164" s="18"/>
      <c r="I164" s="12"/>
      <c r="J164" s="15"/>
      <c r="K164" s="14"/>
      <c r="L164" s="16">
        <f>IF(OR(J164="",K164=""),"",J164*K164)</f>
        <v>0</v>
      </c>
      <c r="M164" s="12"/>
      <c r="N164" s="12"/>
      <c r="O164" s="12"/>
    </row>
    <row r="165" spans="1:15">
      <c r="A165" s="12"/>
      <c r="B165" s="12"/>
      <c r="C165" s="12"/>
      <c r="D165" s="12"/>
      <c r="E165" s="12"/>
      <c r="F165" s="12"/>
      <c r="G165" s="12"/>
      <c r="H165" s="18"/>
      <c r="I165" s="12"/>
      <c r="J165" s="15"/>
      <c r="K165" s="14"/>
      <c r="L165" s="16">
        <f>IF(OR(J165="",K165=""),"",J165*K165)</f>
        <v>0</v>
      </c>
      <c r="M165" s="12"/>
      <c r="N165" s="12"/>
      <c r="O165" s="12"/>
    </row>
    <row r="166" spans="1:15">
      <c r="A166" s="12"/>
      <c r="B166" s="12"/>
      <c r="C166" s="12"/>
      <c r="D166" s="12"/>
      <c r="E166" s="12"/>
      <c r="F166" s="12"/>
      <c r="G166" s="12"/>
      <c r="H166" s="18"/>
      <c r="I166" s="12"/>
      <c r="J166" s="15"/>
      <c r="K166" s="14"/>
      <c r="L166" s="16">
        <f>IF(OR(J166="",K166=""),"",J166*K166)</f>
        <v>0</v>
      </c>
      <c r="M166" s="12"/>
      <c r="N166" s="12"/>
      <c r="O166" s="12"/>
    </row>
    <row r="167" spans="1:15">
      <c r="A167" s="12"/>
      <c r="B167" s="12"/>
      <c r="C167" s="12"/>
      <c r="D167" s="12"/>
      <c r="E167" s="12"/>
      <c r="F167" s="12"/>
      <c r="G167" s="12"/>
      <c r="H167" s="18"/>
      <c r="I167" s="12"/>
      <c r="J167" s="15"/>
      <c r="K167" s="14"/>
      <c r="L167" s="16">
        <f>IF(OR(J167="",K167=""),"",J167*K167)</f>
        <v>0</v>
      </c>
      <c r="M167" s="12"/>
      <c r="N167" s="12"/>
      <c r="O167" s="12"/>
    </row>
    <row r="168" spans="1:15">
      <c r="A168" s="12"/>
      <c r="B168" s="12"/>
      <c r="C168" s="12"/>
      <c r="D168" s="12"/>
      <c r="E168" s="12"/>
      <c r="F168" s="12"/>
      <c r="G168" s="12"/>
      <c r="H168" s="18"/>
      <c r="I168" s="12"/>
      <c r="J168" s="15"/>
      <c r="K168" s="14"/>
      <c r="L168" s="16">
        <f>IF(OR(J168="",K168=""),"",J168*K168)</f>
        <v>0</v>
      </c>
      <c r="M168" s="12"/>
      <c r="N168" s="12"/>
      <c r="O168" s="12"/>
    </row>
    <row r="169" spans="1:15">
      <c r="A169" s="12"/>
      <c r="B169" s="12"/>
      <c r="C169" s="12"/>
      <c r="D169" s="12"/>
      <c r="E169" s="12"/>
      <c r="F169" s="12"/>
      <c r="G169" s="12"/>
      <c r="H169" s="18"/>
      <c r="I169" s="12"/>
      <c r="J169" s="15"/>
      <c r="K169" s="14"/>
      <c r="L169" s="16">
        <f>IF(OR(J169="",K169=""),"",J169*K169)</f>
        <v>0</v>
      </c>
      <c r="M169" s="12"/>
      <c r="N169" s="12"/>
      <c r="O169" s="12"/>
    </row>
    <row r="170" spans="1:15">
      <c r="A170" s="12"/>
      <c r="B170" s="12"/>
      <c r="C170" s="12"/>
      <c r="D170" s="12"/>
      <c r="E170" s="12"/>
      <c r="F170" s="12"/>
      <c r="G170" s="12"/>
      <c r="H170" s="18"/>
      <c r="I170" s="12"/>
      <c r="J170" s="15"/>
      <c r="K170" s="14"/>
      <c r="L170" s="16">
        <f>IF(OR(J170="",K170=""),"",J170*K170)</f>
        <v>0</v>
      </c>
      <c r="M170" s="12"/>
      <c r="N170" s="12"/>
      <c r="O170" s="12"/>
    </row>
    <row r="171" spans="1:15">
      <c r="A171" s="12"/>
      <c r="B171" s="12"/>
      <c r="C171" s="12"/>
      <c r="D171" s="12"/>
      <c r="E171" s="12"/>
      <c r="F171" s="12"/>
      <c r="G171" s="12"/>
      <c r="H171" s="18"/>
      <c r="I171" s="12"/>
      <c r="J171" s="15"/>
      <c r="K171" s="14"/>
      <c r="L171" s="16">
        <f>IF(OR(J171="",K171=""),"",J171*K171)</f>
        <v>0</v>
      </c>
      <c r="M171" s="12"/>
      <c r="N171" s="12"/>
      <c r="O171" s="12"/>
    </row>
    <row r="172" spans="1:15">
      <c r="A172" s="12"/>
      <c r="B172" s="12"/>
      <c r="C172" s="12"/>
      <c r="D172" s="12"/>
      <c r="E172" s="12"/>
      <c r="F172" s="12"/>
      <c r="G172" s="12"/>
      <c r="H172" s="18"/>
      <c r="I172" s="12"/>
      <c r="J172" s="15"/>
      <c r="K172" s="14"/>
      <c r="L172" s="16">
        <f>IF(OR(J172="",K172=""),"",J172*K172)</f>
        <v>0</v>
      </c>
      <c r="M172" s="12"/>
      <c r="N172" s="12"/>
      <c r="O172" s="12"/>
    </row>
    <row r="173" spans="1:15">
      <c r="A173" s="12"/>
      <c r="B173" s="12"/>
      <c r="C173" s="12"/>
      <c r="D173" s="12"/>
      <c r="E173" s="12"/>
      <c r="F173" s="12"/>
      <c r="G173" s="12"/>
      <c r="H173" s="18"/>
      <c r="I173" s="12"/>
      <c r="J173" s="15"/>
      <c r="K173" s="14"/>
      <c r="L173" s="16">
        <f>IF(OR(J173="",K173=""),"",J173*K173)</f>
        <v>0</v>
      </c>
      <c r="M173" s="12"/>
      <c r="N173" s="12"/>
      <c r="O173" s="12"/>
    </row>
    <row r="174" spans="1:15">
      <c r="A174" s="12"/>
      <c r="B174" s="12"/>
      <c r="C174" s="12"/>
      <c r="D174" s="12"/>
      <c r="E174" s="12"/>
      <c r="F174" s="12"/>
      <c r="G174" s="12"/>
      <c r="H174" s="18"/>
      <c r="I174" s="12"/>
      <c r="J174" s="15"/>
      <c r="K174" s="14"/>
      <c r="L174" s="16">
        <f>IF(OR(J174="",K174=""),"",J174*K174)</f>
        <v>0</v>
      </c>
      <c r="M174" s="12"/>
      <c r="N174" s="12"/>
      <c r="O174" s="12"/>
    </row>
    <row r="175" spans="1:15">
      <c r="A175" s="12"/>
      <c r="B175" s="12"/>
      <c r="C175" s="12"/>
      <c r="D175" s="12"/>
      <c r="E175" s="12"/>
      <c r="F175" s="12"/>
      <c r="G175" s="12"/>
      <c r="H175" s="18"/>
      <c r="I175" s="12"/>
      <c r="J175" s="15"/>
      <c r="K175" s="14"/>
      <c r="L175" s="16">
        <f>IF(OR(J175="",K175=""),"",J175*K175)</f>
        <v>0</v>
      </c>
      <c r="M175" s="12"/>
      <c r="N175" s="12"/>
      <c r="O175" s="12"/>
    </row>
    <row r="176" spans="1:15">
      <c r="A176" s="12"/>
      <c r="B176" s="12"/>
      <c r="C176" s="12"/>
      <c r="D176" s="12"/>
      <c r="E176" s="12"/>
      <c r="F176" s="12"/>
      <c r="G176" s="12"/>
      <c r="H176" s="18"/>
      <c r="I176" s="12"/>
      <c r="J176" s="15"/>
      <c r="K176" s="14"/>
      <c r="L176" s="16">
        <f>IF(OR(J176="",K176=""),"",J176*K176)</f>
        <v>0</v>
      </c>
      <c r="M176" s="12"/>
      <c r="N176" s="12"/>
      <c r="O176" s="12"/>
    </row>
    <row r="177" spans="1:15">
      <c r="A177" s="12"/>
      <c r="B177" s="12"/>
      <c r="C177" s="12"/>
      <c r="D177" s="12"/>
      <c r="E177" s="12"/>
      <c r="F177" s="12"/>
      <c r="G177" s="12"/>
      <c r="H177" s="18"/>
      <c r="I177" s="12"/>
      <c r="J177" s="15"/>
      <c r="K177" s="14"/>
      <c r="L177" s="16">
        <f>IF(OR(J177="",K177=""),"",J177*K177)</f>
        <v>0</v>
      </c>
      <c r="M177" s="12"/>
      <c r="N177" s="12"/>
      <c r="O177" s="12"/>
    </row>
    <row r="178" spans="1:15">
      <c r="A178" s="12"/>
      <c r="B178" s="12"/>
      <c r="C178" s="12"/>
      <c r="D178" s="12"/>
      <c r="E178" s="12"/>
      <c r="F178" s="12"/>
      <c r="G178" s="12"/>
      <c r="H178" s="18"/>
      <c r="I178" s="12"/>
      <c r="J178" s="15"/>
      <c r="K178" s="14"/>
      <c r="L178" s="16">
        <f>IF(OR(J178="",K178=""),"",J178*K178)</f>
        <v>0</v>
      </c>
      <c r="M178" s="12"/>
      <c r="N178" s="12"/>
      <c r="O178" s="12"/>
    </row>
    <row r="179" spans="1:15">
      <c r="A179" s="12"/>
      <c r="B179" s="12"/>
      <c r="C179" s="12"/>
      <c r="D179" s="12"/>
      <c r="E179" s="12"/>
      <c r="F179" s="12"/>
      <c r="G179" s="12"/>
      <c r="H179" s="18"/>
      <c r="I179" s="12"/>
      <c r="J179" s="15"/>
      <c r="K179" s="14"/>
      <c r="L179" s="16">
        <f>IF(OR(J179="",K179=""),"",J179*K179)</f>
        <v>0</v>
      </c>
      <c r="M179" s="12"/>
      <c r="N179" s="12"/>
      <c r="O179" s="12"/>
    </row>
    <row r="180" spans="1:15">
      <c r="A180" s="12"/>
      <c r="B180" s="12"/>
      <c r="C180" s="12"/>
      <c r="D180" s="12"/>
      <c r="E180" s="12"/>
      <c r="F180" s="12"/>
      <c r="G180" s="12"/>
      <c r="H180" s="18"/>
      <c r="I180" s="12"/>
      <c r="J180" s="15"/>
      <c r="K180" s="14"/>
      <c r="L180" s="16">
        <f>IF(OR(J180="",K180=""),"",J180*K180)</f>
        <v>0</v>
      </c>
      <c r="M180" s="12"/>
      <c r="N180" s="12"/>
      <c r="O180" s="12"/>
    </row>
    <row r="181" spans="1:15">
      <c r="A181" s="12"/>
      <c r="B181" s="12"/>
      <c r="C181" s="12"/>
      <c r="D181" s="12"/>
      <c r="E181" s="12"/>
      <c r="F181" s="12"/>
      <c r="G181" s="12"/>
      <c r="H181" s="18"/>
      <c r="I181" s="12"/>
      <c r="J181" s="15"/>
      <c r="K181" s="14"/>
      <c r="L181" s="16">
        <f>IF(OR(J181="",K181=""),"",J181*K181)</f>
        <v>0</v>
      </c>
      <c r="M181" s="12"/>
      <c r="N181" s="12"/>
      <c r="O181" s="12"/>
    </row>
    <row r="182" spans="1:15">
      <c r="A182" s="12"/>
      <c r="B182" s="12"/>
      <c r="C182" s="12"/>
      <c r="D182" s="12"/>
      <c r="E182" s="12"/>
      <c r="F182" s="12"/>
      <c r="G182" s="12"/>
      <c r="H182" s="18"/>
      <c r="I182" s="12"/>
      <c r="J182" s="15"/>
      <c r="K182" s="14"/>
      <c r="L182" s="16">
        <f>IF(OR(J182="",K182=""),"",J182*K182)</f>
        <v>0</v>
      </c>
      <c r="M182" s="12"/>
      <c r="N182" s="12"/>
      <c r="O182" s="12"/>
    </row>
    <row r="183" spans="1:15">
      <c r="A183" s="12"/>
      <c r="B183" s="12"/>
      <c r="C183" s="12"/>
      <c r="D183" s="12"/>
      <c r="E183" s="12"/>
      <c r="F183" s="12"/>
      <c r="G183" s="12"/>
      <c r="H183" s="18"/>
      <c r="I183" s="12"/>
      <c r="J183" s="15"/>
      <c r="K183" s="14"/>
      <c r="L183" s="16">
        <f>IF(OR(J183="",K183=""),"",J183*K183)</f>
        <v>0</v>
      </c>
      <c r="M183" s="12"/>
      <c r="N183" s="12"/>
      <c r="O183" s="12"/>
    </row>
    <row r="184" spans="1:15">
      <c r="A184" s="12"/>
      <c r="B184" s="12"/>
      <c r="C184" s="12"/>
      <c r="D184" s="12"/>
      <c r="E184" s="12"/>
      <c r="F184" s="12"/>
      <c r="G184" s="12"/>
      <c r="H184" s="18"/>
      <c r="I184" s="12"/>
      <c r="J184" s="15"/>
      <c r="K184" s="14"/>
      <c r="L184" s="16">
        <f>IF(OR(J184="",K184=""),"",J184*K184)</f>
        <v>0</v>
      </c>
      <c r="M184" s="12"/>
      <c r="N184" s="12"/>
      <c r="O184" s="12"/>
    </row>
    <row r="185" spans="1:15">
      <c r="A185" s="12"/>
      <c r="B185" s="12"/>
      <c r="C185" s="12"/>
      <c r="D185" s="12"/>
      <c r="E185" s="12"/>
      <c r="F185" s="12"/>
      <c r="G185" s="12"/>
      <c r="H185" s="18"/>
      <c r="I185" s="12"/>
      <c r="J185" s="15"/>
      <c r="K185" s="14"/>
      <c r="L185" s="16">
        <f>IF(OR(J185="",K185=""),"",J185*K185)</f>
        <v>0</v>
      </c>
      <c r="M185" s="12"/>
      <c r="N185" s="12"/>
      <c r="O185" s="12"/>
    </row>
    <row r="186" spans="1:15">
      <c r="A186" s="12"/>
      <c r="B186" s="12"/>
      <c r="C186" s="12"/>
      <c r="D186" s="12"/>
      <c r="E186" s="12"/>
      <c r="F186" s="12"/>
      <c r="G186" s="12"/>
      <c r="H186" s="18"/>
      <c r="I186" s="12"/>
      <c r="J186" s="15"/>
      <c r="K186" s="14"/>
      <c r="L186" s="16">
        <f>IF(OR(J186="",K186=""),"",J186*K186)</f>
        <v>0</v>
      </c>
      <c r="M186" s="12"/>
      <c r="N186" s="12"/>
      <c r="O186" s="12"/>
    </row>
    <row r="187" spans="1:15">
      <c r="A187" s="12"/>
      <c r="B187" s="12"/>
      <c r="C187" s="12"/>
      <c r="D187" s="12"/>
      <c r="E187" s="12"/>
      <c r="F187" s="12"/>
      <c r="G187" s="12"/>
      <c r="H187" s="18"/>
      <c r="I187" s="12"/>
      <c r="J187" s="15"/>
      <c r="K187" s="14"/>
      <c r="L187" s="16">
        <f>IF(OR(J187="",K187=""),"",J187*K187)</f>
        <v>0</v>
      </c>
      <c r="M187" s="12"/>
      <c r="N187" s="12"/>
      <c r="O187" s="12"/>
    </row>
    <row r="188" spans="1:15">
      <c r="A188" s="12"/>
      <c r="B188" s="12"/>
      <c r="C188" s="12"/>
      <c r="D188" s="12"/>
      <c r="E188" s="12"/>
      <c r="F188" s="12"/>
      <c r="G188" s="12"/>
      <c r="H188" s="18"/>
      <c r="I188" s="12"/>
      <c r="J188" s="15"/>
      <c r="K188" s="14"/>
      <c r="L188" s="16">
        <f>IF(OR(J188="",K188=""),"",J188*K188)</f>
        <v>0</v>
      </c>
      <c r="M188" s="12"/>
      <c r="N188" s="12"/>
      <c r="O188" s="12"/>
    </row>
    <row r="189" spans="1:15">
      <c r="A189" s="12"/>
      <c r="B189" s="12"/>
      <c r="C189" s="12"/>
      <c r="D189" s="12"/>
      <c r="E189" s="12"/>
      <c r="F189" s="12"/>
      <c r="G189" s="12"/>
      <c r="H189" s="18"/>
      <c r="I189" s="12"/>
      <c r="J189" s="15"/>
      <c r="K189" s="14"/>
      <c r="L189" s="16">
        <f>IF(OR(J189="",K189=""),"",J189*K189)</f>
        <v>0</v>
      </c>
      <c r="M189" s="12"/>
      <c r="N189" s="12"/>
      <c r="O189" s="12"/>
    </row>
    <row r="190" spans="1:15">
      <c r="A190" s="12"/>
      <c r="B190" s="12"/>
      <c r="C190" s="12"/>
      <c r="D190" s="12"/>
      <c r="E190" s="12"/>
      <c r="F190" s="12"/>
      <c r="G190" s="12"/>
      <c r="H190" s="18"/>
      <c r="I190" s="12"/>
      <c r="J190" s="15"/>
      <c r="K190" s="14"/>
      <c r="L190" s="16">
        <f>IF(OR(J190="",K190=""),"",J190*K190)</f>
        <v>0</v>
      </c>
      <c r="M190" s="12"/>
      <c r="N190" s="12"/>
      <c r="O190" s="12"/>
    </row>
    <row r="191" spans="1:15">
      <c r="A191" s="12"/>
      <c r="B191" s="12"/>
      <c r="C191" s="12"/>
      <c r="D191" s="12"/>
      <c r="E191" s="12"/>
      <c r="F191" s="12"/>
      <c r="G191" s="12"/>
      <c r="H191" s="18"/>
      <c r="I191" s="12"/>
      <c r="J191" s="15"/>
      <c r="K191" s="14"/>
      <c r="L191" s="16">
        <f>IF(OR(J191="",K191=""),"",J191*K191)</f>
        <v>0</v>
      </c>
      <c r="M191" s="12"/>
      <c r="N191" s="12"/>
      <c r="O191" s="12"/>
    </row>
    <row r="192" spans="1:15">
      <c r="A192" s="12"/>
      <c r="B192" s="12"/>
      <c r="C192" s="12"/>
      <c r="D192" s="12"/>
      <c r="E192" s="12"/>
      <c r="F192" s="12"/>
      <c r="G192" s="12"/>
      <c r="H192" s="18"/>
      <c r="I192" s="12"/>
      <c r="J192" s="15"/>
      <c r="K192" s="14"/>
      <c r="L192" s="16">
        <f>IF(OR(J192="",K192=""),"",J192*K192)</f>
        <v>0</v>
      </c>
      <c r="M192" s="12"/>
      <c r="N192" s="12"/>
      <c r="O192" s="12"/>
    </row>
    <row r="193" spans="1:15">
      <c r="A193" s="12"/>
      <c r="B193" s="12"/>
      <c r="C193" s="12"/>
      <c r="D193" s="12"/>
      <c r="E193" s="12"/>
      <c r="F193" s="12"/>
      <c r="G193" s="12"/>
      <c r="H193" s="18"/>
      <c r="I193" s="12"/>
      <c r="J193" s="15"/>
      <c r="K193" s="14"/>
      <c r="L193" s="16">
        <f>IF(OR(J193="",K193=""),"",J193*K193)</f>
        <v>0</v>
      </c>
      <c r="M193" s="12"/>
      <c r="N193" s="12"/>
      <c r="O193" s="12"/>
    </row>
    <row r="194" spans="1:15">
      <c r="A194" s="12"/>
      <c r="B194" s="12"/>
      <c r="C194" s="12"/>
      <c r="D194" s="12"/>
      <c r="E194" s="12"/>
      <c r="F194" s="12"/>
      <c r="G194" s="12"/>
      <c r="H194" s="18"/>
      <c r="I194" s="12"/>
      <c r="J194" s="15"/>
      <c r="K194" s="14"/>
      <c r="L194" s="16">
        <f>IF(OR(J194="",K194=""),"",J194*K194)</f>
        <v>0</v>
      </c>
      <c r="M194" s="12"/>
      <c r="N194" s="12"/>
      <c r="O194" s="12"/>
    </row>
    <row r="195" spans="1:15">
      <c r="A195" s="12"/>
      <c r="B195" s="12"/>
      <c r="C195" s="12"/>
      <c r="D195" s="12"/>
      <c r="E195" s="12"/>
      <c r="F195" s="12"/>
      <c r="G195" s="12"/>
      <c r="H195" s="18"/>
      <c r="I195" s="12"/>
      <c r="J195" s="15"/>
      <c r="K195" s="14"/>
      <c r="L195" s="16">
        <f>IF(OR(J195="",K195=""),"",J195*K195)</f>
        <v>0</v>
      </c>
      <c r="M195" s="12"/>
      <c r="N195" s="12"/>
      <c r="O195" s="12"/>
    </row>
    <row r="196" spans="1:15">
      <c r="A196" s="12"/>
      <c r="B196" s="12"/>
      <c r="C196" s="12"/>
      <c r="D196" s="12"/>
      <c r="E196" s="12"/>
      <c r="F196" s="12"/>
      <c r="G196" s="12"/>
      <c r="H196" s="18"/>
      <c r="I196" s="12"/>
      <c r="J196" s="15"/>
      <c r="K196" s="14"/>
      <c r="L196" s="16">
        <f>IF(OR(J196="",K196=""),"",J196*K196)</f>
        <v>0</v>
      </c>
      <c r="M196" s="12"/>
      <c r="N196" s="12"/>
      <c r="O196" s="12"/>
    </row>
    <row r="197" spans="1:15">
      <c r="A197" s="12"/>
      <c r="B197" s="12"/>
      <c r="C197" s="12"/>
      <c r="D197" s="12"/>
      <c r="E197" s="12"/>
      <c r="F197" s="12"/>
      <c r="G197" s="12"/>
      <c r="H197" s="18"/>
      <c r="I197" s="12"/>
      <c r="J197" s="15"/>
      <c r="K197" s="14"/>
      <c r="L197" s="16">
        <f>IF(OR(J197="",K197=""),"",J197*K197)</f>
        <v>0</v>
      </c>
      <c r="M197" s="12"/>
      <c r="N197" s="12"/>
      <c r="O197" s="12"/>
    </row>
    <row r="198" spans="1:15">
      <c r="A198" s="12"/>
      <c r="B198" s="12"/>
      <c r="C198" s="12"/>
      <c r="D198" s="12"/>
      <c r="E198" s="12"/>
      <c r="F198" s="12"/>
      <c r="G198" s="12"/>
      <c r="H198" s="18"/>
      <c r="I198" s="12"/>
      <c r="J198" s="15"/>
      <c r="K198" s="14"/>
      <c r="L198" s="16">
        <f>IF(OR(J198="",K198=""),"",J198*K198)</f>
        <v>0</v>
      </c>
      <c r="M198" s="12"/>
      <c r="N198" s="12"/>
      <c r="O198" s="12"/>
    </row>
    <row r="199" spans="1:15">
      <c r="A199" s="12"/>
      <c r="B199" s="12"/>
      <c r="C199" s="12"/>
      <c r="D199" s="12"/>
      <c r="E199" s="12"/>
      <c r="F199" s="12"/>
      <c r="G199" s="12"/>
      <c r="H199" s="18"/>
      <c r="I199" s="12"/>
      <c r="J199" s="15"/>
      <c r="K199" s="14"/>
      <c r="L199" s="16">
        <f>IF(OR(J199="",K199=""),"",J199*K199)</f>
        <v>0</v>
      </c>
      <c r="M199" s="12"/>
      <c r="N199" s="12"/>
      <c r="O199" s="12"/>
    </row>
    <row r="200" spans="1:15">
      <c r="A200" s="12"/>
      <c r="B200" s="12"/>
      <c r="C200" s="12"/>
      <c r="D200" s="12"/>
      <c r="E200" s="12"/>
      <c r="F200" s="12"/>
      <c r="G200" s="12"/>
      <c r="H200" s="18"/>
      <c r="I200" s="12"/>
      <c r="J200" s="15"/>
      <c r="K200" s="14"/>
      <c r="L200" s="16">
        <f>IF(OR(J200="",K200=""),"",J200*K200)</f>
        <v>0</v>
      </c>
      <c r="M200" s="12"/>
      <c r="N200" s="12"/>
      <c r="O200" s="12"/>
    </row>
    <row r="201" spans="1:15">
      <c r="A201" s="12"/>
      <c r="B201" s="12"/>
      <c r="C201" s="12"/>
      <c r="D201" s="12"/>
      <c r="E201" s="12"/>
      <c r="F201" s="12"/>
      <c r="G201" s="12"/>
      <c r="H201" s="18"/>
      <c r="I201" s="12"/>
      <c r="J201" s="15"/>
      <c r="K201" s="14"/>
      <c r="L201" s="16">
        <f>IF(OR(J201="",K201=""),"",J201*K201)</f>
        <v>0</v>
      </c>
      <c r="M201" s="12"/>
      <c r="N201" s="12"/>
      <c r="O201" s="12"/>
    </row>
    <row r="202" spans="1:15">
      <c r="A202" s="12"/>
      <c r="B202" s="12"/>
      <c r="C202" s="12"/>
      <c r="D202" s="12"/>
      <c r="E202" s="12"/>
      <c r="F202" s="12"/>
      <c r="G202" s="12"/>
      <c r="H202" s="18"/>
      <c r="I202" s="12"/>
      <c r="J202" s="15"/>
      <c r="K202" s="14"/>
      <c r="L202" s="16">
        <f>IF(OR(J202="",K202=""),"",J202*K202)</f>
        <v>0</v>
      </c>
      <c r="M202" s="12"/>
      <c r="N202" s="12"/>
      <c r="O202" s="12"/>
    </row>
    <row r="203" spans="1:15">
      <c r="A203" s="12"/>
      <c r="B203" s="12"/>
      <c r="C203" s="12"/>
      <c r="D203" s="12"/>
      <c r="E203" s="12"/>
      <c r="F203" s="12"/>
      <c r="G203" s="12"/>
      <c r="H203" s="18"/>
      <c r="I203" s="12"/>
      <c r="J203" s="15"/>
      <c r="K203" s="14"/>
      <c r="L203" s="16">
        <f>IF(OR(J203="",K203=""),"",J203*K203)</f>
        <v>0</v>
      </c>
      <c r="M203" s="12"/>
      <c r="N203" s="12"/>
      <c r="O203" s="12"/>
    </row>
    <row r="204" spans="1:15">
      <c r="A204" s="12"/>
      <c r="B204" s="12"/>
      <c r="C204" s="12"/>
      <c r="D204" s="12"/>
      <c r="E204" s="12"/>
      <c r="F204" s="12"/>
      <c r="G204" s="12"/>
      <c r="H204" s="18"/>
      <c r="I204" s="12"/>
      <c r="J204" s="15"/>
      <c r="K204" s="14"/>
      <c r="L204" s="16">
        <f>IF(OR(J204="",K204=""),"",J204*K204)</f>
        <v>0</v>
      </c>
      <c r="M204" s="12"/>
      <c r="N204" s="12"/>
      <c r="O204" s="12"/>
    </row>
    <row r="205" spans="1:15">
      <c r="A205" s="12"/>
      <c r="B205" s="12"/>
      <c r="C205" s="12"/>
      <c r="D205" s="12"/>
      <c r="E205" s="12"/>
      <c r="F205" s="12"/>
      <c r="G205" s="12"/>
      <c r="H205" s="18"/>
      <c r="I205" s="12"/>
      <c r="J205" s="15"/>
      <c r="K205" s="14"/>
      <c r="L205" s="16">
        <f>IF(OR(J205="",K205=""),"",J205*K205)</f>
        <v>0</v>
      </c>
      <c r="M205" s="12"/>
      <c r="N205" s="12"/>
      <c r="O205" s="12"/>
    </row>
    <row r="206" spans="1:15">
      <c r="A206" s="12"/>
      <c r="B206" s="12"/>
      <c r="C206" s="12"/>
      <c r="D206" s="12"/>
      <c r="E206" s="12"/>
      <c r="F206" s="12"/>
      <c r="G206" s="12"/>
      <c r="H206" s="18"/>
      <c r="I206" s="12"/>
      <c r="J206" s="15"/>
      <c r="K206" s="14"/>
      <c r="L206" s="16">
        <f>IF(OR(J206="",K206=""),"",J206*K206)</f>
        <v>0</v>
      </c>
      <c r="M206" s="12"/>
      <c r="N206" s="12"/>
      <c r="O206" s="12"/>
    </row>
    <row r="207" spans="1:15">
      <c r="A207" s="12"/>
      <c r="B207" s="12"/>
      <c r="C207" s="12"/>
      <c r="D207" s="12"/>
      <c r="E207" s="12"/>
      <c r="F207" s="12"/>
      <c r="G207" s="12"/>
      <c r="H207" s="18"/>
      <c r="I207" s="12"/>
      <c r="J207" s="15"/>
      <c r="K207" s="14"/>
      <c r="L207" s="16">
        <f>IF(OR(J207="",K207=""),"",J207*K207)</f>
        <v>0</v>
      </c>
      <c r="M207" s="12"/>
      <c r="N207" s="12"/>
      <c r="O207" s="12"/>
    </row>
    <row r="208" spans="1:15">
      <c r="A208" s="12"/>
      <c r="B208" s="12"/>
      <c r="C208" s="12"/>
      <c r="D208" s="12"/>
      <c r="E208" s="12"/>
      <c r="F208" s="12"/>
      <c r="G208" s="12"/>
      <c r="H208" s="18"/>
      <c r="I208" s="12"/>
      <c r="J208" s="15"/>
      <c r="K208" s="14"/>
      <c r="L208" s="16">
        <f>IF(OR(J208="",K208=""),"",J208*K208)</f>
        <v>0</v>
      </c>
      <c r="M208" s="12"/>
      <c r="N208" s="12"/>
      <c r="O208" s="12"/>
    </row>
    <row r="209" spans="1:15">
      <c r="A209" s="12"/>
      <c r="B209" s="12"/>
      <c r="C209" s="12"/>
      <c r="D209" s="12"/>
      <c r="E209" s="12"/>
      <c r="F209" s="12"/>
      <c r="G209" s="12"/>
      <c r="H209" s="18"/>
      <c r="I209" s="12"/>
      <c r="J209" s="15"/>
      <c r="K209" s="14"/>
      <c r="L209" s="16">
        <f>IF(OR(J209="",K209=""),"",J209*K209)</f>
        <v>0</v>
      </c>
      <c r="M209" s="12"/>
      <c r="N209" s="12"/>
      <c r="O209" s="12"/>
    </row>
    <row r="210" spans="1:15">
      <c r="A210" s="12"/>
      <c r="B210" s="12"/>
      <c r="C210" s="12"/>
      <c r="D210" s="12"/>
      <c r="E210" s="12"/>
      <c r="F210" s="12"/>
      <c r="G210" s="12"/>
      <c r="H210" s="18"/>
      <c r="I210" s="12"/>
      <c r="J210" s="15"/>
      <c r="K210" s="14"/>
      <c r="L210" s="16">
        <f>IF(OR(J210="",K210=""),"",J210*K210)</f>
        <v>0</v>
      </c>
      <c r="M210" s="12"/>
      <c r="N210" s="12"/>
      <c r="O210" s="12"/>
    </row>
    <row r="211" spans="1:15">
      <c r="A211" s="12"/>
      <c r="B211" s="12"/>
      <c r="C211" s="12"/>
      <c r="D211" s="12"/>
      <c r="E211" s="12"/>
      <c r="F211" s="12"/>
      <c r="G211" s="12"/>
      <c r="H211" s="18"/>
      <c r="I211" s="12"/>
      <c r="J211" s="15"/>
      <c r="K211" s="14"/>
      <c r="L211" s="16">
        <f>IF(OR(J211="",K211=""),"",J211*K211)</f>
        <v>0</v>
      </c>
      <c r="M211" s="12"/>
      <c r="N211" s="12"/>
      <c r="O211" s="12"/>
    </row>
    <row r="212" spans="1:15">
      <c r="A212" s="12"/>
      <c r="B212" s="12"/>
      <c r="C212" s="12"/>
      <c r="D212" s="12"/>
      <c r="E212" s="12"/>
      <c r="F212" s="12"/>
      <c r="G212" s="12"/>
      <c r="H212" s="18"/>
      <c r="I212" s="12"/>
      <c r="J212" s="15"/>
      <c r="K212" s="14"/>
      <c r="L212" s="16">
        <f>IF(OR(J212="",K212=""),"",J212*K212)</f>
        <v>0</v>
      </c>
      <c r="M212" s="12"/>
      <c r="N212" s="12"/>
      <c r="O212" s="12"/>
    </row>
    <row r="213" spans="1:15">
      <c r="A213" s="12"/>
      <c r="B213" s="12"/>
      <c r="C213" s="12"/>
      <c r="D213" s="12"/>
      <c r="E213" s="12"/>
      <c r="F213" s="12"/>
      <c r="G213" s="12"/>
      <c r="H213" s="18"/>
      <c r="I213" s="12"/>
      <c r="J213" s="15"/>
      <c r="K213" s="14"/>
      <c r="L213" s="16">
        <f>IF(OR(J213="",K213=""),"",J213*K213)</f>
        <v>0</v>
      </c>
      <c r="M213" s="12"/>
      <c r="N213" s="12"/>
      <c r="O213" s="12"/>
    </row>
    <row r="214" spans="1:15">
      <c r="A214" s="12"/>
      <c r="B214" s="12"/>
      <c r="C214" s="12"/>
      <c r="D214" s="12"/>
      <c r="E214" s="12"/>
      <c r="F214" s="12"/>
      <c r="G214" s="12"/>
      <c r="H214" s="18"/>
      <c r="I214" s="12"/>
      <c r="J214" s="15"/>
      <c r="K214" s="14"/>
      <c r="L214" s="16">
        <f>IF(OR(J214="",K214=""),"",J214*K214)</f>
        <v>0</v>
      </c>
      <c r="M214" s="12"/>
      <c r="N214" s="12"/>
      <c r="O214" s="12"/>
    </row>
    <row r="215" spans="1:15">
      <c r="A215" s="12"/>
      <c r="B215" s="12"/>
      <c r="C215" s="12"/>
      <c r="D215" s="12"/>
      <c r="E215" s="12"/>
      <c r="F215" s="12"/>
      <c r="G215" s="12"/>
      <c r="H215" s="18"/>
      <c r="I215" s="12"/>
      <c r="J215" s="15"/>
      <c r="K215" s="14"/>
      <c r="L215" s="16">
        <f>IF(OR(J215="",K215=""),"",J215*K215)</f>
        <v>0</v>
      </c>
      <c r="M215" s="12"/>
      <c r="N215" s="12"/>
      <c r="O215" s="12"/>
    </row>
    <row r="216" spans="1:15">
      <c r="A216" s="12"/>
      <c r="B216" s="12"/>
      <c r="C216" s="12"/>
      <c r="D216" s="12"/>
      <c r="E216" s="12"/>
      <c r="F216" s="12"/>
      <c r="G216" s="12"/>
      <c r="H216" s="18"/>
      <c r="I216" s="12"/>
      <c r="J216" s="15"/>
      <c r="K216" s="14"/>
      <c r="L216" s="16">
        <f>IF(OR(J216="",K216=""),"",J216*K216)</f>
        <v>0</v>
      </c>
      <c r="M216" s="12"/>
      <c r="N216" s="12"/>
      <c r="O216" s="12"/>
    </row>
    <row r="217" spans="1:15">
      <c r="A217" s="12"/>
      <c r="B217" s="12"/>
      <c r="C217" s="12"/>
      <c r="D217" s="12"/>
      <c r="E217" s="12"/>
      <c r="F217" s="12"/>
      <c r="G217" s="12"/>
      <c r="H217" s="18"/>
      <c r="I217" s="12"/>
      <c r="J217" s="15"/>
      <c r="K217" s="14"/>
      <c r="L217" s="16">
        <f>IF(OR(J217="",K217=""),"",J217*K217)</f>
        <v>0</v>
      </c>
      <c r="M217" s="12"/>
      <c r="N217" s="12"/>
      <c r="O217" s="12"/>
    </row>
    <row r="218" spans="1:15">
      <c r="A218" s="12"/>
      <c r="B218" s="12"/>
      <c r="C218" s="12"/>
      <c r="D218" s="12"/>
      <c r="E218" s="12"/>
      <c r="F218" s="12"/>
      <c r="G218" s="12"/>
      <c r="H218" s="18"/>
      <c r="I218" s="12"/>
      <c r="J218" s="15"/>
      <c r="K218" s="14"/>
      <c r="L218" s="16">
        <f>IF(OR(J218="",K218=""),"",J218*K218)</f>
        <v>0</v>
      </c>
      <c r="M218" s="12"/>
      <c r="N218" s="12"/>
      <c r="O218" s="12"/>
    </row>
    <row r="219" spans="1:15">
      <c r="A219" s="12"/>
      <c r="B219" s="12"/>
      <c r="C219" s="12"/>
      <c r="D219" s="12"/>
      <c r="E219" s="12"/>
      <c r="F219" s="12"/>
      <c r="G219" s="12"/>
      <c r="H219" s="18"/>
      <c r="I219" s="12"/>
      <c r="J219" s="15"/>
      <c r="K219" s="14"/>
      <c r="L219" s="16">
        <f>IF(OR(J219="",K219=""),"",J219*K219)</f>
        <v>0</v>
      </c>
      <c r="M219" s="12"/>
      <c r="N219" s="12"/>
      <c r="O219" s="12"/>
    </row>
    <row r="220" spans="1:15">
      <c r="A220" s="12"/>
      <c r="B220" s="12"/>
      <c r="C220" s="12"/>
      <c r="D220" s="12"/>
      <c r="E220" s="12"/>
      <c r="F220" s="12"/>
      <c r="G220" s="12"/>
      <c r="H220" s="18"/>
      <c r="I220" s="12"/>
      <c r="J220" s="15"/>
      <c r="K220" s="14"/>
      <c r="L220" s="16">
        <f>IF(OR(J220="",K220=""),"",J220*K220)</f>
        <v>0</v>
      </c>
      <c r="M220" s="12"/>
      <c r="N220" s="12"/>
      <c r="O220" s="12"/>
    </row>
    <row r="221" spans="1:15">
      <c r="A221" s="12"/>
      <c r="B221" s="12"/>
      <c r="C221" s="12"/>
      <c r="D221" s="12"/>
      <c r="E221" s="12"/>
      <c r="F221" s="12"/>
      <c r="G221" s="12"/>
      <c r="H221" s="18"/>
      <c r="I221" s="12"/>
      <c r="J221" s="15"/>
      <c r="K221" s="14"/>
      <c r="L221" s="16">
        <f>IF(OR(J221="",K221=""),"",J221*K221)</f>
        <v>0</v>
      </c>
      <c r="M221" s="12"/>
      <c r="N221" s="12"/>
      <c r="O221" s="12"/>
    </row>
    <row r="222" spans="1:15">
      <c r="A222" s="12"/>
      <c r="B222" s="12"/>
      <c r="C222" s="12"/>
      <c r="D222" s="12"/>
      <c r="E222" s="12"/>
      <c r="F222" s="12"/>
      <c r="G222" s="12"/>
      <c r="H222" s="18"/>
      <c r="I222" s="12"/>
      <c r="J222" s="15"/>
      <c r="K222" s="14"/>
      <c r="L222" s="16">
        <f>IF(OR(J222="",K222=""),"",J222*K222)</f>
        <v>0</v>
      </c>
      <c r="M222" s="12"/>
      <c r="N222" s="12"/>
      <c r="O222" s="12"/>
    </row>
    <row r="223" spans="1:15">
      <c r="A223" s="12"/>
      <c r="B223" s="12"/>
      <c r="C223" s="12"/>
      <c r="D223" s="12"/>
      <c r="E223" s="12"/>
      <c r="F223" s="12"/>
      <c r="G223" s="12"/>
      <c r="H223" s="18"/>
      <c r="I223" s="12"/>
      <c r="J223" s="15"/>
      <c r="K223" s="14"/>
      <c r="L223" s="16">
        <f>IF(OR(J223="",K223=""),"",J223*K223)</f>
        <v>0</v>
      </c>
      <c r="M223" s="12"/>
      <c r="N223" s="12"/>
      <c r="O223" s="12"/>
    </row>
    <row r="224" spans="1:15">
      <c r="A224" s="12"/>
      <c r="B224" s="12"/>
      <c r="C224" s="12"/>
      <c r="D224" s="12"/>
      <c r="E224" s="12"/>
      <c r="F224" s="12"/>
      <c r="G224" s="12"/>
      <c r="H224" s="18"/>
      <c r="I224" s="12"/>
      <c r="J224" s="15"/>
      <c r="K224" s="14"/>
      <c r="L224" s="16">
        <f>IF(OR(J224="",K224=""),"",J224*K224)</f>
        <v>0</v>
      </c>
      <c r="M224" s="12"/>
      <c r="N224" s="12"/>
      <c r="O224" s="12"/>
    </row>
    <row r="225" spans="1:15">
      <c r="A225" s="12"/>
      <c r="B225" s="12"/>
      <c r="C225" s="12"/>
      <c r="D225" s="12"/>
      <c r="E225" s="12"/>
      <c r="F225" s="12"/>
      <c r="G225" s="12"/>
      <c r="H225" s="18"/>
      <c r="I225" s="12"/>
      <c r="J225" s="15"/>
      <c r="K225" s="14"/>
      <c r="L225" s="16">
        <f>IF(OR(J225="",K225=""),"",J225*K225)</f>
        <v>0</v>
      </c>
      <c r="M225" s="12"/>
      <c r="N225" s="12"/>
      <c r="O225" s="12"/>
    </row>
    <row r="226" spans="1:15">
      <c r="A226" s="12"/>
      <c r="B226" s="12"/>
      <c r="C226" s="12"/>
      <c r="D226" s="12"/>
      <c r="E226" s="12"/>
      <c r="F226" s="12"/>
      <c r="G226" s="12"/>
      <c r="H226" s="18"/>
      <c r="I226" s="12"/>
      <c r="J226" s="15"/>
      <c r="K226" s="14"/>
      <c r="L226" s="16">
        <f>IF(OR(J226="",K226=""),"",J226*K226)</f>
        <v>0</v>
      </c>
      <c r="M226" s="12"/>
      <c r="N226" s="12"/>
      <c r="O226" s="12"/>
    </row>
    <row r="227" spans="1:15">
      <c r="A227" s="12"/>
      <c r="B227" s="12"/>
      <c r="C227" s="12"/>
      <c r="D227" s="12"/>
      <c r="E227" s="12"/>
      <c r="F227" s="12"/>
      <c r="G227" s="12"/>
      <c r="H227" s="18"/>
      <c r="I227" s="12"/>
      <c r="J227" s="15"/>
      <c r="K227" s="14"/>
      <c r="L227" s="16">
        <f>IF(OR(J227="",K227=""),"",J227*K227)</f>
        <v>0</v>
      </c>
      <c r="M227" s="12"/>
      <c r="N227" s="12"/>
      <c r="O227" s="12"/>
    </row>
    <row r="228" spans="1:15">
      <c r="A228" s="12"/>
      <c r="B228" s="12"/>
      <c r="C228" s="12"/>
      <c r="D228" s="12"/>
      <c r="E228" s="12"/>
      <c r="F228" s="12"/>
      <c r="G228" s="12"/>
      <c r="H228" s="18"/>
      <c r="I228" s="12"/>
      <c r="J228" s="15"/>
      <c r="K228" s="14"/>
      <c r="L228" s="16">
        <f>IF(OR(J228="",K228=""),"",J228*K228)</f>
        <v>0</v>
      </c>
      <c r="M228" s="12"/>
      <c r="N228" s="12"/>
      <c r="O228" s="12"/>
    </row>
    <row r="229" spans="1:15">
      <c r="A229" s="12"/>
      <c r="B229" s="12"/>
      <c r="C229" s="12"/>
      <c r="D229" s="12"/>
      <c r="E229" s="12"/>
      <c r="F229" s="12"/>
      <c r="G229" s="12"/>
      <c r="H229" s="18"/>
      <c r="I229" s="12"/>
      <c r="J229" s="15"/>
      <c r="K229" s="14"/>
      <c r="L229" s="16">
        <f>IF(OR(J229="",K229=""),"",J229*K229)</f>
        <v>0</v>
      </c>
      <c r="M229" s="12"/>
      <c r="N229" s="12"/>
      <c r="O229" s="12"/>
    </row>
    <row r="230" spans="1:15">
      <c r="A230" s="12"/>
      <c r="B230" s="12"/>
      <c r="C230" s="12"/>
      <c r="D230" s="12"/>
      <c r="E230" s="12"/>
      <c r="F230" s="12"/>
      <c r="G230" s="12"/>
      <c r="H230" s="18"/>
      <c r="I230" s="12"/>
      <c r="J230" s="15"/>
      <c r="K230" s="14"/>
      <c r="L230" s="16">
        <f>IF(OR(J230="",K230=""),"",J230*K230)</f>
        <v>0</v>
      </c>
      <c r="M230" s="12"/>
      <c r="N230" s="12"/>
      <c r="O230" s="12"/>
    </row>
    <row r="231" spans="1:15">
      <c r="A231" s="12"/>
      <c r="B231" s="12"/>
      <c r="C231" s="12"/>
      <c r="D231" s="12"/>
      <c r="E231" s="12"/>
      <c r="F231" s="12"/>
      <c r="G231" s="12"/>
      <c r="H231" s="18"/>
      <c r="I231" s="12"/>
      <c r="J231" s="15"/>
      <c r="K231" s="14"/>
      <c r="L231" s="16">
        <f>IF(OR(J231="",K231=""),"",J231*K231)</f>
        <v>0</v>
      </c>
      <c r="M231" s="12"/>
      <c r="N231" s="12"/>
      <c r="O231" s="12"/>
    </row>
    <row r="232" spans="1:15">
      <c r="A232" s="12"/>
      <c r="B232" s="12"/>
      <c r="C232" s="12"/>
      <c r="D232" s="12"/>
      <c r="E232" s="12"/>
      <c r="F232" s="12"/>
      <c r="G232" s="12"/>
      <c r="H232" s="18"/>
      <c r="I232" s="12"/>
      <c r="J232" s="15"/>
      <c r="K232" s="14"/>
      <c r="L232" s="16">
        <f>IF(OR(J232="",K232=""),"",J232*K232)</f>
        <v>0</v>
      </c>
      <c r="M232" s="12"/>
      <c r="N232" s="12"/>
      <c r="O232" s="12"/>
    </row>
    <row r="233" spans="1:15">
      <c r="A233" s="12"/>
      <c r="B233" s="12"/>
      <c r="C233" s="12"/>
      <c r="D233" s="12"/>
      <c r="E233" s="12"/>
      <c r="F233" s="12"/>
      <c r="G233" s="12"/>
      <c r="H233" s="18"/>
      <c r="I233" s="12"/>
      <c r="J233" s="15"/>
      <c r="K233" s="14"/>
      <c r="L233" s="16">
        <f>IF(OR(J233="",K233=""),"",J233*K233)</f>
        <v>0</v>
      </c>
      <c r="M233" s="12"/>
      <c r="N233" s="12"/>
      <c r="O233" s="12"/>
    </row>
    <row r="234" spans="1:15">
      <c r="A234" s="12"/>
      <c r="B234" s="12"/>
      <c r="C234" s="12"/>
      <c r="D234" s="12"/>
      <c r="E234" s="12"/>
      <c r="F234" s="12"/>
      <c r="G234" s="12"/>
      <c r="H234" s="18"/>
      <c r="I234" s="12"/>
      <c r="J234" s="15"/>
      <c r="K234" s="14"/>
      <c r="L234" s="16">
        <f>IF(OR(J234="",K234=""),"",J234*K234)</f>
        <v>0</v>
      </c>
      <c r="M234" s="12"/>
      <c r="N234" s="12"/>
      <c r="O234" s="12"/>
    </row>
    <row r="235" spans="1:15">
      <c r="A235" s="12"/>
      <c r="B235" s="12"/>
      <c r="C235" s="12"/>
      <c r="D235" s="12"/>
      <c r="E235" s="12"/>
      <c r="F235" s="12"/>
      <c r="G235" s="12"/>
      <c r="H235" s="18"/>
      <c r="I235" s="12"/>
      <c r="J235" s="15"/>
      <c r="K235" s="14"/>
      <c r="L235" s="16">
        <f>IF(OR(J235="",K235=""),"",J235*K235)</f>
        <v>0</v>
      </c>
      <c r="M235" s="12"/>
      <c r="N235" s="12"/>
      <c r="O235" s="12"/>
    </row>
    <row r="236" spans="1:15">
      <c r="A236" s="12"/>
      <c r="B236" s="12"/>
      <c r="C236" s="12"/>
      <c r="D236" s="12"/>
      <c r="E236" s="12"/>
      <c r="F236" s="12"/>
      <c r="G236" s="12"/>
      <c r="H236" s="18"/>
      <c r="I236" s="12"/>
      <c r="J236" s="15"/>
      <c r="K236" s="14"/>
      <c r="L236" s="16">
        <f>IF(OR(J236="",K236=""),"",J236*K236)</f>
        <v>0</v>
      </c>
      <c r="M236" s="12"/>
      <c r="N236" s="12"/>
      <c r="O236" s="12"/>
    </row>
    <row r="237" spans="1:15">
      <c r="A237" s="12"/>
      <c r="B237" s="12"/>
      <c r="C237" s="12"/>
      <c r="D237" s="12"/>
      <c r="E237" s="12"/>
      <c r="F237" s="12"/>
      <c r="G237" s="12"/>
      <c r="H237" s="18"/>
      <c r="I237" s="12"/>
      <c r="J237" s="15"/>
      <c r="K237" s="14"/>
      <c r="L237" s="16">
        <f>IF(OR(J237="",K237=""),"",J237*K237)</f>
        <v>0</v>
      </c>
      <c r="M237" s="12"/>
      <c r="N237" s="12"/>
      <c r="O237" s="12"/>
    </row>
    <row r="238" spans="1:15">
      <c r="A238" s="12"/>
      <c r="B238" s="12"/>
      <c r="C238" s="12"/>
      <c r="D238" s="12"/>
      <c r="E238" s="12"/>
      <c r="F238" s="12"/>
      <c r="G238" s="12"/>
      <c r="H238" s="18"/>
      <c r="I238" s="12"/>
      <c r="J238" s="15"/>
      <c r="K238" s="14"/>
      <c r="L238" s="16">
        <f>IF(OR(J238="",K238=""),"",J238*K238)</f>
        <v>0</v>
      </c>
      <c r="M238" s="12"/>
      <c r="N238" s="12"/>
      <c r="O238" s="12"/>
    </row>
    <row r="239" spans="1:15">
      <c r="A239" s="12"/>
      <c r="B239" s="12"/>
      <c r="C239" s="12"/>
      <c r="D239" s="12"/>
      <c r="E239" s="12"/>
      <c r="F239" s="12"/>
      <c r="G239" s="12"/>
      <c r="H239" s="18"/>
      <c r="I239" s="12"/>
      <c r="J239" s="15"/>
      <c r="K239" s="14"/>
      <c r="L239" s="16">
        <f>IF(OR(J239="",K239=""),"",J239*K239)</f>
        <v>0</v>
      </c>
      <c r="M239" s="12"/>
      <c r="N239" s="12"/>
      <c r="O239" s="12"/>
    </row>
    <row r="240" spans="1:15">
      <c r="A240" s="12"/>
      <c r="B240" s="12"/>
      <c r="C240" s="12"/>
      <c r="D240" s="12"/>
      <c r="E240" s="12"/>
      <c r="F240" s="12"/>
      <c r="G240" s="12"/>
      <c r="H240" s="18"/>
      <c r="I240" s="12"/>
      <c r="J240" s="15"/>
      <c r="K240" s="14"/>
      <c r="L240" s="16">
        <f>IF(OR(J240="",K240=""),"",J240*K240)</f>
        <v>0</v>
      </c>
      <c r="M240" s="12"/>
      <c r="N240" s="12"/>
      <c r="O240" s="12"/>
    </row>
    <row r="241" spans="1:15">
      <c r="A241" s="12"/>
      <c r="B241" s="12"/>
      <c r="C241" s="12"/>
      <c r="D241" s="12"/>
      <c r="E241" s="12"/>
      <c r="F241" s="12"/>
      <c r="G241" s="12"/>
      <c r="H241" s="18"/>
      <c r="I241" s="12"/>
      <c r="J241" s="15"/>
      <c r="K241" s="14"/>
      <c r="L241" s="16">
        <f>IF(OR(J241="",K241=""),"",J241*K241)</f>
        <v>0</v>
      </c>
      <c r="M241" s="12"/>
      <c r="N241" s="12"/>
      <c r="O241" s="12"/>
    </row>
    <row r="242" spans="1:15">
      <c r="A242" s="12"/>
      <c r="B242" s="12"/>
      <c r="C242" s="12"/>
      <c r="D242" s="12"/>
      <c r="E242" s="12"/>
      <c r="F242" s="12"/>
      <c r="G242" s="12"/>
      <c r="H242" s="18"/>
      <c r="I242" s="12"/>
      <c r="J242" s="15"/>
      <c r="K242" s="14"/>
      <c r="L242" s="16">
        <f>IF(OR(J242="",K242=""),"",J242*K242)</f>
        <v>0</v>
      </c>
      <c r="M242" s="12"/>
      <c r="N242" s="12"/>
      <c r="O242" s="12"/>
    </row>
    <row r="243" spans="1:15">
      <c r="A243" s="12"/>
      <c r="B243" s="12"/>
      <c r="C243" s="12"/>
      <c r="D243" s="12"/>
      <c r="E243" s="12"/>
      <c r="F243" s="12"/>
      <c r="G243" s="12"/>
      <c r="H243" s="18"/>
      <c r="I243" s="12"/>
      <c r="J243" s="15"/>
      <c r="K243" s="14"/>
      <c r="L243" s="16">
        <f>IF(OR(J243="",K243=""),"",J243*K243)</f>
        <v>0</v>
      </c>
      <c r="M243" s="12"/>
      <c r="N243" s="12"/>
      <c r="O243" s="12"/>
    </row>
    <row r="244" spans="1:15">
      <c r="A244" s="12"/>
      <c r="B244" s="12"/>
      <c r="C244" s="12"/>
      <c r="D244" s="12"/>
      <c r="E244" s="12"/>
      <c r="F244" s="12"/>
      <c r="G244" s="12"/>
      <c r="H244" s="18"/>
      <c r="I244" s="12"/>
      <c r="J244" s="15"/>
      <c r="K244" s="14"/>
      <c r="L244" s="16">
        <f>IF(OR(J244="",K244=""),"",J244*K244)</f>
        <v>0</v>
      </c>
      <c r="M244" s="12"/>
      <c r="N244" s="12"/>
      <c r="O244" s="12"/>
    </row>
    <row r="245" spans="1:15">
      <c r="A245" s="12"/>
      <c r="B245" s="12"/>
      <c r="C245" s="12"/>
      <c r="D245" s="12"/>
      <c r="E245" s="12"/>
      <c r="F245" s="12"/>
      <c r="G245" s="12"/>
      <c r="H245" s="18"/>
      <c r="I245" s="12"/>
      <c r="J245" s="15"/>
      <c r="K245" s="14"/>
      <c r="L245" s="16">
        <f>IF(OR(J245="",K245=""),"",J245*K245)</f>
        <v>0</v>
      </c>
      <c r="M245" s="12"/>
      <c r="N245" s="12"/>
      <c r="O245" s="12"/>
    </row>
    <row r="246" spans="1:15">
      <c r="A246" s="12"/>
      <c r="B246" s="12"/>
      <c r="C246" s="12"/>
      <c r="D246" s="12"/>
      <c r="E246" s="12"/>
      <c r="F246" s="12"/>
      <c r="G246" s="12"/>
      <c r="H246" s="18"/>
      <c r="I246" s="12"/>
      <c r="J246" s="15"/>
      <c r="K246" s="14"/>
      <c r="L246" s="16">
        <f>IF(OR(J246="",K246=""),"",J246*K246)</f>
        <v>0</v>
      </c>
      <c r="M246" s="12"/>
      <c r="N246" s="12"/>
      <c r="O246" s="12"/>
    </row>
    <row r="247" spans="1:15">
      <c r="A247" s="12"/>
      <c r="B247" s="12"/>
      <c r="C247" s="12"/>
      <c r="D247" s="12"/>
      <c r="E247" s="12"/>
      <c r="F247" s="12"/>
      <c r="G247" s="12"/>
      <c r="H247" s="18"/>
      <c r="I247" s="12"/>
      <c r="J247" s="15"/>
      <c r="K247" s="14"/>
      <c r="L247" s="16">
        <f>IF(OR(J247="",K247=""),"",J247*K247)</f>
        <v>0</v>
      </c>
      <c r="M247" s="12"/>
      <c r="N247" s="12"/>
      <c r="O247" s="12"/>
    </row>
    <row r="248" spans="1:15">
      <c r="A248" s="12"/>
      <c r="B248" s="12"/>
      <c r="C248" s="12"/>
      <c r="D248" s="12"/>
      <c r="E248" s="12"/>
      <c r="F248" s="12"/>
      <c r="G248" s="12"/>
      <c r="H248" s="18"/>
      <c r="I248" s="12"/>
      <c r="J248" s="15"/>
      <c r="K248" s="14"/>
      <c r="L248" s="16">
        <f>IF(OR(J248="",K248=""),"",J248*K248)</f>
        <v>0</v>
      </c>
      <c r="M248" s="12"/>
      <c r="N248" s="12"/>
      <c r="O248" s="12"/>
    </row>
    <row r="249" spans="1:15">
      <c r="A249" s="12"/>
      <c r="B249" s="12"/>
      <c r="C249" s="12"/>
      <c r="D249" s="12"/>
      <c r="E249" s="12"/>
      <c r="F249" s="12"/>
      <c r="G249" s="12"/>
      <c r="H249" s="18"/>
      <c r="I249" s="12"/>
      <c r="J249" s="15"/>
      <c r="K249" s="14"/>
      <c r="L249" s="16">
        <f>IF(OR(J249="",K249=""),"",J249*K249)</f>
        <v>0</v>
      </c>
      <c r="M249" s="12"/>
      <c r="N249" s="12"/>
      <c r="O249" s="12"/>
    </row>
    <row r="250" spans="1:15">
      <c r="A250" s="12"/>
      <c r="B250" s="12"/>
      <c r="C250" s="12"/>
      <c r="D250" s="12"/>
      <c r="E250" s="12"/>
      <c r="F250" s="12"/>
      <c r="G250" s="12"/>
      <c r="H250" s="18"/>
      <c r="I250" s="12"/>
      <c r="J250" s="15"/>
      <c r="K250" s="14"/>
      <c r="L250" s="16">
        <f>IF(OR(J250="",K250=""),"",J250*K250)</f>
        <v>0</v>
      </c>
      <c r="M250" s="12"/>
      <c r="N250" s="12"/>
      <c r="O250" s="12"/>
    </row>
    <row r="251" spans="1:15">
      <c r="A251" s="12"/>
      <c r="B251" s="12"/>
      <c r="C251" s="12"/>
      <c r="D251" s="12"/>
      <c r="E251" s="12"/>
      <c r="F251" s="12"/>
      <c r="G251" s="12"/>
      <c r="H251" s="18"/>
      <c r="I251" s="12"/>
      <c r="J251" s="15"/>
      <c r="K251" s="14"/>
      <c r="L251" s="16">
        <f>IF(OR(J251="",K251=""),"",J251*K251)</f>
        <v>0</v>
      </c>
      <c r="M251" s="12"/>
      <c r="N251" s="12"/>
      <c r="O251" s="12"/>
    </row>
    <row r="252" spans="1:15">
      <c r="A252" s="12"/>
      <c r="B252" s="12"/>
      <c r="C252" s="12"/>
      <c r="D252" s="12"/>
      <c r="E252" s="12"/>
      <c r="F252" s="12"/>
      <c r="G252" s="12"/>
      <c r="H252" s="18"/>
      <c r="I252" s="12"/>
      <c r="J252" s="15"/>
      <c r="K252" s="14"/>
      <c r="L252" s="16">
        <f>IF(OR(J252="",K252=""),"",J252*K252)</f>
        <v>0</v>
      </c>
      <c r="M252" s="12"/>
      <c r="N252" s="12"/>
      <c r="O252" s="12"/>
    </row>
    <row r="253" spans="1:15">
      <c r="A253" s="12"/>
      <c r="B253" s="12"/>
      <c r="C253" s="12"/>
      <c r="D253" s="12"/>
      <c r="E253" s="12"/>
      <c r="F253" s="12"/>
      <c r="G253" s="12"/>
      <c r="H253" s="18"/>
      <c r="I253" s="12"/>
      <c r="J253" s="15"/>
      <c r="K253" s="14"/>
      <c r="L253" s="16">
        <f>IF(OR(J253="",K253=""),"",J253*K253)</f>
        <v>0</v>
      </c>
      <c r="M253" s="12"/>
      <c r="N253" s="12"/>
      <c r="O253" s="12"/>
    </row>
  </sheetData>
  <autoFilter ref="A3:O253"/>
  <mergeCells count="2">
    <mergeCell ref="A1:O1"/>
    <mergeCell ref="A2:O2"/>
  </mergeCells>
  <conditionalFormatting sqref="M4:M253">
    <cfRule type="expression" dxfId="0" priority="1">
      <formula>OR(ISNUMBER(SEARCH("approved",M4)),ISNUMBER(SEARCH("complete",M4)),ISNUMBER(SEARCH("delivered",M4)),ISNUMBER(SEARCH("installed",M4)),ISNUMBER(SEARCH("paid",M4)),ISNUMBER(SEARCH("good condition",M4)))</formula>
    </cfRule>
    <cfRule type="expression" dxfId="1" priority="2">
      <formula>OR(ISNUMBER(SEARCH("pending",M4)),ISNUMBER(SEARCH("progress",M4)),ISNUMBER(SEARCH("review",M4)),ISNUMBER(SEARCH("sent",M4)),ISNUMBER(SEARCH("scheduled",M4)),ISNUMBER(SEARCH("waiting",M4)),ISNUMBER(SEARCH("ordered",M4)),ISNUMBER(SEARCH("shipped",M4)))</formula>
    </cfRule>
    <cfRule type="expression" dxfId="2" priority="3">
      <formula>OR(ISNUMBER(SEARCH("overdue",M4)),ISNUMBER(SEARCH("delayed",M4)),ISNUMBER(SEARCH("rejected",M4)),ISNUMBER(SEARCH("damaged",M4)),ISNUMBER(SEARCH("missing",M4)),ISNUMBER(SEARCH("wrong",M4)),ISNUMBER(SEARCH("backordered",M4)))</formula>
    </cfRule>
    <cfRule type="expression" dxfId="3" priority="4">
      <formula>OR(ISNUMBER(SEARCH("cancelled",M4)),ISNUMBER(SEARCH("on hold",M4)),ISNUMBER(SEARCH("returned",M4)))</formula>
    </cfRule>
  </conditionalFormatting>
  <conditionalFormatting sqref="N4:N253">
    <cfRule type="expression" dxfId="0" priority="5">
      <formula>OR(ISNUMBER(SEARCH("approved",N4)),ISNUMBER(SEARCH("complete",N4)),ISNUMBER(SEARCH("delivered",N4)),ISNUMBER(SEARCH("installed",N4)),ISNUMBER(SEARCH("paid",N4)),ISNUMBER(SEARCH("good condition",N4)))</formula>
    </cfRule>
    <cfRule type="expression" dxfId="1" priority="6">
      <formula>OR(ISNUMBER(SEARCH("pending",N4)),ISNUMBER(SEARCH("progress",N4)),ISNUMBER(SEARCH("review",N4)),ISNUMBER(SEARCH("sent",N4)),ISNUMBER(SEARCH("scheduled",N4)),ISNUMBER(SEARCH("waiting",N4)),ISNUMBER(SEARCH("ordered",N4)),ISNUMBER(SEARCH("shipped",N4)))</formula>
    </cfRule>
    <cfRule type="expression" dxfId="2" priority="7">
      <formula>OR(ISNUMBER(SEARCH("overdue",N4)),ISNUMBER(SEARCH("delayed",N4)),ISNUMBER(SEARCH("rejected",N4)),ISNUMBER(SEARCH("damaged",N4)),ISNUMBER(SEARCH("missing",N4)),ISNUMBER(SEARCH("wrong",N4)),ISNUMBER(SEARCH("backordered",N4)))</formula>
    </cfRule>
    <cfRule type="expression" dxfId="3" priority="8">
      <formula>OR(ISNUMBER(SEARCH("cancelled",N4)),ISNUMBER(SEARCH("on hold",N4)),ISNUMBER(SEARCH("returned",N4)))</formula>
    </cfRule>
  </conditionalFormatting>
  <dataValidations count="6">
    <dataValidation type="list" allowBlank="1" showInputMessage="1" showErrorMessage="1" errorTitle="Choose a listed value" error="Please select an option from the dropdown." promptTitle="Room" prompt="Select from the dropdown list." sqref="A4:A253">
      <formula1>RoomNames</formula1>
    </dataValidation>
    <dataValidation type="list" allowBlank="1" showInputMessage="1" showErrorMessage="1" errorTitle="Choose a listed value" error="Please select an option from the dropdown." promptTitle="Surface / Application" prompt="Select from the dropdown list." sqref="B4:B253">
      <formula1>Surfaces</formula1>
    </dataValidation>
    <dataValidation type="list" allowBlank="1" showInputMessage="1" showErrorMessage="1" errorTitle="Choose a listed value" error="Please select an option from the dropdown." promptTitle="Finish Type" prompt="Select from the dropdown list." sqref="C4:C253">
      <formula1>FinishTypes</formula1>
    </dataValidation>
    <dataValidation type="list" allowBlank="1" showInputMessage="1" showErrorMessage="1" errorTitle="Choose a listed value" error="Please select an option from the dropdown." promptTitle="Vendor" prompt="Select from the dropdown list." sqref="G4:G253">
      <formula1>VendorNames</formula1>
    </dataValidation>
    <dataValidation type="list" allowBlank="1" showInputMessage="1" showErrorMessage="1" errorTitle="Choose a listed value" error="Please select an option from the dropdown." promptTitle="Sample Ordered" prompt="Select from the dropdown list." sqref="M4:M253">
      <formula1>YesNo</formula1>
    </dataValidation>
    <dataValidation type="list" allowBlank="1" showInputMessage="1" showErrorMessage="1" errorTitle="Choose a listed value" error="Please select an option from the dropdown." promptTitle="Sample Approved" prompt="Select from the dropdown list." sqref="N4:N253">
      <formula1>YesNo</formula1>
    </dataValidation>
  </dataValidations>
  <pageMargins left="0.25" right="0.25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8.7109375" customWidth="1"/>
    <col min="4" max="4" width="14.7109375" customWidth="1"/>
    <col min="5" max="5" width="28.7109375" customWidth="1"/>
    <col min="6" max="6" width="14.7109375" customWidth="1"/>
    <col min="7" max="7" width="28.7109375" customWidth="1"/>
    <col min="8" max="8" width="14.7109375" customWidth="1"/>
    <col min="9" max="9" width="18.7109375" customWidth="1"/>
    <col min="10" max="11" width="24.7109375" customWidth="1"/>
    <col min="12" max="12" width="30.7109375" customWidth="1"/>
    <col min="13" max="13" width="24.7109375" customWidth="1"/>
  </cols>
  <sheetData>
    <row r="1" spans="1:13" ht="30" customHeight="1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2" customHeight="1">
      <c r="A3" s="10" t="s">
        <v>167</v>
      </c>
      <c r="B3" s="10" t="s">
        <v>316</v>
      </c>
      <c r="C3" s="10" t="s">
        <v>317</v>
      </c>
      <c r="D3" s="10" t="s">
        <v>318</v>
      </c>
      <c r="E3" s="10" t="s">
        <v>319</v>
      </c>
      <c r="F3" s="10" t="s">
        <v>320</v>
      </c>
      <c r="G3" s="10" t="s">
        <v>321</v>
      </c>
      <c r="H3" s="10" t="s">
        <v>322</v>
      </c>
      <c r="I3" s="10" t="s">
        <v>323</v>
      </c>
      <c r="J3" s="10" t="s">
        <v>324</v>
      </c>
      <c r="K3" s="10" t="s">
        <v>325</v>
      </c>
      <c r="L3" s="10" t="s">
        <v>326</v>
      </c>
      <c r="M3" s="10" t="s">
        <v>327</v>
      </c>
    </row>
    <row r="4" spans="1:13">
      <c r="A4" s="12"/>
      <c r="B4" s="12"/>
      <c r="C4" s="18"/>
      <c r="D4" s="14"/>
      <c r="E4" s="18"/>
      <c r="F4" s="14"/>
      <c r="G4" s="18"/>
      <c r="H4" s="14"/>
      <c r="I4" s="12"/>
      <c r="J4" s="12"/>
      <c r="K4" s="12"/>
      <c r="L4" s="12"/>
      <c r="M4" s="12"/>
    </row>
    <row r="5" spans="1:13">
      <c r="A5" s="12"/>
      <c r="B5" s="12"/>
      <c r="C5" s="18"/>
      <c r="D5" s="14"/>
      <c r="E5" s="18"/>
      <c r="F5" s="14"/>
      <c r="G5" s="18"/>
      <c r="H5" s="14"/>
      <c r="I5" s="12"/>
      <c r="J5" s="12"/>
      <c r="K5" s="12"/>
      <c r="L5" s="12"/>
      <c r="M5" s="12"/>
    </row>
    <row r="6" spans="1:13">
      <c r="A6" s="12"/>
      <c r="B6" s="12"/>
      <c r="C6" s="18"/>
      <c r="D6" s="14"/>
      <c r="E6" s="18"/>
      <c r="F6" s="14"/>
      <c r="G6" s="18"/>
      <c r="H6" s="14"/>
      <c r="I6" s="12"/>
      <c r="J6" s="12"/>
      <c r="K6" s="12"/>
      <c r="L6" s="12"/>
      <c r="M6" s="12"/>
    </row>
    <row r="7" spans="1:13">
      <c r="A7" s="12"/>
      <c r="B7" s="12"/>
      <c r="C7" s="18"/>
      <c r="D7" s="14"/>
      <c r="E7" s="18"/>
      <c r="F7" s="14"/>
      <c r="G7" s="18"/>
      <c r="H7" s="14"/>
      <c r="I7" s="12"/>
      <c r="J7" s="12"/>
      <c r="K7" s="12"/>
      <c r="L7" s="12"/>
      <c r="M7" s="12"/>
    </row>
    <row r="8" spans="1:13">
      <c r="A8" s="12"/>
      <c r="B8" s="12"/>
      <c r="C8" s="18"/>
      <c r="D8" s="14"/>
      <c r="E8" s="18"/>
      <c r="F8" s="14"/>
      <c r="G8" s="18"/>
      <c r="H8" s="14"/>
      <c r="I8" s="12"/>
      <c r="J8" s="12"/>
      <c r="K8" s="12"/>
      <c r="L8" s="12"/>
      <c r="M8" s="12"/>
    </row>
    <row r="9" spans="1:13">
      <c r="A9" s="12"/>
      <c r="B9" s="12"/>
      <c r="C9" s="18"/>
      <c r="D9" s="14"/>
      <c r="E9" s="18"/>
      <c r="F9" s="14"/>
      <c r="G9" s="18"/>
      <c r="H9" s="14"/>
      <c r="I9" s="12"/>
      <c r="J9" s="12"/>
      <c r="K9" s="12"/>
      <c r="L9" s="12"/>
      <c r="M9" s="12"/>
    </row>
    <row r="10" spans="1:13">
      <c r="A10" s="12"/>
      <c r="B10" s="12"/>
      <c r="C10" s="18"/>
      <c r="D10" s="14"/>
      <c r="E10" s="18"/>
      <c r="F10" s="14"/>
      <c r="G10" s="18"/>
      <c r="H10" s="14"/>
      <c r="I10" s="12"/>
      <c r="J10" s="12"/>
      <c r="K10" s="12"/>
      <c r="L10" s="12"/>
      <c r="M10" s="12"/>
    </row>
    <row r="11" spans="1:13">
      <c r="A11" s="12"/>
      <c r="B11" s="12"/>
      <c r="C11" s="18"/>
      <c r="D11" s="14"/>
      <c r="E11" s="18"/>
      <c r="F11" s="14"/>
      <c r="G11" s="18"/>
      <c r="H11" s="14"/>
      <c r="I11" s="12"/>
      <c r="J11" s="12"/>
      <c r="K11" s="12"/>
      <c r="L11" s="12"/>
      <c r="M11" s="12"/>
    </row>
    <row r="12" spans="1:13">
      <c r="A12" s="12"/>
      <c r="B12" s="12"/>
      <c r="C12" s="18"/>
      <c r="D12" s="14"/>
      <c r="E12" s="18"/>
      <c r="F12" s="14"/>
      <c r="G12" s="18"/>
      <c r="H12" s="14"/>
      <c r="I12" s="12"/>
      <c r="J12" s="12"/>
      <c r="K12" s="12"/>
      <c r="L12" s="12"/>
      <c r="M12" s="12"/>
    </row>
    <row r="13" spans="1:13">
      <c r="A13" s="12"/>
      <c r="B13" s="12"/>
      <c r="C13" s="18"/>
      <c r="D13" s="14"/>
      <c r="E13" s="18"/>
      <c r="F13" s="14"/>
      <c r="G13" s="18"/>
      <c r="H13" s="14"/>
      <c r="I13" s="12"/>
      <c r="J13" s="12"/>
      <c r="K13" s="12"/>
      <c r="L13" s="12"/>
      <c r="M13" s="12"/>
    </row>
    <row r="14" spans="1:13">
      <c r="A14" s="12"/>
      <c r="B14" s="12"/>
      <c r="C14" s="18"/>
      <c r="D14" s="14"/>
      <c r="E14" s="18"/>
      <c r="F14" s="14"/>
      <c r="G14" s="18"/>
      <c r="H14" s="14"/>
      <c r="I14" s="12"/>
      <c r="J14" s="12"/>
      <c r="K14" s="12"/>
      <c r="L14" s="12"/>
      <c r="M14" s="12"/>
    </row>
    <row r="15" spans="1:13">
      <c r="A15" s="12"/>
      <c r="B15" s="12"/>
      <c r="C15" s="18"/>
      <c r="D15" s="14"/>
      <c r="E15" s="18"/>
      <c r="F15" s="14"/>
      <c r="G15" s="18"/>
      <c r="H15" s="14"/>
      <c r="I15" s="12"/>
      <c r="J15" s="12"/>
      <c r="K15" s="12"/>
      <c r="L15" s="12"/>
      <c r="M15" s="12"/>
    </row>
    <row r="16" spans="1:13">
      <c r="A16" s="12"/>
      <c r="B16" s="12"/>
      <c r="C16" s="18"/>
      <c r="D16" s="14"/>
      <c r="E16" s="18"/>
      <c r="F16" s="14"/>
      <c r="G16" s="18"/>
      <c r="H16" s="14"/>
      <c r="I16" s="12"/>
      <c r="J16" s="12"/>
      <c r="K16" s="12"/>
      <c r="L16" s="12"/>
      <c r="M16" s="12"/>
    </row>
    <row r="17" spans="1:13">
      <c r="A17" s="12"/>
      <c r="B17" s="12"/>
      <c r="C17" s="18"/>
      <c r="D17" s="14"/>
      <c r="E17" s="18"/>
      <c r="F17" s="14"/>
      <c r="G17" s="18"/>
      <c r="H17" s="14"/>
      <c r="I17" s="12"/>
      <c r="J17" s="12"/>
      <c r="K17" s="12"/>
      <c r="L17" s="12"/>
      <c r="M17" s="12"/>
    </row>
    <row r="18" spans="1:13">
      <c r="A18" s="12"/>
      <c r="B18" s="12"/>
      <c r="C18" s="18"/>
      <c r="D18" s="14"/>
      <c r="E18" s="18"/>
      <c r="F18" s="14"/>
      <c r="G18" s="18"/>
      <c r="H18" s="14"/>
      <c r="I18" s="12"/>
      <c r="J18" s="12"/>
      <c r="K18" s="12"/>
      <c r="L18" s="12"/>
      <c r="M18" s="12"/>
    </row>
    <row r="19" spans="1:13">
      <c r="A19" s="12"/>
      <c r="B19" s="12"/>
      <c r="C19" s="18"/>
      <c r="D19" s="14"/>
      <c r="E19" s="18"/>
      <c r="F19" s="14"/>
      <c r="G19" s="18"/>
      <c r="H19" s="14"/>
      <c r="I19" s="12"/>
      <c r="J19" s="12"/>
      <c r="K19" s="12"/>
      <c r="L19" s="12"/>
      <c r="M19" s="12"/>
    </row>
    <row r="20" spans="1:13">
      <c r="A20" s="12"/>
      <c r="B20" s="12"/>
      <c r="C20" s="18"/>
      <c r="D20" s="14"/>
      <c r="E20" s="18"/>
      <c r="F20" s="14"/>
      <c r="G20" s="18"/>
      <c r="H20" s="14"/>
      <c r="I20" s="12"/>
      <c r="J20" s="12"/>
      <c r="K20" s="12"/>
      <c r="L20" s="12"/>
      <c r="M20" s="12"/>
    </row>
    <row r="21" spans="1:13">
      <c r="A21" s="12"/>
      <c r="B21" s="12"/>
      <c r="C21" s="18"/>
      <c r="D21" s="14"/>
      <c r="E21" s="18"/>
      <c r="F21" s="14"/>
      <c r="G21" s="18"/>
      <c r="H21" s="14"/>
      <c r="I21" s="12"/>
      <c r="J21" s="12"/>
      <c r="K21" s="12"/>
      <c r="L21" s="12"/>
      <c r="M21" s="12"/>
    </row>
    <row r="22" spans="1:13">
      <c r="A22" s="12"/>
      <c r="B22" s="12"/>
      <c r="C22" s="18"/>
      <c r="D22" s="14"/>
      <c r="E22" s="18"/>
      <c r="F22" s="14"/>
      <c r="G22" s="18"/>
      <c r="H22" s="14"/>
      <c r="I22" s="12"/>
      <c r="J22" s="12"/>
      <c r="K22" s="12"/>
      <c r="L22" s="12"/>
      <c r="M22" s="12"/>
    </row>
    <row r="23" spans="1:13">
      <c r="A23" s="12"/>
      <c r="B23" s="12"/>
      <c r="C23" s="18"/>
      <c r="D23" s="14"/>
      <c r="E23" s="18"/>
      <c r="F23" s="14"/>
      <c r="G23" s="18"/>
      <c r="H23" s="14"/>
      <c r="I23" s="12"/>
      <c r="J23" s="12"/>
      <c r="K23" s="12"/>
      <c r="L23" s="12"/>
      <c r="M23" s="12"/>
    </row>
    <row r="24" spans="1:13">
      <c r="A24" s="12"/>
      <c r="B24" s="12"/>
      <c r="C24" s="18"/>
      <c r="D24" s="14"/>
      <c r="E24" s="18"/>
      <c r="F24" s="14"/>
      <c r="G24" s="18"/>
      <c r="H24" s="14"/>
      <c r="I24" s="12"/>
      <c r="J24" s="12"/>
      <c r="K24" s="12"/>
      <c r="L24" s="12"/>
      <c r="M24" s="12"/>
    </row>
    <row r="25" spans="1:13">
      <c r="A25" s="12"/>
      <c r="B25" s="12"/>
      <c r="C25" s="18"/>
      <c r="D25" s="14"/>
      <c r="E25" s="18"/>
      <c r="F25" s="14"/>
      <c r="G25" s="18"/>
      <c r="H25" s="14"/>
      <c r="I25" s="12"/>
      <c r="J25" s="12"/>
      <c r="K25" s="12"/>
      <c r="L25" s="12"/>
      <c r="M25" s="12"/>
    </row>
    <row r="26" spans="1:13">
      <c r="A26" s="12"/>
      <c r="B26" s="12"/>
      <c r="C26" s="18"/>
      <c r="D26" s="14"/>
      <c r="E26" s="18"/>
      <c r="F26" s="14"/>
      <c r="G26" s="18"/>
      <c r="H26" s="14"/>
      <c r="I26" s="12"/>
      <c r="J26" s="12"/>
      <c r="K26" s="12"/>
      <c r="L26" s="12"/>
      <c r="M26" s="12"/>
    </row>
    <row r="27" spans="1:13">
      <c r="A27" s="12"/>
      <c r="B27" s="12"/>
      <c r="C27" s="18"/>
      <c r="D27" s="14"/>
      <c r="E27" s="18"/>
      <c r="F27" s="14"/>
      <c r="G27" s="18"/>
      <c r="H27" s="14"/>
      <c r="I27" s="12"/>
      <c r="J27" s="12"/>
      <c r="K27" s="12"/>
      <c r="L27" s="12"/>
      <c r="M27" s="12"/>
    </row>
    <row r="28" spans="1:13">
      <c r="A28" s="12"/>
      <c r="B28" s="12"/>
      <c r="C28" s="18"/>
      <c r="D28" s="14"/>
      <c r="E28" s="18"/>
      <c r="F28" s="14"/>
      <c r="G28" s="18"/>
      <c r="H28" s="14"/>
      <c r="I28" s="12"/>
      <c r="J28" s="12"/>
      <c r="K28" s="12"/>
      <c r="L28" s="12"/>
      <c r="M28" s="12"/>
    </row>
    <row r="29" spans="1:13">
      <c r="A29" s="12"/>
      <c r="B29" s="12"/>
      <c r="C29" s="18"/>
      <c r="D29" s="14"/>
      <c r="E29" s="18"/>
      <c r="F29" s="14"/>
      <c r="G29" s="18"/>
      <c r="H29" s="14"/>
      <c r="I29" s="12"/>
      <c r="J29" s="12"/>
      <c r="K29" s="12"/>
      <c r="L29" s="12"/>
      <c r="M29" s="12"/>
    </row>
    <row r="30" spans="1:13">
      <c r="A30" s="12"/>
      <c r="B30" s="12"/>
      <c r="C30" s="18"/>
      <c r="D30" s="14"/>
      <c r="E30" s="18"/>
      <c r="F30" s="14"/>
      <c r="G30" s="18"/>
      <c r="H30" s="14"/>
      <c r="I30" s="12"/>
      <c r="J30" s="12"/>
      <c r="K30" s="12"/>
      <c r="L30" s="12"/>
      <c r="M30" s="12"/>
    </row>
    <row r="31" spans="1:13">
      <c r="A31" s="12"/>
      <c r="B31" s="12"/>
      <c r="C31" s="18"/>
      <c r="D31" s="14"/>
      <c r="E31" s="18"/>
      <c r="F31" s="14"/>
      <c r="G31" s="18"/>
      <c r="H31" s="14"/>
      <c r="I31" s="12"/>
      <c r="J31" s="12"/>
      <c r="K31" s="12"/>
      <c r="L31" s="12"/>
      <c r="M31" s="12"/>
    </row>
    <row r="32" spans="1:13">
      <c r="A32" s="12"/>
      <c r="B32" s="12"/>
      <c r="C32" s="18"/>
      <c r="D32" s="14"/>
      <c r="E32" s="18"/>
      <c r="F32" s="14"/>
      <c r="G32" s="18"/>
      <c r="H32" s="14"/>
      <c r="I32" s="12"/>
      <c r="J32" s="12"/>
      <c r="K32" s="12"/>
      <c r="L32" s="12"/>
      <c r="M32" s="12"/>
    </row>
    <row r="33" spans="1:13">
      <c r="A33" s="12"/>
      <c r="B33" s="12"/>
      <c r="C33" s="18"/>
      <c r="D33" s="14"/>
      <c r="E33" s="18"/>
      <c r="F33" s="14"/>
      <c r="G33" s="18"/>
      <c r="H33" s="14"/>
      <c r="I33" s="12"/>
      <c r="J33" s="12"/>
      <c r="K33" s="12"/>
      <c r="L33" s="12"/>
      <c r="M33" s="12"/>
    </row>
    <row r="34" spans="1:13">
      <c r="A34" s="12"/>
      <c r="B34" s="12"/>
      <c r="C34" s="18"/>
      <c r="D34" s="14"/>
      <c r="E34" s="18"/>
      <c r="F34" s="14"/>
      <c r="G34" s="18"/>
      <c r="H34" s="14"/>
      <c r="I34" s="12"/>
      <c r="J34" s="12"/>
      <c r="K34" s="12"/>
      <c r="L34" s="12"/>
      <c r="M34" s="12"/>
    </row>
    <row r="35" spans="1:13">
      <c r="A35" s="12"/>
      <c r="B35" s="12"/>
      <c r="C35" s="18"/>
      <c r="D35" s="14"/>
      <c r="E35" s="18"/>
      <c r="F35" s="14"/>
      <c r="G35" s="18"/>
      <c r="H35" s="14"/>
      <c r="I35" s="12"/>
      <c r="J35" s="12"/>
      <c r="K35" s="12"/>
      <c r="L35" s="12"/>
      <c r="M35" s="12"/>
    </row>
    <row r="36" spans="1:13">
      <c r="A36" s="12"/>
      <c r="B36" s="12"/>
      <c r="C36" s="18"/>
      <c r="D36" s="14"/>
      <c r="E36" s="18"/>
      <c r="F36" s="14"/>
      <c r="G36" s="18"/>
      <c r="H36" s="14"/>
      <c r="I36" s="12"/>
      <c r="J36" s="12"/>
      <c r="K36" s="12"/>
      <c r="L36" s="12"/>
      <c r="M36" s="12"/>
    </row>
    <row r="37" spans="1:13">
      <c r="A37" s="12"/>
      <c r="B37" s="12"/>
      <c r="C37" s="18"/>
      <c r="D37" s="14"/>
      <c r="E37" s="18"/>
      <c r="F37" s="14"/>
      <c r="G37" s="18"/>
      <c r="H37" s="14"/>
      <c r="I37" s="12"/>
      <c r="J37" s="12"/>
      <c r="K37" s="12"/>
      <c r="L37" s="12"/>
      <c r="M37" s="12"/>
    </row>
    <row r="38" spans="1:13">
      <c r="A38" s="12"/>
      <c r="B38" s="12"/>
      <c r="C38" s="18"/>
      <c r="D38" s="14"/>
      <c r="E38" s="18"/>
      <c r="F38" s="14"/>
      <c r="G38" s="18"/>
      <c r="H38" s="14"/>
      <c r="I38" s="12"/>
      <c r="J38" s="12"/>
      <c r="K38" s="12"/>
      <c r="L38" s="12"/>
      <c r="M38" s="12"/>
    </row>
    <row r="39" spans="1:13">
      <c r="A39" s="12"/>
      <c r="B39" s="12"/>
      <c r="C39" s="18"/>
      <c r="D39" s="14"/>
      <c r="E39" s="18"/>
      <c r="F39" s="14"/>
      <c r="G39" s="18"/>
      <c r="H39" s="14"/>
      <c r="I39" s="12"/>
      <c r="J39" s="12"/>
      <c r="K39" s="12"/>
      <c r="L39" s="12"/>
      <c r="M39" s="12"/>
    </row>
    <row r="40" spans="1:13">
      <c r="A40" s="12"/>
      <c r="B40" s="12"/>
      <c r="C40" s="18"/>
      <c r="D40" s="14"/>
      <c r="E40" s="18"/>
      <c r="F40" s="14"/>
      <c r="G40" s="18"/>
      <c r="H40" s="14"/>
      <c r="I40" s="12"/>
      <c r="J40" s="12"/>
      <c r="K40" s="12"/>
      <c r="L40" s="12"/>
      <c r="M40" s="12"/>
    </row>
    <row r="41" spans="1:13">
      <c r="A41" s="12"/>
      <c r="B41" s="12"/>
      <c r="C41" s="18"/>
      <c r="D41" s="14"/>
      <c r="E41" s="18"/>
      <c r="F41" s="14"/>
      <c r="G41" s="18"/>
      <c r="H41" s="14"/>
      <c r="I41" s="12"/>
      <c r="J41" s="12"/>
      <c r="K41" s="12"/>
      <c r="L41" s="12"/>
      <c r="M41" s="12"/>
    </row>
    <row r="42" spans="1:13">
      <c r="A42" s="12"/>
      <c r="B42" s="12"/>
      <c r="C42" s="18"/>
      <c r="D42" s="14"/>
      <c r="E42" s="18"/>
      <c r="F42" s="14"/>
      <c r="G42" s="18"/>
      <c r="H42" s="14"/>
      <c r="I42" s="12"/>
      <c r="J42" s="12"/>
      <c r="K42" s="12"/>
      <c r="L42" s="12"/>
      <c r="M42" s="12"/>
    </row>
    <row r="43" spans="1:13">
      <c r="A43" s="12"/>
      <c r="B43" s="12"/>
      <c r="C43" s="18"/>
      <c r="D43" s="14"/>
      <c r="E43" s="18"/>
      <c r="F43" s="14"/>
      <c r="G43" s="18"/>
      <c r="H43" s="14"/>
      <c r="I43" s="12"/>
      <c r="J43" s="12"/>
      <c r="K43" s="12"/>
      <c r="L43" s="12"/>
      <c r="M43" s="12"/>
    </row>
    <row r="44" spans="1:13">
      <c r="A44" s="12"/>
      <c r="B44" s="12"/>
      <c r="C44" s="18"/>
      <c r="D44" s="14"/>
      <c r="E44" s="18"/>
      <c r="F44" s="14"/>
      <c r="G44" s="18"/>
      <c r="H44" s="14"/>
      <c r="I44" s="12"/>
      <c r="J44" s="12"/>
      <c r="K44" s="12"/>
      <c r="L44" s="12"/>
      <c r="M44" s="12"/>
    </row>
    <row r="45" spans="1:13">
      <c r="A45" s="12"/>
      <c r="B45" s="12"/>
      <c r="C45" s="18"/>
      <c r="D45" s="14"/>
      <c r="E45" s="18"/>
      <c r="F45" s="14"/>
      <c r="G45" s="18"/>
      <c r="H45" s="14"/>
      <c r="I45" s="12"/>
      <c r="J45" s="12"/>
      <c r="K45" s="12"/>
      <c r="L45" s="12"/>
      <c r="M45" s="12"/>
    </row>
    <row r="46" spans="1:13">
      <c r="A46" s="12"/>
      <c r="B46" s="12"/>
      <c r="C46" s="18"/>
      <c r="D46" s="14"/>
      <c r="E46" s="18"/>
      <c r="F46" s="14"/>
      <c r="G46" s="18"/>
      <c r="H46" s="14"/>
      <c r="I46" s="12"/>
      <c r="J46" s="12"/>
      <c r="K46" s="12"/>
      <c r="L46" s="12"/>
      <c r="M46" s="12"/>
    </row>
    <row r="47" spans="1:13">
      <c r="A47" s="12"/>
      <c r="B47" s="12"/>
      <c r="C47" s="18"/>
      <c r="D47" s="14"/>
      <c r="E47" s="18"/>
      <c r="F47" s="14"/>
      <c r="G47" s="18"/>
      <c r="H47" s="14"/>
      <c r="I47" s="12"/>
      <c r="J47" s="12"/>
      <c r="K47" s="12"/>
      <c r="L47" s="12"/>
      <c r="M47" s="12"/>
    </row>
    <row r="48" spans="1:13">
      <c r="A48" s="12"/>
      <c r="B48" s="12"/>
      <c r="C48" s="18"/>
      <c r="D48" s="14"/>
      <c r="E48" s="18"/>
      <c r="F48" s="14"/>
      <c r="G48" s="18"/>
      <c r="H48" s="14"/>
      <c r="I48" s="12"/>
      <c r="J48" s="12"/>
      <c r="K48" s="12"/>
      <c r="L48" s="12"/>
      <c r="M48" s="12"/>
    </row>
    <row r="49" spans="1:13">
      <c r="A49" s="12"/>
      <c r="B49" s="12"/>
      <c r="C49" s="18"/>
      <c r="D49" s="14"/>
      <c r="E49" s="18"/>
      <c r="F49" s="14"/>
      <c r="G49" s="18"/>
      <c r="H49" s="14"/>
      <c r="I49" s="12"/>
      <c r="J49" s="12"/>
      <c r="K49" s="12"/>
      <c r="L49" s="12"/>
      <c r="M49" s="12"/>
    </row>
    <row r="50" spans="1:13">
      <c r="A50" s="12"/>
      <c r="B50" s="12"/>
      <c r="C50" s="18"/>
      <c r="D50" s="14"/>
      <c r="E50" s="18"/>
      <c r="F50" s="14"/>
      <c r="G50" s="18"/>
      <c r="H50" s="14"/>
      <c r="I50" s="12"/>
      <c r="J50" s="12"/>
      <c r="K50" s="12"/>
      <c r="L50" s="12"/>
      <c r="M50" s="12"/>
    </row>
    <row r="51" spans="1:13">
      <c r="A51" s="12"/>
      <c r="B51" s="12"/>
      <c r="C51" s="18"/>
      <c r="D51" s="14"/>
      <c r="E51" s="18"/>
      <c r="F51" s="14"/>
      <c r="G51" s="18"/>
      <c r="H51" s="14"/>
      <c r="I51" s="12"/>
      <c r="J51" s="12"/>
      <c r="K51" s="12"/>
      <c r="L51" s="12"/>
      <c r="M51" s="12"/>
    </row>
    <row r="52" spans="1:13">
      <c r="A52" s="12"/>
      <c r="B52" s="12"/>
      <c r="C52" s="18"/>
      <c r="D52" s="14"/>
      <c r="E52" s="18"/>
      <c r="F52" s="14"/>
      <c r="G52" s="18"/>
      <c r="H52" s="14"/>
      <c r="I52" s="12"/>
      <c r="J52" s="12"/>
      <c r="K52" s="12"/>
      <c r="L52" s="12"/>
      <c r="M52" s="12"/>
    </row>
    <row r="53" spans="1:13">
      <c r="A53" s="12"/>
      <c r="B53" s="12"/>
      <c r="C53" s="18"/>
      <c r="D53" s="14"/>
      <c r="E53" s="18"/>
      <c r="F53" s="14"/>
      <c r="G53" s="18"/>
      <c r="H53" s="14"/>
      <c r="I53" s="12"/>
      <c r="J53" s="12"/>
      <c r="K53" s="12"/>
      <c r="L53" s="12"/>
      <c r="M53" s="12"/>
    </row>
    <row r="54" spans="1:13">
      <c r="A54" s="12"/>
      <c r="B54" s="12"/>
      <c r="C54" s="18"/>
      <c r="D54" s="14"/>
      <c r="E54" s="18"/>
      <c r="F54" s="14"/>
      <c r="G54" s="18"/>
      <c r="H54" s="14"/>
      <c r="I54" s="12"/>
      <c r="J54" s="12"/>
      <c r="K54" s="12"/>
      <c r="L54" s="12"/>
      <c r="M54" s="12"/>
    </row>
    <row r="55" spans="1:13">
      <c r="A55" s="12"/>
      <c r="B55" s="12"/>
      <c r="C55" s="18"/>
      <c r="D55" s="14"/>
      <c r="E55" s="18"/>
      <c r="F55" s="14"/>
      <c r="G55" s="18"/>
      <c r="H55" s="14"/>
      <c r="I55" s="12"/>
      <c r="J55" s="12"/>
      <c r="K55" s="12"/>
      <c r="L55" s="12"/>
      <c r="M55" s="12"/>
    </row>
    <row r="56" spans="1:13">
      <c r="A56" s="12"/>
      <c r="B56" s="12"/>
      <c r="C56" s="18"/>
      <c r="D56" s="14"/>
      <c r="E56" s="18"/>
      <c r="F56" s="14"/>
      <c r="G56" s="18"/>
      <c r="H56" s="14"/>
      <c r="I56" s="12"/>
      <c r="J56" s="12"/>
      <c r="K56" s="12"/>
      <c r="L56" s="12"/>
      <c r="M56" s="12"/>
    </row>
    <row r="57" spans="1:13">
      <c r="A57" s="12"/>
      <c r="B57" s="12"/>
      <c r="C57" s="18"/>
      <c r="D57" s="14"/>
      <c r="E57" s="18"/>
      <c r="F57" s="14"/>
      <c r="G57" s="18"/>
      <c r="H57" s="14"/>
      <c r="I57" s="12"/>
      <c r="J57" s="12"/>
      <c r="K57" s="12"/>
      <c r="L57" s="12"/>
      <c r="M57" s="12"/>
    </row>
    <row r="58" spans="1:13">
      <c r="A58" s="12"/>
      <c r="B58" s="12"/>
      <c r="C58" s="18"/>
      <c r="D58" s="14"/>
      <c r="E58" s="18"/>
      <c r="F58" s="14"/>
      <c r="G58" s="18"/>
      <c r="H58" s="14"/>
      <c r="I58" s="12"/>
      <c r="J58" s="12"/>
      <c r="K58" s="12"/>
      <c r="L58" s="12"/>
      <c r="M58" s="12"/>
    </row>
    <row r="59" spans="1:13">
      <c r="A59" s="12"/>
      <c r="B59" s="12"/>
      <c r="C59" s="18"/>
      <c r="D59" s="14"/>
      <c r="E59" s="18"/>
      <c r="F59" s="14"/>
      <c r="G59" s="18"/>
      <c r="H59" s="14"/>
      <c r="I59" s="12"/>
      <c r="J59" s="12"/>
      <c r="K59" s="12"/>
      <c r="L59" s="12"/>
      <c r="M59" s="12"/>
    </row>
    <row r="60" spans="1:13">
      <c r="A60" s="12"/>
      <c r="B60" s="12"/>
      <c r="C60" s="18"/>
      <c r="D60" s="14"/>
      <c r="E60" s="18"/>
      <c r="F60" s="14"/>
      <c r="G60" s="18"/>
      <c r="H60" s="14"/>
      <c r="I60" s="12"/>
      <c r="J60" s="12"/>
      <c r="K60" s="12"/>
      <c r="L60" s="12"/>
      <c r="M60" s="12"/>
    </row>
    <row r="61" spans="1:13">
      <c r="A61" s="12"/>
      <c r="B61" s="12"/>
      <c r="C61" s="18"/>
      <c r="D61" s="14"/>
      <c r="E61" s="18"/>
      <c r="F61" s="14"/>
      <c r="G61" s="18"/>
      <c r="H61" s="14"/>
      <c r="I61" s="12"/>
      <c r="J61" s="12"/>
      <c r="K61" s="12"/>
      <c r="L61" s="12"/>
      <c r="M61" s="12"/>
    </row>
    <row r="62" spans="1:13">
      <c r="A62" s="12"/>
      <c r="B62" s="12"/>
      <c r="C62" s="18"/>
      <c r="D62" s="14"/>
      <c r="E62" s="18"/>
      <c r="F62" s="14"/>
      <c r="G62" s="18"/>
      <c r="H62" s="14"/>
      <c r="I62" s="12"/>
      <c r="J62" s="12"/>
      <c r="K62" s="12"/>
      <c r="L62" s="12"/>
      <c r="M62" s="12"/>
    </row>
    <row r="63" spans="1:13">
      <c r="A63" s="12"/>
      <c r="B63" s="12"/>
      <c r="C63" s="18"/>
      <c r="D63" s="14"/>
      <c r="E63" s="18"/>
      <c r="F63" s="14"/>
      <c r="G63" s="18"/>
      <c r="H63" s="14"/>
      <c r="I63" s="12"/>
      <c r="J63" s="12"/>
      <c r="K63" s="12"/>
      <c r="L63" s="12"/>
      <c r="M63" s="12"/>
    </row>
    <row r="64" spans="1:13">
      <c r="A64" s="12"/>
      <c r="B64" s="12"/>
      <c r="C64" s="18"/>
      <c r="D64" s="14"/>
      <c r="E64" s="18"/>
      <c r="F64" s="14"/>
      <c r="G64" s="18"/>
      <c r="H64" s="14"/>
      <c r="I64" s="12"/>
      <c r="J64" s="12"/>
      <c r="K64" s="12"/>
      <c r="L64" s="12"/>
      <c r="M64" s="12"/>
    </row>
    <row r="65" spans="1:13">
      <c r="A65" s="12"/>
      <c r="B65" s="12"/>
      <c r="C65" s="18"/>
      <c r="D65" s="14"/>
      <c r="E65" s="18"/>
      <c r="F65" s="14"/>
      <c r="G65" s="18"/>
      <c r="H65" s="14"/>
      <c r="I65" s="12"/>
      <c r="J65" s="12"/>
      <c r="K65" s="12"/>
      <c r="L65" s="12"/>
      <c r="M65" s="12"/>
    </row>
    <row r="66" spans="1:13">
      <c r="A66" s="12"/>
      <c r="B66" s="12"/>
      <c r="C66" s="18"/>
      <c r="D66" s="14"/>
      <c r="E66" s="18"/>
      <c r="F66" s="14"/>
      <c r="G66" s="18"/>
      <c r="H66" s="14"/>
      <c r="I66" s="12"/>
      <c r="J66" s="12"/>
      <c r="K66" s="12"/>
      <c r="L66" s="12"/>
      <c r="M66" s="12"/>
    </row>
    <row r="67" spans="1:13">
      <c r="A67" s="12"/>
      <c r="B67" s="12"/>
      <c r="C67" s="18"/>
      <c r="D67" s="14"/>
      <c r="E67" s="18"/>
      <c r="F67" s="14"/>
      <c r="G67" s="18"/>
      <c r="H67" s="14"/>
      <c r="I67" s="12"/>
      <c r="J67" s="12"/>
      <c r="K67" s="12"/>
      <c r="L67" s="12"/>
      <c r="M67" s="12"/>
    </row>
    <row r="68" spans="1:13">
      <c r="A68" s="12"/>
      <c r="B68" s="12"/>
      <c r="C68" s="18"/>
      <c r="D68" s="14"/>
      <c r="E68" s="18"/>
      <c r="F68" s="14"/>
      <c r="G68" s="18"/>
      <c r="H68" s="14"/>
      <c r="I68" s="12"/>
      <c r="J68" s="12"/>
      <c r="K68" s="12"/>
      <c r="L68" s="12"/>
      <c r="M68" s="12"/>
    </row>
    <row r="69" spans="1:13">
      <c r="A69" s="12"/>
      <c r="B69" s="12"/>
      <c r="C69" s="18"/>
      <c r="D69" s="14"/>
      <c r="E69" s="18"/>
      <c r="F69" s="14"/>
      <c r="G69" s="18"/>
      <c r="H69" s="14"/>
      <c r="I69" s="12"/>
      <c r="J69" s="12"/>
      <c r="K69" s="12"/>
      <c r="L69" s="12"/>
      <c r="M69" s="12"/>
    </row>
    <row r="70" spans="1:13">
      <c r="A70" s="12"/>
      <c r="B70" s="12"/>
      <c r="C70" s="18"/>
      <c r="D70" s="14"/>
      <c r="E70" s="18"/>
      <c r="F70" s="14"/>
      <c r="G70" s="18"/>
      <c r="H70" s="14"/>
      <c r="I70" s="12"/>
      <c r="J70" s="12"/>
      <c r="K70" s="12"/>
      <c r="L70" s="12"/>
      <c r="M70" s="12"/>
    </row>
    <row r="71" spans="1:13">
      <c r="A71" s="12"/>
      <c r="B71" s="12"/>
      <c r="C71" s="18"/>
      <c r="D71" s="14"/>
      <c r="E71" s="18"/>
      <c r="F71" s="14"/>
      <c r="G71" s="18"/>
      <c r="H71" s="14"/>
      <c r="I71" s="12"/>
      <c r="J71" s="12"/>
      <c r="K71" s="12"/>
      <c r="L71" s="12"/>
      <c r="M71" s="12"/>
    </row>
    <row r="72" spans="1:13">
      <c r="A72" s="12"/>
      <c r="B72" s="12"/>
      <c r="C72" s="18"/>
      <c r="D72" s="14"/>
      <c r="E72" s="18"/>
      <c r="F72" s="14"/>
      <c r="G72" s="18"/>
      <c r="H72" s="14"/>
      <c r="I72" s="12"/>
      <c r="J72" s="12"/>
      <c r="K72" s="12"/>
      <c r="L72" s="12"/>
      <c r="M72" s="12"/>
    </row>
    <row r="73" spans="1:13">
      <c r="A73" s="12"/>
      <c r="B73" s="12"/>
      <c r="C73" s="18"/>
      <c r="D73" s="14"/>
      <c r="E73" s="18"/>
      <c r="F73" s="14"/>
      <c r="G73" s="18"/>
      <c r="H73" s="14"/>
      <c r="I73" s="12"/>
      <c r="J73" s="12"/>
      <c r="K73" s="12"/>
      <c r="L73" s="12"/>
      <c r="M73" s="12"/>
    </row>
    <row r="74" spans="1:13">
      <c r="A74" s="12"/>
      <c r="B74" s="12"/>
      <c r="C74" s="18"/>
      <c r="D74" s="14"/>
      <c r="E74" s="18"/>
      <c r="F74" s="14"/>
      <c r="G74" s="18"/>
      <c r="H74" s="14"/>
      <c r="I74" s="12"/>
      <c r="J74" s="12"/>
      <c r="K74" s="12"/>
      <c r="L74" s="12"/>
      <c r="M74" s="12"/>
    </row>
    <row r="75" spans="1:13">
      <c r="A75" s="12"/>
      <c r="B75" s="12"/>
      <c r="C75" s="18"/>
      <c r="D75" s="14"/>
      <c r="E75" s="18"/>
      <c r="F75" s="14"/>
      <c r="G75" s="18"/>
      <c r="H75" s="14"/>
      <c r="I75" s="12"/>
      <c r="J75" s="12"/>
      <c r="K75" s="12"/>
      <c r="L75" s="12"/>
      <c r="M75" s="12"/>
    </row>
    <row r="76" spans="1:13">
      <c r="A76" s="12"/>
      <c r="B76" s="12"/>
      <c r="C76" s="18"/>
      <c r="D76" s="14"/>
      <c r="E76" s="18"/>
      <c r="F76" s="14"/>
      <c r="G76" s="18"/>
      <c r="H76" s="14"/>
      <c r="I76" s="12"/>
      <c r="J76" s="12"/>
      <c r="K76" s="12"/>
      <c r="L76" s="12"/>
      <c r="M76" s="12"/>
    </row>
    <row r="77" spans="1:13">
      <c r="A77" s="12"/>
      <c r="B77" s="12"/>
      <c r="C77" s="18"/>
      <c r="D77" s="14"/>
      <c r="E77" s="18"/>
      <c r="F77" s="14"/>
      <c r="G77" s="18"/>
      <c r="H77" s="14"/>
      <c r="I77" s="12"/>
      <c r="J77" s="12"/>
      <c r="K77" s="12"/>
      <c r="L77" s="12"/>
      <c r="M77" s="12"/>
    </row>
    <row r="78" spans="1:13">
      <c r="A78" s="12"/>
      <c r="B78" s="12"/>
      <c r="C78" s="18"/>
      <c r="D78" s="14"/>
      <c r="E78" s="18"/>
      <c r="F78" s="14"/>
      <c r="G78" s="18"/>
      <c r="H78" s="14"/>
      <c r="I78" s="12"/>
      <c r="J78" s="12"/>
      <c r="K78" s="12"/>
      <c r="L78" s="12"/>
      <c r="M78" s="12"/>
    </row>
    <row r="79" spans="1:13">
      <c r="A79" s="12"/>
      <c r="B79" s="12"/>
      <c r="C79" s="18"/>
      <c r="D79" s="14"/>
      <c r="E79" s="18"/>
      <c r="F79" s="14"/>
      <c r="G79" s="18"/>
      <c r="H79" s="14"/>
      <c r="I79" s="12"/>
      <c r="J79" s="12"/>
      <c r="K79" s="12"/>
      <c r="L79" s="12"/>
      <c r="M79" s="12"/>
    </row>
    <row r="80" spans="1:13">
      <c r="A80" s="12"/>
      <c r="B80" s="12"/>
      <c r="C80" s="18"/>
      <c r="D80" s="14"/>
      <c r="E80" s="18"/>
      <c r="F80" s="14"/>
      <c r="G80" s="18"/>
      <c r="H80" s="14"/>
      <c r="I80" s="12"/>
      <c r="J80" s="12"/>
      <c r="K80" s="12"/>
      <c r="L80" s="12"/>
      <c r="M80" s="12"/>
    </row>
    <row r="81" spans="1:13">
      <c r="A81" s="12"/>
      <c r="B81" s="12"/>
      <c r="C81" s="18"/>
      <c r="D81" s="14"/>
      <c r="E81" s="18"/>
      <c r="F81" s="14"/>
      <c r="G81" s="18"/>
      <c r="H81" s="14"/>
      <c r="I81" s="12"/>
      <c r="J81" s="12"/>
      <c r="K81" s="12"/>
      <c r="L81" s="12"/>
      <c r="M81" s="12"/>
    </row>
    <row r="82" spans="1:13">
      <c r="A82" s="12"/>
      <c r="B82" s="12"/>
      <c r="C82" s="18"/>
      <c r="D82" s="14"/>
      <c r="E82" s="18"/>
      <c r="F82" s="14"/>
      <c r="G82" s="18"/>
      <c r="H82" s="14"/>
      <c r="I82" s="12"/>
      <c r="J82" s="12"/>
      <c r="K82" s="12"/>
      <c r="L82" s="12"/>
      <c r="M82" s="12"/>
    </row>
    <row r="83" spans="1:13">
      <c r="A83" s="12"/>
      <c r="B83" s="12"/>
      <c r="C83" s="18"/>
      <c r="D83" s="14"/>
      <c r="E83" s="18"/>
      <c r="F83" s="14"/>
      <c r="G83" s="18"/>
      <c r="H83" s="14"/>
      <c r="I83" s="12"/>
      <c r="J83" s="12"/>
      <c r="K83" s="12"/>
      <c r="L83" s="12"/>
      <c r="M83" s="12"/>
    </row>
    <row r="84" spans="1:13">
      <c r="A84" s="12"/>
      <c r="B84" s="12"/>
      <c r="C84" s="18"/>
      <c r="D84" s="14"/>
      <c r="E84" s="18"/>
      <c r="F84" s="14"/>
      <c r="G84" s="18"/>
      <c r="H84" s="14"/>
      <c r="I84" s="12"/>
      <c r="J84" s="12"/>
      <c r="K84" s="12"/>
      <c r="L84" s="12"/>
      <c r="M84" s="12"/>
    </row>
    <row r="85" spans="1:13">
      <c r="A85" s="12"/>
      <c r="B85" s="12"/>
      <c r="C85" s="18"/>
      <c r="D85" s="14"/>
      <c r="E85" s="18"/>
      <c r="F85" s="14"/>
      <c r="G85" s="18"/>
      <c r="H85" s="14"/>
      <c r="I85" s="12"/>
      <c r="J85" s="12"/>
      <c r="K85" s="12"/>
      <c r="L85" s="12"/>
      <c r="M85" s="12"/>
    </row>
    <row r="86" spans="1:13">
      <c r="A86" s="12"/>
      <c r="B86" s="12"/>
      <c r="C86" s="18"/>
      <c r="D86" s="14"/>
      <c r="E86" s="18"/>
      <c r="F86" s="14"/>
      <c r="G86" s="18"/>
      <c r="H86" s="14"/>
      <c r="I86" s="12"/>
      <c r="J86" s="12"/>
      <c r="K86" s="12"/>
      <c r="L86" s="12"/>
      <c r="M86" s="12"/>
    </row>
    <row r="87" spans="1:13">
      <c r="A87" s="12"/>
      <c r="B87" s="12"/>
      <c r="C87" s="18"/>
      <c r="D87" s="14"/>
      <c r="E87" s="18"/>
      <c r="F87" s="14"/>
      <c r="G87" s="18"/>
      <c r="H87" s="14"/>
      <c r="I87" s="12"/>
      <c r="J87" s="12"/>
      <c r="K87" s="12"/>
      <c r="L87" s="12"/>
      <c r="M87" s="12"/>
    </row>
    <row r="88" spans="1:13">
      <c r="A88" s="12"/>
      <c r="B88" s="12"/>
      <c r="C88" s="18"/>
      <c r="D88" s="14"/>
      <c r="E88" s="18"/>
      <c r="F88" s="14"/>
      <c r="G88" s="18"/>
      <c r="H88" s="14"/>
      <c r="I88" s="12"/>
      <c r="J88" s="12"/>
      <c r="K88" s="12"/>
      <c r="L88" s="12"/>
      <c r="M88" s="12"/>
    </row>
    <row r="89" spans="1:13">
      <c r="A89" s="12"/>
      <c r="B89" s="12"/>
      <c r="C89" s="18"/>
      <c r="D89" s="14"/>
      <c r="E89" s="18"/>
      <c r="F89" s="14"/>
      <c r="G89" s="18"/>
      <c r="H89" s="14"/>
      <c r="I89" s="12"/>
      <c r="J89" s="12"/>
      <c r="K89" s="12"/>
      <c r="L89" s="12"/>
      <c r="M89" s="12"/>
    </row>
    <row r="90" spans="1:13">
      <c r="A90" s="12"/>
      <c r="B90" s="12"/>
      <c r="C90" s="18"/>
      <c r="D90" s="14"/>
      <c r="E90" s="18"/>
      <c r="F90" s="14"/>
      <c r="G90" s="18"/>
      <c r="H90" s="14"/>
      <c r="I90" s="12"/>
      <c r="J90" s="12"/>
      <c r="K90" s="12"/>
      <c r="L90" s="12"/>
      <c r="M90" s="12"/>
    </row>
    <row r="91" spans="1:13">
      <c r="A91" s="12"/>
      <c r="B91" s="12"/>
      <c r="C91" s="18"/>
      <c r="D91" s="14"/>
      <c r="E91" s="18"/>
      <c r="F91" s="14"/>
      <c r="G91" s="18"/>
      <c r="H91" s="14"/>
      <c r="I91" s="12"/>
      <c r="J91" s="12"/>
      <c r="K91" s="12"/>
      <c r="L91" s="12"/>
      <c r="M91" s="12"/>
    </row>
    <row r="92" spans="1:13">
      <c r="A92" s="12"/>
      <c r="B92" s="12"/>
      <c r="C92" s="18"/>
      <c r="D92" s="14"/>
      <c r="E92" s="18"/>
      <c r="F92" s="14"/>
      <c r="G92" s="18"/>
      <c r="H92" s="14"/>
      <c r="I92" s="12"/>
      <c r="J92" s="12"/>
      <c r="K92" s="12"/>
      <c r="L92" s="12"/>
      <c r="M92" s="12"/>
    </row>
    <row r="93" spans="1:13">
      <c r="A93" s="12"/>
      <c r="B93" s="12"/>
      <c r="C93" s="18"/>
      <c r="D93" s="14"/>
      <c r="E93" s="18"/>
      <c r="F93" s="14"/>
      <c r="G93" s="18"/>
      <c r="H93" s="14"/>
      <c r="I93" s="12"/>
      <c r="J93" s="12"/>
      <c r="K93" s="12"/>
      <c r="L93" s="12"/>
      <c r="M93" s="12"/>
    </row>
    <row r="94" spans="1:13">
      <c r="A94" s="12"/>
      <c r="B94" s="12"/>
      <c r="C94" s="18"/>
      <c r="D94" s="14"/>
      <c r="E94" s="18"/>
      <c r="F94" s="14"/>
      <c r="G94" s="18"/>
      <c r="H94" s="14"/>
      <c r="I94" s="12"/>
      <c r="J94" s="12"/>
      <c r="K94" s="12"/>
      <c r="L94" s="12"/>
      <c r="M94" s="12"/>
    </row>
    <row r="95" spans="1:13">
      <c r="A95" s="12"/>
      <c r="B95" s="12"/>
      <c r="C95" s="18"/>
      <c r="D95" s="14"/>
      <c r="E95" s="18"/>
      <c r="F95" s="14"/>
      <c r="G95" s="18"/>
      <c r="H95" s="14"/>
      <c r="I95" s="12"/>
      <c r="J95" s="12"/>
      <c r="K95" s="12"/>
      <c r="L95" s="12"/>
      <c r="M95" s="12"/>
    </row>
    <row r="96" spans="1:13">
      <c r="A96" s="12"/>
      <c r="B96" s="12"/>
      <c r="C96" s="18"/>
      <c r="D96" s="14"/>
      <c r="E96" s="18"/>
      <c r="F96" s="14"/>
      <c r="G96" s="18"/>
      <c r="H96" s="14"/>
      <c r="I96" s="12"/>
      <c r="J96" s="12"/>
      <c r="K96" s="12"/>
      <c r="L96" s="12"/>
      <c r="M96" s="12"/>
    </row>
    <row r="97" spans="1:13">
      <c r="A97" s="12"/>
      <c r="B97" s="12"/>
      <c r="C97" s="18"/>
      <c r="D97" s="14"/>
      <c r="E97" s="18"/>
      <c r="F97" s="14"/>
      <c r="G97" s="18"/>
      <c r="H97" s="14"/>
      <c r="I97" s="12"/>
      <c r="J97" s="12"/>
      <c r="K97" s="12"/>
      <c r="L97" s="12"/>
      <c r="M97" s="12"/>
    </row>
    <row r="98" spans="1:13">
      <c r="A98" s="12"/>
      <c r="B98" s="12"/>
      <c r="C98" s="18"/>
      <c r="D98" s="14"/>
      <c r="E98" s="18"/>
      <c r="F98" s="14"/>
      <c r="G98" s="18"/>
      <c r="H98" s="14"/>
      <c r="I98" s="12"/>
      <c r="J98" s="12"/>
      <c r="K98" s="12"/>
      <c r="L98" s="12"/>
      <c r="M98" s="12"/>
    </row>
    <row r="99" spans="1:13">
      <c r="A99" s="12"/>
      <c r="B99" s="12"/>
      <c r="C99" s="18"/>
      <c r="D99" s="14"/>
      <c r="E99" s="18"/>
      <c r="F99" s="14"/>
      <c r="G99" s="18"/>
      <c r="H99" s="14"/>
      <c r="I99" s="12"/>
      <c r="J99" s="12"/>
      <c r="K99" s="12"/>
      <c r="L99" s="12"/>
      <c r="M99" s="12"/>
    </row>
    <row r="100" spans="1:13">
      <c r="A100" s="12"/>
      <c r="B100" s="12"/>
      <c r="C100" s="18"/>
      <c r="D100" s="14"/>
      <c r="E100" s="18"/>
      <c r="F100" s="14"/>
      <c r="G100" s="18"/>
      <c r="H100" s="14"/>
      <c r="I100" s="12"/>
      <c r="J100" s="12"/>
      <c r="K100" s="12"/>
      <c r="L100" s="12"/>
      <c r="M100" s="12"/>
    </row>
    <row r="101" spans="1:13">
      <c r="A101" s="12"/>
      <c r="B101" s="12"/>
      <c r="C101" s="18"/>
      <c r="D101" s="14"/>
      <c r="E101" s="18"/>
      <c r="F101" s="14"/>
      <c r="G101" s="18"/>
      <c r="H101" s="14"/>
      <c r="I101" s="12"/>
      <c r="J101" s="12"/>
      <c r="K101" s="12"/>
      <c r="L101" s="12"/>
      <c r="M101" s="12"/>
    </row>
    <row r="102" spans="1:13">
      <c r="A102" s="12"/>
      <c r="B102" s="12"/>
      <c r="C102" s="18"/>
      <c r="D102" s="14"/>
      <c r="E102" s="18"/>
      <c r="F102" s="14"/>
      <c r="G102" s="18"/>
      <c r="H102" s="14"/>
      <c r="I102" s="12"/>
      <c r="J102" s="12"/>
      <c r="K102" s="12"/>
      <c r="L102" s="12"/>
      <c r="M102" s="12"/>
    </row>
    <row r="103" spans="1:13">
      <c r="A103" s="12"/>
      <c r="B103" s="12"/>
      <c r="C103" s="18"/>
      <c r="D103" s="14"/>
      <c r="E103" s="18"/>
      <c r="F103" s="14"/>
      <c r="G103" s="18"/>
      <c r="H103" s="14"/>
      <c r="I103" s="12"/>
      <c r="J103" s="12"/>
      <c r="K103" s="12"/>
      <c r="L103" s="12"/>
      <c r="M103" s="12"/>
    </row>
    <row r="104" spans="1:13">
      <c r="A104" s="12"/>
      <c r="B104" s="12"/>
      <c r="C104" s="18"/>
      <c r="D104" s="14"/>
      <c r="E104" s="18"/>
      <c r="F104" s="14"/>
      <c r="G104" s="18"/>
      <c r="H104" s="14"/>
      <c r="I104" s="12"/>
      <c r="J104" s="12"/>
      <c r="K104" s="12"/>
      <c r="L104" s="12"/>
      <c r="M104" s="12"/>
    </row>
    <row r="105" spans="1:13">
      <c r="A105" s="12"/>
      <c r="B105" s="12"/>
      <c r="C105" s="18"/>
      <c r="D105" s="14"/>
      <c r="E105" s="18"/>
      <c r="F105" s="14"/>
      <c r="G105" s="18"/>
      <c r="H105" s="14"/>
      <c r="I105" s="12"/>
      <c r="J105" s="12"/>
      <c r="K105" s="12"/>
      <c r="L105" s="12"/>
      <c r="M105" s="12"/>
    </row>
    <row r="106" spans="1:13">
      <c r="A106" s="12"/>
      <c r="B106" s="12"/>
      <c r="C106" s="18"/>
      <c r="D106" s="14"/>
      <c r="E106" s="18"/>
      <c r="F106" s="14"/>
      <c r="G106" s="18"/>
      <c r="H106" s="14"/>
      <c r="I106" s="12"/>
      <c r="J106" s="12"/>
      <c r="K106" s="12"/>
      <c r="L106" s="12"/>
      <c r="M106" s="12"/>
    </row>
    <row r="107" spans="1:13">
      <c r="A107" s="12"/>
      <c r="B107" s="12"/>
      <c r="C107" s="18"/>
      <c r="D107" s="14"/>
      <c r="E107" s="18"/>
      <c r="F107" s="14"/>
      <c r="G107" s="18"/>
      <c r="H107" s="14"/>
      <c r="I107" s="12"/>
      <c r="J107" s="12"/>
      <c r="K107" s="12"/>
      <c r="L107" s="12"/>
      <c r="M107" s="12"/>
    </row>
    <row r="108" spans="1:13">
      <c r="A108" s="12"/>
      <c r="B108" s="12"/>
      <c r="C108" s="18"/>
      <c r="D108" s="14"/>
      <c r="E108" s="18"/>
      <c r="F108" s="14"/>
      <c r="G108" s="18"/>
      <c r="H108" s="14"/>
      <c r="I108" s="12"/>
      <c r="J108" s="12"/>
      <c r="K108" s="12"/>
      <c r="L108" s="12"/>
      <c r="M108" s="12"/>
    </row>
    <row r="109" spans="1:13">
      <c r="A109" s="12"/>
      <c r="B109" s="12"/>
      <c r="C109" s="18"/>
      <c r="D109" s="14"/>
      <c r="E109" s="18"/>
      <c r="F109" s="14"/>
      <c r="G109" s="18"/>
      <c r="H109" s="14"/>
      <c r="I109" s="12"/>
      <c r="J109" s="12"/>
      <c r="K109" s="12"/>
      <c r="L109" s="12"/>
      <c r="M109" s="12"/>
    </row>
    <row r="110" spans="1:13">
      <c r="A110" s="12"/>
      <c r="B110" s="12"/>
      <c r="C110" s="18"/>
      <c r="D110" s="14"/>
      <c r="E110" s="18"/>
      <c r="F110" s="14"/>
      <c r="G110" s="18"/>
      <c r="H110" s="14"/>
      <c r="I110" s="12"/>
      <c r="J110" s="12"/>
      <c r="K110" s="12"/>
      <c r="L110" s="12"/>
      <c r="M110" s="12"/>
    </row>
    <row r="111" spans="1:13">
      <c r="A111" s="12"/>
      <c r="B111" s="12"/>
      <c r="C111" s="18"/>
      <c r="D111" s="14"/>
      <c r="E111" s="18"/>
      <c r="F111" s="14"/>
      <c r="G111" s="18"/>
      <c r="H111" s="14"/>
      <c r="I111" s="12"/>
      <c r="J111" s="12"/>
      <c r="K111" s="12"/>
      <c r="L111" s="12"/>
      <c r="M111" s="12"/>
    </row>
    <row r="112" spans="1:13">
      <c r="A112" s="12"/>
      <c r="B112" s="12"/>
      <c r="C112" s="18"/>
      <c r="D112" s="14"/>
      <c r="E112" s="18"/>
      <c r="F112" s="14"/>
      <c r="G112" s="18"/>
      <c r="H112" s="14"/>
      <c r="I112" s="12"/>
      <c r="J112" s="12"/>
      <c r="K112" s="12"/>
      <c r="L112" s="12"/>
      <c r="M112" s="12"/>
    </row>
    <row r="113" spans="1:13">
      <c r="A113" s="12"/>
      <c r="B113" s="12"/>
      <c r="C113" s="18"/>
      <c r="D113" s="14"/>
      <c r="E113" s="18"/>
      <c r="F113" s="14"/>
      <c r="G113" s="18"/>
      <c r="H113" s="14"/>
      <c r="I113" s="12"/>
      <c r="J113" s="12"/>
      <c r="K113" s="12"/>
      <c r="L113" s="12"/>
      <c r="M113" s="12"/>
    </row>
    <row r="114" spans="1:13">
      <c r="A114" s="12"/>
      <c r="B114" s="12"/>
      <c r="C114" s="18"/>
      <c r="D114" s="14"/>
      <c r="E114" s="18"/>
      <c r="F114" s="14"/>
      <c r="G114" s="18"/>
      <c r="H114" s="14"/>
      <c r="I114" s="12"/>
      <c r="J114" s="12"/>
      <c r="K114" s="12"/>
      <c r="L114" s="12"/>
      <c r="M114" s="12"/>
    </row>
    <row r="115" spans="1:13">
      <c r="A115" s="12"/>
      <c r="B115" s="12"/>
      <c r="C115" s="18"/>
      <c r="D115" s="14"/>
      <c r="E115" s="18"/>
      <c r="F115" s="14"/>
      <c r="G115" s="18"/>
      <c r="H115" s="14"/>
      <c r="I115" s="12"/>
      <c r="J115" s="12"/>
      <c r="K115" s="12"/>
      <c r="L115" s="12"/>
      <c r="M115" s="12"/>
    </row>
    <row r="116" spans="1:13">
      <c r="A116" s="12"/>
      <c r="B116" s="12"/>
      <c r="C116" s="18"/>
      <c r="D116" s="14"/>
      <c r="E116" s="18"/>
      <c r="F116" s="14"/>
      <c r="G116" s="18"/>
      <c r="H116" s="14"/>
      <c r="I116" s="12"/>
      <c r="J116" s="12"/>
      <c r="K116" s="12"/>
      <c r="L116" s="12"/>
      <c r="M116" s="12"/>
    </row>
    <row r="117" spans="1:13">
      <c r="A117" s="12"/>
      <c r="B117" s="12"/>
      <c r="C117" s="18"/>
      <c r="D117" s="14"/>
      <c r="E117" s="18"/>
      <c r="F117" s="14"/>
      <c r="G117" s="18"/>
      <c r="H117" s="14"/>
      <c r="I117" s="12"/>
      <c r="J117" s="12"/>
      <c r="K117" s="12"/>
      <c r="L117" s="12"/>
      <c r="M117" s="12"/>
    </row>
    <row r="118" spans="1:13">
      <c r="A118" s="12"/>
      <c r="B118" s="12"/>
      <c r="C118" s="18"/>
      <c r="D118" s="14"/>
      <c r="E118" s="18"/>
      <c r="F118" s="14"/>
      <c r="G118" s="18"/>
      <c r="H118" s="14"/>
      <c r="I118" s="12"/>
      <c r="J118" s="12"/>
      <c r="K118" s="12"/>
      <c r="L118" s="12"/>
      <c r="M118" s="12"/>
    </row>
    <row r="119" spans="1:13">
      <c r="A119" s="12"/>
      <c r="B119" s="12"/>
      <c r="C119" s="18"/>
      <c r="D119" s="14"/>
      <c r="E119" s="18"/>
      <c r="F119" s="14"/>
      <c r="G119" s="18"/>
      <c r="H119" s="14"/>
      <c r="I119" s="12"/>
      <c r="J119" s="12"/>
      <c r="K119" s="12"/>
      <c r="L119" s="12"/>
      <c r="M119" s="12"/>
    </row>
    <row r="120" spans="1:13">
      <c r="A120" s="12"/>
      <c r="B120" s="12"/>
      <c r="C120" s="18"/>
      <c r="D120" s="14"/>
      <c r="E120" s="18"/>
      <c r="F120" s="14"/>
      <c r="G120" s="18"/>
      <c r="H120" s="14"/>
      <c r="I120" s="12"/>
      <c r="J120" s="12"/>
      <c r="K120" s="12"/>
      <c r="L120" s="12"/>
      <c r="M120" s="12"/>
    </row>
    <row r="121" spans="1:13">
      <c r="A121" s="12"/>
      <c r="B121" s="12"/>
      <c r="C121" s="18"/>
      <c r="D121" s="14"/>
      <c r="E121" s="18"/>
      <c r="F121" s="14"/>
      <c r="G121" s="18"/>
      <c r="H121" s="14"/>
      <c r="I121" s="12"/>
      <c r="J121" s="12"/>
      <c r="K121" s="12"/>
      <c r="L121" s="12"/>
      <c r="M121" s="12"/>
    </row>
    <row r="122" spans="1:13">
      <c r="A122" s="12"/>
      <c r="B122" s="12"/>
      <c r="C122" s="18"/>
      <c r="D122" s="14"/>
      <c r="E122" s="18"/>
      <c r="F122" s="14"/>
      <c r="G122" s="18"/>
      <c r="H122" s="14"/>
      <c r="I122" s="12"/>
      <c r="J122" s="12"/>
      <c r="K122" s="12"/>
      <c r="L122" s="12"/>
      <c r="M122" s="12"/>
    </row>
    <row r="123" spans="1:13">
      <c r="A123" s="12"/>
      <c r="B123" s="12"/>
      <c r="C123" s="18"/>
      <c r="D123" s="14"/>
      <c r="E123" s="18"/>
      <c r="F123" s="14"/>
      <c r="G123" s="18"/>
      <c r="H123" s="14"/>
      <c r="I123" s="12"/>
      <c r="J123" s="12"/>
      <c r="K123" s="12"/>
      <c r="L123" s="12"/>
      <c r="M123" s="12"/>
    </row>
    <row r="124" spans="1:13">
      <c r="A124" s="12"/>
      <c r="B124" s="12"/>
      <c r="C124" s="18"/>
      <c r="D124" s="14"/>
      <c r="E124" s="18"/>
      <c r="F124" s="14"/>
      <c r="G124" s="18"/>
      <c r="H124" s="14"/>
      <c r="I124" s="12"/>
      <c r="J124" s="12"/>
      <c r="K124" s="12"/>
      <c r="L124" s="12"/>
      <c r="M124" s="12"/>
    </row>
    <row r="125" spans="1:13">
      <c r="A125" s="12"/>
      <c r="B125" s="12"/>
      <c r="C125" s="18"/>
      <c r="D125" s="14"/>
      <c r="E125" s="18"/>
      <c r="F125" s="14"/>
      <c r="G125" s="18"/>
      <c r="H125" s="14"/>
      <c r="I125" s="12"/>
      <c r="J125" s="12"/>
      <c r="K125" s="12"/>
      <c r="L125" s="12"/>
      <c r="M125" s="12"/>
    </row>
    <row r="126" spans="1:13">
      <c r="A126" s="12"/>
      <c r="B126" s="12"/>
      <c r="C126" s="18"/>
      <c r="D126" s="14"/>
      <c r="E126" s="18"/>
      <c r="F126" s="14"/>
      <c r="G126" s="18"/>
      <c r="H126" s="14"/>
      <c r="I126" s="12"/>
      <c r="J126" s="12"/>
      <c r="K126" s="12"/>
      <c r="L126" s="12"/>
      <c r="M126" s="12"/>
    </row>
    <row r="127" spans="1:13">
      <c r="A127" s="12"/>
      <c r="B127" s="12"/>
      <c r="C127" s="18"/>
      <c r="D127" s="14"/>
      <c r="E127" s="18"/>
      <c r="F127" s="14"/>
      <c r="G127" s="18"/>
      <c r="H127" s="14"/>
      <c r="I127" s="12"/>
      <c r="J127" s="12"/>
      <c r="K127" s="12"/>
      <c r="L127" s="12"/>
      <c r="M127" s="12"/>
    </row>
    <row r="128" spans="1:13">
      <c r="A128" s="12"/>
      <c r="B128" s="12"/>
      <c r="C128" s="18"/>
      <c r="D128" s="14"/>
      <c r="E128" s="18"/>
      <c r="F128" s="14"/>
      <c r="G128" s="18"/>
      <c r="H128" s="14"/>
      <c r="I128" s="12"/>
      <c r="J128" s="12"/>
      <c r="K128" s="12"/>
      <c r="L128" s="12"/>
      <c r="M128" s="12"/>
    </row>
    <row r="129" spans="1:13">
      <c r="A129" s="12"/>
      <c r="B129" s="12"/>
      <c r="C129" s="18"/>
      <c r="D129" s="14"/>
      <c r="E129" s="18"/>
      <c r="F129" s="14"/>
      <c r="G129" s="18"/>
      <c r="H129" s="14"/>
      <c r="I129" s="12"/>
      <c r="J129" s="12"/>
      <c r="K129" s="12"/>
      <c r="L129" s="12"/>
      <c r="M129" s="12"/>
    </row>
    <row r="130" spans="1:13">
      <c r="A130" s="12"/>
      <c r="B130" s="12"/>
      <c r="C130" s="18"/>
      <c r="D130" s="14"/>
      <c r="E130" s="18"/>
      <c r="F130" s="14"/>
      <c r="G130" s="18"/>
      <c r="H130" s="14"/>
      <c r="I130" s="12"/>
      <c r="J130" s="12"/>
      <c r="K130" s="12"/>
      <c r="L130" s="12"/>
      <c r="M130" s="12"/>
    </row>
    <row r="131" spans="1:13">
      <c r="A131" s="12"/>
      <c r="B131" s="12"/>
      <c r="C131" s="18"/>
      <c r="D131" s="14"/>
      <c r="E131" s="18"/>
      <c r="F131" s="14"/>
      <c r="G131" s="18"/>
      <c r="H131" s="14"/>
      <c r="I131" s="12"/>
      <c r="J131" s="12"/>
      <c r="K131" s="12"/>
      <c r="L131" s="12"/>
      <c r="M131" s="12"/>
    </row>
    <row r="132" spans="1:13">
      <c r="A132" s="12"/>
      <c r="B132" s="12"/>
      <c r="C132" s="18"/>
      <c r="D132" s="14"/>
      <c r="E132" s="18"/>
      <c r="F132" s="14"/>
      <c r="G132" s="18"/>
      <c r="H132" s="14"/>
      <c r="I132" s="12"/>
      <c r="J132" s="12"/>
      <c r="K132" s="12"/>
      <c r="L132" s="12"/>
      <c r="M132" s="12"/>
    </row>
    <row r="133" spans="1:13">
      <c r="A133" s="12"/>
      <c r="B133" s="12"/>
      <c r="C133" s="18"/>
      <c r="D133" s="14"/>
      <c r="E133" s="18"/>
      <c r="F133" s="14"/>
      <c r="G133" s="18"/>
      <c r="H133" s="14"/>
      <c r="I133" s="12"/>
      <c r="J133" s="12"/>
      <c r="K133" s="12"/>
      <c r="L133" s="12"/>
      <c r="M133" s="12"/>
    </row>
    <row r="134" spans="1:13">
      <c r="A134" s="12"/>
      <c r="B134" s="12"/>
      <c r="C134" s="18"/>
      <c r="D134" s="14"/>
      <c r="E134" s="18"/>
      <c r="F134" s="14"/>
      <c r="G134" s="18"/>
      <c r="H134" s="14"/>
      <c r="I134" s="12"/>
      <c r="J134" s="12"/>
      <c r="K134" s="12"/>
      <c r="L134" s="12"/>
      <c r="M134" s="12"/>
    </row>
    <row r="135" spans="1:13">
      <c r="A135" s="12"/>
      <c r="B135" s="12"/>
      <c r="C135" s="18"/>
      <c r="D135" s="14"/>
      <c r="E135" s="18"/>
      <c r="F135" s="14"/>
      <c r="G135" s="18"/>
      <c r="H135" s="14"/>
      <c r="I135" s="12"/>
      <c r="J135" s="12"/>
      <c r="K135" s="12"/>
      <c r="L135" s="12"/>
      <c r="M135" s="12"/>
    </row>
    <row r="136" spans="1:13">
      <c r="A136" s="12"/>
      <c r="B136" s="12"/>
      <c r="C136" s="18"/>
      <c r="D136" s="14"/>
      <c r="E136" s="18"/>
      <c r="F136" s="14"/>
      <c r="G136" s="18"/>
      <c r="H136" s="14"/>
      <c r="I136" s="12"/>
      <c r="J136" s="12"/>
      <c r="K136" s="12"/>
      <c r="L136" s="12"/>
      <c r="M136" s="12"/>
    </row>
    <row r="137" spans="1:13">
      <c r="A137" s="12"/>
      <c r="B137" s="12"/>
      <c r="C137" s="18"/>
      <c r="D137" s="14"/>
      <c r="E137" s="18"/>
      <c r="F137" s="14"/>
      <c r="G137" s="18"/>
      <c r="H137" s="14"/>
      <c r="I137" s="12"/>
      <c r="J137" s="12"/>
      <c r="K137" s="12"/>
      <c r="L137" s="12"/>
      <c r="M137" s="12"/>
    </row>
    <row r="138" spans="1:13">
      <c r="A138" s="12"/>
      <c r="B138" s="12"/>
      <c r="C138" s="18"/>
      <c r="D138" s="14"/>
      <c r="E138" s="18"/>
      <c r="F138" s="14"/>
      <c r="G138" s="18"/>
      <c r="H138" s="14"/>
      <c r="I138" s="12"/>
      <c r="J138" s="12"/>
      <c r="K138" s="12"/>
      <c r="L138" s="12"/>
      <c r="M138" s="12"/>
    </row>
    <row r="139" spans="1:13">
      <c r="A139" s="12"/>
      <c r="B139" s="12"/>
      <c r="C139" s="18"/>
      <c r="D139" s="14"/>
      <c r="E139" s="18"/>
      <c r="F139" s="14"/>
      <c r="G139" s="18"/>
      <c r="H139" s="14"/>
      <c r="I139" s="12"/>
      <c r="J139" s="12"/>
      <c r="K139" s="12"/>
      <c r="L139" s="12"/>
      <c r="M139" s="12"/>
    </row>
    <row r="140" spans="1:13">
      <c r="A140" s="12"/>
      <c r="B140" s="12"/>
      <c r="C140" s="18"/>
      <c r="D140" s="14"/>
      <c r="E140" s="18"/>
      <c r="F140" s="14"/>
      <c r="G140" s="18"/>
      <c r="H140" s="14"/>
      <c r="I140" s="12"/>
      <c r="J140" s="12"/>
      <c r="K140" s="12"/>
      <c r="L140" s="12"/>
      <c r="M140" s="12"/>
    </row>
    <row r="141" spans="1:13">
      <c r="A141" s="12"/>
      <c r="B141" s="12"/>
      <c r="C141" s="18"/>
      <c r="D141" s="14"/>
      <c r="E141" s="18"/>
      <c r="F141" s="14"/>
      <c r="G141" s="18"/>
      <c r="H141" s="14"/>
      <c r="I141" s="12"/>
      <c r="J141" s="12"/>
      <c r="K141" s="12"/>
      <c r="L141" s="12"/>
      <c r="M141" s="12"/>
    </row>
    <row r="142" spans="1:13">
      <c r="A142" s="12"/>
      <c r="B142" s="12"/>
      <c r="C142" s="18"/>
      <c r="D142" s="14"/>
      <c r="E142" s="18"/>
      <c r="F142" s="14"/>
      <c r="G142" s="18"/>
      <c r="H142" s="14"/>
      <c r="I142" s="12"/>
      <c r="J142" s="12"/>
      <c r="K142" s="12"/>
      <c r="L142" s="12"/>
      <c r="M142" s="12"/>
    </row>
    <row r="143" spans="1:13">
      <c r="A143" s="12"/>
      <c r="B143" s="12"/>
      <c r="C143" s="18"/>
      <c r="D143" s="14"/>
      <c r="E143" s="18"/>
      <c r="F143" s="14"/>
      <c r="G143" s="18"/>
      <c r="H143" s="14"/>
      <c r="I143" s="12"/>
      <c r="J143" s="12"/>
      <c r="K143" s="12"/>
      <c r="L143" s="12"/>
      <c r="M143" s="12"/>
    </row>
    <row r="144" spans="1:13">
      <c r="A144" s="12"/>
      <c r="B144" s="12"/>
      <c r="C144" s="18"/>
      <c r="D144" s="14"/>
      <c r="E144" s="18"/>
      <c r="F144" s="14"/>
      <c r="G144" s="18"/>
      <c r="H144" s="14"/>
      <c r="I144" s="12"/>
      <c r="J144" s="12"/>
      <c r="K144" s="12"/>
      <c r="L144" s="12"/>
      <c r="M144" s="12"/>
    </row>
    <row r="145" spans="1:13">
      <c r="A145" s="12"/>
      <c r="B145" s="12"/>
      <c r="C145" s="18"/>
      <c r="D145" s="14"/>
      <c r="E145" s="18"/>
      <c r="F145" s="14"/>
      <c r="G145" s="18"/>
      <c r="H145" s="14"/>
      <c r="I145" s="12"/>
      <c r="J145" s="12"/>
      <c r="K145" s="12"/>
      <c r="L145" s="12"/>
      <c r="M145" s="12"/>
    </row>
    <row r="146" spans="1:13">
      <c r="A146" s="12"/>
      <c r="B146" s="12"/>
      <c r="C146" s="18"/>
      <c r="D146" s="14"/>
      <c r="E146" s="18"/>
      <c r="F146" s="14"/>
      <c r="G146" s="18"/>
      <c r="H146" s="14"/>
      <c r="I146" s="12"/>
      <c r="J146" s="12"/>
      <c r="K146" s="12"/>
      <c r="L146" s="12"/>
      <c r="M146" s="12"/>
    </row>
    <row r="147" spans="1:13">
      <c r="A147" s="12"/>
      <c r="B147" s="12"/>
      <c r="C147" s="18"/>
      <c r="D147" s="14"/>
      <c r="E147" s="18"/>
      <c r="F147" s="14"/>
      <c r="G147" s="18"/>
      <c r="H147" s="14"/>
      <c r="I147" s="12"/>
      <c r="J147" s="12"/>
      <c r="K147" s="12"/>
      <c r="L147" s="12"/>
      <c r="M147" s="12"/>
    </row>
    <row r="148" spans="1:13">
      <c r="A148" s="12"/>
      <c r="B148" s="12"/>
      <c r="C148" s="18"/>
      <c r="D148" s="14"/>
      <c r="E148" s="18"/>
      <c r="F148" s="14"/>
      <c r="G148" s="18"/>
      <c r="H148" s="14"/>
      <c r="I148" s="12"/>
      <c r="J148" s="12"/>
      <c r="K148" s="12"/>
      <c r="L148" s="12"/>
      <c r="M148" s="12"/>
    </row>
    <row r="149" spans="1:13">
      <c r="A149" s="12"/>
      <c r="B149" s="12"/>
      <c r="C149" s="18"/>
      <c r="D149" s="14"/>
      <c r="E149" s="18"/>
      <c r="F149" s="14"/>
      <c r="G149" s="18"/>
      <c r="H149" s="14"/>
      <c r="I149" s="12"/>
      <c r="J149" s="12"/>
      <c r="K149" s="12"/>
      <c r="L149" s="12"/>
      <c r="M149" s="12"/>
    </row>
    <row r="150" spans="1:13">
      <c r="A150" s="12"/>
      <c r="B150" s="12"/>
      <c r="C150" s="18"/>
      <c r="D150" s="14"/>
      <c r="E150" s="18"/>
      <c r="F150" s="14"/>
      <c r="G150" s="18"/>
      <c r="H150" s="14"/>
      <c r="I150" s="12"/>
      <c r="J150" s="12"/>
      <c r="K150" s="12"/>
      <c r="L150" s="12"/>
      <c r="M150" s="12"/>
    </row>
    <row r="151" spans="1:13">
      <c r="A151" s="12"/>
      <c r="B151" s="12"/>
      <c r="C151" s="18"/>
      <c r="D151" s="14"/>
      <c r="E151" s="18"/>
      <c r="F151" s="14"/>
      <c r="G151" s="18"/>
      <c r="H151" s="14"/>
      <c r="I151" s="12"/>
      <c r="J151" s="12"/>
      <c r="K151" s="12"/>
      <c r="L151" s="12"/>
      <c r="M151" s="12"/>
    </row>
    <row r="152" spans="1:13">
      <c r="A152" s="12"/>
      <c r="B152" s="12"/>
      <c r="C152" s="18"/>
      <c r="D152" s="14"/>
      <c r="E152" s="18"/>
      <c r="F152" s="14"/>
      <c r="G152" s="18"/>
      <c r="H152" s="14"/>
      <c r="I152" s="12"/>
      <c r="J152" s="12"/>
      <c r="K152" s="12"/>
      <c r="L152" s="12"/>
      <c r="M152" s="12"/>
    </row>
    <row r="153" spans="1:13">
      <c r="A153" s="12"/>
      <c r="B153" s="12"/>
      <c r="C153" s="18"/>
      <c r="D153" s="14"/>
      <c r="E153" s="18"/>
      <c r="F153" s="14"/>
      <c r="G153" s="18"/>
      <c r="H153" s="14"/>
      <c r="I153" s="12"/>
      <c r="J153" s="12"/>
      <c r="K153" s="12"/>
      <c r="L153" s="12"/>
      <c r="M153" s="12"/>
    </row>
    <row r="154" spans="1:13">
      <c r="A154" s="12"/>
      <c r="B154" s="12"/>
      <c r="C154" s="18"/>
      <c r="D154" s="14"/>
      <c r="E154" s="18"/>
      <c r="F154" s="14"/>
      <c r="G154" s="18"/>
      <c r="H154" s="14"/>
      <c r="I154" s="12"/>
      <c r="J154" s="12"/>
      <c r="K154" s="12"/>
      <c r="L154" s="12"/>
      <c r="M154" s="12"/>
    </row>
    <row r="155" spans="1:13">
      <c r="A155" s="12"/>
      <c r="B155" s="12"/>
      <c r="C155" s="18"/>
      <c r="D155" s="14"/>
      <c r="E155" s="18"/>
      <c r="F155" s="14"/>
      <c r="G155" s="18"/>
      <c r="H155" s="14"/>
      <c r="I155" s="12"/>
      <c r="J155" s="12"/>
      <c r="K155" s="12"/>
      <c r="L155" s="12"/>
      <c r="M155" s="12"/>
    </row>
    <row r="156" spans="1:13">
      <c r="A156" s="12"/>
      <c r="B156" s="12"/>
      <c r="C156" s="18"/>
      <c r="D156" s="14"/>
      <c r="E156" s="18"/>
      <c r="F156" s="14"/>
      <c r="G156" s="18"/>
      <c r="H156" s="14"/>
      <c r="I156" s="12"/>
      <c r="J156" s="12"/>
      <c r="K156" s="12"/>
      <c r="L156" s="12"/>
      <c r="M156" s="12"/>
    </row>
    <row r="157" spans="1:13">
      <c r="A157" s="12"/>
      <c r="B157" s="12"/>
      <c r="C157" s="18"/>
      <c r="D157" s="14"/>
      <c r="E157" s="18"/>
      <c r="F157" s="14"/>
      <c r="G157" s="18"/>
      <c r="H157" s="14"/>
      <c r="I157" s="12"/>
      <c r="J157" s="12"/>
      <c r="K157" s="12"/>
      <c r="L157" s="12"/>
      <c r="M157" s="12"/>
    </row>
    <row r="158" spans="1:13">
      <c r="A158" s="12"/>
      <c r="B158" s="12"/>
      <c r="C158" s="18"/>
      <c r="D158" s="14"/>
      <c r="E158" s="18"/>
      <c r="F158" s="14"/>
      <c r="G158" s="18"/>
      <c r="H158" s="14"/>
      <c r="I158" s="12"/>
      <c r="J158" s="12"/>
      <c r="K158" s="12"/>
      <c r="L158" s="12"/>
      <c r="M158" s="12"/>
    </row>
    <row r="159" spans="1:13">
      <c r="A159" s="12"/>
      <c r="B159" s="12"/>
      <c r="C159" s="18"/>
      <c r="D159" s="14"/>
      <c r="E159" s="18"/>
      <c r="F159" s="14"/>
      <c r="G159" s="18"/>
      <c r="H159" s="14"/>
      <c r="I159" s="12"/>
      <c r="J159" s="12"/>
      <c r="K159" s="12"/>
      <c r="L159" s="12"/>
      <c r="M159" s="12"/>
    </row>
    <row r="160" spans="1:13">
      <c r="A160" s="12"/>
      <c r="B160" s="12"/>
      <c r="C160" s="18"/>
      <c r="D160" s="14"/>
      <c r="E160" s="18"/>
      <c r="F160" s="14"/>
      <c r="G160" s="18"/>
      <c r="H160" s="14"/>
      <c r="I160" s="12"/>
      <c r="J160" s="12"/>
      <c r="K160" s="12"/>
      <c r="L160" s="12"/>
      <c r="M160" s="12"/>
    </row>
    <row r="161" spans="1:13">
      <c r="A161" s="12"/>
      <c r="B161" s="12"/>
      <c r="C161" s="18"/>
      <c r="D161" s="14"/>
      <c r="E161" s="18"/>
      <c r="F161" s="14"/>
      <c r="G161" s="18"/>
      <c r="H161" s="14"/>
      <c r="I161" s="12"/>
      <c r="J161" s="12"/>
      <c r="K161" s="12"/>
      <c r="L161" s="12"/>
      <c r="M161" s="12"/>
    </row>
    <row r="162" spans="1:13">
      <c r="A162" s="12"/>
      <c r="B162" s="12"/>
      <c r="C162" s="18"/>
      <c r="D162" s="14"/>
      <c r="E162" s="18"/>
      <c r="F162" s="14"/>
      <c r="G162" s="18"/>
      <c r="H162" s="14"/>
      <c r="I162" s="12"/>
      <c r="J162" s="12"/>
      <c r="K162" s="12"/>
      <c r="L162" s="12"/>
      <c r="M162" s="12"/>
    </row>
    <row r="163" spans="1:13">
      <c r="A163" s="12"/>
      <c r="B163" s="12"/>
      <c r="C163" s="18"/>
      <c r="D163" s="14"/>
      <c r="E163" s="18"/>
      <c r="F163" s="14"/>
      <c r="G163" s="18"/>
      <c r="H163" s="14"/>
      <c r="I163" s="12"/>
      <c r="J163" s="12"/>
      <c r="K163" s="12"/>
      <c r="L163" s="12"/>
      <c r="M163" s="12"/>
    </row>
    <row r="164" spans="1:13">
      <c r="A164" s="12"/>
      <c r="B164" s="12"/>
      <c r="C164" s="18"/>
      <c r="D164" s="14"/>
      <c r="E164" s="18"/>
      <c r="F164" s="14"/>
      <c r="G164" s="18"/>
      <c r="H164" s="14"/>
      <c r="I164" s="12"/>
      <c r="J164" s="12"/>
      <c r="K164" s="12"/>
      <c r="L164" s="12"/>
      <c r="M164" s="12"/>
    </row>
    <row r="165" spans="1:13">
      <c r="A165" s="12"/>
      <c r="B165" s="12"/>
      <c r="C165" s="18"/>
      <c r="D165" s="14"/>
      <c r="E165" s="18"/>
      <c r="F165" s="14"/>
      <c r="G165" s="18"/>
      <c r="H165" s="14"/>
      <c r="I165" s="12"/>
      <c r="J165" s="12"/>
      <c r="K165" s="12"/>
      <c r="L165" s="12"/>
      <c r="M165" s="12"/>
    </row>
    <row r="166" spans="1:13">
      <c r="A166" s="12"/>
      <c r="B166" s="12"/>
      <c r="C166" s="18"/>
      <c r="D166" s="14"/>
      <c r="E166" s="18"/>
      <c r="F166" s="14"/>
      <c r="G166" s="18"/>
      <c r="H166" s="14"/>
      <c r="I166" s="12"/>
      <c r="J166" s="12"/>
      <c r="K166" s="12"/>
      <c r="L166" s="12"/>
      <c r="M166" s="12"/>
    </row>
    <row r="167" spans="1:13">
      <c r="A167" s="12"/>
      <c r="B167" s="12"/>
      <c r="C167" s="18"/>
      <c r="D167" s="14"/>
      <c r="E167" s="18"/>
      <c r="F167" s="14"/>
      <c r="G167" s="18"/>
      <c r="H167" s="14"/>
      <c r="I167" s="12"/>
      <c r="J167" s="12"/>
      <c r="K167" s="12"/>
      <c r="L167" s="12"/>
      <c r="M167" s="12"/>
    </row>
    <row r="168" spans="1:13">
      <c r="A168" s="12"/>
      <c r="B168" s="12"/>
      <c r="C168" s="18"/>
      <c r="D168" s="14"/>
      <c r="E168" s="18"/>
      <c r="F168" s="14"/>
      <c r="G168" s="18"/>
      <c r="H168" s="14"/>
      <c r="I168" s="12"/>
      <c r="J168" s="12"/>
      <c r="K168" s="12"/>
      <c r="L168" s="12"/>
      <c r="M168" s="12"/>
    </row>
    <row r="169" spans="1:13">
      <c r="A169" s="12"/>
      <c r="B169" s="12"/>
      <c r="C169" s="18"/>
      <c r="D169" s="14"/>
      <c r="E169" s="18"/>
      <c r="F169" s="14"/>
      <c r="G169" s="18"/>
      <c r="H169" s="14"/>
      <c r="I169" s="12"/>
      <c r="J169" s="12"/>
      <c r="K169" s="12"/>
      <c r="L169" s="12"/>
      <c r="M169" s="12"/>
    </row>
    <row r="170" spans="1:13">
      <c r="A170" s="12"/>
      <c r="B170" s="12"/>
      <c r="C170" s="18"/>
      <c r="D170" s="14"/>
      <c r="E170" s="18"/>
      <c r="F170" s="14"/>
      <c r="G170" s="18"/>
      <c r="H170" s="14"/>
      <c r="I170" s="12"/>
      <c r="J170" s="12"/>
      <c r="K170" s="12"/>
      <c r="L170" s="12"/>
      <c r="M170" s="12"/>
    </row>
    <row r="171" spans="1:13">
      <c r="A171" s="12"/>
      <c r="B171" s="12"/>
      <c r="C171" s="18"/>
      <c r="D171" s="14"/>
      <c r="E171" s="18"/>
      <c r="F171" s="14"/>
      <c r="G171" s="18"/>
      <c r="H171" s="14"/>
      <c r="I171" s="12"/>
      <c r="J171" s="12"/>
      <c r="K171" s="12"/>
      <c r="L171" s="12"/>
      <c r="M171" s="12"/>
    </row>
    <row r="172" spans="1:13">
      <c r="A172" s="12"/>
      <c r="B172" s="12"/>
      <c r="C172" s="18"/>
      <c r="D172" s="14"/>
      <c r="E172" s="18"/>
      <c r="F172" s="14"/>
      <c r="G172" s="18"/>
      <c r="H172" s="14"/>
      <c r="I172" s="12"/>
      <c r="J172" s="12"/>
      <c r="K172" s="12"/>
      <c r="L172" s="12"/>
      <c r="M172" s="12"/>
    </row>
    <row r="173" spans="1:13">
      <c r="A173" s="12"/>
      <c r="B173" s="12"/>
      <c r="C173" s="18"/>
      <c r="D173" s="14"/>
      <c r="E173" s="18"/>
      <c r="F173" s="14"/>
      <c r="G173" s="18"/>
      <c r="H173" s="14"/>
      <c r="I173" s="12"/>
      <c r="J173" s="12"/>
      <c r="K173" s="12"/>
      <c r="L173" s="12"/>
      <c r="M173" s="12"/>
    </row>
    <row r="174" spans="1:13">
      <c r="A174" s="12"/>
      <c r="B174" s="12"/>
      <c r="C174" s="18"/>
      <c r="D174" s="14"/>
      <c r="E174" s="18"/>
      <c r="F174" s="14"/>
      <c r="G174" s="18"/>
      <c r="H174" s="14"/>
      <c r="I174" s="12"/>
      <c r="J174" s="12"/>
      <c r="K174" s="12"/>
      <c r="L174" s="12"/>
      <c r="M174" s="12"/>
    </row>
    <row r="175" spans="1:13">
      <c r="A175" s="12"/>
      <c r="B175" s="12"/>
      <c r="C175" s="18"/>
      <c r="D175" s="14"/>
      <c r="E175" s="18"/>
      <c r="F175" s="14"/>
      <c r="G175" s="18"/>
      <c r="H175" s="14"/>
      <c r="I175" s="12"/>
      <c r="J175" s="12"/>
      <c r="K175" s="12"/>
      <c r="L175" s="12"/>
      <c r="M175" s="12"/>
    </row>
    <row r="176" spans="1:13">
      <c r="A176" s="12"/>
      <c r="B176" s="12"/>
      <c r="C176" s="18"/>
      <c r="D176" s="14"/>
      <c r="E176" s="18"/>
      <c r="F176" s="14"/>
      <c r="G176" s="18"/>
      <c r="H176" s="14"/>
      <c r="I176" s="12"/>
      <c r="J176" s="12"/>
      <c r="K176" s="12"/>
      <c r="L176" s="12"/>
      <c r="M176" s="12"/>
    </row>
    <row r="177" spans="1:13">
      <c r="A177" s="12"/>
      <c r="B177" s="12"/>
      <c r="C177" s="18"/>
      <c r="D177" s="14"/>
      <c r="E177" s="18"/>
      <c r="F177" s="14"/>
      <c r="G177" s="18"/>
      <c r="H177" s="14"/>
      <c r="I177" s="12"/>
      <c r="J177" s="12"/>
      <c r="K177" s="12"/>
      <c r="L177" s="12"/>
      <c r="M177" s="12"/>
    </row>
    <row r="178" spans="1:13">
      <c r="A178" s="12"/>
      <c r="B178" s="12"/>
      <c r="C178" s="18"/>
      <c r="D178" s="14"/>
      <c r="E178" s="18"/>
      <c r="F178" s="14"/>
      <c r="G178" s="18"/>
      <c r="H178" s="14"/>
      <c r="I178" s="12"/>
      <c r="J178" s="12"/>
      <c r="K178" s="12"/>
      <c r="L178" s="12"/>
      <c r="M178" s="12"/>
    </row>
    <row r="179" spans="1:13">
      <c r="A179" s="12"/>
      <c r="B179" s="12"/>
      <c r="C179" s="18"/>
      <c r="D179" s="14"/>
      <c r="E179" s="18"/>
      <c r="F179" s="14"/>
      <c r="G179" s="18"/>
      <c r="H179" s="14"/>
      <c r="I179" s="12"/>
      <c r="J179" s="12"/>
      <c r="K179" s="12"/>
      <c r="L179" s="12"/>
      <c r="M179" s="12"/>
    </row>
    <row r="180" spans="1:13">
      <c r="A180" s="12"/>
      <c r="B180" s="12"/>
      <c r="C180" s="18"/>
      <c r="D180" s="14"/>
      <c r="E180" s="18"/>
      <c r="F180" s="14"/>
      <c r="G180" s="18"/>
      <c r="H180" s="14"/>
      <c r="I180" s="12"/>
      <c r="J180" s="12"/>
      <c r="K180" s="12"/>
      <c r="L180" s="12"/>
      <c r="M180" s="12"/>
    </row>
    <row r="181" spans="1:13">
      <c r="A181" s="12"/>
      <c r="B181" s="12"/>
      <c r="C181" s="18"/>
      <c r="D181" s="14"/>
      <c r="E181" s="18"/>
      <c r="F181" s="14"/>
      <c r="G181" s="18"/>
      <c r="H181" s="14"/>
      <c r="I181" s="12"/>
      <c r="J181" s="12"/>
      <c r="K181" s="12"/>
      <c r="L181" s="12"/>
      <c r="M181" s="12"/>
    </row>
    <row r="182" spans="1:13">
      <c r="A182" s="12"/>
      <c r="B182" s="12"/>
      <c r="C182" s="18"/>
      <c r="D182" s="14"/>
      <c r="E182" s="18"/>
      <c r="F182" s="14"/>
      <c r="G182" s="18"/>
      <c r="H182" s="14"/>
      <c r="I182" s="12"/>
      <c r="J182" s="12"/>
      <c r="K182" s="12"/>
      <c r="L182" s="12"/>
      <c r="M182" s="12"/>
    </row>
    <row r="183" spans="1:13">
      <c r="A183" s="12"/>
      <c r="B183" s="12"/>
      <c r="C183" s="18"/>
      <c r="D183" s="14"/>
      <c r="E183" s="18"/>
      <c r="F183" s="14"/>
      <c r="G183" s="18"/>
      <c r="H183" s="14"/>
      <c r="I183" s="12"/>
      <c r="J183" s="12"/>
      <c r="K183" s="12"/>
      <c r="L183" s="12"/>
      <c r="M183" s="12"/>
    </row>
    <row r="184" spans="1:13">
      <c r="A184" s="12"/>
      <c r="B184" s="12"/>
      <c r="C184" s="18"/>
      <c r="D184" s="14"/>
      <c r="E184" s="18"/>
      <c r="F184" s="14"/>
      <c r="G184" s="18"/>
      <c r="H184" s="14"/>
      <c r="I184" s="12"/>
      <c r="J184" s="12"/>
      <c r="K184" s="12"/>
      <c r="L184" s="12"/>
      <c r="M184" s="12"/>
    </row>
    <row r="185" spans="1:13">
      <c r="A185" s="12"/>
      <c r="B185" s="12"/>
      <c r="C185" s="18"/>
      <c r="D185" s="14"/>
      <c r="E185" s="18"/>
      <c r="F185" s="14"/>
      <c r="G185" s="18"/>
      <c r="H185" s="14"/>
      <c r="I185" s="12"/>
      <c r="J185" s="12"/>
      <c r="K185" s="12"/>
      <c r="L185" s="12"/>
      <c r="M185" s="12"/>
    </row>
    <row r="186" spans="1:13">
      <c r="A186" s="12"/>
      <c r="B186" s="12"/>
      <c r="C186" s="18"/>
      <c r="D186" s="14"/>
      <c r="E186" s="18"/>
      <c r="F186" s="14"/>
      <c r="G186" s="18"/>
      <c r="H186" s="14"/>
      <c r="I186" s="12"/>
      <c r="J186" s="12"/>
      <c r="K186" s="12"/>
      <c r="L186" s="12"/>
      <c r="M186" s="12"/>
    </row>
    <row r="187" spans="1:13">
      <c r="A187" s="12"/>
      <c r="B187" s="12"/>
      <c r="C187" s="18"/>
      <c r="D187" s="14"/>
      <c r="E187" s="18"/>
      <c r="F187" s="14"/>
      <c r="G187" s="18"/>
      <c r="H187" s="14"/>
      <c r="I187" s="12"/>
      <c r="J187" s="12"/>
      <c r="K187" s="12"/>
      <c r="L187" s="12"/>
      <c r="M187" s="12"/>
    </row>
    <row r="188" spans="1:13">
      <c r="A188" s="12"/>
      <c r="B188" s="12"/>
      <c r="C188" s="18"/>
      <c r="D188" s="14"/>
      <c r="E188" s="18"/>
      <c r="F188" s="14"/>
      <c r="G188" s="18"/>
      <c r="H188" s="14"/>
      <c r="I188" s="12"/>
      <c r="J188" s="12"/>
      <c r="K188" s="12"/>
      <c r="L188" s="12"/>
      <c r="M188" s="12"/>
    </row>
    <row r="189" spans="1:13">
      <c r="A189" s="12"/>
      <c r="B189" s="12"/>
      <c r="C189" s="18"/>
      <c r="D189" s="14"/>
      <c r="E189" s="18"/>
      <c r="F189" s="14"/>
      <c r="G189" s="18"/>
      <c r="H189" s="14"/>
      <c r="I189" s="12"/>
      <c r="J189" s="12"/>
      <c r="K189" s="12"/>
      <c r="L189" s="12"/>
      <c r="M189" s="12"/>
    </row>
    <row r="190" spans="1:13">
      <c r="A190" s="12"/>
      <c r="B190" s="12"/>
      <c r="C190" s="18"/>
      <c r="D190" s="14"/>
      <c r="E190" s="18"/>
      <c r="F190" s="14"/>
      <c r="G190" s="18"/>
      <c r="H190" s="14"/>
      <c r="I190" s="12"/>
      <c r="J190" s="12"/>
      <c r="K190" s="12"/>
      <c r="L190" s="12"/>
      <c r="M190" s="12"/>
    </row>
    <row r="191" spans="1:13">
      <c r="A191" s="12"/>
      <c r="B191" s="12"/>
      <c r="C191" s="18"/>
      <c r="D191" s="14"/>
      <c r="E191" s="18"/>
      <c r="F191" s="14"/>
      <c r="G191" s="18"/>
      <c r="H191" s="14"/>
      <c r="I191" s="12"/>
      <c r="J191" s="12"/>
      <c r="K191" s="12"/>
      <c r="L191" s="12"/>
      <c r="M191" s="12"/>
    </row>
    <row r="192" spans="1:13">
      <c r="A192" s="12"/>
      <c r="B192" s="12"/>
      <c r="C192" s="18"/>
      <c r="D192" s="14"/>
      <c r="E192" s="18"/>
      <c r="F192" s="14"/>
      <c r="G192" s="18"/>
      <c r="H192" s="14"/>
      <c r="I192" s="12"/>
      <c r="J192" s="12"/>
      <c r="K192" s="12"/>
      <c r="L192" s="12"/>
      <c r="M192" s="12"/>
    </row>
    <row r="193" spans="1:13">
      <c r="A193" s="12"/>
      <c r="B193" s="12"/>
      <c r="C193" s="18"/>
      <c r="D193" s="14"/>
      <c r="E193" s="18"/>
      <c r="F193" s="14"/>
      <c r="G193" s="18"/>
      <c r="H193" s="14"/>
      <c r="I193" s="12"/>
      <c r="J193" s="12"/>
      <c r="K193" s="12"/>
      <c r="L193" s="12"/>
      <c r="M193" s="12"/>
    </row>
    <row r="194" spans="1:13">
      <c r="A194" s="12"/>
      <c r="B194" s="12"/>
      <c r="C194" s="18"/>
      <c r="D194" s="14"/>
      <c r="E194" s="18"/>
      <c r="F194" s="14"/>
      <c r="G194" s="18"/>
      <c r="H194" s="14"/>
      <c r="I194" s="12"/>
      <c r="J194" s="12"/>
      <c r="K194" s="12"/>
      <c r="L194" s="12"/>
      <c r="M194" s="12"/>
    </row>
    <row r="195" spans="1:13">
      <c r="A195" s="12"/>
      <c r="B195" s="12"/>
      <c r="C195" s="18"/>
      <c r="D195" s="14"/>
      <c r="E195" s="18"/>
      <c r="F195" s="14"/>
      <c r="G195" s="18"/>
      <c r="H195" s="14"/>
      <c r="I195" s="12"/>
      <c r="J195" s="12"/>
      <c r="K195" s="12"/>
      <c r="L195" s="12"/>
      <c r="M195" s="12"/>
    </row>
    <row r="196" spans="1:13">
      <c r="A196" s="12"/>
      <c r="B196" s="12"/>
      <c r="C196" s="18"/>
      <c r="D196" s="14"/>
      <c r="E196" s="18"/>
      <c r="F196" s="14"/>
      <c r="G196" s="18"/>
      <c r="H196" s="14"/>
      <c r="I196" s="12"/>
      <c r="J196" s="12"/>
      <c r="K196" s="12"/>
      <c r="L196" s="12"/>
      <c r="M196" s="12"/>
    </row>
    <row r="197" spans="1:13">
      <c r="A197" s="12"/>
      <c r="B197" s="12"/>
      <c r="C197" s="18"/>
      <c r="D197" s="14"/>
      <c r="E197" s="18"/>
      <c r="F197" s="14"/>
      <c r="G197" s="18"/>
      <c r="H197" s="14"/>
      <c r="I197" s="12"/>
      <c r="J197" s="12"/>
      <c r="K197" s="12"/>
      <c r="L197" s="12"/>
      <c r="M197" s="12"/>
    </row>
    <row r="198" spans="1:13">
      <c r="A198" s="12"/>
      <c r="B198" s="12"/>
      <c r="C198" s="18"/>
      <c r="D198" s="14"/>
      <c r="E198" s="18"/>
      <c r="F198" s="14"/>
      <c r="G198" s="18"/>
      <c r="H198" s="14"/>
      <c r="I198" s="12"/>
      <c r="J198" s="12"/>
      <c r="K198" s="12"/>
      <c r="L198" s="12"/>
      <c r="M198" s="12"/>
    </row>
    <row r="199" spans="1:13">
      <c r="A199" s="12"/>
      <c r="B199" s="12"/>
      <c r="C199" s="18"/>
      <c r="D199" s="14"/>
      <c r="E199" s="18"/>
      <c r="F199" s="14"/>
      <c r="G199" s="18"/>
      <c r="H199" s="14"/>
      <c r="I199" s="12"/>
      <c r="J199" s="12"/>
      <c r="K199" s="12"/>
      <c r="L199" s="12"/>
      <c r="M199" s="12"/>
    </row>
    <row r="200" spans="1:13">
      <c r="A200" s="12"/>
      <c r="B200" s="12"/>
      <c r="C200" s="18"/>
      <c r="D200" s="14"/>
      <c r="E200" s="18"/>
      <c r="F200" s="14"/>
      <c r="G200" s="18"/>
      <c r="H200" s="14"/>
      <c r="I200" s="12"/>
      <c r="J200" s="12"/>
      <c r="K200" s="12"/>
      <c r="L200" s="12"/>
      <c r="M200" s="12"/>
    </row>
    <row r="201" spans="1:13">
      <c r="A201" s="12"/>
      <c r="B201" s="12"/>
      <c r="C201" s="18"/>
      <c r="D201" s="14"/>
      <c r="E201" s="18"/>
      <c r="F201" s="14"/>
      <c r="G201" s="18"/>
      <c r="H201" s="14"/>
      <c r="I201" s="12"/>
      <c r="J201" s="12"/>
      <c r="K201" s="12"/>
      <c r="L201" s="12"/>
      <c r="M201" s="12"/>
    </row>
    <row r="202" spans="1:13">
      <c r="A202" s="12"/>
      <c r="B202" s="12"/>
      <c r="C202" s="18"/>
      <c r="D202" s="14"/>
      <c r="E202" s="18"/>
      <c r="F202" s="14"/>
      <c r="G202" s="18"/>
      <c r="H202" s="14"/>
      <c r="I202" s="12"/>
      <c r="J202" s="12"/>
      <c r="K202" s="12"/>
      <c r="L202" s="12"/>
      <c r="M202" s="12"/>
    </row>
    <row r="203" spans="1:13">
      <c r="A203" s="12"/>
      <c r="B203" s="12"/>
      <c r="C203" s="18"/>
      <c r="D203" s="14"/>
      <c r="E203" s="18"/>
      <c r="F203" s="14"/>
      <c r="G203" s="18"/>
      <c r="H203" s="14"/>
      <c r="I203" s="12"/>
      <c r="J203" s="12"/>
      <c r="K203" s="12"/>
      <c r="L203" s="12"/>
      <c r="M203" s="12"/>
    </row>
    <row r="204" spans="1:13">
      <c r="A204" s="12"/>
      <c r="B204" s="12"/>
      <c r="C204" s="18"/>
      <c r="D204" s="14"/>
      <c r="E204" s="18"/>
      <c r="F204" s="14"/>
      <c r="G204" s="18"/>
      <c r="H204" s="14"/>
      <c r="I204" s="12"/>
      <c r="J204" s="12"/>
      <c r="K204" s="12"/>
      <c r="L204" s="12"/>
      <c r="M204" s="12"/>
    </row>
    <row r="205" spans="1:13">
      <c r="A205" s="12"/>
      <c r="B205" s="12"/>
      <c r="C205" s="18"/>
      <c r="D205" s="14"/>
      <c r="E205" s="18"/>
      <c r="F205" s="14"/>
      <c r="G205" s="18"/>
      <c r="H205" s="14"/>
      <c r="I205" s="12"/>
      <c r="J205" s="12"/>
      <c r="K205" s="12"/>
      <c r="L205" s="12"/>
      <c r="M205" s="12"/>
    </row>
    <row r="206" spans="1:13">
      <c r="A206" s="12"/>
      <c r="B206" s="12"/>
      <c r="C206" s="18"/>
      <c r="D206" s="14"/>
      <c r="E206" s="18"/>
      <c r="F206" s="14"/>
      <c r="G206" s="18"/>
      <c r="H206" s="14"/>
      <c r="I206" s="12"/>
      <c r="J206" s="12"/>
      <c r="K206" s="12"/>
      <c r="L206" s="12"/>
      <c r="M206" s="12"/>
    </row>
    <row r="207" spans="1:13">
      <c r="A207" s="12"/>
      <c r="B207" s="12"/>
      <c r="C207" s="18"/>
      <c r="D207" s="14"/>
      <c r="E207" s="18"/>
      <c r="F207" s="14"/>
      <c r="G207" s="18"/>
      <c r="H207" s="14"/>
      <c r="I207" s="12"/>
      <c r="J207" s="12"/>
      <c r="K207" s="12"/>
      <c r="L207" s="12"/>
      <c r="M207" s="12"/>
    </row>
    <row r="208" spans="1:13">
      <c r="A208" s="12"/>
      <c r="B208" s="12"/>
      <c r="C208" s="18"/>
      <c r="D208" s="14"/>
      <c r="E208" s="18"/>
      <c r="F208" s="14"/>
      <c r="G208" s="18"/>
      <c r="H208" s="14"/>
      <c r="I208" s="12"/>
      <c r="J208" s="12"/>
      <c r="K208" s="12"/>
      <c r="L208" s="12"/>
      <c r="M208" s="12"/>
    </row>
    <row r="209" spans="1:13">
      <c r="A209" s="12"/>
      <c r="B209" s="12"/>
      <c r="C209" s="18"/>
      <c r="D209" s="14"/>
      <c r="E209" s="18"/>
      <c r="F209" s="14"/>
      <c r="G209" s="18"/>
      <c r="H209" s="14"/>
      <c r="I209" s="12"/>
      <c r="J209" s="12"/>
      <c r="K209" s="12"/>
      <c r="L209" s="12"/>
      <c r="M209" s="12"/>
    </row>
    <row r="210" spans="1:13">
      <c r="A210" s="12"/>
      <c r="B210" s="12"/>
      <c r="C210" s="18"/>
      <c r="D210" s="14"/>
      <c r="E210" s="18"/>
      <c r="F210" s="14"/>
      <c r="G210" s="18"/>
      <c r="H210" s="14"/>
      <c r="I210" s="12"/>
      <c r="J210" s="12"/>
      <c r="K210" s="12"/>
      <c r="L210" s="12"/>
      <c r="M210" s="12"/>
    </row>
    <row r="211" spans="1:13">
      <c r="A211" s="12"/>
      <c r="B211" s="12"/>
      <c r="C211" s="18"/>
      <c r="D211" s="14"/>
      <c r="E211" s="18"/>
      <c r="F211" s="14"/>
      <c r="G211" s="18"/>
      <c r="H211" s="14"/>
      <c r="I211" s="12"/>
      <c r="J211" s="12"/>
      <c r="K211" s="12"/>
      <c r="L211" s="12"/>
      <c r="M211" s="12"/>
    </row>
    <row r="212" spans="1:13">
      <c r="A212" s="12"/>
      <c r="B212" s="12"/>
      <c r="C212" s="18"/>
      <c r="D212" s="14"/>
      <c r="E212" s="18"/>
      <c r="F212" s="14"/>
      <c r="G212" s="18"/>
      <c r="H212" s="14"/>
      <c r="I212" s="12"/>
      <c r="J212" s="12"/>
      <c r="K212" s="12"/>
      <c r="L212" s="12"/>
      <c r="M212" s="12"/>
    </row>
    <row r="213" spans="1:13">
      <c r="A213" s="12"/>
      <c r="B213" s="12"/>
      <c r="C213" s="18"/>
      <c r="D213" s="14"/>
      <c r="E213" s="18"/>
      <c r="F213" s="14"/>
      <c r="G213" s="18"/>
      <c r="H213" s="14"/>
      <c r="I213" s="12"/>
      <c r="J213" s="12"/>
      <c r="K213" s="12"/>
      <c r="L213" s="12"/>
      <c r="M213" s="12"/>
    </row>
    <row r="214" spans="1:13">
      <c r="A214" s="12"/>
      <c r="B214" s="12"/>
      <c r="C214" s="18"/>
      <c r="D214" s="14"/>
      <c r="E214" s="18"/>
      <c r="F214" s="14"/>
      <c r="G214" s="18"/>
      <c r="H214" s="14"/>
      <c r="I214" s="12"/>
      <c r="J214" s="12"/>
      <c r="K214" s="12"/>
      <c r="L214" s="12"/>
      <c r="M214" s="12"/>
    </row>
    <row r="215" spans="1:13">
      <c r="A215" s="12"/>
      <c r="B215" s="12"/>
      <c r="C215" s="18"/>
      <c r="D215" s="14"/>
      <c r="E215" s="18"/>
      <c r="F215" s="14"/>
      <c r="G215" s="18"/>
      <c r="H215" s="14"/>
      <c r="I215" s="12"/>
      <c r="J215" s="12"/>
      <c r="K215" s="12"/>
      <c r="L215" s="12"/>
      <c r="M215" s="12"/>
    </row>
    <row r="216" spans="1:13">
      <c r="A216" s="12"/>
      <c r="B216" s="12"/>
      <c r="C216" s="18"/>
      <c r="D216" s="14"/>
      <c r="E216" s="18"/>
      <c r="F216" s="14"/>
      <c r="G216" s="18"/>
      <c r="H216" s="14"/>
      <c r="I216" s="12"/>
      <c r="J216" s="12"/>
      <c r="K216" s="12"/>
      <c r="L216" s="12"/>
      <c r="M216" s="12"/>
    </row>
    <row r="217" spans="1:13">
      <c r="A217" s="12"/>
      <c r="B217" s="12"/>
      <c r="C217" s="18"/>
      <c r="D217" s="14"/>
      <c r="E217" s="18"/>
      <c r="F217" s="14"/>
      <c r="G217" s="18"/>
      <c r="H217" s="14"/>
      <c r="I217" s="12"/>
      <c r="J217" s="12"/>
      <c r="K217" s="12"/>
      <c r="L217" s="12"/>
      <c r="M217" s="12"/>
    </row>
    <row r="218" spans="1:13">
      <c r="A218" s="12"/>
      <c r="B218" s="12"/>
      <c r="C218" s="18"/>
      <c r="D218" s="14"/>
      <c r="E218" s="18"/>
      <c r="F218" s="14"/>
      <c r="G218" s="18"/>
      <c r="H218" s="14"/>
      <c r="I218" s="12"/>
      <c r="J218" s="12"/>
      <c r="K218" s="12"/>
      <c r="L218" s="12"/>
      <c r="M218" s="12"/>
    </row>
    <row r="219" spans="1:13">
      <c r="A219" s="12"/>
      <c r="B219" s="12"/>
      <c r="C219" s="18"/>
      <c r="D219" s="14"/>
      <c r="E219" s="18"/>
      <c r="F219" s="14"/>
      <c r="G219" s="18"/>
      <c r="H219" s="14"/>
      <c r="I219" s="12"/>
      <c r="J219" s="12"/>
      <c r="K219" s="12"/>
      <c r="L219" s="12"/>
      <c r="M219" s="12"/>
    </row>
    <row r="220" spans="1:13">
      <c r="A220" s="12"/>
      <c r="B220" s="12"/>
      <c r="C220" s="18"/>
      <c r="D220" s="14"/>
      <c r="E220" s="18"/>
      <c r="F220" s="14"/>
      <c r="G220" s="18"/>
      <c r="H220" s="14"/>
      <c r="I220" s="12"/>
      <c r="J220" s="12"/>
      <c r="K220" s="12"/>
      <c r="L220" s="12"/>
      <c r="M220" s="12"/>
    </row>
    <row r="221" spans="1:13">
      <c r="A221" s="12"/>
      <c r="B221" s="12"/>
      <c r="C221" s="18"/>
      <c r="D221" s="14"/>
      <c r="E221" s="18"/>
      <c r="F221" s="14"/>
      <c r="G221" s="18"/>
      <c r="H221" s="14"/>
      <c r="I221" s="12"/>
      <c r="J221" s="12"/>
      <c r="K221" s="12"/>
      <c r="L221" s="12"/>
      <c r="M221" s="12"/>
    </row>
    <row r="222" spans="1:13">
      <c r="A222" s="12"/>
      <c r="B222" s="12"/>
      <c r="C222" s="18"/>
      <c r="D222" s="14"/>
      <c r="E222" s="18"/>
      <c r="F222" s="14"/>
      <c r="G222" s="18"/>
      <c r="H222" s="14"/>
      <c r="I222" s="12"/>
      <c r="J222" s="12"/>
      <c r="K222" s="12"/>
      <c r="L222" s="12"/>
      <c r="M222" s="12"/>
    </row>
    <row r="223" spans="1:13">
      <c r="A223" s="12"/>
      <c r="B223" s="12"/>
      <c r="C223" s="18"/>
      <c r="D223" s="14"/>
      <c r="E223" s="18"/>
      <c r="F223" s="14"/>
      <c r="G223" s="18"/>
      <c r="H223" s="14"/>
      <c r="I223" s="12"/>
      <c r="J223" s="12"/>
      <c r="K223" s="12"/>
      <c r="L223" s="12"/>
      <c r="M223" s="12"/>
    </row>
    <row r="224" spans="1:13">
      <c r="A224" s="12"/>
      <c r="B224" s="12"/>
      <c r="C224" s="18"/>
      <c r="D224" s="14"/>
      <c r="E224" s="18"/>
      <c r="F224" s="14"/>
      <c r="G224" s="18"/>
      <c r="H224" s="14"/>
      <c r="I224" s="12"/>
      <c r="J224" s="12"/>
      <c r="K224" s="12"/>
      <c r="L224" s="12"/>
      <c r="M224" s="12"/>
    </row>
    <row r="225" spans="1:13">
      <c r="A225" s="12"/>
      <c r="B225" s="12"/>
      <c r="C225" s="18"/>
      <c r="D225" s="14"/>
      <c r="E225" s="18"/>
      <c r="F225" s="14"/>
      <c r="G225" s="18"/>
      <c r="H225" s="14"/>
      <c r="I225" s="12"/>
      <c r="J225" s="12"/>
      <c r="K225" s="12"/>
      <c r="L225" s="12"/>
      <c r="M225" s="12"/>
    </row>
    <row r="226" spans="1:13">
      <c r="A226" s="12"/>
      <c r="B226" s="12"/>
      <c r="C226" s="18"/>
      <c r="D226" s="14"/>
      <c r="E226" s="18"/>
      <c r="F226" s="14"/>
      <c r="G226" s="18"/>
      <c r="H226" s="14"/>
      <c r="I226" s="12"/>
      <c r="J226" s="12"/>
      <c r="K226" s="12"/>
      <c r="L226" s="12"/>
      <c r="M226" s="12"/>
    </row>
    <row r="227" spans="1:13">
      <c r="A227" s="12"/>
      <c r="B227" s="12"/>
      <c r="C227" s="18"/>
      <c r="D227" s="14"/>
      <c r="E227" s="18"/>
      <c r="F227" s="14"/>
      <c r="G227" s="18"/>
      <c r="H227" s="14"/>
      <c r="I227" s="12"/>
      <c r="J227" s="12"/>
      <c r="K227" s="12"/>
      <c r="L227" s="12"/>
      <c r="M227" s="12"/>
    </row>
    <row r="228" spans="1:13">
      <c r="A228" s="12"/>
      <c r="B228" s="12"/>
      <c r="C228" s="18"/>
      <c r="D228" s="14"/>
      <c r="E228" s="18"/>
      <c r="F228" s="14"/>
      <c r="G228" s="18"/>
      <c r="H228" s="14"/>
      <c r="I228" s="12"/>
      <c r="J228" s="12"/>
      <c r="K228" s="12"/>
      <c r="L228" s="12"/>
      <c r="M228" s="12"/>
    </row>
    <row r="229" spans="1:13">
      <c r="A229" s="12"/>
      <c r="B229" s="12"/>
      <c r="C229" s="18"/>
      <c r="D229" s="14"/>
      <c r="E229" s="18"/>
      <c r="F229" s="14"/>
      <c r="G229" s="18"/>
      <c r="H229" s="14"/>
      <c r="I229" s="12"/>
      <c r="J229" s="12"/>
      <c r="K229" s="12"/>
      <c r="L229" s="12"/>
      <c r="M229" s="12"/>
    </row>
    <row r="230" spans="1:13">
      <c r="A230" s="12"/>
      <c r="B230" s="12"/>
      <c r="C230" s="18"/>
      <c r="D230" s="14"/>
      <c r="E230" s="18"/>
      <c r="F230" s="14"/>
      <c r="G230" s="18"/>
      <c r="H230" s="14"/>
      <c r="I230" s="12"/>
      <c r="J230" s="12"/>
      <c r="K230" s="12"/>
      <c r="L230" s="12"/>
      <c r="M230" s="12"/>
    </row>
    <row r="231" spans="1:13">
      <c r="A231" s="12"/>
      <c r="B231" s="12"/>
      <c r="C231" s="18"/>
      <c r="D231" s="14"/>
      <c r="E231" s="18"/>
      <c r="F231" s="14"/>
      <c r="G231" s="18"/>
      <c r="H231" s="14"/>
      <c r="I231" s="12"/>
      <c r="J231" s="12"/>
      <c r="K231" s="12"/>
      <c r="L231" s="12"/>
      <c r="M231" s="12"/>
    </row>
    <row r="232" spans="1:13">
      <c r="A232" s="12"/>
      <c r="B232" s="12"/>
      <c r="C232" s="18"/>
      <c r="D232" s="14"/>
      <c r="E232" s="18"/>
      <c r="F232" s="14"/>
      <c r="G232" s="18"/>
      <c r="H232" s="14"/>
      <c r="I232" s="12"/>
      <c r="J232" s="12"/>
      <c r="K232" s="12"/>
      <c r="L232" s="12"/>
      <c r="M232" s="12"/>
    </row>
    <row r="233" spans="1:13">
      <c r="A233" s="12"/>
      <c r="B233" s="12"/>
      <c r="C233" s="18"/>
      <c r="D233" s="14"/>
      <c r="E233" s="18"/>
      <c r="F233" s="14"/>
      <c r="G233" s="18"/>
      <c r="H233" s="14"/>
      <c r="I233" s="12"/>
      <c r="J233" s="12"/>
      <c r="K233" s="12"/>
      <c r="L233" s="12"/>
      <c r="M233" s="12"/>
    </row>
    <row r="234" spans="1:13">
      <c r="A234" s="12"/>
      <c r="B234" s="12"/>
      <c r="C234" s="18"/>
      <c r="D234" s="14"/>
      <c r="E234" s="18"/>
      <c r="F234" s="14"/>
      <c r="G234" s="18"/>
      <c r="H234" s="14"/>
      <c r="I234" s="12"/>
      <c r="J234" s="12"/>
      <c r="K234" s="12"/>
      <c r="L234" s="12"/>
      <c r="M234" s="12"/>
    </row>
    <row r="235" spans="1:13">
      <c r="A235" s="12"/>
      <c r="B235" s="12"/>
      <c r="C235" s="18"/>
      <c r="D235" s="14"/>
      <c r="E235" s="18"/>
      <c r="F235" s="14"/>
      <c r="G235" s="18"/>
      <c r="H235" s="14"/>
      <c r="I235" s="12"/>
      <c r="J235" s="12"/>
      <c r="K235" s="12"/>
      <c r="L235" s="12"/>
      <c r="M235" s="12"/>
    </row>
    <row r="236" spans="1:13">
      <c r="A236" s="12"/>
      <c r="B236" s="12"/>
      <c r="C236" s="18"/>
      <c r="D236" s="14"/>
      <c r="E236" s="18"/>
      <c r="F236" s="14"/>
      <c r="G236" s="18"/>
      <c r="H236" s="14"/>
      <c r="I236" s="12"/>
      <c r="J236" s="12"/>
      <c r="K236" s="12"/>
      <c r="L236" s="12"/>
      <c r="M236" s="12"/>
    </row>
    <row r="237" spans="1:13">
      <c r="A237" s="12"/>
      <c r="B237" s="12"/>
      <c r="C237" s="18"/>
      <c r="D237" s="14"/>
      <c r="E237" s="18"/>
      <c r="F237" s="14"/>
      <c r="G237" s="18"/>
      <c r="H237" s="14"/>
      <c r="I237" s="12"/>
      <c r="J237" s="12"/>
      <c r="K237" s="12"/>
      <c r="L237" s="12"/>
      <c r="M237" s="12"/>
    </row>
    <row r="238" spans="1:13">
      <c r="A238" s="12"/>
      <c r="B238" s="12"/>
      <c r="C238" s="18"/>
      <c r="D238" s="14"/>
      <c r="E238" s="18"/>
      <c r="F238" s="14"/>
      <c r="G238" s="18"/>
      <c r="H238" s="14"/>
      <c r="I238" s="12"/>
      <c r="J238" s="12"/>
      <c r="K238" s="12"/>
      <c r="L238" s="12"/>
      <c r="M238" s="12"/>
    </row>
    <row r="239" spans="1:13">
      <c r="A239" s="12"/>
      <c r="B239" s="12"/>
      <c r="C239" s="18"/>
      <c r="D239" s="14"/>
      <c r="E239" s="18"/>
      <c r="F239" s="14"/>
      <c r="G239" s="18"/>
      <c r="H239" s="14"/>
      <c r="I239" s="12"/>
      <c r="J239" s="12"/>
      <c r="K239" s="12"/>
      <c r="L239" s="12"/>
      <c r="M239" s="12"/>
    </row>
    <row r="240" spans="1:13">
      <c r="A240" s="12"/>
      <c r="B240" s="12"/>
      <c r="C240" s="18"/>
      <c r="D240" s="14"/>
      <c r="E240" s="18"/>
      <c r="F240" s="14"/>
      <c r="G240" s="18"/>
      <c r="H240" s="14"/>
      <c r="I240" s="12"/>
      <c r="J240" s="12"/>
      <c r="K240" s="12"/>
      <c r="L240" s="12"/>
      <c r="M240" s="12"/>
    </row>
    <row r="241" spans="1:13">
      <c r="A241" s="12"/>
      <c r="B241" s="12"/>
      <c r="C241" s="18"/>
      <c r="D241" s="14"/>
      <c r="E241" s="18"/>
      <c r="F241" s="14"/>
      <c r="G241" s="18"/>
      <c r="H241" s="14"/>
      <c r="I241" s="12"/>
      <c r="J241" s="12"/>
      <c r="K241" s="12"/>
      <c r="L241" s="12"/>
      <c r="M241" s="12"/>
    </row>
    <row r="242" spans="1:13">
      <c r="A242" s="12"/>
      <c r="B242" s="12"/>
      <c r="C242" s="18"/>
      <c r="D242" s="14"/>
      <c r="E242" s="18"/>
      <c r="F242" s="14"/>
      <c r="G242" s="18"/>
      <c r="H242" s="14"/>
      <c r="I242" s="12"/>
      <c r="J242" s="12"/>
      <c r="K242" s="12"/>
      <c r="L242" s="12"/>
      <c r="M242" s="12"/>
    </row>
    <row r="243" spans="1:13">
      <c r="A243" s="12"/>
      <c r="B243" s="12"/>
      <c r="C243" s="18"/>
      <c r="D243" s="14"/>
      <c r="E243" s="18"/>
      <c r="F243" s="14"/>
      <c r="G243" s="18"/>
      <c r="H243" s="14"/>
      <c r="I243" s="12"/>
      <c r="J243" s="12"/>
      <c r="K243" s="12"/>
      <c r="L243" s="12"/>
      <c r="M243" s="12"/>
    </row>
    <row r="244" spans="1:13">
      <c r="A244" s="12"/>
      <c r="B244" s="12"/>
      <c r="C244" s="18"/>
      <c r="D244" s="14"/>
      <c r="E244" s="18"/>
      <c r="F244" s="14"/>
      <c r="G244" s="18"/>
      <c r="H244" s="14"/>
      <c r="I244" s="12"/>
      <c r="J244" s="12"/>
      <c r="K244" s="12"/>
      <c r="L244" s="12"/>
      <c r="M244" s="12"/>
    </row>
    <row r="245" spans="1:13">
      <c r="A245" s="12"/>
      <c r="B245" s="12"/>
      <c r="C245" s="18"/>
      <c r="D245" s="14"/>
      <c r="E245" s="18"/>
      <c r="F245" s="14"/>
      <c r="G245" s="18"/>
      <c r="H245" s="14"/>
      <c r="I245" s="12"/>
      <c r="J245" s="12"/>
      <c r="K245" s="12"/>
      <c r="L245" s="12"/>
      <c r="M245" s="12"/>
    </row>
    <row r="246" spans="1:13">
      <c r="A246" s="12"/>
      <c r="B246" s="12"/>
      <c r="C246" s="18"/>
      <c r="D246" s="14"/>
      <c r="E246" s="18"/>
      <c r="F246" s="14"/>
      <c r="G246" s="18"/>
      <c r="H246" s="14"/>
      <c r="I246" s="12"/>
      <c r="J246" s="12"/>
      <c r="K246" s="12"/>
      <c r="L246" s="12"/>
      <c r="M246" s="12"/>
    </row>
    <row r="247" spans="1:13">
      <c r="A247" s="12"/>
      <c r="B247" s="12"/>
      <c r="C247" s="18"/>
      <c r="D247" s="14"/>
      <c r="E247" s="18"/>
      <c r="F247" s="14"/>
      <c r="G247" s="18"/>
      <c r="H247" s="14"/>
      <c r="I247" s="12"/>
      <c r="J247" s="12"/>
      <c r="K247" s="12"/>
      <c r="L247" s="12"/>
      <c r="M247" s="12"/>
    </row>
    <row r="248" spans="1:13">
      <c r="A248" s="12"/>
      <c r="B248" s="12"/>
      <c r="C248" s="18"/>
      <c r="D248" s="14"/>
      <c r="E248" s="18"/>
      <c r="F248" s="14"/>
      <c r="G248" s="18"/>
      <c r="H248" s="14"/>
      <c r="I248" s="12"/>
      <c r="J248" s="12"/>
      <c r="K248" s="12"/>
      <c r="L248" s="12"/>
      <c r="M248" s="12"/>
    </row>
    <row r="249" spans="1:13">
      <c r="A249" s="12"/>
      <c r="B249" s="12"/>
      <c r="C249" s="18"/>
      <c r="D249" s="14"/>
      <c r="E249" s="18"/>
      <c r="F249" s="14"/>
      <c r="G249" s="18"/>
      <c r="H249" s="14"/>
      <c r="I249" s="12"/>
      <c r="J249" s="12"/>
      <c r="K249" s="12"/>
      <c r="L249" s="12"/>
      <c r="M249" s="12"/>
    </row>
    <row r="250" spans="1:13">
      <c r="A250" s="12"/>
      <c r="B250" s="12"/>
      <c r="C250" s="18"/>
      <c r="D250" s="14"/>
      <c r="E250" s="18"/>
      <c r="F250" s="14"/>
      <c r="G250" s="18"/>
      <c r="H250" s="14"/>
      <c r="I250" s="12"/>
      <c r="J250" s="12"/>
      <c r="K250" s="12"/>
      <c r="L250" s="12"/>
      <c r="M250" s="12"/>
    </row>
    <row r="251" spans="1:13">
      <c r="A251" s="12"/>
      <c r="B251" s="12"/>
      <c r="C251" s="18"/>
      <c r="D251" s="14"/>
      <c r="E251" s="18"/>
      <c r="F251" s="14"/>
      <c r="G251" s="18"/>
      <c r="H251" s="14"/>
      <c r="I251" s="12"/>
      <c r="J251" s="12"/>
      <c r="K251" s="12"/>
      <c r="L251" s="12"/>
      <c r="M251" s="12"/>
    </row>
    <row r="252" spans="1:13">
      <c r="A252" s="12"/>
      <c r="B252" s="12"/>
      <c r="C252" s="18"/>
      <c r="D252" s="14"/>
      <c r="E252" s="18"/>
      <c r="F252" s="14"/>
      <c r="G252" s="18"/>
      <c r="H252" s="14"/>
      <c r="I252" s="12"/>
      <c r="J252" s="12"/>
      <c r="K252" s="12"/>
      <c r="L252" s="12"/>
      <c r="M252" s="12"/>
    </row>
    <row r="253" spans="1:13">
      <c r="A253" s="12"/>
      <c r="B253" s="12"/>
      <c r="C253" s="18"/>
      <c r="D253" s="14"/>
      <c r="E253" s="18"/>
      <c r="F253" s="14"/>
      <c r="G253" s="18"/>
      <c r="H253" s="14"/>
      <c r="I253" s="12"/>
      <c r="J253" s="12"/>
      <c r="K253" s="12"/>
      <c r="L253" s="12"/>
      <c r="M253" s="12"/>
    </row>
  </sheetData>
  <autoFilter ref="A3:M253"/>
  <mergeCells count="2">
    <mergeCell ref="A1:M1"/>
    <mergeCell ref="A2:M2"/>
  </mergeCells>
  <dataValidations count="1">
    <dataValidation type="list" allowBlank="1" showInputMessage="1" showErrorMessage="1" errorTitle="Choose a listed value" error="Please select an option from the dropdown." promptTitle="Room" prompt="Select from the dropdown list." sqref="A4:A253">
      <formula1>RoomNames</formula1>
    </dataValidation>
  </dataValidations>
  <pageMargins left="0.25" right="0.25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20.7109375" customWidth="1"/>
    <col min="4" max="4" width="24.7109375" customWidth="1"/>
    <col min="5" max="5" width="16.7109375" customWidth="1"/>
    <col min="6" max="6" width="26.7109375" customWidth="1"/>
    <col min="7" max="8" width="18.7109375" customWidth="1"/>
    <col min="9" max="9" width="14.7109375" customWidth="1"/>
    <col min="10" max="10" width="24.7109375" customWidth="1"/>
    <col min="11" max="11" width="28.7109375" customWidth="1"/>
    <col min="12" max="12" width="30.7109375" customWidth="1"/>
  </cols>
  <sheetData>
    <row r="1" spans="1:12" ht="30" customHeight="1">
      <c r="A1" s="1" t="s">
        <v>328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10" t="s">
        <v>329</v>
      </c>
      <c r="B3" s="10" t="s">
        <v>330</v>
      </c>
      <c r="C3" s="10" t="s">
        <v>331</v>
      </c>
      <c r="D3" s="10" t="s">
        <v>332</v>
      </c>
      <c r="E3" s="10" t="s">
        <v>333</v>
      </c>
      <c r="F3" s="10" t="s">
        <v>334</v>
      </c>
      <c r="G3" s="10" t="s">
        <v>335</v>
      </c>
      <c r="H3" s="10" t="s">
        <v>336</v>
      </c>
      <c r="I3" s="10" t="s">
        <v>287</v>
      </c>
      <c r="J3" s="10" t="s">
        <v>337</v>
      </c>
      <c r="K3" s="10" t="s">
        <v>338</v>
      </c>
      <c r="L3" s="10" t="s">
        <v>267</v>
      </c>
    </row>
    <row r="4" spans="1:12">
      <c r="A4" s="12"/>
      <c r="B4" s="12"/>
      <c r="C4" s="12"/>
      <c r="D4" s="12"/>
      <c r="E4" s="12"/>
      <c r="F4" s="18"/>
      <c r="G4" s="12"/>
      <c r="H4" s="19"/>
      <c r="I4" s="12"/>
      <c r="J4" s="12"/>
      <c r="K4" s="12"/>
      <c r="L4" s="12"/>
    </row>
    <row r="5" spans="1:12">
      <c r="A5" s="12"/>
      <c r="B5" s="12"/>
      <c r="C5" s="12"/>
      <c r="D5" s="12"/>
      <c r="E5" s="12"/>
      <c r="F5" s="18"/>
      <c r="G5" s="12"/>
      <c r="H5" s="19"/>
      <c r="I5" s="12"/>
      <c r="J5" s="12"/>
      <c r="K5" s="12"/>
      <c r="L5" s="12"/>
    </row>
    <row r="6" spans="1:12">
      <c r="A6" s="12"/>
      <c r="B6" s="12"/>
      <c r="C6" s="12"/>
      <c r="D6" s="12"/>
      <c r="E6" s="12"/>
      <c r="F6" s="18"/>
      <c r="G6" s="12"/>
      <c r="H6" s="19"/>
      <c r="I6" s="12"/>
      <c r="J6" s="12"/>
      <c r="K6" s="12"/>
      <c r="L6" s="12"/>
    </row>
    <row r="7" spans="1:12">
      <c r="A7" s="12"/>
      <c r="B7" s="12"/>
      <c r="C7" s="12"/>
      <c r="D7" s="12"/>
      <c r="E7" s="12"/>
      <c r="F7" s="18"/>
      <c r="G7" s="12"/>
      <c r="H7" s="19"/>
      <c r="I7" s="12"/>
      <c r="J7" s="12"/>
      <c r="K7" s="12"/>
      <c r="L7" s="12"/>
    </row>
    <row r="8" spans="1:12">
      <c r="A8" s="12"/>
      <c r="B8" s="12"/>
      <c r="C8" s="12"/>
      <c r="D8" s="12"/>
      <c r="E8" s="12"/>
      <c r="F8" s="18"/>
      <c r="G8" s="12"/>
      <c r="H8" s="19"/>
      <c r="I8" s="12"/>
      <c r="J8" s="12"/>
      <c r="K8" s="12"/>
      <c r="L8" s="12"/>
    </row>
    <row r="9" spans="1:12">
      <c r="A9" s="12"/>
      <c r="B9" s="12"/>
      <c r="C9" s="12"/>
      <c r="D9" s="12"/>
      <c r="E9" s="12"/>
      <c r="F9" s="18"/>
      <c r="G9" s="12"/>
      <c r="H9" s="19"/>
      <c r="I9" s="12"/>
      <c r="J9" s="12"/>
      <c r="K9" s="12"/>
      <c r="L9" s="12"/>
    </row>
    <row r="10" spans="1:12">
      <c r="A10" s="12"/>
      <c r="B10" s="12"/>
      <c r="C10" s="12"/>
      <c r="D10" s="12"/>
      <c r="E10" s="12"/>
      <c r="F10" s="18"/>
      <c r="G10" s="12"/>
      <c r="H10" s="19"/>
      <c r="I10" s="12"/>
      <c r="J10" s="12"/>
      <c r="K10" s="12"/>
      <c r="L10" s="12"/>
    </row>
    <row r="11" spans="1:12">
      <c r="A11" s="12"/>
      <c r="B11" s="12"/>
      <c r="C11" s="12"/>
      <c r="D11" s="12"/>
      <c r="E11" s="12"/>
      <c r="F11" s="18"/>
      <c r="G11" s="12"/>
      <c r="H11" s="19"/>
      <c r="I11" s="12"/>
      <c r="J11" s="12"/>
      <c r="K11" s="12"/>
      <c r="L11" s="12"/>
    </row>
    <row r="12" spans="1:12">
      <c r="A12" s="12"/>
      <c r="B12" s="12"/>
      <c r="C12" s="12"/>
      <c r="D12" s="12"/>
      <c r="E12" s="12"/>
      <c r="F12" s="18"/>
      <c r="G12" s="12"/>
      <c r="H12" s="19"/>
      <c r="I12" s="12"/>
      <c r="J12" s="12"/>
      <c r="K12" s="12"/>
      <c r="L12" s="12"/>
    </row>
    <row r="13" spans="1:12">
      <c r="A13" s="12"/>
      <c r="B13" s="12"/>
      <c r="C13" s="12"/>
      <c r="D13" s="12"/>
      <c r="E13" s="12"/>
      <c r="F13" s="18"/>
      <c r="G13" s="12"/>
      <c r="H13" s="19"/>
      <c r="I13" s="12"/>
      <c r="J13" s="12"/>
      <c r="K13" s="12"/>
      <c r="L13" s="12"/>
    </row>
    <row r="14" spans="1:12">
      <c r="A14" s="12"/>
      <c r="B14" s="12"/>
      <c r="C14" s="12"/>
      <c r="D14" s="12"/>
      <c r="E14" s="12"/>
      <c r="F14" s="18"/>
      <c r="G14" s="12"/>
      <c r="H14" s="19"/>
      <c r="I14" s="12"/>
      <c r="J14" s="12"/>
      <c r="K14" s="12"/>
      <c r="L14" s="12"/>
    </row>
    <row r="15" spans="1:12">
      <c r="A15" s="12"/>
      <c r="B15" s="12"/>
      <c r="C15" s="12"/>
      <c r="D15" s="12"/>
      <c r="E15" s="12"/>
      <c r="F15" s="18"/>
      <c r="G15" s="12"/>
      <c r="H15" s="19"/>
      <c r="I15" s="12"/>
      <c r="J15" s="12"/>
      <c r="K15" s="12"/>
      <c r="L15" s="12"/>
    </row>
    <row r="16" spans="1:12">
      <c r="A16" s="12"/>
      <c r="B16" s="12"/>
      <c r="C16" s="12"/>
      <c r="D16" s="12"/>
      <c r="E16" s="12"/>
      <c r="F16" s="18"/>
      <c r="G16" s="12"/>
      <c r="H16" s="19"/>
      <c r="I16" s="12"/>
      <c r="J16" s="12"/>
      <c r="K16" s="12"/>
      <c r="L16" s="12"/>
    </row>
    <row r="17" spans="1:12">
      <c r="A17" s="12"/>
      <c r="B17" s="12"/>
      <c r="C17" s="12"/>
      <c r="D17" s="12"/>
      <c r="E17" s="12"/>
      <c r="F17" s="18"/>
      <c r="G17" s="12"/>
      <c r="H17" s="19"/>
      <c r="I17" s="12"/>
      <c r="J17" s="12"/>
      <c r="K17" s="12"/>
      <c r="L17" s="12"/>
    </row>
    <row r="18" spans="1:12">
      <c r="A18" s="12"/>
      <c r="B18" s="12"/>
      <c r="C18" s="12"/>
      <c r="D18" s="12"/>
      <c r="E18" s="12"/>
      <c r="F18" s="18"/>
      <c r="G18" s="12"/>
      <c r="H18" s="19"/>
      <c r="I18" s="12"/>
      <c r="J18" s="12"/>
      <c r="K18" s="12"/>
      <c r="L18" s="12"/>
    </row>
    <row r="19" spans="1:12">
      <c r="A19" s="12"/>
      <c r="B19" s="12"/>
      <c r="C19" s="12"/>
      <c r="D19" s="12"/>
      <c r="E19" s="12"/>
      <c r="F19" s="18"/>
      <c r="G19" s="12"/>
      <c r="H19" s="19"/>
      <c r="I19" s="12"/>
      <c r="J19" s="12"/>
      <c r="K19" s="12"/>
      <c r="L19" s="12"/>
    </row>
    <row r="20" spans="1:12">
      <c r="A20" s="12"/>
      <c r="B20" s="12"/>
      <c r="C20" s="12"/>
      <c r="D20" s="12"/>
      <c r="E20" s="12"/>
      <c r="F20" s="18"/>
      <c r="G20" s="12"/>
      <c r="H20" s="19"/>
      <c r="I20" s="12"/>
      <c r="J20" s="12"/>
      <c r="K20" s="12"/>
      <c r="L20" s="12"/>
    </row>
    <row r="21" spans="1:12">
      <c r="A21" s="12"/>
      <c r="B21" s="12"/>
      <c r="C21" s="12"/>
      <c r="D21" s="12"/>
      <c r="E21" s="12"/>
      <c r="F21" s="18"/>
      <c r="G21" s="12"/>
      <c r="H21" s="19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8"/>
      <c r="G22" s="12"/>
      <c r="H22" s="19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8"/>
      <c r="G23" s="12"/>
      <c r="H23" s="19"/>
      <c r="I23" s="12"/>
      <c r="J23" s="12"/>
      <c r="K23" s="12"/>
      <c r="L23" s="12"/>
    </row>
    <row r="24" spans="1:12">
      <c r="A24" s="12"/>
      <c r="B24" s="12"/>
      <c r="C24" s="12"/>
      <c r="D24" s="12"/>
      <c r="E24" s="12"/>
      <c r="F24" s="18"/>
      <c r="G24" s="12"/>
      <c r="H24" s="19"/>
      <c r="I24" s="12"/>
      <c r="J24" s="12"/>
      <c r="K24" s="12"/>
      <c r="L24" s="12"/>
    </row>
    <row r="25" spans="1:12">
      <c r="A25" s="12"/>
      <c r="B25" s="12"/>
      <c r="C25" s="12"/>
      <c r="D25" s="12"/>
      <c r="E25" s="12"/>
      <c r="F25" s="18"/>
      <c r="G25" s="12"/>
      <c r="H25" s="19"/>
      <c r="I25" s="12"/>
      <c r="J25" s="12"/>
      <c r="K25" s="12"/>
      <c r="L25" s="12"/>
    </row>
    <row r="26" spans="1:12">
      <c r="A26" s="12"/>
      <c r="B26" s="12"/>
      <c r="C26" s="12"/>
      <c r="D26" s="12"/>
      <c r="E26" s="12"/>
      <c r="F26" s="18"/>
      <c r="G26" s="12"/>
      <c r="H26" s="19"/>
      <c r="I26" s="12"/>
      <c r="J26" s="12"/>
      <c r="K26" s="12"/>
      <c r="L26" s="12"/>
    </row>
    <row r="27" spans="1:12">
      <c r="A27" s="12"/>
      <c r="B27" s="12"/>
      <c r="C27" s="12"/>
      <c r="D27" s="12"/>
      <c r="E27" s="12"/>
      <c r="F27" s="18"/>
      <c r="G27" s="12"/>
      <c r="H27" s="19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8"/>
      <c r="G28" s="12"/>
      <c r="H28" s="19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8"/>
      <c r="G29" s="12"/>
      <c r="H29" s="19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8"/>
      <c r="G30" s="12"/>
      <c r="H30" s="19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8"/>
      <c r="G31" s="12"/>
      <c r="H31" s="19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8"/>
      <c r="G32" s="12"/>
      <c r="H32" s="19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8"/>
      <c r="G33" s="12"/>
      <c r="H33" s="19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8"/>
      <c r="G34" s="12"/>
      <c r="H34" s="19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8"/>
      <c r="G35" s="12"/>
      <c r="H35" s="19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8"/>
      <c r="G36" s="12"/>
      <c r="H36" s="19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8"/>
      <c r="G37" s="12"/>
      <c r="H37" s="19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8"/>
      <c r="G38" s="12"/>
      <c r="H38" s="19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8"/>
      <c r="G39" s="12"/>
      <c r="H39" s="19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8"/>
      <c r="G40" s="12"/>
      <c r="H40" s="19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8"/>
      <c r="G41" s="12"/>
      <c r="H41" s="19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8"/>
      <c r="G42" s="12"/>
      <c r="H42" s="19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8"/>
      <c r="G43" s="12"/>
      <c r="H43" s="19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8"/>
      <c r="G44" s="12"/>
      <c r="H44" s="19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8"/>
      <c r="G45" s="12"/>
      <c r="H45" s="19"/>
      <c r="I45" s="12"/>
      <c r="J45" s="12"/>
      <c r="K45" s="12"/>
      <c r="L45" s="12"/>
    </row>
    <row r="46" spans="1:12">
      <c r="A46" s="12"/>
      <c r="B46" s="12"/>
      <c r="C46" s="12"/>
      <c r="D46" s="12"/>
      <c r="E46" s="12"/>
      <c r="F46" s="18"/>
      <c r="G46" s="12"/>
      <c r="H46" s="19"/>
      <c r="I46" s="12"/>
      <c r="J46" s="12"/>
      <c r="K46" s="12"/>
      <c r="L46" s="12"/>
    </row>
    <row r="47" spans="1:12">
      <c r="A47" s="12"/>
      <c r="B47" s="12"/>
      <c r="C47" s="12"/>
      <c r="D47" s="12"/>
      <c r="E47" s="12"/>
      <c r="F47" s="18"/>
      <c r="G47" s="12"/>
      <c r="H47" s="19"/>
      <c r="I47" s="12"/>
      <c r="J47" s="12"/>
      <c r="K47" s="12"/>
      <c r="L47" s="12"/>
    </row>
    <row r="48" spans="1:12">
      <c r="A48" s="12"/>
      <c r="B48" s="12"/>
      <c r="C48" s="12"/>
      <c r="D48" s="12"/>
      <c r="E48" s="12"/>
      <c r="F48" s="18"/>
      <c r="G48" s="12"/>
      <c r="H48" s="19"/>
      <c r="I48" s="12"/>
      <c r="J48" s="12"/>
      <c r="K48" s="12"/>
      <c r="L48" s="12"/>
    </row>
    <row r="49" spans="1:12">
      <c r="A49" s="12"/>
      <c r="B49" s="12"/>
      <c r="C49" s="12"/>
      <c r="D49" s="12"/>
      <c r="E49" s="12"/>
      <c r="F49" s="18"/>
      <c r="G49" s="12"/>
      <c r="H49" s="19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8"/>
      <c r="G50" s="12"/>
      <c r="H50" s="19"/>
      <c r="I50" s="12"/>
      <c r="J50" s="12"/>
      <c r="K50" s="12"/>
      <c r="L50" s="12"/>
    </row>
    <row r="51" spans="1:12">
      <c r="A51" s="12"/>
      <c r="B51" s="12"/>
      <c r="C51" s="12"/>
      <c r="D51" s="12"/>
      <c r="E51" s="12"/>
      <c r="F51" s="18"/>
      <c r="G51" s="12"/>
      <c r="H51" s="19"/>
      <c r="I51" s="12"/>
      <c r="J51" s="12"/>
      <c r="K51" s="12"/>
      <c r="L51" s="12"/>
    </row>
    <row r="52" spans="1:12">
      <c r="A52" s="12"/>
      <c r="B52" s="12"/>
      <c r="C52" s="12"/>
      <c r="D52" s="12"/>
      <c r="E52" s="12"/>
      <c r="F52" s="18"/>
      <c r="G52" s="12"/>
      <c r="H52" s="19"/>
      <c r="I52" s="12"/>
      <c r="J52" s="12"/>
      <c r="K52" s="12"/>
      <c r="L52" s="12"/>
    </row>
    <row r="53" spans="1:12">
      <c r="A53" s="12"/>
      <c r="B53" s="12"/>
      <c r="C53" s="12"/>
      <c r="D53" s="12"/>
      <c r="E53" s="12"/>
      <c r="F53" s="18"/>
      <c r="G53" s="12"/>
      <c r="H53" s="19"/>
      <c r="I53" s="12"/>
      <c r="J53" s="12"/>
      <c r="K53" s="12"/>
      <c r="L53" s="12"/>
    </row>
    <row r="54" spans="1:12">
      <c r="A54" s="12"/>
      <c r="B54" s="12"/>
      <c r="C54" s="12"/>
      <c r="D54" s="12"/>
      <c r="E54" s="12"/>
      <c r="F54" s="18"/>
      <c r="G54" s="12"/>
      <c r="H54" s="19"/>
      <c r="I54" s="12"/>
      <c r="J54" s="12"/>
      <c r="K54" s="12"/>
      <c r="L54" s="12"/>
    </row>
    <row r="55" spans="1:12">
      <c r="A55" s="12"/>
      <c r="B55" s="12"/>
      <c r="C55" s="12"/>
      <c r="D55" s="12"/>
      <c r="E55" s="12"/>
      <c r="F55" s="18"/>
      <c r="G55" s="12"/>
      <c r="H55" s="19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8"/>
      <c r="G56" s="12"/>
      <c r="H56" s="19"/>
      <c r="I56" s="12"/>
      <c r="J56" s="12"/>
      <c r="K56" s="12"/>
      <c r="L56" s="12"/>
    </row>
    <row r="57" spans="1:12">
      <c r="A57" s="12"/>
      <c r="B57" s="12"/>
      <c r="C57" s="12"/>
      <c r="D57" s="12"/>
      <c r="E57" s="12"/>
      <c r="F57" s="18"/>
      <c r="G57" s="12"/>
      <c r="H57" s="19"/>
      <c r="I57" s="12"/>
      <c r="J57" s="12"/>
      <c r="K57" s="12"/>
      <c r="L57" s="12"/>
    </row>
    <row r="58" spans="1:12">
      <c r="A58" s="12"/>
      <c r="B58" s="12"/>
      <c r="C58" s="12"/>
      <c r="D58" s="12"/>
      <c r="E58" s="12"/>
      <c r="F58" s="18"/>
      <c r="G58" s="12"/>
      <c r="H58" s="19"/>
      <c r="I58" s="12"/>
      <c r="J58" s="12"/>
      <c r="K58" s="12"/>
      <c r="L58" s="12"/>
    </row>
    <row r="59" spans="1:12">
      <c r="A59" s="12"/>
      <c r="B59" s="12"/>
      <c r="C59" s="12"/>
      <c r="D59" s="12"/>
      <c r="E59" s="12"/>
      <c r="F59" s="18"/>
      <c r="G59" s="12"/>
      <c r="H59" s="19"/>
      <c r="I59" s="12"/>
      <c r="J59" s="12"/>
      <c r="K59" s="12"/>
      <c r="L59" s="12"/>
    </row>
    <row r="60" spans="1:12">
      <c r="A60" s="12"/>
      <c r="B60" s="12"/>
      <c r="C60" s="12"/>
      <c r="D60" s="12"/>
      <c r="E60" s="12"/>
      <c r="F60" s="18"/>
      <c r="G60" s="12"/>
      <c r="H60" s="19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8"/>
      <c r="G61" s="12"/>
      <c r="H61" s="19"/>
      <c r="I61" s="12"/>
      <c r="J61" s="12"/>
      <c r="K61" s="12"/>
      <c r="L61" s="12"/>
    </row>
    <row r="62" spans="1:12">
      <c r="A62" s="12"/>
      <c r="B62" s="12"/>
      <c r="C62" s="12"/>
      <c r="D62" s="12"/>
      <c r="E62" s="12"/>
      <c r="F62" s="18"/>
      <c r="G62" s="12"/>
      <c r="H62" s="19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8"/>
      <c r="G63" s="12"/>
      <c r="H63" s="19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8"/>
      <c r="G64" s="12"/>
      <c r="H64" s="19"/>
      <c r="I64" s="12"/>
      <c r="J64" s="12"/>
      <c r="K64" s="12"/>
      <c r="L64" s="12"/>
    </row>
    <row r="65" spans="1:12">
      <c r="A65" s="12"/>
      <c r="B65" s="12"/>
      <c r="C65" s="12"/>
      <c r="D65" s="12"/>
      <c r="E65" s="12"/>
      <c r="F65" s="18"/>
      <c r="G65" s="12"/>
      <c r="H65" s="19"/>
      <c r="I65" s="12"/>
      <c r="J65" s="12"/>
      <c r="K65" s="12"/>
      <c r="L65" s="12"/>
    </row>
    <row r="66" spans="1:12">
      <c r="A66" s="12"/>
      <c r="B66" s="12"/>
      <c r="C66" s="12"/>
      <c r="D66" s="12"/>
      <c r="E66" s="12"/>
      <c r="F66" s="18"/>
      <c r="G66" s="12"/>
      <c r="H66" s="19"/>
      <c r="I66" s="12"/>
      <c r="J66" s="12"/>
      <c r="K66" s="12"/>
      <c r="L66" s="12"/>
    </row>
    <row r="67" spans="1:12">
      <c r="A67" s="12"/>
      <c r="B67" s="12"/>
      <c r="C67" s="12"/>
      <c r="D67" s="12"/>
      <c r="E67" s="12"/>
      <c r="F67" s="18"/>
      <c r="G67" s="12"/>
      <c r="H67" s="19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8"/>
      <c r="G68" s="12"/>
      <c r="H68" s="19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8"/>
      <c r="G69" s="12"/>
      <c r="H69" s="19"/>
      <c r="I69" s="12"/>
      <c r="J69" s="12"/>
      <c r="K69" s="12"/>
      <c r="L69" s="12"/>
    </row>
    <row r="70" spans="1:12">
      <c r="A70" s="12"/>
      <c r="B70" s="12"/>
      <c r="C70" s="12"/>
      <c r="D70" s="12"/>
      <c r="E70" s="12"/>
      <c r="F70" s="18"/>
      <c r="G70" s="12"/>
      <c r="H70" s="19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8"/>
      <c r="G71" s="12"/>
      <c r="H71" s="19"/>
      <c r="I71" s="12"/>
      <c r="J71" s="12"/>
      <c r="K71" s="12"/>
      <c r="L71" s="12"/>
    </row>
    <row r="72" spans="1:12">
      <c r="A72" s="12"/>
      <c r="B72" s="12"/>
      <c r="C72" s="12"/>
      <c r="D72" s="12"/>
      <c r="E72" s="12"/>
      <c r="F72" s="18"/>
      <c r="G72" s="12"/>
      <c r="H72" s="19"/>
      <c r="I72" s="12"/>
      <c r="J72" s="12"/>
      <c r="K72" s="12"/>
      <c r="L72" s="12"/>
    </row>
    <row r="73" spans="1:12">
      <c r="A73" s="12"/>
      <c r="B73" s="12"/>
      <c r="C73" s="12"/>
      <c r="D73" s="12"/>
      <c r="E73" s="12"/>
      <c r="F73" s="18"/>
      <c r="G73" s="12"/>
      <c r="H73" s="19"/>
      <c r="I73" s="12"/>
      <c r="J73" s="12"/>
      <c r="K73" s="12"/>
      <c r="L73" s="12"/>
    </row>
    <row r="74" spans="1:12">
      <c r="A74" s="12"/>
      <c r="B74" s="12"/>
      <c r="C74" s="12"/>
      <c r="D74" s="12"/>
      <c r="E74" s="12"/>
      <c r="F74" s="18"/>
      <c r="G74" s="12"/>
      <c r="H74" s="19"/>
      <c r="I74" s="12"/>
      <c r="J74" s="12"/>
      <c r="K74" s="12"/>
      <c r="L74" s="12"/>
    </row>
    <row r="75" spans="1:12">
      <c r="A75" s="12"/>
      <c r="B75" s="12"/>
      <c r="C75" s="12"/>
      <c r="D75" s="12"/>
      <c r="E75" s="12"/>
      <c r="F75" s="18"/>
      <c r="G75" s="12"/>
      <c r="H75" s="19"/>
      <c r="I75" s="12"/>
      <c r="J75" s="12"/>
      <c r="K75" s="12"/>
      <c r="L75" s="12"/>
    </row>
    <row r="76" spans="1:12">
      <c r="A76" s="12"/>
      <c r="B76" s="12"/>
      <c r="C76" s="12"/>
      <c r="D76" s="12"/>
      <c r="E76" s="12"/>
      <c r="F76" s="18"/>
      <c r="G76" s="12"/>
      <c r="H76" s="19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8"/>
      <c r="G77" s="12"/>
      <c r="H77" s="19"/>
      <c r="I77" s="12"/>
      <c r="J77" s="12"/>
      <c r="K77" s="12"/>
      <c r="L77" s="12"/>
    </row>
    <row r="78" spans="1:12">
      <c r="A78" s="12"/>
      <c r="B78" s="12"/>
      <c r="C78" s="12"/>
      <c r="D78" s="12"/>
      <c r="E78" s="12"/>
      <c r="F78" s="18"/>
      <c r="G78" s="12"/>
      <c r="H78" s="19"/>
      <c r="I78" s="12"/>
      <c r="J78" s="12"/>
      <c r="K78" s="12"/>
      <c r="L78" s="12"/>
    </row>
    <row r="79" spans="1:12">
      <c r="A79" s="12"/>
      <c r="B79" s="12"/>
      <c r="C79" s="12"/>
      <c r="D79" s="12"/>
      <c r="E79" s="12"/>
      <c r="F79" s="18"/>
      <c r="G79" s="12"/>
      <c r="H79" s="19"/>
      <c r="I79" s="12"/>
      <c r="J79" s="12"/>
      <c r="K79" s="12"/>
      <c r="L79" s="12"/>
    </row>
    <row r="80" spans="1:12">
      <c r="A80" s="12"/>
      <c r="B80" s="12"/>
      <c r="C80" s="12"/>
      <c r="D80" s="12"/>
      <c r="E80" s="12"/>
      <c r="F80" s="18"/>
      <c r="G80" s="12"/>
      <c r="H80" s="19"/>
      <c r="I80" s="12"/>
      <c r="J80" s="12"/>
      <c r="K80" s="12"/>
      <c r="L80" s="12"/>
    </row>
    <row r="81" spans="1:12">
      <c r="A81" s="12"/>
      <c r="B81" s="12"/>
      <c r="C81" s="12"/>
      <c r="D81" s="12"/>
      <c r="E81" s="12"/>
      <c r="F81" s="18"/>
      <c r="G81" s="12"/>
      <c r="H81" s="19"/>
      <c r="I81" s="12"/>
      <c r="J81" s="12"/>
      <c r="K81" s="12"/>
      <c r="L81" s="12"/>
    </row>
    <row r="82" spans="1:12">
      <c r="A82" s="12"/>
      <c r="B82" s="12"/>
      <c r="C82" s="12"/>
      <c r="D82" s="12"/>
      <c r="E82" s="12"/>
      <c r="F82" s="18"/>
      <c r="G82" s="12"/>
      <c r="H82" s="19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8"/>
      <c r="G83" s="12"/>
      <c r="H83" s="19"/>
      <c r="I83" s="12"/>
      <c r="J83" s="12"/>
      <c r="K83" s="12"/>
      <c r="L83" s="12"/>
    </row>
    <row r="84" spans="1:12">
      <c r="A84" s="12"/>
      <c r="B84" s="12"/>
      <c r="C84" s="12"/>
      <c r="D84" s="12"/>
      <c r="E84" s="12"/>
      <c r="F84" s="18"/>
      <c r="G84" s="12"/>
      <c r="H84" s="19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8"/>
      <c r="G85" s="12"/>
      <c r="H85" s="19"/>
      <c r="I85" s="12"/>
      <c r="J85" s="12"/>
      <c r="K85" s="12"/>
      <c r="L85" s="12"/>
    </row>
    <row r="86" spans="1:12">
      <c r="A86" s="12"/>
      <c r="B86" s="12"/>
      <c r="C86" s="12"/>
      <c r="D86" s="12"/>
      <c r="E86" s="12"/>
      <c r="F86" s="18"/>
      <c r="G86" s="12"/>
      <c r="H86" s="19"/>
      <c r="I86" s="12"/>
      <c r="J86" s="12"/>
      <c r="K86" s="12"/>
      <c r="L86" s="12"/>
    </row>
    <row r="87" spans="1:12">
      <c r="A87" s="12"/>
      <c r="B87" s="12"/>
      <c r="C87" s="12"/>
      <c r="D87" s="12"/>
      <c r="E87" s="12"/>
      <c r="F87" s="18"/>
      <c r="G87" s="12"/>
      <c r="H87" s="19"/>
      <c r="I87" s="12"/>
      <c r="J87" s="12"/>
      <c r="K87" s="12"/>
      <c r="L87" s="12"/>
    </row>
    <row r="88" spans="1:12">
      <c r="A88" s="12"/>
      <c r="B88" s="12"/>
      <c r="C88" s="12"/>
      <c r="D88" s="12"/>
      <c r="E88" s="12"/>
      <c r="F88" s="18"/>
      <c r="G88" s="12"/>
      <c r="H88" s="19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8"/>
      <c r="G89" s="12"/>
      <c r="H89" s="19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8"/>
      <c r="G90" s="12"/>
      <c r="H90" s="19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8"/>
      <c r="G91" s="12"/>
      <c r="H91" s="19"/>
      <c r="I91" s="12"/>
      <c r="J91" s="12"/>
      <c r="K91" s="12"/>
      <c r="L91" s="12"/>
    </row>
    <row r="92" spans="1:12">
      <c r="A92" s="12"/>
      <c r="B92" s="12"/>
      <c r="C92" s="12"/>
      <c r="D92" s="12"/>
      <c r="E92" s="12"/>
      <c r="F92" s="18"/>
      <c r="G92" s="12"/>
      <c r="H92" s="19"/>
      <c r="I92" s="12"/>
      <c r="J92" s="12"/>
      <c r="K92" s="12"/>
      <c r="L92" s="12"/>
    </row>
    <row r="93" spans="1:12">
      <c r="A93" s="12"/>
      <c r="B93" s="12"/>
      <c r="C93" s="12"/>
      <c r="D93" s="12"/>
      <c r="E93" s="12"/>
      <c r="F93" s="18"/>
      <c r="G93" s="12"/>
      <c r="H93" s="19"/>
      <c r="I93" s="12"/>
      <c r="J93" s="12"/>
      <c r="K93" s="12"/>
      <c r="L93" s="12"/>
    </row>
    <row r="94" spans="1:12">
      <c r="A94" s="12"/>
      <c r="B94" s="12"/>
      <c r="C94" s="12"/>
      <c r="D94" s="12"/>
      <c r="E94" s="12"/>
      <c r="F94" s="18"/>
      <c r="G94" s="12"/>
      <c r="H94" s="19"/>
      <c r="I94" s="12"/>
      <c r="J94" s="12"/>
      <c r="K94" s="12"/>
      <c r="L94" s="12"/>
    </row>
    <row r="95" spans="1:12">
      <c r="A95" s="12"/>
      <c r="B95" s="12"/>
      <c r="C95" s="12"/>
      <c r="D95" s="12"/>
      <c r="E95" s="12"/>
      <c r="F95" s="18"/>
      <c r="G95" s="12"/>
      <c r="H95" s="19"/>
      <c r="I95" s="12"/>
      <c r="J95" s="12"/>
      <c r="K95" s="12"/>
      <c r="L95" s="12"/>
    </row>
    <row r="96" spans="1:12">
      <c r="A96" s="12"/>
      <c r="B96" s="12"/>
      <c r="C96" s="12"/>
      <c r="D96" s="12"/>
      <c r="E96" s="12"/>
      <c r="F96" s="18"/>
      <c r="G96" s="12"/>
      <c r="H96" s="19"/>
      <c r="I96" s="12"/>
      <c r="J96" s="12"/>
      <c r="K96" s="12"/>
      <c r="L96" s="12"/>
    </row>
    <row r="97" spans="1:12">
      <c r="A97" s="12"/>
      <c r="B97" s="12"/>
      <c r="C97" s="12"/>
      <c r="D97" s="12"/>
      <c r="E97" s="12"/>
      <c r="F97" s="18"/>
      <c r="G97" s="12"/>
      <c r="H97" s="19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8"/>
      <c r="G98" s="12"/>
      <c r="H98" s="19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8"/>
      <c r="G99" s="12"/>
      <c r="H99" s="19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8"/>
      <c r="G100" s="12"/>
      <c r="H100" s="19"/>
      <c r="I100" s="12"/>
      <c r="J100" s="12"/>
      <c r="K100" s="12"/>
      <c r="L100" s="12"/>
    </row>
    <row r="101" spans="1:12">
      <c r="A101" s="12"/>
      <c r="B101" s="12"/>
      <c r="C101" s="12"/>
      <c r="D101" s="12"/>
      <c r="E101" s="12"/>
      <c r="F101" s="18"/>
      <c r="G101" s="12"/>
      <c r="H101" s="19"/>
      <c r="I101" s="12"/>
      <c r="J101" s="12"/>
      <c r="K101" s="12"/>
      <c r="L101" s="12"/>
    </row>
    <row r="102" spans="1:12">
      <c r="A102" s="12"/>
      <c r="B102" s="12"/>
      <c r="C102" s="12"/>
      <c r="D102" s="12"/>
      <c r="E102" s="12"/>
      <c r="F102" s="18"/>
      <c r="G102" s="12"/>
      <c r="H102" s="19"/>
      <c r="I102" s="12"/>
      <c r="J102" s="12"/>
      <c r="K102" s="12"/>
      <c r="L102" s="12"/>
    </row>
    <row r="103" spans="1:12">
      <c r="A103" s="12"/>
      <c r="B103" s="12"/>
      <c r="C103" s="12"/>
      <c r="D103" s="12"/>
      <c r="E103" s="12"/>
      <c r="F103" s="18"/>
      <c r="G103" s="12"/>
      <c r="H103" s="19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8"/>
      <c r="G104" s="12"/>
      <c r="H104" s="19"/>
      <c r="I104" s="12"/>
      <c r="J104" s="12"/>
      <c r="K104" s="12"/>
      <c r="L104" s="12"/>
    </row>
    <row r="105" spans="1:12">
      <c r="A105" s="12"/>
      <c r="B105" s="12"/>
      <c r="C105" s="12"/>
      <c r="D105" s="12"/>
      <c r="E105" s="12"/>
      <c r="F105" s="18"/>
      <c r="G105" s="12"/>
      <c r="H105" s="19"/>
      <c r="I105" s="12"/>
      <c r="J105" s="12"/>
      <c r="K105" s="12"/>
      <c r="L105" s="12"/>
    </row>
    <row r="106" spans="1:12">
      <c r="A106" s="12"/>
      <c r="B106" s="12"/>
      <c r="C106" s="12"/>
      <c r="D106" s="12"/>
      <c r="E106" s="12"/>
      <c r="F106" s="18"/>
      <c r="G106" s="12"/>
      <c r="H106" s="19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8"/>
      <c r="G107" s="12"/>
      <c r="H107" s="19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8"/>
      <c r="G108" s="12"/>
      <c r="H108" s="19"/>
      <c r="I108" s="12"/>
      <c r="J108" s="12"/>
      <c r="K108" s="12"/>
      <c r="L108" s="12"/>
    </row>
    <row r="109" spans="1:12">
      <c r="A109" s="12"/>
      <c r="B109" s="12"/>
      <c r="C109" s="12"/>
      <c r="D109" s="12"/>
      <c r="E109" s="12"/>
      <c r="F109" s="18"/>
      <c r="G109" s="12"/>
      <c r="H109" s="19"/>
      <c r="I109" s="12"/>
      <c r="J109" s="12"/>
      <c r="K109" s="12"/>
      <c r="L109" s="12"/>
    </row>
    <row r="110" spans="1:12">
      <c r="A110" s="12"/>
      <c r="B110" s="12"/>
      <c r="C110" s="12"/>
      <c r="D110" s="12"/>
      <c r="E110" s="12"/>
      <c r="F110" s="18"/>
      <c r="G110" s="12"/>
      <c r="H110" s="19"/>
      <c r="I110" s="12"/>
      <c r="J110" s="12"/>
      <c r="K110" s="12"/>
      <c r="L110" s="12"/>
    </row>
    <row r="111" spans="1:12">
      <c r="A111" s="12"/>
      <c r="B111" s="12"/>
      <c r="C111" s="12"/>
      <c r="D111" s="12"/>
      <c r="E111" s="12"/>
      <c r="F111" s="18"/>
      <c r="G111" s="12"/>
      <c r="H111" s="19"/>
      <c r="I111" s="12"/>
      <c r="J111" s="12"/>
      <c r="K111" s="12"/>
      <c r="L111" s="12"/>
    </row>
    <row r="112" spans="1:12">
      <c r="A112" s="12"/>
      <c r="B112" s="12"/>
      <c r="C112" s="12"/>
      <c r="D112" s="12"/>
      <c r="E112" s="12"/>
      <c r="F112" s="18"/>
      <c r="G112" s="12"/>
      <c r="H112" s="19"/>
      <c r="I112" s="12"/>
      <c r="J112" s="12"/>
      <c r="K112" s="12"/>
      <c r="L112" s="12"/>
    </row>
    <row r="113" spans="1:12">
      <c r="A113" s="12"/>
      <c r="B113" s="12"/>
      <c r="C113" s="12"/>
      <c r="D113" s="12"/>
      <c r="E113" s="12"/>
      <c r="F113" s="18"/>
      <c r="G113" s="12"/>
      <c r="H113" s="19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8"/>
      <c r="G114" s="12"/>
      <c r="H114" s="19"/>
      <c r="I114" s="12"/>
      <c r="J114" s="12"/>
      <c r="K114" s="12"/>
      <c r="L114" s="12"/>
    </row>
    <row r="115" spans="1:12">
      <c r="A115" s="12"/>
      <c r="B115" s="12"/>
      <c r="C115" s="12"/>
      <c r="D115" s="12"/>
      <c r="E115" s="12"/>
      <c r="F115" s="18"/>
      <c r="G115" s="12"/>
      <c r="H115" s="19"/>
      <c r="I115" s="12"/>
      <c r="J115" s="12"/>
      <c r="K115" s="12"/>
      <c r="L115" s="12"/>
    </row>
    <row r="116" spans="1:12">
      <c r="A116" s="12"/>
      <c r="B116" s="12"/>
      <c r="C116" s="12"/>
      <c r="D116" s="12"/>
      <c r="E116" s="12"/>
      <c r="F116" s="18"/>
      <c r="G116" s="12"/>
      <c r="H116" s="19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8"/>
      <c r="G117" s="12"/>
      <c r="H117" s="19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8"/>
      <c r="G118" s="12"/>
      <c r="H118" s="19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8"/>
      <c r="G119" s="12"/>
      <c r="H119" s="19"/>
      <c r="I119" s="12"/>
      <c r="J119" s="12"/>
      <c r="K119" s="12"/>
      <c r="L119" s="12"/>
    </row>
    <row r="120" spans="1:12">
      <c r="A120" s="12"/>
      <c r="B120" s="12"/>
      <c r="C120" s="12"/>
      <c r="D120" s="12"/>
      <c r="E120" s="12"/>
      <c r="F120" s="18"/>
      <c r="G120" s="12"/>
      <c r="H120" s="19"/>
      <c r="I120" s="12"/>
      <c r="J120" s="12"/>
      <c r="K120" s="12"/>
      <c r="L120" s="12"/>
    </row>
    <row r="121" spans="1:12">
      <c r="A121" s="12"/>
      <c r="B121" s="12"/>
      <c r="C121" s="12"/>
      <c r="D121" s="12"/>
      <c r="E121" s="12"/>
      <c r="F121" s="18"/>
      <c r="G121" s="12"/>
      <c r="H121" s="19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8"/>
      <c r="G122" s="12"/>
      <c r="H122" s="19"/>
      <c r="I122" s="12"/>
      <c r="J122" s="12"/>
      <c r="K122" s="12"/>
      <c r="L122" s="12"/>
    </row>
    <row r="123" spans="1:12">
      <c r="A123" s="12"/>
      <c r="B123" s="12"/>
      <c r="C123" s="12"/>
      <c r="D123" s="12"/>
      <c r="E123" s="12"/>
      <c r="F123" s="18"/>
      <c r="G123" s="12"/>
      <c r="H123" s="19"/>
      <c r="I123" s="12"/>
      <c r="J123" s="12"/>
      <c r="K123" s="12"/>
      <c r="L123" s="12"/>
    </row>
    <row r="124" spans="1:12">
      <c r="A124" s="12"/>
      <c r="B124" s="12"/>
      <c r="C124" s="12"/>
      <c r="D124" s="12"/>
      <c r="E124" s="12"/>
      <c r="F124" s="18"/>
      <c r="G124" s="12"/>
      <c r="H124" s="19"/>
      <c r="I124" s="12"/>
      <c r="J124" s="12"/>
      <c r="K124" s="12"/>
      <c r="L124" s="12"/>
    </row>
    <row r="125" spans="1:12">
      <c r="A125" s="12"/>
      <c r="B125" s="12"/>
      <c r="C125" s="12"/>
      <c r="D125" s="12"/>
      <c r="E125" s="12"/>
      <c r="F125" s="18"/>
      <c r="G125" s="12"/>
      <c r="H125" s="19"/>
      <c r="I125" s="12"/>
      <c r="J125" s="12"/>
      <c r="K125" s="12"/>
      <c r="L125" s="12"/>
    </row>
    <row r="126" spans="1:12">
      <c r="A126" s="12"/>
      <c r="B126" s="12"/>
      <c r="C126" s="12"/>
      <c r="D126" s="12"/>
      <c r="E126" s="12"/>
      <c r="F126" s="18"/>
      <c r="G126" s="12"/>
      <c r="H126" s="19"/>
      <c r="I126" s="12"/>
      <c r="J126" s="12"/>
      <c r="K126" s="12"/>
      <c r="L126" s="12"/>
    </row>
    <row r="127" spans="1:12">
      <c r="A127" s="12"/>
      <c r="B127" s="12"/>
      <c r="C127" s="12"/>
      <c r="D127" s="12"/>
      <c r="E127" s="12"/>
      <c r="F127" s="18"/>
      <c r="G127" s="12"/>
      <c r="H127" s="19"/>
      <c r="I127" s="12"/>
      <c r="J127" s="12"/>
      <c r="K127" s="12"/>
      <c r="L127" s="12"/>
    </row>
    <row r="128" spans="1:12">
      <c r="A128" s="12"/>
      <c r="B128" s="12"/>
      <c r="C128" s="12"/>
      <c r="D128" s="12"/>
      <c r="E128" s="12"/>
      <c r="F128" s="18"/>
      <c r="G128" s="12"/>
      <c r="H128" s="19"/>
      <c r="I128" s="12"/>
      <c r="J128" s="12"/>
      <c r="K128" s="12"/>
      <c r="L128" s="12"/>
    </row>
    <row r="129" spans="1:12">
      <c r="A129" s="12"/>
      <c r="B129" s="12"/>
      <c r="C129" s="12"/>
      <c r="D129" s="12"/>
      <c r="E129" s="12"/>
      <c r="F129" s="18"/>
      <c r="G129" s="12"/>
      <c r="H129" s="19"/>
      <c r="I129" s="12"/>
      <c r="J129" s="12"/>
      <c r="K129" s="12"/>
      <c r="L129" s="12"/>
    </row>
    <row r="130" spans="1:12">
      <c r="A130" s="12"/>
      <c r="B130" s="12"/>
      <c r="C130" s="12"/>
      <c r="D130" s="12"/>
      <c r="E130" s="12"/>
      <c r="F130" s="18"/>
      <c r="G130" s="12"/>
      <c r="H130" s="19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8"/>
      <c r="G131" s="12"/>
      <c r="H131" s="19"/>
      <c r="I131" s="12"/>
      <c r="J131" s="12"/>
      <c r="K131" s="12"/>
      <c r="L131" s="12"/>
    </row>
    <row r="132" spans="1:12">
      <c r="A132" s="12"/>
      <c r="B132" s="12"/>
      <c r="C132" s="12"/>
      <c r="D132" s="12"/>
      <c r="E132" s="12"/>
      <c r="F132" s="18"/>
      <c r="G132" s="12"/>
      <c r="H132" s="19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8"/>
      <c r="G133" s="12"/>
      <c r="H133" s="19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8"/>
      <c r="G134" s="12"/>
      <c r="H134" s="19"/>
      <c r="I134" s="12"/>
      <c r="J134" s="12"/>
      <c r="K134" s="12"/>
      <c r="L134" s="12"/>
    </row>
    <row r="135" spans="1:12">
      <c r="A135" s="12"/>
      <c r="B135" s="12"/>
      <c r="C135" s="12"/>
      <c r="D135" s="12"/>
      <c r="E135" s="12"/>
      <c r="F135" s="18"/>
      <c r="G135" s="12"/>
      <c r="H135" s="19"/>
      <c r="I135" s="12"/>
      <c r="J135" s="12"/>
      <c r="K135" s="12"/>
      <c r="L135" s="12"/>
    </row>
    <row r="136" spans="1:12">
      <c r="A136" s="12"/>
      <c r="B136" s="12"/>
      <c r="C136" s="12"/>
      <c r="D136" s="12"/>
      <c r="E136" s="12"/>
      <c r="F136" s="18"/>
      <c r="G136" s="12"/>
      <c r="H136" s="19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8"/>
      <c r="G137" s="12"/>
      <c r="H137" s="19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8"/>
      <c r="G138" s="12"/>
      <c r="H138" s="19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8"/>
      <c r="G139" s="12"/>
      <c r="H139" s="19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8"/>
      <c r="G140" s="12"/>
      <c r="H140" s="19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8"/>
      <c r="G141" s="12"/>
      <c r="H141" s="19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8"/>
      <c r="G142" s="12"/>
      <c r="H142" s="19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8"/>
      <c r="G143" s="12"/>
      <c r="H143" s="19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8"/>
      <c r="G144" s="12"/>
      <c r="H144" s="19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8"/>
      <c r="G145" s="12"/>
      <c r="H145" s="19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8"/>
      <c r="G146" s="12"/>
      <c r="H146" s="19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8"/>
      <c r="G147" s="12"/>
      <c r="H147" s="19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8"/>
      <c r="G148" s="12"/>
      <c r="H148" s="19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8"/>
      <c r="G149" s="12"/>
      <c r="H149" s="19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8"/>
      <c r="G150" s="12"/>
      <c r="H150" s="19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8"/>
      <c r="G151" s="12"/>
      <c r="H151" s="19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8"/>
      <c r="G152" s="12"/>
      <c r="H152" s="19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8"/>
      <c r="G153" s="12"/>
      <c r="H153" s="19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8"/>
      <c r="G154" s="12"/>
      <c r="H154" s="19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8"/>
      <c r="G155" s="12"/>
      <c r="H155" s="19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8"/>
      <c r="G156" s="12"/>
      <c r="H156" s="19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8"/>
      <c r="G157" s="12"/>
      <c r="H157" s="19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8"/>
      <c r="G158" s="12"/>
      <c r="H158" s="19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8"/>
      <c r="G159" s="12"/>
      <c r="H159" s="19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8"/>
      <c r="G160" s="12"/>
      <c r="H160" s="19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8"/>
      <c r="G161" s="12"/>
      <c r="H161" s="19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8"/>
      <c r="G162" s="12"/>
      <c r="H162" s="19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8"/>
      <c r="G163" s="12"/>
      <c r="H163" s="19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8"/>
      <c r="G164" s="12"/>
      <c r="H164" s="19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8"/>
      <c r="G165" s="12"/>
      <c r="H165" s="19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8"/>
      <c r="G166" s="12"/>
      <c r="H166" s="19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8"/>
      <c r="G167" s="12"/>
      <c r="H167" s="19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8"/>
      <c r="G168" s="12"/>
      <c r="H168" s="19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8"/>
      <c r="G169" s="12"/>
      <c r="H169" s="19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8"/>
      <c r="G170" s="12"/>
      <c r="H170" s="19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8"/>
      <c r="G171" s="12"/>
      <c r="H171" s="19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8"/>
      <c r="G172" s="12"/>
      <c r="H172" s="19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8"/>
      <c r="G173" s="12"/>
      <c r="H173" s="19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8"/>
      <c r="G174" s="12"/>
      <c r="H174" s="19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8"/>
      <c r="G175" s="12"/>
      <c r="H175" s="19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8"/>
      <c r="G176" s="12"/>
      <c r="H176" s="19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8"/>
      <c r="G177" s="12"/>
      <c r="H177" s="19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8"/>
      <c r="G178" s="12"/>
      <c r="H178" s="19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8"/>
      <c r="G179" s="12"/>
      <c r="H179" s="19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8"/>
      <c r="G180" s="12"/>
      <c r="H180" s="19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8"/>
      <c r="G181" s="12"/>
      <c r="H181" s="19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8"/>
      <c r="G182" s="12"/>
      <c r="H182" s="19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8"/>
      <c r="G183" s="12"/>
      <c r="H183" s="19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8"/>
      <c r="G184" s="12"/>
      <c r="H184" s="19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8"/>
      <c r="G185" s="12"/>
      <c r="H185" s="19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8"/>
      <c r="G186" s="12"/>
      <c r="H186" s="19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8"/>
      <c r="G187" s="12"/>
      <c r="H187" s="19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8"/>
      <c r="G188" s="12"/>
      <c r="H188" s="19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8"/>
      <c r="G189" s="12"/>
      <c r="H189" s="19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8"/>
      <c r="G190" s="12"/>
      <c r="H190" s="19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8"/>
      <c r="G191" s="12"/>
      <c r="H191" s="19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8"/>
      <c r="G192" s="12"/>
      <c r="H192" s="19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8"/>
      <c r="G193" s="12"/>
      <c r="H193" s="19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8"/>
      <c r="G194" s="12"/>
      <c r="H194" s="19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8"/>
      <c r="G195" s="12"/>
      <c r="H195" s="19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8"/>
      <c r="G196" s="12"/>
      <c r="H196" s="19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8"/>
      <c r="G197" s="12"/>
      <c r="H197" s="19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8"/>
      <c r="G198" s="12"/>
      <c r="H198" s="19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8"/>
      <c r="G199" s="12"/>
      <c r="H199" s="19"/>
      <c r="I199" s="12"/>
      <c r="J199" s="12"/>
      <c r="K199" s="12"/>
      <c r="L199" s="12"/>
    </row>
    <row r="200" spans="1:12">
      <c r="A200" s="12"/>
      <c r="B200" s="12"/>
      <c r="C200" s="12"/>
      <c r="D200" s="12"/>
      <c r="E200" s="12"/>
      <c r="F200" s="18"/>
      <c r="G200" s="12"/>
      <c r="H200" s="19"/>
      <c r="I200" s="12"/>
      <c r="J200" s="12"/>
      <c r="K200" s="12"/>
      <c r="L200" s="12"/>
    </row>
    <row r="201" spans="1:12">
      <c r="A201" s="12"/>
      <c r="B201" s="12"/>
      <c r="C201" s="12"/>
      <c r="D201" s="12"/>
      <c r="E201" s="12"/>
      <c r="F201" s="18"/>
      <c r="G201" s="12"/>
      <c r="H201" s="19"/>
      <c r="I201" s="12"/>
      <c r="J201" s="12"/>
      <c r="K201" s="12"/>
      <c r="L201" s="12"/>
    </row>
    <row r="202" spans="1:12">
      <c r="A202" s="12"/>
      <c r="B202" s="12"/>
      <c r="C202" s="12"/>
      <c r="D202" s="12"/>
      <c r="E202" s="12"/>
      <c r="F202" s="18"/>
      <c r="G202" s="12"/>
      <c r="H202" s="19"/>
      <c r="I202" s="12"/>
      <c r="J202" s="12"/>
      <c r="K202" s="12"/>
      <c r="L202" s="12"/>
    </row>
    <row r="203" spans="1:12">
      <c r="A203" s="12"/>
      <c r="B203" s="12"/>
      <c r="C203" s="12"/>
      <c r="D203" s="12"/>
      <c r="E203" s="12"/>
      <c r="F203" s="18"/>
      <c r="G203" s="12"/>
      <c r="H203" s="19"/>
      <c r="I203" s="12"/>
      <c r="J203" s="12"/>
      <c r="K203" s="12"/>
      <c r="L203" s="12"/>
    </row>
    <row r="204" spans="1:12">
      <c r="A204" s="12"/>
      <c r="B204" s="12"/>
      <c r="C204" s="12"/>
      <c r="D204" s="12"/>
      <c r="E204" s="12"/>
      <c r="F204" s="18"/>
      <c r="G204" s="12"/>
      <c r="H204" s="19"/>
      <c r="I204" s="12"/>
      <c r="J204" s="12"/>
      <c r="K204" s="12"/>
      <c r="L204" s="12"/>
    </row>
    <row r="205" spans="1:12">
      <c r="A205" s="12"/>
      <c r="B205" s="12"/>
      <c r="C205" s="12"/>
      <c r="D205" s="12"/>
      <c r="E205" s="12"/>
      <c r="F205" s="18"/>
      <c r="G205" s="12"/>
      <c r="H205" s="19"/>
      <c r="I205" s="12"/>
      <c r="J205" s="12"/>
      <c r="K205" s="12"/>
      <c r="L205" s="12"/>
    </row>
    <row r="206" spans="1:12">
      <c r="A206" s="12"/>
      <c r="B206" s="12"/>
      <c r="C206" s="12"/>
      <c r="D206" s="12"/>
      <c r="E206" s="12"/>
      <c r="F206" s="18"/>
      <c r="G206" s="12"/>
      <c r="H206" s="19"/>
      <c r="I206" s="12"/>
      <c r="J206" s="12"/>
      <c r="K206" s="12"/>
      <c r="L206" s="12"/>
    </row>
    <row r="207" spans="1:12">
      <c r="A207" s="12"/>
      <c r="B207" s="12"/>
      <c r="C207" s="12"/>
      <c r="D207" s="12"/>
      <c r="E207" s="12"/>
      <c r="F207" s="18"/>
      <c r="G207" s="12"/>
      <c r="H207" s="19"/>
      <c r="I207" s="12"/>
      <c r="J207" s="12"/>
      <c r="K207" s="12"/>
      <c r="L207" s="12"/>
    </row>
    <row r="208" spans="1:12">
      <c r="A208" s="12"/>
      <c r="B208" s="12"/>
      <c r="C208" s="12"/>
      <c r="D208" s="12"/>
      <c r="E208" s="12"/>
      <c r="F208" s="18"/>
      <c r="G208" s="12"/>
      <c r="H208" s="19"/>
      <c r="I208" s="12"/>
      <c r="J208" s="12"/>
      <c r="K208" s="12"/>
      <c r="L208" s="12"/>
    </row>
    <row r="209" spans="1:12">
      <c r="A209" s="12"/>
      <c r="B209" s="12"/>
      <c r="C209" s="12"/>
      <c r="D209" s="12"/>
      <c r="E209" s="12"/>
      <c r="F209" s="18"/>
      <c r="G209" s="12"/>
      <c r="H209" s="19"/>
      <c r="I209" s="12"/>
      <c r="J209" s="12"/>
      <c r="K209" s="12"/>
      <c r="L209" s="12"/>
    </row>
    <row r="210" spans="1:12">
      <c r="A210" s="12"/>
      <c r="B210" s="12"/>
      <c r="C210" s="12"/>
      <c r="D210" s="12"/>
      <c r="E210" s="12"/>
      <c r="F210" s="18"/>
      <c r="G210" s="12"/>
      <c r="H210" s="19"/>
      <c r="I210" s="12"/>
      <c r="J210" s="12"/>
      <c r="K210" s="12"/>
      <c r="L210" s="12"/>
    </row>
    <row r="211" spans="1:12">
      <c r="A211" s="12"/>
      <c r="B211" s="12"/>
      <c r="C211" s="12"/>
      <c r="D211" s="12"/>
      <c r="E211" s="12"/>
      <c r="F211" s="18"/>
      <c r="G211" s="12"/>
      <c r="H211" s="19"/>
      <c r="I211" s="12"/>
      <c r="J211" s="12"/>
      <c r="K211" s="12"/>
      <c r="L211" s="12"/>
    </row>
    <row r="212" spans="1:12">
      <c r="A212" s="12"/>
      <c r="B212" s="12"/>
      <c r="C212" s="12"/>
      <c r="D212" s="12"/>
      <c r="E212" s="12"/>
      <c r="F212" s="18"/>
      <c r="G212" s="12"/>
      <c r="H212" s="19"/>
      <c r="I212" s="12"/>
      <c r="J212" s="12"/>
      <c r="K212" s="12"/>
      <c r="L212" s="12"/>
    </row>
    <row r="213" spans="1:12">
      <c r="A213" s="12"/>
      <c r="B213" s="12"/>
      <c r="C213" s="12"/>
      <c r="D213" s="12"/>
      <c r="E213" s="12"/>
      <c r="F213" s="18"/>
      <c r="G213" s="12"/>
      <c r="H213" s="19"/>
      <c r="I213" s="12"/>
      <c r="J213" s="12"/>
      <c r="K213" s="12"/>
      <c r="L213" s="12"/>
    </row>
    <row r="214" spans="1:12">
      <c r="A214" s="12"/>
      <c r="B214" s="12"/>
      <c r="C214" s="12"/>
      <c r="D214" s="12"/>
      <c r="E214" s="12"/>
      <c r="F214" s="18"/>
      <c r="G214" s="12"/>
      <c r="H214" s="19"/>
      <c r="I214" s="12"/>
      <c r="J214" s="12"/>
      <c r="K214" s="12"/>
      <c r="L214" s="12"/>
    </row>
    <row r="215" spans="1:12">
      <c r="A215" s="12"/>
      <c r="B215" s="12"/>
      <c r="C215" s="12"/>
      <c r="D215" s="12"/>
      <c r="E215" s="12"/>
      <c r="F215" s="18"/>
      <c r="G215" s="12"/>
      <c r="H215" s="19"/>
      <c r="I215" s="12"/>
      <c r="J215" s="12"/>
      <c r="K215" s="12"/>
      <c r="L215" s="12"/>
    </row>
    <row r="216" spans="1:12">
      <c r="A216" s="12"/>
      <c r="B216" s="12"/>
      <c r="C216" s="12"/>
      <c r="D216" s="12"/>
      <c r="E216" s="12"/>
      <c r="F216" s="18"/>
      <c r="G216" s="12"/>
      <c r="H216" s="19"/>
      <c r="I216" s="12"/>
      <c r="J216" s="12"/>
      <c r="K216" s="12"/>
      <c r="L216" s="12"/>
    </row>
    <row r="217" spans="1:12">
      <c r="A217" s="12"/>
      <c r="B217" s="12"/>
      <c r="C217" s="12"/>
      <c r="D217" s="12"/>
      <c r="E217" s="12"/>
      <c r="F217" s="18"/>
      <c r="G217" s="12"/>
      <c r="H217" s="19"/>
      <c r="I217" s="12"/>
      <c r="J217" s="12"/>
      <c r="K217" s="12"/>
      <c r="L217" s="12"/>
    </row>
    <row r="218" spans="1:12">
      <c r="A218" s="12"/>
      <c r="B218" s="12"/>
      <c r="C218" s="12"/>
      <c r="D218" s="12"/>
      <c r="E218" s="12"/>
      <c r="F218" s="18"/>
      <c r="G218" s="12"/>
      <c r="H218" s="19"/>
      <c r="I218" s="12"/>
      <c r="J218" s="12"/>
      <c r="K218" s="12"/>
      <c r="L218" s="12"/>
    </row>
    <row r="219" spans="1:12">
      <c r="A219" s="12"/>
      <c r="B219" s="12"/>
      <c r="C219" s="12"/>
      <c r="D219" s="12"/>
      <c r="E219" s="12"/>
      <c r="F219" s="18"/>
      <c r="G219" s="12"/>
      <c r="H219" s="19"/>
      <c r="I219" s="12"/>
      <c r="J219" s="12"/>
      <c r="K219" s="12"/>
      <c r="L219" s="12"/>
    </row>
    <row r="220" spans="1:12">
      <c r="A220" s="12"/>
      <c r="B220" s="12"/>
      <c r="C220" s="12"/>
      <c r="D220" s="12"/>
      <c r="E220" s="12"/>
      <c r="F220" s="18"/>
      <c r="G220" s="12"/>
      <c r="H220" s="19"/>
      <c r="I220" s="12"/>
      <c r="J220" s="12"/>
      <c r="K220" s="12"/>
      <c r="L220" s="12"/>
    </row>
    <row r="221" spans="1:12">
      <c r="A221" s="12"/>
      <c r="B221" s="12"/>
      <c r="C221" s="12"/>
      <c r="D221" s="12"/>
      <c r="E221" s="12"/>
      <c r="F221" s="18"/>
      <c r="G221" s="12"/>
      <c r="H221" s="19"/>
      <c r="I221" s="12"/>
      <c r="J221" s="12"/>
      <c r="K221" s="12"/>
      <c r="L221" s="12"/>
    </row>
    <row r="222" spans="1:12">
      <c r="A222" s="12"/>
      <c r="B222" s="12"/>
      <c r="C222" s="12"/>
      <c r="D222" s="12"/>
      <c r="E222" s="12"/>
      <c r="F222" s="18"/>
      <c r="G222" s="12"/>
      <c r="H222" s="19"/>
      <c r="I222" s="12"/>
      <c r="J222" s="12"/>
      <c r="K222" s="12"/>
      <c r="L222" s="12"/>
    </row>
    <row r="223" spans="1:12">
      <c r="A223" s="12"/>
      <c r="B223" s="12"/>
      <c r="C223" s="12"/>
      <c r="D223" s="12"/>
      <c r="E223" s="12"/>
      <c r="F223" s="18"/>
      <c r="G223" s="12"/>
      <c r="H223" s="19"/>
      <c r="I223" s="12"/>
      <c r="J223" s="12"/>
      <c r="K223" s="12"/>
      <c r="L223" s="12"/>
    </row>
    <row r="224" spans="1:12">
      <c r="A224" s="12"/>
      <c r="B224" s="12"/>
      <c r="C224" s="12"/>
      <c r="D224" s="12"/>
      <c r="E224" s="12"/>
      <c r="F224" s="18"/>
      <c r="G224" s="12"/>
      <c r="H224" s="19"/>
      <c r="I224" s="12"/>
      <c r="J224" s="12"/>
      <c r="K224" s="12"/>
      <c r="L224" s="12"/>
    </row>
    <row r="225" spans="1:12">
      <c r="A225" s="12"/>
      <c r="B225" s="12"/>
      <c r="C225" s="12"/>
      <c r="D225" s="12"/>
      <c r="E225" s="12"/>
      <c r="F225" s="18"/>
      <c r="G225" s="12"/>
      <c r="H225" s="19"/>
      <c r="I225" s="12"/>
      <c r="J225" s="12"/>
      <c r="K225" s="12"/>
      <c r="L225" s="12"/>
    </row>
    <row r="226" spans="1:12">
      <c r="A226" s="12"/>
      <c r="B226" s="12"/>
      <c r="C226" s="12"/>
      <c r="D226" s="12"/>
      <c r="E226" s="12"/>
      <c r="F226" s="18"/>
      <c r="G226" s="12"/>
      <c r="H226" s="19"/>
      <c r="I226" s="12"/>
      <c r="J226" s="12"/>
      <c r="K226" s="12"/>
      <c r="L226" s="12"/>
    </row>
    <row r="227" spans="1:12">
      <c r="A227" s="12"/>
      <c r="B227" s="12"/>
      <c r="C227" s="12"/>
      <c r="D227" s="12"/>
      <c r="E227" s="12"/>
      <c r="F227" s="18"/>
      <c r="G227" s="12"/>
      <c r="H227" s="19"/>
      <c r="I227" s="12"/>
      <c r="J227" s="12"/>
      <c r="K227" s="12"/>
      <c r="L227" s="12"/>
    </row>
    <row r="228" spans="1:12">
      <c r="A228" s="12"/>
      <c r="B228" s="12"/>
      <c r="C228" s="12"/>
      <c r="D228" s="12"/>
      <c r="E228" s="12"/>
      <c r="F228" s="18"/>
      <c r="G228" s="12"/>
      <c r="H228" s="19"/>
      <c r="I228" s="12"/>
      <c r="J228" s="12"/>
      <c r="K228" s="12"/>
      <c r="L228" s="12"/>
    </row>
    <row r="229" spans="1:12">
      <c r="A229" s="12"/>
      <c r="B229" s="12"/>
      <c r="C229" s="12"/>
      <c r="D229" s="12"/>
      <c r="E229" s="12"/>
      <c r="F229" s="18"/>
      <c r="G229" s="12"/>
      <c r="H229" s="19"/>
      <c r="I229" s="12"/>
      <c r="J229" s="12"/>
      <c r="K229" s="12"/>
      <c r="L229" s="12"/>
    </row>
    <row r="230" spans="1:12">
      <c r="A230" s="12"/>
      <c r="B230" s="12"/>
      <c r="C230" s="12"/>
      <c r="D230" s="12"/>
      <c r="E230" s="12"/>
      <c r="F230" s="18"/>
      <c r="G230" s="12"/>
      <c r="H230" s="19"/>
      <c r="I230" s="12"/>
      <c r="J230" s="12"/>
      <c r="K230" s="12"/>
      <c r="L230" s="12"/>
    </row>
    <row r="231" spans="1:12">
      <c r="A231" s="12"/>
      <c r="B231" s="12"/>
      <c r="C231" s="12"/>
      <c r="D231" s="12"/>
      <c r="E231" s="12"/>
      <c r="F231" s="18"/>
      <c r="G231" s="12"/>
      <c r="H231" s="19"/>
      <c r="I231" s="12"/>
      <c r="J231" s="12"/>
      <c r="K231" s="12"/>
      <c r="L231" s="12"/>
    </row>
    <row r="232" spans="1:12">
      <c r="A232" s="12"/>
      <c r="B232" s="12"/>
      <c r="C232" s="12"/>
      <c r="D232" s="12"/>
      <c r="E232" s="12"/>
      <c r="F232" s="18"/>
      <c r="G232" s="12"/>
      <c r="H232" s="19"/>
      <c r="I232" s="12"/>
      <c r="J232" s="12"/>
      <c r="K232" s="12"/>
      <c r="L232" s="12"/>
    </row>
    <row r="233" spans="1:12">
      <c r="A233" s="12"/>
      <c r="B233" s="12"/>
      <c r="C233" s="12"/>
      <c r="D233" s="12"/>
      <c r="E233" s="12"/>
      <c r="F233" s="18"/>
      <c r="G233" s="12"/>
      <c r="H233" s="19"/>
      <c r="I233" s="12"/>
      <c r="J233" s="12"/>
      <c r="K233" s="12"/>
      <c r="L233" s="12"/>
    </row>
    <row r="234" spans="1:12">
      <c r="A234" s="12"/>
      <c r="B234" s="12"/>
      <c r="C234" s="12"/>
      <c r="D234" s="12"/>
      <c r="E234" s="12"/>
      <c r="F234" s="18"/>
      <c r="G234" s="12"/>
      <c r="H234" s="19"/>
      <c r="I234" s="12"/>
      <c r="J234" s="12"/>
      <c r="K234" s="12"/>
      <c r="L234" s="12"/>
    </row>
    <row r="235" spans="1:12">
      <c r="A235" s="12"/>
      <c r="B235" s="12"/>
      <c r="C235" s="12"/>
      <c r="D235" s="12"/>
      <c r="E235" s="12"/>
      <c r="F235" s="18"/>
      <c r="G235" s="12"/>
      <c r="H235" s="19"/>
      <c r="I235" s="12"/>
      <c r="J235" s="12"/>
      <c r="K235" s="12"/>
      <c r="L235" s="12"/>
    </row>
    <row r="236" spans="1:12">
      <c r="A236" s="12"/>
      <c r="B236" s="12"/>
      <c r="C236" s="12"/>
      <c r="D236" s="12"/>
      <c r="E236" s="12"/>
      <c r="F236" s="18"/>
      <c r="G236" s="12"/>
      <c r="H236" s="19"/>
      <c r="I236" s="12"/>
      <c r="J236" s="12"/>
      <c r="K236" s="12"/>
      <c r="L236" s="12"/>
    </row>
    <row r="237" spans="1:12">
      <c r="A237" s="12"/>
      <c r="B237" s="12"/>
      <c r="C237" s="12"/>
      <c r="D237" s="12"/>
      <c r="E237" s="12"/>
      <c r="F237" s="18"/>
      <c r="G237" s="12"/>
      <c r="H237" s="19"/>
      <c r="I237" s="12"/>
      <c r="J237" s="12"/>
      <c r="K237" s="12"/>
      <c r="L237" s="12"/>
    </row>
    <row r="238" spans="1:12">
      <c r="A238" s="12"/>
      <c r="B238" s="12"/>
      <c r="C238" s="12"/>
      <c r="D238" s="12"/>
      <c r="E238" s="12"/>
      <c r="F238" s="18"/>
      <c r="G238" s="12"/>
      <c r="H238" s="19"/>
      <c r="I238" s="12"/>
      <c r="J238" s="12"/>
      <c r="K238" s="12"/>
      <c r="L238" s="12"/>
    </row>
    <row r="239" spans="1:12">
      <c r="A239" s="12"/>
      <c r="B239" s="12"/>
      <c r="C239" s="12"/>
      <c r="D239" s="12"/>
      <c r="E239" s="12"/>
      <c r="F239" s="18"/>
      <c r="G239" s="12"/>
      <c r="H239" s="19"/>
      <c r="I239" s="12"/>
      <c r="J239" s="12"/>
      <c r="K239" s="12"/>
      <c r="L239" s="12"/>
    </row>
    <row r="240" spans="1:12">
      <c r="A240" s="12"/>
      <c r="B240" s="12"/>
      <c r="C240" s="12"/>
      <c r="D240" s="12"/>
      <c r="E240" s="12"/>
      <c r="F240" s="18"/>
      <c r="G240" s="12"/>
      <c r="H240" s="19"/>
      <c r="I240" s="12"/>
      <c r="J240" s="12"/>
      <c r="K240" s="12"/>
      <c r="L240" s="12"/>
    </row>
    <row r="241" spans="1:12">
      <c r="A241" s="12"/>
      <c r="B241" s="12"/>
      <c r="C241" s="12"/>
      <c r="D241" s="12"/>
      <c r="E241" s="12"/>
      <c r="F241" s="18"/>
      <c r="G241" s="12"/>
      <c r="H241" s="19"/>
      <c r="I241" s="12"/>
      <c r="J241" s="12"/>
      <c r="K241" s="12"/>
      <c r="L241" s="12"/>
    </row>
    <row r="242" spans="1:12">
      <c r="A242" s="12"/>
      <c r="B242" s="12"/>
      <c r="C242" s="12"/>
      <c r="D242" s="12"/>
      <c r="E242" s="12"/>
      <c r="F242" s="18"/>
      <c r="G242" s="12"/>
      <c r="H242" s="19"/>
      <c r="I242" s="12"/>
      <c r="J242" s="12"/>
      <c r="K242" s="12"/>
      <c r="L242" s="12"/>
    </row>
    <row r="243" spans="1:12">
      <c r="A243" s="12"/>
      <c r="B243" s="12"/>
      <c r="C243" s="12"/>
      <c r="D243" s="12"/>
      <c r="E243" s="12"/>
      <c r="F243" s="18"/>
      <c r="G243" s="12"/>
      <c r="H243" s="19"/>
      <c r="I243" s="12"/>
      <c r="J243" s="12"/>
      <c r="K243" s="12"/>
      <c r="L243" s="12"/>
    </row>
    <row r="244" spans="1:12">
      <c r="A244" s="12"/>
      <c r="B244" s="12"/>
      <c r="C244" s="12"/>
      <c r="D244" s="12"/>
      <c r="E244" s="12"/>
      <c r="F244" s="18"/>
      <c r="G244" s="12"/>
      <c r="H244" s="19"/>
      <c r="I244" s="12"/>
      <c r="J244" s="12"/>
      <c r="K244" s="12"/>
      <c r="L244" s="12"/>
    </row>
    <row r="245" spans="1:12">
      <c r="A245" s="12"/>
      <c r="B245" s="12"/>
      <c r="C245" s="12"/>
      <c r="D245" s="12"/>
      <c r="E245" s="12"/>
      <c r="F245" s="18"/>
      <c r="G245" s="12"/>
      <c r="H245" s="19"/>
      <c r="I245" s="12"/>
      <c r="J245" s="12"/>
      <c r="K245" s="12"/>
      <c r="L245" s="12"/>
    </row>
    <row r="246" spans="1:12">
      <c r="A246" s="12"/>
      <c r="B246" s="12"/>
      <c r="C246" s="12"/>
      <c r="D246" s="12"/>
      <c r="E246" s="12"/>
      <c r="F246" s="18"/>
      <c r="G246" s="12"/>
      <c r="H246" s="19"/>
      <c r="I246" s="12"/>
      <c r="J246" s="12"/>
      <c r="K246" s="12"/>
      <c r="L246" s="12"/>
    </row>
    <row r="247" spans="1:12">
      <c r="A247" s="12"/>
      <c r="B247" s="12"/>
      <c r="C247" s="12"/>
      <c r="D247" s="12"/>
      <c r="E247" s="12"/>
      <c r="F247" s="18"/>
      <c r="G247" s="12"/>
      <c r="H247" s="19"/>
      <c r="I247" s="12"/>
      <c r="J247" s="12"/>
      <c r="K247" s="12"/>
      <c r="L247" s="12"/>
    </row>
    <row r="248" spans="1:12">
      <c r="A248" s="12"/>
      <c r="B248" s="12"/>
      <c r="C248" s="12"/>
      <c r="D248" s="12"/>
      <c r="E248" s="12"/>
      <c r="F248" s="18"/>
      <c r="G248" s="12"/>
      <c r="H248" s="19"/>
      <c r="I248" s="12"/>
      <c r="J248" s="12"/>
      <c r="K248" s="12"/>
      <c r="L248" s="12"/>
    </row>
    <row r="249" spans="1:12">
      <c r="A249" s="12"/>
      <c r="B249" s="12"/>
      <c r="C249" s="12"/>
      <c r="D249" s="12"/>
      <c r="E249" s="12"/>
      <c r="F249" s="18"/>
      <c r="G249" s="12"/>
      <c r="H249" s="19"/>
      <c r="I249" s="12"/>
      <c r="J249" s="12"/>
      <c r="K249" s="12"/>
      <c r="L249" s="12"/>
    </row>
    <row r="250" spans="1:12">
      <c r="A250" s="12"/>
      <c r="B250" s="12"/>
      <c r="C250" s="12"/>
      <c r="D250" s="12"/>
      <c r="E250" s="12"/>
      <c r="F250" s="18"/>
      <c r="G250" s="12"/>
      <c r="H250" s="19"/>
      <c r="I250" s="12"/>
      <c r="J250" s="12"/>
      <c r="K250" s="12"/>
      <c r="L250" s="12"/>
    </row>
    <row r="251" spans="1:12">
      <c r="A251" s="12"/>
      <c r="B251" s="12"/>
      <c r="C251" s="12"/>
      <c r="D251" s="12"/>
      <c r="E251" s="12"/>
      <c r="F251" s="18"/>
      <c r="G251" s="12"/>
      <c r="H251" s="19"/>
      <c r="I251" s="12"/>
      <c r="J251" s="12"/>
      <c r="K251" s="12"/>
      <c r="L251" s="12"/>
    </row>
    <row r="252" spans="1:12">
      <c r="A252" s="12"/>
      <c r="B252" s="12"/>
      <c r="C252" s="12"/>
      <c r="D252" s="12"/>
      <c r="E252" s="12"/>
      <c r="F252" s="18"/>
      <c r="G252" s="12"/>
      <c r="H252" s="19"/>
      <c r="I252" s="12"/>
      <c r="J252" s="12"/>
      <c r="K252" s="12"/>
      <c r="L252" s="12"/>
    </row>
    <row r="253" spans="1:12">
      <c r="A253" s="12"/>
      <c r="B253" s="12"/>
      <c r="C253" s="12"/>
      <c r="D253" s="12"/>
      <c r="E253" s="12"/>
      <c r="F253" s="18"/>
      <c r="G253" s="12"/>
      <c r="H253" s="19"/>
      <c r="I253" s="12"/>
      <c r="J253" s="12"/>
      <c r="K253" s="12"/>
      <c r="L253" s="12"/>
    </row>
  </sheetData>
  <autoFilter ref="A3:L253"/>
  <mergeCells count="2">
    <mergeCell ref="A1:L1"/>
    <mergeCell ref="A2:L2"/>
  </mergeCells>
  <dataValidations count="1">
    <dataValidation type="list" allowBlank="1" showInputMessage="1" showErrorMessage="1" errorTitle="Choose a listed value" error="Please select an option from the dropdown." promptTitle="Vendor Type" prompt="Select from the dropdown list." sqref="B4:B253">
      <formula1>VendorTypes</formula1>
    </dataValidation>
  </dataValidations>
  <pageMargins left="0.25" right="0.25" top="0.5" bottom="0.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5" width="18.7109375" customWidth="1"/>
    <col min="6" max="7" width="16.7109375" customWidth="1"/>
    <col min="8" max="8" width="18.7109375" customWidth="1"/>
    <col min="9" max="9" width="30.7109375" customWidth="1"/>
  </cols>
  <sheetData>
    <row r="1" spans="1:9" ht="30" customHeight="1">
      <c r="A1" s="1" t="s">
        <v>339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</row>
    <row r="3" spans="1:9" ht="32" customHeight="1">
      <c r="A3" s="10" t="s">
        <v>340</v>
      </c>
      <c r="B3" s="10" t="s">
        <v>341</v>
      </c>
      <c r="C3" s="10" t="s">
        <v>342</v>
      </c>
      <c r="D3" s="10" t="s">
        <v>343</v>
      </c>
      <c r="E3" s="10" t="s">
        <v>344</v>
      </c>
      <c r="F3" s="10" t="s">
        <v>345</v>
      </c>
      <c r="G3" s="10" t="s">
        <v>346</v>
      </c>
      <c r="H3" s="10" t="s">
        <v>347</v>
      </c>
      <c r="I3" s="10" t="s">
        <v>267</v>
      </c>
    </row>
    <row r="4" spans="1:9">
      <c r="A4" s="11" t="s">
        <v>116</v>
      </c>
      <c r="B4" s="14"/>
      <c r="C4" s="14"/>
      <c r="D4" s="14"/>
      <c r="E4" s="16">
        <f>IF(B4="","",B4-D4)</f>
        <v>0</v>
      </c>
      <c r="F4" s="14"/>
      <c r="G4" s="16">
        <f>IF(D4="","",D4-N(F4))</f>
        <v>0</v>
      </c>
      <c r="H4" s="12"/>
      <c r="I4" s="12"/>
    </row>
    <row r="5" spans="1:9">
      <c r="A5" s="11" t="s">
        <v>51</v>
      </c>
      <c r="B5" s="14"/>
      <c r="C5" s="14"/>
      <c r="D5" s="14"/>
      <c r="E5" s="16">
        <f>IF(B5="","",B5-D5)</f>
        <v>0</v>
      </c>
      <c r="F5" s="14"/>
      <c r="G5" s="16">
        <f>IF(D5="","",D5-N(F5))</f>
        <v>0</v>
      </c>
      <c r="H5" s="12"/>
      <c r="I5" s="12"/>
    </row>
    <row r="6" spans="1:9">
      <c r="A6" s="11" t="s">
        <v>122</v>
      </c>
      <c r="B6" s="14"/>
      <c r="C6" s="14"/>
      <c r="D6" s="14"/>
      <c r="E6" s="16">
        <f>IF(B6="","",B6-D6)</f>
        <v>0</v>
      </c>
      <c r="F6" s="14"/>
      <c r="G6" s="16">
        <f>IF(D6="","",D6-N(F6))</f>
        <v>0</v>
      </c>
      <c r="H6" s="12"/>
      <c r="I6" s="12"/>
    </row>
    <row r="7" spans="1:9">
      <c r="A7" s="11" t="s">
        <v>58</v>
      </c>
      <c r="B7" s="14"/>
      <c r="C7" s="14"/>
      <c r="D7" s="14"/>
      <c r="E7" s="16">
        <f>IF(B7="","",B7-D7)</f>
        <v>0</v>
      </c>
      <c r="F7" s="14"/>
      <c r="G7" s="16">
        <f>IF(D7="","",D7-N(F7))</f>
        <v>0</v>
      </c>
      <c r="H7" s="12"/>
      <c r="I7" s="12"/>
    </row>
    <row r="8" spans="1:9">
      <c r="A8" s="11" t="s">
        <v>52</v>
      </c>
      <c r="B8" s="14"/>
      <c r="C8" s="14"/>
      <c r="D8" s="14"/>
      <c r="E8" s="16">
        <f>IF(B8="","",B8-D8)</f>
        <v>0</v>
      </c>
      <c r="F8" s="14"/>
      <c r="G8" s="16">
        <f>IF(D8="","",D8-N(F8))</f>
        <v>0</v>
      </c>
      <c r="H8" s="12"/>
      <c r="I8" s="12"/>
    </row>
    <row r="9" spans="1:9">
      <c r="A9" s="11" t="s">
        <v>123</v>
      </c>
      <c r="B9" s="14"/>
      <c r="C9" s="14"/>
      <c r="D9" s="14"/>
      <c r="E9" s="16">
        <f>IF(B9="","",B9-D9)</f>
        <v>0</v>
      </c>
      <c r="F9" s="14"/>
      <c r="G9" s="16">
        <f>IF(D9="","",D9-N(F9))</f>
        <v>0</v>
      </c>
      <c r="H9" s="12"/>
      <c r="I9" s="12"/>
    </row>
    <row r="10" spans="1:9">
      <c r="A10" s="11" t="s">
        <v>61</v>
      </c>
      <c r="B10" s="14"/>
      <c r="C10" s="14"/>
      <c r="D10" s="14"/>
      <c r="E10" s="16">
        <f>IF(B10="","",B10-D10)</f>
        <v>0</v>
      </c>
      <c r="F10" s="14"/>
      <c r="G10" s="16">
        <f>IF(D10="","",D10-N(F10))</f>
        <v>0</v>
      </c>
      <c r="H10" s="12"/>
      <c r="I10" s="12"/>
    </row>
    <row r="11" spans="1:9">
      <c r="A11" s="11" t="s">
        <v>124</v>
      </c>
      <c r="B11" s="14"/>
      <c r="C11" s="14"/>
      <c r="D11" s="14"/>
      <c r="E11" s="16">
        <f>IF(B11="","",B11-D11)</f>
        <v>0</v>
      </c>
      <c r="F11" s="14"/>
      <c r="G11" s="16">
        <f>IF(D11="","",D11-N(F11))</f>
        <v>0</v>
      </c>
      <c r="H11" s="12"/>
      <c r="I11" s="12"/>
    </row>
    <row r="12" spans="1:9">
      <c r="A12" s="11" t="s">
        <v>125</v>
      </c>
      <c r="B12" s="14"/>
      <c r="C12" s="14"/>
      <c r="D12" s="14"/>
      <c r="E12" s="16">
        <f>IF(B12="","",B12-D12)</f>
        <v>0</v>
      </c>
      <c r="F12" s="14"/>
      <c r="G12" s="16">
        <f>IF(D12="","",D12-N(F12))</f>
        <v>0</v>
      </c>
      <c r="H12" s="12"/>
      <c r="I12" s="12"/>
    </row>
    <row r="13" spans="1:9">
      <c r="A13" s="11" t="s">
        <v>126</v>
      </c>
      <c r="B13" s="14"/>
      <c r="C13" s="14"/>
      <c r="D13" s="14"/>
      <c r="E13" s="16">
        <f>IF(B13="","",B13-D13)</f>
        <v>0</v>
      </c>
      <c r="F13" s="14"/>
      <c r="G13" s="16">
        <f>IF(D13="","",D13-N(F13))</f>
        <v>0</v>
      </c>
      <c r="H13" s="12"/>
      <c r="I13" s="12"/>
    </row>
    <row r="14" spans="1:9">
      <c r="A14" s="11" t="s">
        <v>127</v>
      </c>
      <c r="B14" s="14"/>
      <c r="C14" s="14"/>
      <c r="D14" s="14"/>
      <c r="E14" s="16">
        <f>IF(B14="","",B14-D14)</f>
        <v>0</v>
      </c>
      <c r="F14" s="14"/>
      <c r="G14" s="16">
        <f>IF(D14="","",D14-N(F14))</f>
        <v>0</v>
      </c>
      <c r="H14" s="12"/>
      <c r="I14" s="12"/>
    </row>
    <row r="15" spans="1:9">
      <c r="A15" s="11" t="s">
        <v>128</v>
      </c>
      <c r="B15" s="14"/>
      <c r="C15" s="14"/>
      <c r="D15" s="14"/>
      <c r="E15" s="16">
        <f>IF(B15="","",B15-D15)</f>
        <v>0</v>
      </c>
      <c r="F15" s="14"/>
      <c r="G15" s="16">
        <f>IF(D15="","",D15-N(F15))</f>
        <v>0</v>
      </c>
      <c r="H15" s="12"/>
      <c r="I15" s="12"/>
    </row>
    <row r="16" spans="1:9">
      <c r="A16" s="11" t="s">
        <v>129</v>
      </c>
      <c r="B16" s="14"/>
      <c r="C16" s="14"/>
      <c r="D16" s="14"/>
      <c r="E16" s="16">
        <f>IF(B16="","",B16-D16)</f>
        <v>0</v>
      </c>
      <c r="F16" s="14"/>
      <c r="G16" s="16">
        <f>IF(D16="","",D16-N(F16))</f>
        <v>0</v>
      </c>
      <c r="H16" s="12"/>
      <c r="I16" s="12"/>
    </row>
    <row r="17" spans="1:9">
      <c r="A17" s="11" t="s">
        <v>130</v>
      </c>
      <c r="B17" s="14"/>
      <c r="C17" s="14"/>
      <c r="D17" s="14"/>
      <c r="E17" s="16">
        <f>IF(B17="","",B17-D17)</f>
        <v>0</v>
      </c>
      <c r="F17" s="14"/>
      <c r="G17" s="16">
        <f>IF(D17="","",D17-N(F17))</f>
        <v>0</v>
      </c>
      <c r="H17" s="12"/>
      <c r="I17" s="12"/>
    </row>
    <row r="18" spans="1:9">
      <c r="A18" s="12"/>
      <c r="B18" s="14"/>
      <c r="C18" s="14"/>
      <c r="D18" s="14"/>
      <c r="E18" s="16">
        <f>IF(B18="","",B18-D18)</f>
        <v>0</v>
      </c>
      <c r="F18" s="14"/>
      <c r="G18" s="16">
        <f>IF(D18="","",D18-N(F18))</f>
        <v>0</v>
      </c>
      <c r="H18" s="12"/>
      <c r="I18" s="12"/>
    </row>
    <row r="19" spans="1:9">
      <c r="A19" s="12"/>
      <c r="B19" s="14"/>
      <c r="C19" s="14"/>
      <c r="D19" s="14"/>
      <c r="E19" s="16">
        <f>IF(B19="","",B19-D19)</f>
        <v>0</v>
      </c>
      <c r="F19" s="14"/>
      <c r="G19" s="16">
        <f>IF(D19="","",D19-N(F19))</f>
        <v>0</v>
      </c>
      <c r="H19" s="12"/>
      <c r="I19" s="12"/>
    </row>
    <row r="20" spans="1:9">
      <c r="A20" s="12"/>
      <c r="B20" s="14"/>
      <c r="C20" s="14"/>
      <c r="D20" s="14"/>
      <c r="E20" s="16">
        <f>IF(B20="","",B20-D20)</f>
        <v>0</v>
      </c>
      <c r="F20" s="14"/>
      <c r="G20" s="16">
        <f>IF(D20="","",D20-N(F20))</f>
        <v>0</v>
      </c>
      <c r="H20" s="12"/>
      <c r="I20" s="12"/>
    </row>
    <row r="21" spans="1:9">
      <c r="A21" s="12"/>
      <c r="B21" s="14"/>
      <c r="C21" s="14"/>
      <c r="D21" s="14"/>
      <c r="E21" s="16">
        <f>IF(B21="","",B21-D21)</f>
        <v>0</v>
      </c>
      <c r="F21" s="14"/>
      <c r="G21" s="16">
        <f>IF(D21="","",D21-N(F21))</f>
        <v>0</v>
      </c>
      <c r="H21" s="12"/>
      <c r="I21" s="12"/>
    </row>
    <row r="22" spans="1:9">
      <c r="A22" s="12"/>
      <c r="B22" s="14"/>
      <c r="C22" s="14"/>
      <c r="D22" s="14"/>
      <c r="E22" s="16">
        <f>IF(B22="","",B22-D22)</f>
        <v>0</v>
      </c>
      <c r="F22" s="14"/>
      <c r="G22" s="16">
        <f>IF(D22="","",D22-N(F22))</f>
        <v>0</v>
      </c>
      <c r="H22" s="12"/>
      <c r="I22" s="12"/>
    </row>
    <row r="23" spans="1:9">
      <c r="A23" s="12"/>
      <c r="B23" s="14"/>
      <c r="C23" s="14"/>
      <c r="D23" s="14"/>
      <c r="E23" s="16">
        <f>IF(B23="","",B23-D23)</f>
        <v>0</v>
      </c>
      <c r="F23" s="14"/>
      <c r="G23" s="16">
        <f>IF(D23="","",D23-N(F23))</f>
        <v>0</v>
      </c>
      <c r="H23" s="12"/>
      <c r="I23" s="12"/>
    </row>
    <row r="24" spans="1:9">
      <c r="A24" s="12"/>
      <c r="B24" s="14"/>
      <c r="C24" s="14"/>
      <c r="D24" s="14"/>
      <c r="E24" s="16">
        <f>IF(B24="","",B24-D24)</f>
        <v>0</v>
      </c>
      <c r="F24" s="14"/>
      <c r="G24" s="16">
        <f>IF(D24="","",D24-N(F24))</f>
        <v>0</v>
      </c>
      <c r="H24" s="12"/>
      <c r="I24" s="12"/>
    </row>
    <row r="25" spans="1:9">
      <c r="A25" s="12"/>
      <c r="B25" s="14"/>
      <c r="C25" s="14"/>
      <c r="D25" s="14"/>
      <c r="E25" s="16">
        <f>IF(B25="","",B25-D25)</f>
        <v>0</v>
      </c>
      <c r="F25" s="14"/>
      <c r="G25" s="16">
        <f>IF(D25="","",D25-N(F25))</f>
        <v>0</v>
      </c>
      <c r="H25" s="12"/>
      <c r="I25" s="12"/>
    </row>
    <row r="26" spans="1:9">
      <c r="A26" s="12"/>
      <c r="B26" s="14"/>
      <c r="C26" s="14"/>
      <c r="D26" s="14"/>
      <c r="E26" s="16">
        <f>IF(B26="","",B26-D26)</f>
        <v>0</v>
      </c>
      <c r="F26" s="14"/>
      <c r="G26" s="16">
        <f>IF(D26="","",D26-N(F26))</f>
        <v>0</v>
      </c>
      <c r="H26" s="12"/>
      <c r="I26" s="12"/>
    </row>
    <row r="27" spans="1:9">
      <c r="A27" s="12"/>
      <c r="B27" s="14"/>
      <c r="C27" s="14"/>
      <c r="D27" s="14"/>
      <c r="E27" s="16">
        <f>IF(B27="","",B27-D27)</f>
        <v>0</v>
      </c>
      <c r="F27" s="14"/>
      <c r="G27" s="16">
        <f>IF(D27="","",D27-N(F27))</f>
        <v>0</v>
      </c>
      <c r="H27" s="12"/>
      <c r="I27" s="12"/>
    </row>
    <row r="28" spans="1:9">
      <c r="A28" s="12"/>
      <c r="B28" s="14"/>
      <c r="C28" s="14"/>
      <c r="D28" s="14"/>
      <c r="E28" s="16">
        <f>IF(B28="","",B28-D28)</f>
        <v>0</v>
      </c>
      <c r="F28" s="14"/>
      <c r="G28" s="16">
        <f>IF(D28="","",D28-N(F28))</f>
        <v>0</v>
      </c>
      <c r="H28" s="12"/>
      <c r="I28" s="12"/>
    </row>
    <row r="29" spans="1:9">
      <c r="A29" s="12"/>
      <c r="B29" s="14"/>
      <c r="C29" s="14"/>
      <c r="D29" s="14"/>
      <c r="E29" s="16">
        <f>IF(B29="","",B29-D29)</f>
        <v>0</v>
      </c>
      <c r="F29" s="14"/>
      <c r="G29" s="16">
        <f>IF(D29="","",D29-N(F29))</f>
        <v>0</v>
      </c>
      <c r="H29" s="12"/>
      <c r="I29" s="12"/>
    </row>
    <row r="30" spans="1:9">
      <c r="A30" s="12"/>
      <c r="B30" s="14"/>
      <c r="C30" s="14"/>
      <c r="D30" s="14"/>
      <c r="E30" s="16">
        <f>IF(B30="","",B30-D30)</f>
        <v>0</v>
      </c>
      <c r="F30" s="14"/>
      <c r="G30" s="16">
        <f>IF(D30="","",D30-N(F30))</f>
        <v>0</v>
      </c>
      <c r="H30" s="12"/>
      <c r="I30" s="12"/>
    </row>
    <row r="31" spans="1:9">
      <c r="A31" s="12"/>
      <c r="B31" s="14"/>
      <c r="C31" s="14"/>
      <c r="D31" s="14"/>
      <c r="E31" s="16">
        <f>IF(B31="","",B31-D31)</f>
        <v>0</v>
      </c>
      <c r="F31" s="14"/>
      <c r="G31" s="16">
        <f>IF(D31="","",D31-N(F31))</f>
        <v>0</v>
      </c>
      <c r="H31" s="12"/>
      <c r="I31" s="12"/>
    </row>
    <row r="32" spans="1:9">
      <c r="A32" s="12"/>
      <c r="B32" s="14"/>
      <c r="C32" s="14"/>
      <c r="D32" s="14"/>
      <c r="E32" s="16">
        <f>IF(B32="","",B32-D32)</f>
        <v>0</v>
      </c>
      <c r="F32" s="14"/>
      <c r="G32" s="16">
        <f>IF(D32="","",D32-N(F32))</f>
        <v>0</v>
      </c>
      <c r="H32" s="12"/>
      <c r="I32" s="12"/>
    </row>
    <row r="33" spans="1:9">
      <c r="A33" s="12"/>
      <c r="B33" s="14"/>
      <c r="C33" s="14"/>
      <c r="D33" s="14"/>
      <c r="E33" s="16">
        <f>IF(B33="","",B33-D33)</f>
        <v>0</v>
      </c>
      <c r="F33" s="14"/>
      <c r="G33" s="16">
        <f>IF(D33="","",D33-N(F33))</f>
        <v>0</v>
      </c>
      <c r="H33" s="12"/>
      <c r="I33" s="12"/>
    </row>
    <row r="34" spans="1:9">
      <c r="A34" s="12"/>
      <c r="B34" s="14"/>
      <c r="C34" s="14"/>
      <c r="D34" s="14"/>
      <c r="E34" s="16">
        <f>IF(B34="","",B34-D34)</f>
        <v>0</v>
      </c>
      <c r="F34" s="14"/>
      <c r="G34" s="16">
        <f>IF(D34="","",D34-N(F34))</f>
        <v>0</v>
      </c>
      <c r="H34" s="12"/>
      <c r="I34" s="12"/>
    </row>
    <row r="35" spans="1:9">
      <c r="A35" s="12"/>
      <c r="B35" s="14"/>
      <c r="C35" s="14"/>
      <c r="D35" s="14"/>
      <c r="E35" s="16">
        <f>IF(B35="","",B35-D35)</f>
        <v>0</v>
      </c>
      <c r="F35" s="14"/>
      <c r="G35" s="16">
        <f>IF(D35="","",D35-N(F35))</f>
        <v>0</v>
      </c>
      <c r="H35" s="12"/>
      <c r="I35" s="12"/>
    </row>
    <row r="36" spans="1:9">
      <c r="A36" s="12"/>
      <c r="B36" s="14"/>
      <c r="C36" s="14"/>
      <c r="D36" s="14"/>
      <c r="E36" s="16">
        <f>IF(B36="","",B36-D36)</f>
        <v>0</v>
      </c>
      <c r="F36" s="14"/>
      <c r="G36" s="16">
        <f>IF(D36="","",D36-N(F36))</f>
        <v>0</v>
      </c>
      <c r="H36" s="12"/>
      <c r="I36" s="12"/>
    </row>
    <row r="37" spans="1:9">
      <c r="A37" s="12"/>
      <c r="B37" s="14"/>
      <c r="C37" s="14"/>
      <c r="D37" s="14"/>
      <c r="E37" s="16">
        <f>IF(B37="","",B37-D37)</f>
        <v>0</v>
      </c>
      <c r="F37" s="14"/>
      <c r="G37" s="16">
        <f>IF(D37="","",D37-N(F37))</f>
        <v>0</v>
      </c>
      <c r="H37" s="12"/>
      <c r="I37" s="12"/>
    </row>
    <row r="38" spans="1:9">
      <c r="A38" s="12"/>
      <c r="B38" s="14"/>
      <c r="C38" s="14"/>
      <c r="D38" s="14"/>
      <c r="E38" s="16">
        <f>IF(B38="","",B38-D38)</f>
        <v>0</v>
      </c>
      <c r="F38" s="14"/>
      <c r="G38" s="16">
        <f>IF(D38="","",D38-N(F38))</f>
        <v>0</v>
      </c>
      <c r="H38" s="12"/>
      <c r="I38" s="12"/>
    </row>
    <row r="39" spans="1:9">
      <c r="A39" s="12"/>
      <c r="B39" s="14"/>
      <c r="C39" s="14"/>
      <c r="D39" s="14"/>
      <c r="E39" s="16">
        <f>IF(B39="","",B39-D39)</f>
        <v>0</v>
      </c>
      <c r="F39" s="14"/>
      <c r="G39" s="16">
        <f>IF(D39="","",D39-N(F39))</f>
        <v>0</v>
      </c>
      <c r="H39" s="12"/>
      <c r="I39" s="12"/>
    </row>
    <row r="40" spans="1:9">
      <c r="A40" s="12"/>
      <c r="B40" s="14"/>
      <c r="C40" s="14"/>
      <c r="D40" s="14"/>
      <c r="E40" s="16">
        <f>IF(B40="","",B40-D40)</f>
        <v>0</v>
      </c>
      <c r="F40" s="14"/>
      <c r="G40" s="16">
        <f>IF(D40="","",D40-N(F40))</f>
        <v>0</v>
      </c>
      <c r="H40" s="12"/>
      <c r="I40" s="12"/>
    </row>
    <row r="41" spans="1:9">
      <c r="A41" s="12"/>
      <c r="B41" s="14"/>
      <c r="C41" s="14"/>
      <c r="D41" s="14"/>
      <c r="E41" s="16">
        <f>IF(B41="","",B41-D41)</f>
        <v>0</v>
      </c>
      <c r="F41" s="14"/>
      <c r="G41" s="16">
        <f>IF(D41="","",D41-N(F41))</f>
        <v>0</v>
      </c>
      <c r="H41" s="12"/>
      <c r="I41" s="12"/>
    </row>
    <row r="42" spans="1:9">
      <c r="A42" s="12"/>
      <c r="B42" s="14"/>
      <c r="C42" s="14"/>
      <c r="D42" s="14"/>
      <c r="E42" s="16">
        <f>IF(B42="","",B42-D42)</f>
        <v>0</v>
      </c>
      <c r="F42" s="14"/>
      <c r="G42" s="16">
        <f>IF(D42="","",D42-N(F42))</f>
        <v>0</v>
      </c>
      <c r="H42" s="12"/>
      <c r="I42" s="12"/>
    </row>
    <row r="43" spans="1:9">
      <c r="A43" s="12"/>
      <c r="B43" s="14"/>
      <c r="C43" s="14"/>
      <c r="D43" s="14"/>
      <c r="E43" s="16">
        <f>IF(B43="","",B43-D43)</f>
        <v>0</v>
      </c>
      <c r="F43" s="14"/>
      <c r="G43" s="16">
        <f>IF(D43="","",D43-N(F43))</f>
        <v>0</v>
      </c>
      <c r="H43" s="12"/>
      <c r="I43" s="12"/>
    </row>
    <row r="44" spans="1:9">
      <c r="A44" s="12"/>
      <c r="B44" s="14"/>
      <c r="C44" s="14"/>
      <c r="D44" s="14"/>
      <c r="E44" s="16">
        <f>IF(B44="","",B44-D44)</f>
        <v>0</v>
      </c>
      <c r="F44" s="14"/>
      <c r="G44" s="16">
        <f>IF(D44="","",D44-N(F44))</f>
        <v>0</v>
      </c>
      <c r="H44" s="12"/>
      <c r="I44" s="12"/>
    </row>
    <row r="45" spans="1:9">
      <c r="A45" s="12"/>
      <c r="B45" s="14"/>
      <c r="C45" s="14"/>
      <c r="D45" s="14"/>
      <c r="E45" s="16">
        <f>IF(B45="","",B45-D45)</f>
        <v>0</v>
      </c>
      <c r="F45" s="14"/>
      <c r="G45" s="16">
        <f>IF(D45="","",D45-N(F45))</f>
        <v>0</v>
      </c>
      <c r="H45" s="12"/>
      <c r="I45" s="12"/>
    </row>
    <row r="46" spans="1:9">
      <c r="A46" s="12"/>
      <c r="B46" s="14"/>
      <c r="C46" s="14"/>
      <c r="D46" s="14"/>
      <c r="E46" s="16">
        <f>IF(B46="","",B46-D46)</f>
        <v>0</v>
      </c>
      <c r="F46" s="14"/>
      <c r="G46" s="16">
        <f>IF(D46="","",D46-N(F46))</f>
        <v>0</v>
      </c>
      <c r="H46" s="12"/>
      <c r="I46" s="12"/>
    </row>
    <row r="47" spans="1:9">
      <c r="A47" s="12"/>
      <c r="B47" s="14"/>
      <c r="C47" s="14"/>
      <c r="D47" s="14"/>
      <c r="E47" s="16">
        <f>IF(B47="","",B47-D47)</f>
        <v>0</v>
      </c>
      <c r="F47" s="14"/>
      <c r="G47" s="16">
        <f>IF(D47="","",D47-N(F47))</f>
        <v>0</v>
      </c>
      <c r="H47" s="12"/>
      <c r="I47" s="12"/>
    </row>
    <row r="48" spans="1:9">
      <c r="A48" s="12"/>
      <c r="B48" s="14"/>
      <c r="C48" s="14"/>
      <c r="D48" s="14"/>
      <c r="E48" s="16">
        <f>IF(B48="","",B48-D48)</f>
        <v>0</v>
      </c>
      <c r="F48" s="14"/>
      <c r="G48" s="16">
        <f>IF(D48="","",D48-N(F48))</f>
        <v>0</v>
      </c>
      <c r="H48" s="12"/>
      <c r="I48" s="12"/>
    </row>
    <row r="49" spans="1:9">
      <c r="A49" s="12"/>
      <c r="B49" s="14"/>
      <c r="C49" s="14"/>
      <c r="D49" s="14"/>
      <c r="E49" s="16">
        <f>IF(B49="","",B49-D49)</f>
        <v>0</v>
      </c>
      <c r="F49" s="14"/>
      <c r="G49" s="16">
        <f>IF(D49="","",D49-N(F49))</f>
        <v>0</v>
      </c>
      <c r="H49" s="12"/>
      <c r="I49" s="12"/>
    </row>
    <row r="50" spans="1:9">
      <c r="A50" s="12"/>
      <c r="B50" s="14"/>
      <c r="C50" s="14"/>
      <c r="D50" s="14"/>
      <c r="E50" s="16">
        <f>IF(B50="","",B50-D50)</f>
        <v>0</v>
      </c>
      <c r="F50" s="14"/>
      <c r="G50" s="16">
        <f>IF(D50="","",D50-N(F50))</f>
        <v>0</v>
      </c>
      <c r="H50" s="12"/>
      <c r="I50" s="12"/>
    </row>
    <row r="51" spans="1:9">
      <c r="A51" s="12"/>
      <c r="B51" s="14"/>
      <c r="C51" s="14"/>
      <c r="D51" s="14"/>
      <c r="E51" s="16">
        <f>IF(B51="","",B51-D51)</f>
        <v>0</v>
      </c>
      <c r="F51" s="14"/>
      <c r="G51" s="16">
        <f>IF(D51="","",D51-N(F51))</f>
        <v>0</v>
      </c>
      <c r="H51" s="12"/>
      <c r="I51" s="12"/>
    </row>
    <row r="52" spans="1:9">
      <c r="A52" s="12"/>
      <c r="B52" s="14"/>
      <c r="C52" s="14"/>
      <c r="D52" s="14"/>
      <c r="E52" s="16">
        <f>IF(B52="","",B52-D52)</f>
        <v>0</v>
      </c>
      <c r="F52" s="14"/>
      <c r="G52" s="16">
        <f>IF(D52="","",D52-N(F52))</f>
        <v>0</v>
      </c>
      <c r="H52" s="12"/>
      <c r="I52" s="12"/>
    </row>
    <row r="53" spans="1:9">
      <c r="A53" s="12"/>
      <c r="B53" s="14"/>
      <c r="C53" s="14"/>
      <c r="D53" s="14"/>
      <c r="E53" s="16">
        <f>IF(B53="","",B53-D53)</f>
        <v>0</v>
      </c>
      <c r="F53" s="14"/>
      <c r="G53" s="16">
        <f>IF(D53="","",D53-N(F53))</f>
        <v>0</v>
      </c>
      <c r="H53" s="12"/>
      <c r="I53" s="12"/>
    </row>
    <row r="54" spans="1:9">
      <c r="A54" s="12"/>
      <c r="B54" s="14"/>
      <c r="C54" s="14"/>
      <c r="D54" s="14"/>
      <c r="E54" s="16">
        <f>IF(B54="","",B54-D54)</f>
        <v>0</v>
      </c>
      <c r="F54" s="14"/>
      <c r="G54" s="16">
        <f>IF(D54="","",D54-N(F54))</f>
        <v>0</v>
      </c>
      <c r="H54" s="12"/>
      <c r="I54" s="12"/>
    </row>
    <row r="55" spans="1:9">
      <c r="A55" s="12"/>
      <c r="B55" s="14"/>
      <c r="C55" s="14"/>
      <c r="D55" s="14"/>
      <c r="E55" s="16">
        <f>IF(B55="","",B55-D55)</f>
        <v>0</v>
      </c>
      <c r="F55" s="14"/>
      <c r="G55" s="16">
        <f>IF(D55="","",D55-N(F55))</f>
        <v>0</v>
      </c>
      <c r="H55" s="12"/>
      <c r="I55" s="12"/>
    </row>
    <row r="56" spans="1:9">
      <c r="A56" s="12"/>
      <c r="B56" s="14"/>
      <c r="C56" s="14"/>
      <c r="D56" s="14"/>
      <c r="E56" s="16">
        <f>IF(B56="","",B56-D56)</f>
        <v>0</v>
      </c>
      <c r="F56" s="14"/>
      <c r="G56" s="16">
        <f>IF(D56="","",D56-N(F56))</f>
        <v>0</v>
      </c>
      <c r="H56" s="12"/>
      <c r="I56" s="12"/>
    </row>
    <row r="57" spans="1:9">
      <c r="A57" s="12"/>
      <c r="B57" s="14"/>
      <c r="C57" s="14"/>
      <c r="D57" s="14"/>
      <c r="E57" s="16">
        <f>IF(B57="","",B57-D57)</f>
        <v>0</v>
      </c>
      <c r="F57" s="14"/>
      <c r="G57" s="16">
        <f>IF(D57="","",D57-N(F57))</f>
        <v>0</v>
      </c>
      <c r="H57" s="12"/>
      <c r="I57" s="12"/>
    </row>
    <row r="58" spans="1:9">
      <c r="A58" s="12"/>
      <c r="B58" s="14"/>
      <c r="C58" s="14"/>
      <c r="D58" s="14"/>
      <c r="E58" s="16">
        <f>IF(B58="","",B58-D58)</f>
        <v>0</v>
      </c>
      <c r="F58" s="14"/>
      <c r="G58" s="16">
        <f>IF(D58="","",D58-N(F58))</f>
        <v>0</v>
      </c>
      <c r="H58" s="12"/>
      <c r="I58" s="12"/>
    </row>
    <row r="59" spans="1:9">
      <c r="A59" s="12"/>
      <c r="B59" s="14"/>
      <c r="C59" s="14"/>
      <c r="D59" s="14"/>
      <c r="E59" s="16">
        <f>IF(B59="","",B59-D59)</f>
        <v>0</v>
      </c>
      <c r="F59" s="14"/>
      <c r="G59" s="16">
        <f>IF(D59="","",D59-N(F59))</f>
        <v>0</v>
      </c>
      <c r="H59" s="12"/>
      <c r="I59" s="12"/>
    </row>
    <row r="60" spans="1:9">
      <c r="A60" s="12"/>
      <c r="B60" s="14"/>
      <c r="C60" s="14"/>
      <c r="D60" s="14"/>
      <c r="E60" s="16">
        <f>IF(B60="","",B60-D60)</f>
        <v>0</v>
      </c>
      <c r="F60" s="14"/>
      <c r="G60" s="16">
        <f>IF(D60="","",D60-N(F60))</f>
        <v>0</v>
      </c>
      <c r="H60" s="12"/>
      <c r="I60" s="12"/>
    </row>
    <row r="61" spans="1:9">
      <c r="A61" s="12"/>
      <c r="B61" s="14"/>
      <c r="C61" s="14"/>
      <c r="D61" s="14"/>
      <c r="E61" s="16">
        <f>IF(B61="","",B61-D61)</f>
        <v>0</v>
      </c>
      <c r="F61" s="14"/>
      <c r="G61" s="16">
        <f>IF(D61="","",D61-N(F61))</f>
        <v>0</v>
      </c>
      <c r="H61" s="12"/>
      <c r="I61" s="12"/>
    </row>
    <row r="62" spans="1:9">
      <c r="A62" s="12"/>
      <c r="B62" s="14"/>
      <c r="C62" s="14"/>
      <c r="D62" s="14"/>
      <c r="E62" s="16">
        <f>IF(B62="","",B62-D62)</f>
        <v>0</v>
      </c>
      <c r="F62" s="14"/>
      <c r="G62" s="16">
        <f>IF(D62="","",D62-N(F62))</f>
        <v>0</v>
      </c>
      <c r="H62" s="12"/>
      <c r="I62" s="12"/>
    </row>
    <row r="63" spans="1:9">
      <c r="A63" s="12"/>
      <c r="B63" s="14"/>
      <c r="C63" s="14"/>
      <c r="D63" s="14"/>
      <c r="E63" s="16">
        <f>IF(B63="","",B63-D63)</f>
        <v>0</v>
      </c>
      <c r="F63" s="14"/>
      <c r="G63" s="16">
        <f>IF(D63="","",D63-N(F63))</f>
        <v>0</v>
      </c>
      <c r="H63" s="12"/>
      <c r="I63" s="12"/>
    </row>
    <row r="64" spans="1:9">
      <c r="A64" s="12"/>
      <c r="B64" s="14"/>
      <c r="C64" s="14"/>
      <c r="D64" s="14"/>
      <c r="E64" s="16">
        <f>IF(B64="","",B64-D64)</f>
        <v>0</v>
      </c>
      <c r="F64" s="14"/>
      <c r="G64" s="16">
        <f>IF(D64="","",D64-N(F64))</f>
        <v>0</v>
      </c>
      <c r="H64" s="12"/>
      <c r="I64" s="12"/>
    </row>
    <row r="65" spans="1:9">
      <c r="A65" s="12"/>
      <c r="B65" s="14"/>
      <c r="C65" s="14"/>
      <c r="D65" s="14"/>
      <c r="E65" s="16">
        <f>IF(B65="","",B65-D65)</f>
        <v>0</v>
      </c>
      <c r="F65" s="14"/>
      <c r="G65" s="16">
        <f>IF(D65="","",D65-N(F65))</f>
        <v>0</v>
      </c>
      <c r="H65" s="12"/>
      <c r="I65" s="12"/>
    </row>
    <row r="66" spans="1:9">
      <c r="A66" s="12"/>
      <c r="B66" s="14"/>
      <c r="C66" s="14"/>
      <c r="D66" s="14"/>
      <c r="E66" s="16">
        <f>IF(B66="","",B66-D66)</f>
        <v>0</v>
      </c>
      <c r="F66" s="14"/>
      <c r="G66" s="16">
        <f>IF(D66="","",D66-N(F66))</f>
        <v>0</v>
      </c>
      <c r="H66" s="12"/>
      <c r="I66" s="12"/>
    </row>
    <row r="67" spans="1:9">
      <c r="A67" s="12"/>
      <c r="B67" s="14"/>
      <c r="C67" s="14"/>
      <c r="D67" s="14"/>
      <c r="E67" s="16">
        <f>IF(B67="","",B67-D67)</f>
        <v>0</v>
      </c>
      <c r="F67" s="14"/>
      <c r="G67" s="16">
        <f>IF(D67="","",D67-N(F67))</f>
        <v>0</v>
      </c>
      <c r="H67" s="12"/>
      <c r="I67" s="12"/>
    </row>
    <row r="68" spans="1:9">
      <c r="A68" s="12"/>
      <c r="B68" s="14"/>
      <c r="C68" s="14"/>
      <c r="D68" s="14"/>
      <c r="E68" s="16">
        <f>IF(B68="","",B68-D68)</f>
        <v>0</v>
      </c>
      <c r="F68" s="14"/>
      <c r="G68" s="16">
        <f>IF(D68="","",D68-N(F68))</f>
        <v>0</v>
      </c>
      <c r="H68" s="12"/>
      <c r="I68" s="12"/>
    </row>
    <row r="69" spans="1:9">
      <c r="A69" s="12"/>
      <c r="B69" s="14"/>
      <c r="C69" s="14"/>
      <c r="D69" s="14"/>
      <c r="E69" s="16">
        <f>IF(B69="","",B69-D69)</f>
        <v>0</v>
      </c>
      <c r="F69" s="14"/>
      <c r="G69" s="16">
        <f>IF(D69="","",D69-N(F69))</f>
        <v>0</v>
      </c>
      <c r="H69" s="12"/>
      <c r="I69" s="12"/>
    </row>
    <row r="70" spans="1:9">
      <c r="A70" s="12"/>
      <c r="B70" s="14"/>
      <c r="C70" s="14"/>
      <c r="D70" s="14"/>
      <c r="E70" s="16">
        <f>IF(B70="","",B70-D70)</f>
        <v>0</v>
      </c>
      <c r="F70" s="14"/>
      <c r="G70" s="16">
        <f>IF(D70="","",D70-N(F70))</f>
        <v>0</v>
      </c>
      <c r="H70" s="12"/>
      <c r="I70" s="12"/>
    </row>
    <row r="71" spans="1:9">
      <c r="A71" s="12"/>
      <c r="B71" s="14"/>
      <c r="C71" s="14"/>
      <c r="D71" s="14"/>
      <c r="E71" s="16">
        <f>IF(B71="","",B71-D71)</f>
        <v>0</v>
      </c>
      <c r="F71" s="14"/>
      <c r="G71" s="16">
        <f>IF(D71="","",D71-N(F71))</f>
        <v>0</v>
      </c>
      <c r="H71" s="12"/>
      <c r="I71" s="12"/>
    </row>
    <row r="72" spans="1:9">
      <c r="A72" s="12"/>
      <c r="B72" s="14"/>
      <c r="C72" s="14"/>
      <c r="D72" s="14"/>
      <c r="E72" s="16">
        <f>IF(B72="","",B72-D72)</f>
        <v>0</v>
      </c>
      <c r="F72" s="14"/>
      <c r="G72" s="16">
        <f>IF(D72="","",D72-N(F72))</f>
        <v>0</v>
      </c>
      <c r="H72" s="12"/>
      <c r="I72" s="12"/>
    </row>
    <row r="73" spans="1:9">
      <c r="A73" s="12"/>
      <c r="B73" s="14"/>
      <c r="C73" s="14"/>
      <c r="D73" s="14"/>
      <c r="E73" s="16">
        <f>IF(B73="","",B73-D73)</f>
        <v>0</v>
      </c>
      <c r="F73" s="14"/>
      <c r="G73" s="16">
        <f>IF(D73="","",D73-N(F73))</f>
        <v>0</v>
      </c>
      <c r="H73" s="12"/>
      <c r="I73" s="12"/>
    </row>
    <row r="74" spans="1:9">
      <c r="A74" s="12"/>
      <c r="B74" s="14"/>
      <c r="C74" s="14"/>
      <c r="D74" s="14"/>
      <c r="E74" s="16">
        <f>IF(B74="","",B74-D74)</f>
        <v>0</v>
      </c>
      <c r="F74" s="14"/>
      <c r="G74" s="16">
        <f>IF(D74="","",D74-N(F74))</f>
        <v>0</v>
      </c>
      <c r="H74" s="12"/>
      <c r="I74" s="12"/>
    </row>
    <row r="75" spans="1:9">
      <c r="A75" s="12"/>
      <c r="B75" s="14"/>
      <c r="C75" s="14"/>
      <c r="D75" s="14"/>
      <c r="E75" s="16">
        <f>IF(B75="","",B75-D75)</f>
        <v>0</v>
      </c>
      <c r="F75" s="14"/>
      <c r="G75" s="16">
        <f>IF(D75="","",D75-N(F75))</f>
        <v>0</v>
      </c>
      <c r="H75" s="12"/>
      <c r="I75" s="12"/>
    </row>
    <row r="76" spans="1:9">
      <c r="A76" s="12"/>
      <c r="B76" s="14"/>
      <c r="C76" s="14"/>
      <c r="D76" s="14"/>
      <c r="E76" s="16">
        <f>IF(B76="","",B76-D76)</f>
        <v>0</v>
      </c>
      <c r="F76" s="14"/>
      <c r="G76" s="16">
        <f>IF(D76="","",D76-N(F76))</f>
        <v>0</v>
      </c>
      <c r="H76" s="12"/>
      <c r="I76" s="12"/>
    </row>
    <row r="77" spans="1:9">
      <c r="A77" s="12"/>
      <c r="B77" s="14"/>
      <c r="C77" s="14"/>
      <c r="D77" s="14"/>
      <c r="E77" s="16">
        <f>IF(B77="","",B77-D77)</f>
        <v>0</v>
      </c>
      <c r="F77" s="14"/>
      <c r="G77" s="16">
        <f>IF(D77="","",D77-N(F77))</f>
        <v>0</v>
      </c>
      <c r="H77" s="12"/>
      <c r="I77" s="12"/>
    </row>
    <row r="78" spans="1:9">
      <c r="A78" s="12"/>
      <c r="B78" s="14"/>
      <c r="C78" s="14"/>
      <c r="D78" s="14"/>
      <c r="E78" s="16">
        <f>IF(B78="","",B78-D78)</f>
        <v>0</v>
      </c>
      <c r="F78" s="14"/>
      <c r="G78" s="16">
        <f>IF(D78="","",D78-N(F78))</f>
        <v>0</v>
      </c>
      <c r="H78" s="12"/>
      <c r="I78" s="12"/>
    </row>
    <row r="79" spans="1:9">
      <c r="A79" s="12"/>
      <c r="B79" s="14"/>
      <c r="C79" s="14"/>
      <c r="D79" s="14"/>
      <c r="E79" s="16">
        <f>IF(B79="","",B79-D79)</f>
        <v>0</v>
      </c>
      <c r="F79" s="14"/>
      <c r="G79" s="16">
        <f>IF(D79="","",D79-N(F79))</f>
        <v>0</v>
      </c>
      <c r="H79" s="12"/>
      <c r="I79" s="12"/>
    </row>
    <row r="80" spans="1:9">
      <c r="A80" s="12"/>
      <c r="B80" s="14"/>
      <c r="C80" s="14"/>
      <c r="D80" s="14"/>
      <c r="E80" s="16">
        <f>IF(B80="","",B80-D80)</f>
        <v>0</v>
      </c>
      <c r="F80" s="14"/>
      <c r="G80" s="16">
        <f>IF(D80="","",D80-N(F80))</f>
        <v>0</v>
      </c>
      <c r="H80" s="12"/>
      <c r="I80" s="12"/>
    </row>
    <row r="81" spans="1:9">
      <c r="A81" s="12"/>
      <c r="B81" s="14"/>
      <c r="C81" s="14"/>
      <c r="D81" s="14"/>
      <c r="E81" s="16">
        <f>IF(B81="","",B81-D81)</f>
        <v>0</v>
      </c>
      <c r="F81" s="14"/>
      <c r="G81" s="16">
        <f>IF(D81="","",D81-N(F81))</f>
        <v>0</v>
      </c>
      <c r="H81" s="12"/>
      <c r="I81" s="12"/>
    </row>
    <row r="82" spans="1:9">
      <c r="A82" s="12"/>
      <c r="B82" s="14"/>
      <c r="C82" s="14"/>
      <c r="D82" s="14"/>
      <c r="E82" s="16">
        <f>IF(B82="","",B82-D82)</f>
        <v>0</v>
      </c>
      <c r="F82" s="14"/>
      <c r="G82" s="16">
        <f>IF(D82="","",D82-N(F82))</f>
        <v>0</v>
      </c>
      <c r="H82" s="12"/>
      <c r="I82" s="12"/>
    </row>
    <row r="83" spans="1:9">
      <c r="A83" s="12"/>
      <c r="B83" s="14"/>
      <c r="C83" s="14"/>
      <c r="D83" s="14"/>
      <c r="E83" s="16">
        <f>IF(B83="","",B83-D83)</f>
        <v>0</v>
      </c>
      <c r="F83" s="14"/>
      <c r="G83" s="16">
        <f>IF(D83="","",D83-N(F83))</f>
        <v>0</v>
      </c>
      <c r="H83" s="12"/>
      <c r="I83" s="12"/>
    </row>
    <row r="84" spans="1:9">
      <c r="A84" s="12"/>
      <c r="B84" s="14"/>
      <c r="C84" s="14"/>
      <c r="D84" s="14"/>
      <c r="E84" s="16">
        <f>IF(B84="","",B84-D84)</f>
        <v>0</v>
      </c>
      <c r="F84" s="14"/>
      <c r="G84" s="16">
        <f>IF(D84="","",D84-N(F84))</f>
        <v>0</v>
      </c>
      <c r="H84" s="12"/>
      <c r="I84" s="12"/>
    </row>
    <row r="85" spans="1:9">
      <c r="A85" s="12"/>
      <c r="B85" s="14"/>
      <c r="C85" s="14"/>
      <c r="D85" s="14"/>
      <c r="E85" s="16">
        <f>IF(B85="","",B85-D85)</f>
        <v>0</v>
      </c>
      <c r="F85" s="14"/>
      <c r="G85" s="16">
        <f>IF(D85="","",D85-N(F85))</f>
        <v>0</v>
      </c>
      <c r="H85" s="12"/>
      <c r="I85" s="12"/>
    </row>
    <row r="86" spans="1:9">
      <c r="A86" s="12"/>
      <c r="B86" s="14"/>
      <c r="C86" s="14"/>
      <c r="D86" s="14"/>
      <c r="E86" s="16">
        <f>IF(B86="","",B86-D86)</f>
        <v>0</v>
      </c>
      <c r="F86" s="14"/>
      <c r="G86" s="16">
        <f>IF(D86="","",D86-N(F86))</f>
        <v>0</v>
      </c>
      <c r="H86" s="12"/>
      <c r="I86" s="12"/>
    </row>
    <row r="87" spans="1:9">
      <c r="A87" s="12"/>
      <c r="B87" s="14"/>
      <c r="C87" s="14"/>
      <c r="D87" s="14"/>
      <c r="E87" s="16">
        <f>IF(B87="","",B87-D87)</f>
        <v>0</v>
      </c>
      <c r="F87" s="14"/>
      <c r="G87" s="16">
        <f>IF(D87="","",D87-N(F87))</f>
        <v>0</v>
      </c>
      <c r="H87" s="12"/>
      <c r="I87" s="12"/>
    </row>
    <row r="88" spans="1:9">
      <c r="A88" s="12"/>
      <c r="B88" s="14"/>
      <c r="C88" s="14"/>
      <c r="D88" s="14"/>
      <c r="E88" s="16">
        <f>IF(B88="","",B88-D88)</f>
        <v>0</v>
      </c>
      <c r="F88" s="14"/>
      <c r="G88" s="16">
        <f>IF(D88="","",D88-N(F88))</f>
        <v>0</v>
      </c>
      <c r="H88" s="12"/>
      <c r="I88" s="12"/>
    </row>
    <row r="89" spans="1:9">
      <c r="A89" s="12"/>
      <c r="B89" s="14"/>
      <c r="C89" s="14"/>
      <c r="D89" s="14"/>
      <c r="E89" s="16">
        <f>IF(B89="","",B89-D89)</f>
        <v>0</v>
      </c>
      <c r="F89" s="14"/>
      <c r="G89" s="16">
        <f>IF(D89="","",D89-N(F89))</f>
        <v>0</v>
      </c>
      <c r="H89" s="12"/>
      <c r="I89" s="12"/>
    </row>
    <row r="90" spans="1:9">
      <c r="A90" s="12"/>
      <c r="B90" s="14"/>
      <c r="C90" s="14"/>
      <c r="D90" s="14"/>
      <c r="E90" s="16">
        <f>IF(B90="","",B90-D90)</f>
        <v>0</v>
      </c>
      <c r="F90" s="14"/>
      <c r="G90" s="16">
        <f>IF(D90="","",D90-N(F90))</f>
        <v>0</v>
      </c>
      <c r="H90" s="12"/>
      <c r="I90" s="12"/>
    </row>
    <row r="91" spans="1:9">
      <c r="A91" s="12"/>
      <c r="B91" s="14"/>
      <c r="C91" s="14"/>
      <c r="D91" s="14"/>
      <c r="E91" s="16">
        <f>IF(B91="","",B91-D91)</f>
        <v>0</v>
      </c>
      <c r="F91" s="14"/>
      <c r="G91" s="16">
        <f>IF(D91="","",D91-N(F91))</f>
        <v>0</v>
      </c>
      <c r="H91" s="12"/>
      <c r="I91" s="12"/>
    </row>
    <row r="92" spans="1:9">
      <c r="A92" s="12"/>
      <c r="B92" s="14"/>
      <c r="C92" s="14"/>
      <c r="D92" s="14"/>
      <c r="E92" s="16">
        <f>IF(B92="","",B92-D92)</f>
        <v>0</v>
      </c>
      <c r="F92" s="14"/>
      <c r="G92" s="16">
        <f>IF(D92="","",D92-N(F92))</f>
        <v>0</v>
      </c>
      <c r="H92" s="12"/>
      <c r="I92" s="12"/>
    </row>
    <row r="93" spans="1:9">
      <c r="A93" s="12"/>
      <c r="B93" s="14"/>
      <c r="C93" s="14"/>
      <c r="D93" s="14"/>
      <c r="E93" s="16">
        <f>IF(B93="","",B93-D93)</f>
        <v>0</v>
      </c>
      <c r="F93" s="14"/>
      <c r="G93" s="16">
        <f>IF(D93="","",D93-N(F93))</f>
        <v>0</v>
      </c>
      <c r="H93" s="12"/>
      <c r="I93" s="12"/>
    </row>
    <row r="94" spans="1:9">
      <c r="A94" s="12"/>
      <c r="B94" s="14"/>
      <c r="C94" s="14"/>
      <c r="D94" s="14"/>
      <c r="E94" s="16">
        <f>IF(B94="","",B94-D94)</f>
        <v>0</v>
      </c>
      <c r="F94" s="14"/>
      <c r="G94" s="16">
        <f>IF(D94="","",D94-N(F94))</f>
        <v>0</v>
      </c>
      <c r="H94" s="12"/>
      <c r="I94" s="12"/>
    </row>
    <row r="95" spans="1:9">
      <c r="A95" s="12"/>
      <c r="B95" s="14"/>
      <c r="C95" s="14"/>
      <c r="D95" s="14"/>
      <c r="E95" s="16">
        <f>IF(B95="","",B95-D95)</f>
        <v>0</v>
      </c>
      <c r="F95" s="14"/>
      <c r="G95" s="16">
        <f>IF(D95="","",D95-N(F95))</f>
        <v>0</v>
      </c>
      <c r="H95" s="12"/>
      <c r="I95" s="12"/>
    </row>
    <row r="96" spans="1:9">
      <c r="A96" s="12"/>
      <c r="B96" s="14"/>
      <c r="C96" s="14"/>
      <c r="D96" s="14"/>
      <c r="E96" s="16">
        <f>IF(B96="","",B96-D96)</f>
        <v>0</v>
      </c>
      <c r="F96" s="14"/>
      <c r="G96" s="16">
        <f>IF(D96="","",D96-N(F96))</f>
        <v>0</v>
      </c>
      <c r="H96" s="12"/>
      <c r="I96" s="12"/>
    </row>
    <row r="97" spans="1:9">
      <c r="A97" s="12"/>
      <c r="B97" s="14"/>
      <c r="C97" s="14"/>
      <c r="D97" s="14"/>
      <c r="E97" s="16">
        <f>IF(B97="","",B97-D97)</f>
        <v>0</v>
      </c>
      <c r="F97" s="14"/>
      <c r="G97" s="16">
        <f>IF(D97="","",D97-N(F97))</f>
        <v>0</v>
      </c>
      <c r="H97" s="12"/>
      <c r="I97" s="12"/>
    </row>
    <row r="98" spans="1:9">
      <c r="A98" s="12"/>
      <c r="B98" s="14"/>
      <c r="C98" s="14"/>
      <c r="D98" s="14"/>
      <c r="E98" s="16">
        <f>IF(B98="","",B98-D98)</f>
        <v>0</v>
      </c>
      <c r="F98" s="14"/>
      <c r="G98" s="16">
        <f>IF(D98="","",D98-N(F98))</f>
        <v>0</v>
      </c>
      <c r="H98" s="12"/>
      <c r="I98" s="12"/>
    </row>
    <row r="99" spans="1:9">
      <c r="A99" s="12"/>
      <c r="B99" s="14"/>
      <c r="C99" s="14"/>
      <c r="D99" s="14"/>
      <c r="E99" s="16">
        <f>IF(B99="","",B99-D99)</f>
        <v>0</v>
      </c>
      <c r="F99" s="14"/>
      <c r="G99" s="16">
        <f>IF(D99="","",D99-N(F99))</f>
        <v>0</v>
      </c>
      <c r="H99" s="12"/>
      <c r="I99" s="12"/>
    </row>
    <row r="100" spans="1:9">
      <c r="A100" s="12"/>
      <c r="B100" s="14"/>
      <c r="C100" s="14"/>
      <c r="D100" s="14"/>
      <c r="E100" s="16">
        <f>IF(B100="","",B100-D100)</f>
        <v>0</v>
      </c>
      <c r="F100" s="14"/>
      <c r="G100" s="16">
        <f>IF(D100="","",D100-N(F100))</f>
        <v>0</v>
      </c>
      <c r="H100" s="12"/>
      <c r="I100" s="12"/>
    </row>
    <row r="101" spans="1:9">
      <c r="A101" s="12"/>
      <c r="B101" s="14"/>
      <c r="C101" s="14"/>
      <c r="D101" s="14"/>
      <c r="E101" s="16">
        <f>IF(B101="","",B101-D101)</f>
        <v>0</v>
      </c>
      <c r="F101" s="14"/>
      <c r="G101" s="16">
        <f>IF(D101="","",D101-N(F101))</f>
        <v>0</v>
      </c>
      <c r="H101" s="12"/>
      <c r="I101" s="12"/>
    </row>
    <row r="102" spans="1:9">
      <c r="A102" s="12"/>
      <c r="B102" s="14"/>
      <c r="C102" s="14"/>
      <c r="D102" s="14"/>
      <c r="E102" s="16">
        <f>IF(B102="","",B102-D102)</f>
        <v>0</v>
      </c>
      <c r="F102" s="14"/>
      <c r="G102" s="16">
        <f>IF(D102="","",D102-N(F102))</f>
        <v>0</v>
      </c>
      <c r="H102" s="12"/>
      <c r="I102" s="12"/>
    </row>
    <row r="103" spans="1:9">
      <c r="A103" s="12"/>
      <c r="B103" s="14"/>
      <c r="C103" s="14"/>
      <c r="D103" s="14"/>
      <c r="E103" s="16">
        <f>IF(B103="","",B103-D103)</f>
        <v>0</v>
      </c>
      <c r="F103" s="14"/>
      <c r="G103" s="16">
        <f>IF(D103="","",D103-N(F103))</f>
        <v>0</v>
      </c>
      <c r="H103" s="12"/>
      <c r="I103" s="12"/>
    </row>
    <row r="104" spans="1:9">
      <c r="A104" s="12"/>
      <c r="B104" s="14"/>
      <c r="C104" s="14"/>
      <c r="D104" s="14"/>
      <c r="E104" s="16">
        <f>IF(B104="","",B104-D104)</f>
        <v>0</v>
      </c>
      <c r="F104" s="14"/>
      <c r="G104" s="16">
        <f>IF(D104="","",D104-N(F104))</f>
        <v>0</v>
      </c>
      <c r="H104" s="12"/>
      <c r="I104" s="12"/>
    </row>
    <row r="105" spans="1:9">
      <c r="A105" s="12"/>
      <c r="B105" s="14"/>
      <c r="C105" s="14"/>
      <c r="D105" s="14"/>
      <c r="E105" s="16">
        <f>IF(B105="","",B105-D105)</f>
        <v>0</v>
      </c>
      <c r="F105" s="14"/>
      <c r="G105" s="16">
        <f>IF(D105="","",D105-N(F105))</f>
        <v>0</v>
      </c>
      <c r="H105" s="12"/>
      <c r="I105" s="12"/>
    </row>
    <row r="106" spans="1:9">
      <c r="A106" s="12"/>
      <c r="B106" s="14"/>
      <c r="C106" s="14"/>
      <c r="D106" s="14"/>
      <c r="E106" s="16">
        <f>IF(B106="","",B106-D106)</f>
        <v>0</v>
      </c>
      <c r="F106" s="14"/>
      <c r="G106" s="16">
        <f>IF(D106="","",D106-N(F106))</f>
        <v>0</v>
      </c>
      <c r="H106" s="12"/>
      <c r="I106" s="12"/>
    </row>
    <row r="107" spans="1:9">
      <c r="A107" s="12"/>
      <c r="B107" s="14"/>
      <c r="C107" s="14"/>
      <c r="D107" s="14"/>
      <c r="E107" s="16">
        <f>IF(B107="","",B107-D107)</f>
        <v>0</v>
      </c>
      <c r="F107" s="14"/>
      <c r="G107" s="16">
        <f>IF(D107="","",D107-N(F107))</f>
        <v>0</v>
      </c>
      <c r="H107" s="12"/>
      <c r="I107" s="12"/>
    </row>
    <row r="108" spans="1:9">
      <c r="A108" s="12"/>
      <c r="B108" s="14"/>
      <c r="C108" s="14"/>
      <c r="D108" s="14"/>
      <c r="E108" s="16">
        <f>IF(B108="","",B108-D108)</f>
        <v>0</v>
      </c>
      <c r="F108" s="14"/>
      <c r="G108" s="16">
        <f>IF(D108="","",D108-N(F108))</f>
        <v>0</v>
      </c>
      <c r="H108" s="12"/>
      <c r="I108" s="12"/>
    </row>
    <row r="109" spans="1:9">
      <c r="A109" s="12"/>
      <c r="B109" s="14"/>
      <c r="C109" s="14"/>
      <c r="D109" s="14"/>
      <c r="E109" s="16">
        <f>IF(B109="","",B109-D109)</f>
        <v>0</v>
      </c>
      <c r="F109" s="14"/>
      <c r="G109" s="16">
        <f>IF(D109="","",D109-N(F109))</f>
        <v>0</v>
      </c>
      <c r="H109" s="12"/>
      <c r="I109" s="12"/>
    </row>
    <row r="110" spans="1:9">
      <c r="A110" s="12"/>
      <c r="B110" s="14"/>
      <c r="C110" s="14"/>
      <c r="D110" s="14"/>
      <c r="E110" s="16">
        <f>IF(B110="","",B110-D110)</f>
        <v>0</v>
      </c>
      <c r="F110" s="14"/>
      <c r="G110" s="16">
        <f>IF(D110="","",D110-N(F110))</f>
        <v>0</v>
      </c>
      <c r="H110" s="12"/>
      <c r="I110" s="12"/>
    </row>
    <row r="111" spans="1:9">
      <c r="A111" s="12"/>
      <c r="B111" s="14"/>
      <c r="C111" s="14"/>
      <c r="D111" s="14"/>
      <c r="E111" s="16">
        <f>IF(B111="","",B111-D111)</f>
        <v>0</v>
      </c>
      <c r="F111" s="14"/>
      <c r="G111" s="16">
        <f>IF(D111="","",D111-N(F111))</f>
        <v>0</v>
      </c>
      <c r="H111" s="12"/>
      <c r="I111" s="12"/>
    </row>
    <row r="112" spans="1:9">
      <c r="A112" s="12"/>
      <c r="B112" s="14"/>
      <c r="C112" s="14"/>
      <c r="D112" s="14"/>
      <c r="E112" s="16">
        <f>IF(B112="","",B112-D112)</f>
        <v>0</v>
      </c>
      <c r="F112" s="14"/>
      <c r="G112" s="16">
        <f>IF(D112="","",D112-N(F112))</f>
        <v>0</v>
      </c>
      <c r="H112" s="12"/>
      <c r="I112" s="12"/>
    </row>
    <row r="113" spans="1:9">
      <c r="A113" s="12"/>
      <c r="B113" s="14"/>
      <c r="C113" s="14"/>
      <c r="D113" s="14"/>
      <c r="E113" s="16">
        <f>IF(B113="","",B113-D113)</f>
        <v>0</v>
      </c>
      <c r="F113" s="14"/>
      <c r="G113" s="16">
        <f>IF(D113="","",D113-N(F113))</f>
        <v>0</v>
      </c>
      <c r="H113" s="12"/>
      <c r="I113" s="12"/>
    </row>
    <row r="114" spans="1:9">
      <c r="A114" s="12"/>
      <c r="B114" s="14"/>
      <c r="C114" s="14"/>
      <c r="D114" s="14"/>
      <c r="E114" s="16">
        <f>IF(B114="","",B114-D114)</f>
        <v>0</v>
      </c>
      <c r="F114" s="14"/>
      <c r="G114" s="16">
        <f>IF(D114="","",D114-N(F114))</f>
        <v>0</v>
      </c>
      <c r="H114" s="12"/>
      <c r="I114" s="12"/>
    </row>
    <row r="115" spans="1:9">
      <c r="A115" s="12"/>
      <c r="B115" s="14"/>
      <c r="C115" s="14"/>
      <c r="D115" s="14"/>
      <c r="E115" s="16">
        <f>IF(B115="","",B115-D115)</f>
        <v>0</v>
      </c>
      <c r="F115" s="14"/>
      <c r="G115" s="16">
        <f>IF(D115="","",D115-N(F115))</f>
        <v>0</v>
      </c>
      <c r="H115" s="12"/>
      <c r="I115" s="12"/>
    </row>
    <row r="116" spans="1:9">
      <c r="A116" s="12"/>
      <c r="B116" s="14"/>
      <c r="C116" s="14"/>
      <c r="D116" s="14"/>
      <c r="E116" s="16">
        <f>IF(B116="","",B116-D116)</f>
        <v>0</v>
      </c>
      <c r="F116" s="14"/>
      <c r="G116" s="16">
        <f>IF(D116="","",D116-N(F116))</f>
        <v>0</v>
      </c>
      <c r="H116" s="12"/>
      <c r="I116" s="12"/>
    </row>
    <row r="117" spans="1:9">
      <c r="A117" s="12"/>
      <c r="B117" s="14"/>
      <c r="C117" s="14"/>
      <c r="D117" s="14"/>
      <c r="E117" s="16">
        <f>IF(B117="","",B117-D117)</f>
        <v>0</v>
      </c>
      <c r="F117" s="14"/>
      <c r="G117" s="16">
        <f>IF(D117="","",D117-N(F117))</f>
        <v>0</v>
      </c>
      <c r="H117" s="12"/>
      <c r="I117" s="12"/>
    </row>
    <row r="118" spans="1:9">
      <c r="A118" s="12"/>
      <c r="B118" s="14"/>
      <c r="C118" s="14"/>
      <c r="D118" s="14"/>
      <c r="E118" s="16">
        <f>IF(B118="","",B118-D118)</f>
        <v>0</v>
      </c>
      <c r="F118" s="14"/>
      <c r="G118" s="16">
        <f>IF(D118="","",D118-N(F118))</f>
        <v>0</v>
      </c>
      <c r="H118" s="12"/>
      <c r="I118" s="12"/>
    </row>
    <row r="119" spans="1:9">
      <c r="A119" s="12"/>
      <c r="B119" s="14"/>
      <c r="C119" s="14"/>
      <c r="D119" s="14"/>
      <c r="E119" s="16">
        <f>IF(B119="","",B119-D119)</f>
        <v>0</v>
      </c>
      <c r="F119" s="14"/>
      <c r="G119" s="16">
        <f>IF(D119="","",D119-N(F119))</f>
        <v>0</v>
      </c>
      <c r="H119" s="12"/>
      <c r="I119" s="12"/>
    </row>
    <row r="120" spans="1:9">
      <c r="A120" s="12"/>
      <c r="B120" s="14"/>
      <c r="C120" s="14"/>
      <c r="D120" s="14"/>
      <c r="E120" s="16">
        <f>IF(B120="","",B120-D120)</f>
        <v>0</v>
      </c>
      <c r="F120" s="14"/>
      <c r="G120" s="16">
        <f>IF(D120="","",D120-N(F120))</f>
        <v>0</v>
      </c>
      <c r="H120" s="12"/>
      <c r="I120" s="12"/>
    </row>
    <row r="121" spans="1:9">
      <c r="A121" s="12"/>
      <c r="B121" s="14"/>
      <c r="C121" s="14"/>
      <c r="D121" s="14"/>
      <c r="E121" s="16">
        <f>IF(B121="","",B121-D121)</f>
        <v>0</v>
      </c>
      <c r="F121" s="14"/>
      <c r="G121" s="16">
        <f>IF(D121="","",D121-N(F121))</f>
        <v>0</v>
      </c>
      <c r="H121" s="12"/>
      <c r="I121" s="12"/>
    </row>
    <row r="122" spans="1:9">
      <c r="A122" s="12"/>
      <c r="B122" s="14"/>
      <c r="C122" s="14"/>
      <c r="D122" s="14"/>
      <c r="E122" s="16">
        <f>IF(B122="","",B122-D122)</f>
        <v>0</v>
      </c>
      <c r="F122" s="14"/>
      <c r="G122" s="16">
        <f>IF(D122="","",D122-N(F122))</f>
        <v>0</v>
      </c>
      <c r="H122" s="12"/>
      <c r="I122" s="12"/>
    </row>
    <row r="123" spans="1:9">
      <c r="A123" s="12"/>
      <c r="B123" s="14"/>
      <c r="C123" s="14"/>
      <c r="D123" s="14"/>
      <c r="E123" s="16">
        <f>IF(B123="","",B123-D123)</f>
        <v>0</v>
      </c>
      <c r="F123" s="14"/>
      <c r="G123" s="16">
        <f>IF(D123="","",D123-N(F123))</f>
        <v>0</v>
      </c>
      <c r="H123" s="12"/>
      <c r="I123" s="12"/>
    </row>
    <row r="124" spans="1:9">
      <c r="A124" s="12"/>
      <c r="B124" s="14"/>
      <c r="C124" s="14"/>
      <c r="D124" s="14"/>
      <c r="E124" s="16">
        <f>IF(B124="","",B124-D124)</f>
        <v>0</v>
      </c>
      <c r="F124" s="14"/>
      <c r="G124" s="16">
        <f>IF(D124="","",D124-N(F124))</f>
        <v>0</v>
      </c>
      <c r="H124" s="12"/>
      <c r="I124" s="12"/>
    </row>
    <row r="125" spans="1:9">
      <c r="A125" s="12"/>
      <c r="B125" s="14"/>
      <c r="C125" s="14"/>
      <c r="D125" s="14"/>
      <c r="E125" s="16">
        <f>IF(B125="","",B125-D125)</f>
        <v>0</v>
      </c>
      <c r="F125" s="14"/>
      <c r="G125" s="16">
        <f>IF(D125="","",D125-N(F125))</f>
        <v>0</v>
      </c>
      <c r="H125" s="12"/>
      <c r="I125" s="12"/>
    </row>
    <row r="126" spans="1:9">
      <c r="A126" s="12"/>
      <c r="B126" s="14"/>
      <c r="C126" s="14"/>
      <c r="D126" s="14"/>
      <c r="E126" s="16">
        <f>IF(B126="","",B126-D126)</f>
        <v>0</v>
      </c>
      <c r="F126" s="14"/>
      <c r="G126" s="16">
        <f>IF(D126="","",D126-N(F126))</f>
        <v>0</v>
      </c>
      <c r="H126" s="12"/>
      <c r="I126" s="12"/>
    </row>
    <row r="127" spans="1:9">
      <c r="A127" s="12"/>
      <c r="B127" s="14"/>
      <c r="C127" s="14"/>
      <c r="D127" s="14"/>
      <c r="E127" s="16">
        <f>IF(B127="","",B127-D127)</f>
        <v>0</v>
      </c>
      <c r="F127" s="14"/>
      <c r="G127" s="16">
        <f>IF(D127="","",D127-N(F127))</f>
        <v>0</v>
      </c>
      <c r="H127" s="12"/>
      <c r="I127" s="12"/>
    </row>
    <row r="128" spans="1:9">
      <c r="A128" s="12"/>
      <c r="B128" s="14"/>
      <c r="C128" s="14"/>
      <c r="D128" s="14"/>
      <c r="E128" s="16">
        <f>IF(B128="","",B128-D128)</f>
        <v>0</v>
      </c>
      <c r="F128" s="14"/>
      <c r="G128" s="16">
        <f>IF(D128="","",D128-N(F128))</f>
        <v>0</v>
      </c>
      <c r="H128" s="12"/>
      <c r="I128" s="12"/>
    </row>
    <row r="129" spans="1:9">
      <c r="A129" s="12"/>
      <c r="B129" s="14"/>
      <c r="C129" s="14"/>
      <c r="D129" s="14"/>
      <c r="E129" s="16">
        <f>IF(B129="","",B129-D129)</f>
        <v>0</v>
      </c>
      <c r="F129" s="14"/>
      <c r="G129" s="16">
        <f>IF(D129="","",D129-N(F129))</f>
        <v>0</v>
      </c>
      <c r="H129" s="12"/>
      <c r="I129" s="12"/>
    </row>
    <row r="130" spans="1:9">
      <c r="A130" s="12"/>
      <c r="B130" s="14"/>
      <c r="C130" s="14"/>
      <c r="D130" s="14"/>
      <c r="E130" s="16">
        <f>IF(B130="","",B130-D130)</f>
        <v>0</v>
      </c>
      <c r="F130" s="14"/>
      <c r="G130" s="16">
        <f>IF(D130="","",D130-N(F130))</f>
        <v>0</v>
      </c>
      <c r="H130" s="12"/>
      <c r="I130" s="12"/>
    </row>
    <row r="131" spans="1:9">
      <c r="A131" s="12"/>
      <c r="B131" s="14"/>
      <c r="C131" s="14"/>
      <c r="D131" s="14"/>
      <c r="E131" s="16">
        <f>IF(B131="","",B131-D131)</f>
        <v>0</v>
      </c>
      <c r="F131" s="14"/>
      <c r="G131" s="16">
        <f>IF(D131="","",D131-N(F131))</f>
        <v>0</v>
      </c>
      <c r="H131" s="12"/>
      <c r="I131" s="12"/>
    </row>
    <row r="132" spans="1:9">
      <c r="A132" s="12"/>
      <c r="B132" s="14"/>
      <c r="C132" s="14"/>
      <c r="D132" s="14"/>
      <c r="E132" s="16">
        <f>IF(B132="","",B132-D132)</f>
        <v>0</v>
      </c>
      <c r="F132" s="14"/>
      <c r="G132" s="16">
        <f>IF(D132="","",D132-N(F132))</f>
        <v>0</v>
      </c>
      <c r="H132" s="12"/>
      <c r="I132" s="12"/>
    </row>
    <row r="133" spans="1:9">
      <c r="A133" s="12"/>
      <c r="B133" s="14"/>
      <c r="C133" s="14"/>
      <c r="D133" s="14"/>
      <c r="E133" s="16">
        <f>IF(B133="","",B133-D133)</f>
        <v>0</v>
      </c>
      <c r="F133" s="14"/>
      <c r="G133" s="16">
        <f>IF(D133="","",D133-N(F133))</f>
        <v>0</v>
      </c>
      <c r="H133" s="12"/>
      <c r="I133" s="12"/>
    </row>
    <row r="134" spans="1:9">
      <c r="A134" s="12"/>
      <c r="B134" s="14"/>
      <c r="C134" s="14"/>
      <c r="D134" s="14"/>
      <c r="E134" s="16">
        <f>IF(B134="","",B134-D134)</f>
        <v>0</v>
      </c>
      <c r="F134" s="14"/>
      <c r="G134" s="16">
        <f>IF(D134="","",D134-N(F134))</f>
        <v>0</v>
      </c>
      <c r="H134" s="12"/>
      <c r="I134" s="12"/>
    </row>
    <row r="135" spans="1:9">
      <c r="A135" s="12"/>
      <c r="B135" s="14"/>
      <c r="C135" s="14"/>
      <c r="D135" s="14"/>
      <c r="E135" s="16">
        <f>IF(B135="","",B135-D135)</f>
        <v>0</v>
      </c>
      <c r="F135" s="14"/>
      <c r="G135" s="16">
        <f>IF(D135="","",D135-N(F135))</f>
        <v>0</v>
      </c>
      <c r="H135" s="12"/>
      <c r="I135" s="12"/>
    </row>
    <row r="136" spans="1:9">
      <c r="A136" s="12"/>
      <c r="B136" s="14"/>
      <c r="C136" s="14"/>
      <c r="D136" s="14"/>
      <c r="E136" s="16">
        <f>IF(B136="","",B136-D136)</f>
        <v>0</v>
      </c>
      <c r="F136" s="14"/>
      <c r="G136" s="16">
        <f>IF(D136="","",D136-N(F136))</f>
        <v>0</v>
      </c>
      <c r="H136" s="12"/>
      <c r="I136" s="12"/>
    </row>
    <row r="137" spans="1:9">
      <c r="A137" s="12"/>
      <c r="B137" s="14"/>
      <c r="C137" s="14"/>
      <c r="D137" s="14"/>
      <c r="E137" s="16">
        <f>IF(B137="","",B137-D137)</f>
        <v>0</v>
      </c>
      <c r="F137" s="14"/>
      <c r="G137" s="16">
        <f>IF(D137="","",D137-N(F137))</f>
        <v>0</v>
      </c>
      <c r="H137" s="12"/>
      <c r="I137" s="12"/>
    </row>
    <row r="138" spans="1:9">
      <c r="A138" s="12"/>
      <c r="B138" s="14"/>
      <c r="C138" s="14"/>
      <c r="D138" s="14"/>
      <c r="E138" s="16">
        <f>IF(B138="","",B138-D138)</f>
        <v>0</v>
      </c>
      <c r="F138" s="14"/>
      <c r="G138" s="16">
        <f>IF(D138="","",D138-N(F138))</f>
        <v>0</v>
      </c>
      <c r="H138" s="12"/>
      <c r="I138" s="12"/>
    </row>
    <row r="139" spans="1:9">
      <c r="A139" s="12"/>
      <c r="B139" s="14"/>
      <c r="C139" s="14"/>
      <c r="D139" s="14"/>
      <c r="E139" s="16">
        <f>IF(B139="","",B139-D139)</f>
        <v>0</v>
      </c>
      <c r="F139" s="14"/>
      <c r="G139" s="16">
        <f>IF(D139="","",D139-N(F139))</f>
        <v>0</v>
      </c>
      <c r="H139" s="12"/>
      <c r="I139" s="12"/>
    </row>
    <row r="140" spans="1:9">
      <c r="A140" s="12"/>
      <c r="B140" s="14"/>
      <c r="C140" s="14"/>
      <c r="D140" s="14"/>
      <c r="E140" s="16">
        <f>IF(B140="","",B140-D140)</f>
        <v>0</v>
      </c>
      <c r="F140" s="14"/>
      <c r="G140" s="16">
        <f>IF(D140="","",D140-N(F140))</f>
        <v>0</v>
      </c>
      <c r="H140" s="12"/>
      <c r="I140" s="12"/>
    </row>
    <row r="141" spans="1:9">
      <c r="A141" s="12"/>
      <c r="B141" s="14"/>
      <c r="C141" s="14"/>
      <c r="D141" s="14"/>
      <c r="E141" s="16">
        <f>IF(B141="","",B141-D141)</f>
        <v>0</v>
      </c>
      <c r="F141" s="14"/>
      <c r="G141" s="16">
        <f>IF(D141="","",D141-N(F141))</f>
        <v>0</v>
      </c>
      <c r="H141" s="12"/>
      <c r="I141" s="12"/>
    </row>
    <row r="142" spans="1:9">
      <c r="A142" s="12"/>
      <c r="B142" s="14"/>
      <c r="C142" s="14"/>
      <c r="D142" s="14"/>
      <c r="E142" s="16">
        <f>IF(B142="","",B142-D142)</f>
        <v>0</v>
      </c>
      <c r="F142" s="14"/>
      <c r="G142" s="16">
        <f>IF(D142="","",D142-N(F142))</f>
        <v>0</v>
      </c>
      <c r="H142" s="12"/>
      <c r="I142" s="12"/>
    </row>
    <row r="143" spans="1:9">
      <c r="A143" s="12"/>
      <c r="B143" s="14"/>
      <c r="C143" s="14"/>
      <c r="D143" s="14"/>
      <c r="E143" s="16">
        <f>IF(B143="","",B143-D143)</f>
        <v>0</v>
      </c>
      <c r="F143" s="14"/>
      <c r="G143" s="16">
        <f>IF(D143="","",D143-N(F143))</f>
        <v>0</v>
      </c>
      <c r="H143" s="12"/>
      <c r="I143" s="12"/>
    </row>
    <row r="144" spans="1:9">
      <c r="A144" s="12"/>
      <c r="B144" s="14"/>
      <c r="C144" s="14"/>
      <c r="D144" s="14"/>
      <c r="E144" s="16">
        <f>IF(B144="","",B144-D144)</f>
        <v>0</v>
      </c>
      <c r="F144" s="14"/>
      <c r="G144" s="16">
        <f>IF(D144="","",D144-N(F144))</f>
        <v>0</v>
      </c>
      <c r="H144" s="12"/>
      <c r="I144" s="12"/>
    </row>
    <row r="145" spans="1:9">
      <c r="A145" s="12"/>
      <c r="B145" s="14"/>
      <c r="C145" s="14"/>
      <c r="D145" s="14"/>
      <c r="E145" s="16">
        <f>IF(B145="","",B145-D145)</f>
        <v>0</v>
      </c>
      <c r="F145" s="14"/>
      <c r="G145" s="16">
        <f>IF(D145="","",D145-N(F145))</f>
        <v>0</v>
      </c>
      <c r="H145" s="12"/>
      <c r="I145" s="12"/>
    </row>
    <row r="146" spans="1:9">
      <c r="A146" s="12"/>
      <c r="B146" s="14"/>
      <c r="C146" s="14"/>
      <c r="D146" s="14"/>
      <c r="E146" s="16">
        <f>IF(B146="","",B146-D146)</f>
        <v>0</v>
      </c>
      <c r="F146" s="14"/>
      <c r="G146" s="16">
        <f>IF(D146="","",D146-N(F146))</f>
        <v>0</v>
      </c>
      <c r="H146" s="12"/>
      <c r="I146" s="12"/>
    </row>
    <row r="147" spans="1:9">
      <c r="A147" s="12"/>
      <c r="B147" s="14"/>
      <c r="C147" s="14"/>
      <c r="D147" s="14"/>
      <c r="E147" s="16">
        <f>IF(B147="","",B147-D147)</f>
        <v>0</v>
      </c>
      <c r="F147" s="14"/>
      <c r="G147" s="16">
        <f>IF(D147="","",D147-N(F147))</f>
        <v>0</v>
      </c>
      <c r="H147" s="12"/>
      <c r="I147" s="12"/>
    </row>
    <row r="148" spans="1:9">
      <c r="A148" s="12"/>
      <c r="B148" s="14"/>
      <c r="C148" s="14"/>
      <c r="D148" s="14"/>
      <c r="E148" s="16">
        <f>IF(B148="","",B148-D148)</f>
        <v>0</v>
      </c>
      <c r="F148" s="14"/>
      <c r="G148" s="16">
        <f>IF(D148="","",D148-N(F148))</f>
        <v>0</v>
      </c>
      <c r="H148" s="12"/>
      <c r="I148" s="12"/>
    </row>
    <row r="149" spans="1:9">
      <c r="A149" s="12"/>
      <c r="B149" s="14"/>
      <c r="C149" s="14"/>
      <c r="D149" s="14"/>
      <c r="E149" s="16">
        <f>IF(B149="","",B149-D149)</f>
        <v>0</v>
      </c>
      <c r="F149" s="14"/>
      <c r="G149" s="16">
        <f>IF(D149="","",D149-N(F149))</f>
        <v>0</v>
      </c>
      <c r="H149" s="12"/>
      <c r="I149" s="12"/>
    </row>
    <row r="150" spans="1:9">
      <c r="A150" s="12"/>
      <c r="B150" s="14"/>
      <c r="C150" s="14"/>
      <c r="D150" s="14"/>
      <c r="E150" s="16">
        <f>IF(B150="","",B150-D150)</f>
        <v>0</v>
      </c>
      <c r="F150" s="14"/>
      <c r="G150" s="16">
        <f>IF(D150="","",D150-N(F150))</f>
        <v>0</v>
      </c>
      <c r="H150" s="12"/>
      <c r="I150" s="12"/>
    </row>
    <row r="151" spans="1:9">
      <c r="A151" s="12"/>
      <c r="B151" s="14"/>
      <c r="C151" s="14"/>
      <c r="D151" s="14"/>
      <c r="E151" s="16">
        <f>IF(B151="","",B151-D151)</f>
        <v>0</v>
      </c>
      <c r="F151" s="14"/>
      <c r="G151" s="16">
        <f>IF(D151="","",D151-N(F151))</f>
        <v>0</v>
      </c>
      <c r="H151" s="12"/>
      <c r="I151" s="12"/>
    </row>
    <row r="152" spans="1:9">
      <c r="A152" s="12"/>
      <c r="B152" s="14"/>
      <c r="C152" s="14"/>
      <c r="D152" s="14"/>
      <c r="E152" s="16">
        <f>IF(B152="","",B152-D152)</f>
        <v>0</v>
      </c>
      <c r="F152" s="14"/>
      <c r="G152" s="16">
        <f>IF(D152="","",D152-N(F152))</f>
        <v>0</v>
      </c>
      <c r="H152" s="12"/>
      <c r="I152" s="12"/>
    </row>
    <row r="153" spans="1:9">
      <c r="A153" s="12"/>
      <c r="B153" s="14"/>
      <c r="C153" s="14"/>
      <c r="D153" s="14"/>
      <c r="E153" s="16">
        <f>IF(B153="","",B153-D153)</f>
        <v>0</v>
      </c>
      <c r="F153" s="14"/>
      <c r="G153" s="16">
        <f>IF(D153="","",D153-N(F153))</f>
        <v>0</v>
      </c>
      <c r="H153" s="12"/>
      <c r="I153" s="12"/>
    </row>
    <row r="154" spans="1:9">
      <c r="A154" s="12"/>
      <c r="B154" s="14"/>
      <c r="C154" s="14"/>
      <c r="D154" s="14"/>
      <c r="E154" s="16">
        <f>IF(B154="","",B154-D154)</f>
        <v>0</v>
      </c>
      <c r="F154" s="14"/>
      <c r="G154" s="16">
        <f>IF(D154="","",D154-N(F154))</f>
        <v>0</v>
      </c>
      <c r="H154" s="12"/>
      <c r="I154" s="12"/>
    </row>
    <row r="155" spans="1:9">
      <c r="A155" s="12"/>
      <c r="B155" s="14"/>
      <c r="C155" s="14"/>
      <c r="D155" s="14"/>
      <c r="E155" s="16">
        <f>IF(B155="","",B155-D155)</f>
        <v>0</v>
      </c>
      <c r="F155" s="14"/>
      <c r="G155" s="16">
        <f>IF(D155="","",D155-N(F155))</f>
        <v>0</v>
      </c>
      <c r="H155" s="12"/>
      <c r="I155" s="12"/>
    </row>
    <row r="156" spans="1:9">
      <c r="A156" s="12"/>
      <c r="B156" s="14"/>
      <c r="C156" s="14"/>
      <c r="D156" s="14"/>
      <c r="E156" s="16">
        <f>IF(B156="","",B156-D156)</f>
        <v>0</v>
      </c>
      <c r="F156" s="14"/>
      <c r="G156" s="16">
        <f>IF(D156="","",D156-N(F156))</f>
        <v>0</v>
      </c>
      <c r="H156" s="12"/>
      <c r="I156" s="12"/>
    </row>
    <row r="157" spans="1:9">
      <c r="A157" s="12"/>
      <c r="B157" s="14"/>
      <c r="C157" s="14"/>
      <c r="D157" s="14"/>
      <c r="E157" s="16">
        <f>IF(B157="","",B157-D157)</f>
        <v>0</v>
      </c>
      <c r="F157" s="14"/>
      <c r="G157" s="16">
        <f>IF(D157="","",D157-N(F157))</f>
        <v>0</v>
      </c>
      <c r="H157" s="12"/>
      <c r="I157" s="12"/>
    </row>
    <row r="158" spans="1:9">
      <c r="A158" s="12"/>
      <c r="B158" s="14"/>
      <c r="C158" s="14"/>
      <c r="D158" s="14"/>
      <c r="E158" s="16">
        <f>IF(B158="","",B158-D158)</f>
        <v>0</v>
      </c>
      <c r="F158" s="14"/>
      <c r="G158" s="16">
        <f>IF(D158="","",D158-N(F158))</f>
        <v>0</v>
      </c>
      <c r="H158" s="12"/>
      <c r="I158" s="12"/>
    </row>
    <row r="159" spans="1:9">
      <c r="A159" s="12"/>
      <c r="B159" s="14"/>
      <c r="C159" s="14"/>
      <c r="D159" s="14"/>
      <c r="E159" s="16">
        <f>IF(B159="","",B159-D159)</f>
        <v>0</v>
      </c>
      <c r="F159" s="14"/>
      <c r="G159" s="16">
        <f>IF(D159="","",D159-N(F159))</f>
        <v>0</v>
      </c>
      <c r="H159" s="12"/>
      <c r="I159" s="12"/>
    </row>
    <row r="160" spans="1:9">
      <c r="A160" s="12"/>
      <c r="B160" s="14"/>
      <c r="C160" s="14"/>
      <c r="D160" s="14"/>
      <c r="E160" s="16">
        <f>IF(B160="","",B160-D160)</f>
        <v>0</v>
      </c>
      <c r="F160" s="14"/>
      <c r="G160" s="16">
        <f>IF(D160="","",D160-N(F160))</f>
        <v>0</v>
      </c>
      <c r="H160" s="12"/>
      <c r="I160" s="12"/>
    </row>
    <row r="161" spans="1:9">
      <c r="A161" s="12"/>
      <c r="B161" s="14"/>
      <c r="C161" s="14"/>
      <c r="D161" s="14"/>
      <c r="E161" s="16">
        <f>IF(B161="","",B161-D161)</f>
        <v>0</v>
      </c>
      <c r="F161" s="14"/>
      <c r="G161" s="16">
        <f>IF(D161="","",D161-N(F161))</f>
        <v>0</v>
      </c>
      <c r="H161" s="12"/>
      <c r="I161" s="12"/>
    </row>
    <row r="162" spans="1:9">
      <c r="A162" s="12"/>
      <c r="B162" s="14"/>
      <c r="C162" s="14"/>
      <c r="D162" s="14"/>
      <c r="E162" s="16">
        <f>IF(B162="","",B162-D162)</f>
        <v>0</v>
      </c>
      <c r="F162" s="14"/>
      <c r="G162" s="16">
        <f>IF(D162="","",D162-N(F162))</f>
        <v>0</v>
      </c>
      <c r="H162" s="12"/>
      <c r="I162" s="12"/>
    </row>
    <row r="163" spans="1:9">
      <c r="A163" s="12"/>
      <c r="B163" s="14"/>
      <c r="C163" s="14"/>
      <c r="D163" s="14"/>
      <c r="E163" s="16">
        <f>IF(B163="","",B163-D163)</f>
        <v>0</v>
      </c>
      <c r="F163" s="14"/>
      <c r="G163" s="16">
        <f>IF(D163="","",D163-N(F163))</f>
        <v>0</v>
      </c>
      <c r="H163" s="12"/>
      <c r="I163" s="12"/>
    </row>
    <row r="164" spans="1:9">
      <c r="A164" s="12"/>
      <c r="B164" s="14"/>
      <c r="C164" s="14"/>
      <c r="D164" s="14"/>
      <c r="E164" s="16">
        <f>IF(B164="","",B164-D164)</f>
        <v>0</v>
      </c>
      <c r="F164" s="14"/>
      <c r="G164" s="16">
        <f>IF(D164="","",D164-N(F164))</f>
        <v>0</v>
      </c>
      <c r="H164" s="12"/>
      <c r="I164" s="12"/>
    </row>
    <row r="165" spans="1:9">
      <c r="A165" s="12"/>
      <c r="B165" s="14"/>
      <c r="C165" s="14"/>
      <c r="D165" s="14"/>
      <c r="E165" s="16">
        <f>IF(B165="","",B165-D165)</f>
        <v>0</v>
      </c>
      <c r="F165" s="14"/>
      <c r="G165" s="16">
        <f>IF(D165="","",D165-N(F165))</f>
        <v>0</v>
      </c>
      <c r="H165" s="12"/>
      <c r="I165" s="12"/>
    </row>
    <row r="166" spans="1:9">
      <c r="A166" s="12"/>
      <c r="B166" s="14"/>
      <c r="C166" s="14"/>
      <c r="D166" s="14"/>
      <c r="E166" s="16">
        <f>IF(B166="","",B166-D166)</f>
        <v>0</v>
      </c>
      <c r="F166" s="14"/>
      <c r="G166" s="16">
        <f>IF(D166="","",D166-N(F166))</f>
        <v>0</v>
      </c>
      <c r="H166" s="12"/>
      <c r="I166" s="12"/>
    </row>
    <row r="167" spans="1:9">
      <c r="A167" s="12"/>
      <c r="B167" s="14"/>
      <c r="C167" s="14"/>
      <c r="D167" s="14"/>
      <c r="E167" s="16">
        <f>IF(B167="","",B167-D167)</f>
        <v>0</v>
      </c>
      <c r="F167" s="14"/>
      <c r="G167" s="16">
        <f>IF(D167="","",D167-N(F167))</f>
        <v>0</v>
      </c>
      <c r="H167" s="12"/>
      <c r="I167" s="12"/>
    </row>
    <row r="168" spans="1:9">
      <c r="A168" s="12"/>
      <c r="B168" s="14"/>
      <c r="C168" s="14"/>
      <c r="D168" s="14"/>
      <c r="E168" s="16">
        <f>IF(B168="","",B168-D168)</f>
        <v>0</v>
      </c>
      <c r="F168" s="14"/>
      <c r="G168" s="16">
        <f>IF(D168="","",D168-N(F168))</f>
        <v>0</v>
      </c>
      <c r="H168" s="12"/>
      <c r="I168" s="12"/>
    </row>
    <row r="169" spans="1:9">
      <c r="A169" s="12"/>
      <c r="B169" s="14"/>
      <c r="C169" s="14"/>
      <c r="D169" s="14"/>
      <c r="E169" s="16">
        <f>IF(B169="","",B169-D169)</f>
        <v>0</v>
      </c>
      <c r="F169" s="14"/>
      <c r="G169" s="16">
        <f>IF(D169="","",D169-N(F169))</f>
        <v>0</v>
      </c>
      <c r="H169" s="12"/>
      <c r="I169" s="12"/>
    </row>
    <row r="170" spans="1:9">
      <c r="A170" s="12"/>
      <c r="B170" s="14"/>
      <c r="C170" s="14"/>
      <c r="D170" s="14"/>
      <c r="E170" s="16">
        <f>IF(B170="","",B170-D170)</f>
        <v>0</v>
      </c>
      <c r="F170" s="14"/>
      <c r="G170" s="16">
        <f>IF(D170="","",D170-N(F170))</f>
        <v>0</v>
      </c>
      <c r="H170" s="12"/>
      <c r="I170" s="12"/>
    </row>
    <row r="171" spans="1:9">
      <c r="A171" s="12"/>
      <c r="B171" s="14"/>
      <c r="C171" s="14"/>
      <c r="D171" s="14"/>
      <c r="E171" s="16">
        <f>IF(B171="","",B171-D171)</f>
        <v>0</v>
      </c>
      <c r="F171" s="14"/>
      <c r="G171" s="16">
        <f>IF(D171="","",D171-N(F171))</f>
        <v>0</v>
      </c>
      <c r="H171" s="12"/>
      <c r="I171" s="12"/>
    </row>
    <row r="172" spans="1:9">
      <c r="A172" s="12"/>
      <c r="B172" s="14"/>
      <c r="C172" s="14"/>
      <c r="D172" s="14"/>
      <c r="E172" s="16">
        <f>IF(B172="","",B172-D172)</f>
        <v>0</v>
      </c>
      <c r="F172" s="14"/>
      <c r="G172" s="16">
        <f>IF(D172="","",D172-N(F172))</f>
        <v>0</v>
      </c>
      <c r="H172" s="12"/>
      <c r="I172" s="12"/>
    </row>
    <row r="173" spans="1:9">
      <c r="A173" s="12"/>
      <c r="B173" s="14"/>
      <c r="C173" s="14"/>
      <c r="D173" s="14"/>
      <c r="E173" s="16">
        <f>IF(B173="","",B173-D173)</f>
        <v>0</v>
      </c>
      <c r="F173" s="14"/>
      <c r="G173" s="16">
        <f>IF(D173="","",D173-N(F173))</f>
        <v>0</v>
      </c>
      <c r="H173" s="12"/>
      <c r="I173" s="12"/>
    </row>
    <row r="174" spans="1:9">
      <c r="A174" s="12"/>
      <c r="B174" s="14"/>
      <c r="C174" s="14"/>
      <c r="D174" s="14"/>
      <c r="E174" s="16">
        <f>IF(B174="","",B174-D174)</f>
        <v>0</v>
      </c>
      <c r="F174" s="14"/>
      <c r="G174" s="16">
        <f>IF(D174="","",D174-N(F174))</f>
        <v>0</v>
      </c>
      <c r="H174" s="12"/>
      <c r="I174" s="12"/>
    </row>
    <row r="175" spans="1:9">
      <c r="A175" s="12"/>
      <c r="B175" s="14"/>
      <c r="C175" s="14"/>
      <c r="D175" s="14"/>
      <c r="E175" s="16">
        <f>IF(B175="","",B175-D175)</f>
        <v>0</v>
      </c>
      <c r="F175" s="14"/>
      <c r="G175" s="16">
        <f>IF(D175="","",D175-N(F175))</f>
        <v>0</v>
      </c>
      <c r="H175" s="12"/>
      <c r="I175" s="12"/>
    </row>
    <row r="176" spans="1:9">
      <c r="A176" s="12"/>
      <c r="B176" s="14"/>
      <c r="C176" s="14"/>
      <c r="D176" s="14"/>
      <c r="E176" s="16">
        <f>IF(B176="","",B176-D176)</f>
        <v>0</v>
      </c>
      <c r="F176" s="14"/>
      <c r="G176" s="16">
        <f>IF(D176="","",D176-N(F176))</f>
        <v>0</v>
      </c>
      <c r="H176" s="12"/>
      <c r="I176" s="12"/>
    </row>
    <row r="177" spans="1:9">
      <c r="A177" s="12"/>
      <c r="B177" s="14"/>
      <c r="C177" s="14"/>
      <c r="D177" s="14"/>
      <c r="E177" s="16">
        <f>IF(B177="","",B177-D177)</f>
        <v>0</v>
      </c>
      <c r="F177" s="14"/>
      <c r="G177" s="16">
        <f>IF(D177="","",D177-N(F177))</f>
        <v>0</v>
      </c>
      <c r="H177" s="12"/>
      <c r="I177" s="12"/>
    </row>
    <row r="178" spans="1:9">
      <c r="A178" s="12"/>
      <c r="B178" s="14"/>
      <c r="C178" s="14"/>
      <c r="D178" s="14"/>
      <c r="E178" s="16">
        <f>IF(B178="","",B178-D178)</f>
        <v>0</v>
      </c>
      <c r="F178" s="14"/>
      <c r="G178" s="16">
        <f>IF(D178="","",D178-N(F178))</f>
        <v>0</v>
      </c>
      <c r="H178" s="12"/>
      <c r="I178" s="12"/>
    </row>
    <row r="179" spans="1:9">
      <c r="A179" s="12"/>
      <c r="B179" s="14"/>
      <c r="C179" s="14"/>
      <c r="D179" s="14"/>
      <c r="E179" s="16">
        <f>IF(B179="","",B179-D179)</f>
        <v>0</v>
      </c>
      <c r="F179" s="14"/>
      <c r="G179" s="16">
        <f>IF(D179="","",D179-N(F179))</f>
        <v>0</v>
      </c>
      <c r="H179" s="12"/>
      <c r="I179" s="12"/>
    </row>
    <row r="180" spans="1:9">
      <c r="A180" s="12"/>
      <c r="B180" s="14"/>
      <c r="C180" s="14"/>
      <c r="D180" s="14"/>
      <c r="E180" s="16">
        <f>IF(B180="","",B180-D180)</f>
        <v>0</v>
      </c>
      <c r="F180" s="14"/>
      <c r="G180" s="16">
        <f>IF(D180="","",D180-N(F180))</f>
        <v>0</v>
      </c>
      <c r="H180" s="12"/>
      <c r="I180" s="12"/>
    </row>
    <row r="181" spans="1:9">
      <c r="A181" s="12"/>
      <c r="B181" s="14"/>
      <c r="C181" s="14"/>
      <c r="D181" s="14"/>
      <c r="E181" s="16">
        <f>IF(B181="","",B181-D181)</f>
        <v>0</v>
      </c>
      <c r="F181" s="14"/>
      <c r="G181" s="16">
        <f>IF(D181="","",D181-N(F181))</f>
        <v>0</v>
      </c>
      <c r="H181" s="12"/>
      <c r="I181" s="12"/>
    </row>
    <row r="182" spans="1:9">
      <c r="A182" s="12"/>
      <c r="B182" s="14"/>
      <c r="C182" s="14"/>
      <c r="D182" s="14"/>
      <c r="E182" s="16">
        <f>IF(B182="","",B182-D182)</f>
        <v>0</v>
      </c>
      <c r="F182" s="14"/>
      <c r="G182" s="16">
        <f>IF(D182="","",D182-N(F182))</f>
        <v>0</v>
      </c>
      <c r="H182" s="12"/>
      <c r="I182" s="12"/>
    </row>
    <row r="183" spans="1:9">
      <c r="A183" s="12"/>
      <c r="B183" s="14"/>
      <c r="C183" s="14"/>
      <c r="D183" s="14"/>
      <c r="E183" s="16">
        <f>IF(B183="","",B183-D183)</f>
        <v>0</v>
      </c>
      <c r="F183" s="14"/>
      <c r="G183" s="16">
        <f>IF(D183="","",D183-N(F183))</f>
        <v>0</v>
      </c>
      <c r="H183" s="12"/>
      <c r="I183" s="12"/>
    </row>
    <row r="184" spans="1:9">
      <c r="A184" s="12"/>
      <c r="B184" s="14"/>
      <c r="C184" s="14"/>
      <c r="D184" s="14"/>
      <c r="E184" s="16">
        <f>IF(B184="","",B184-D184)</f>
        <v>0</v>
      </c>
      <c r="F184" s="14"/>
      <c r="G184" s="16">
        <f>IF(D184="","",D184-N(F184))</f>
        <v>0</v>
      </c>
      <c r="H184" s="12"/>
      <c r="I184" s="12"/>
    </row>
    <row r="185" spans="1:9">
      <c r="A185" s="12"/>
      <c r="B185" s="14"/>
      <c r="C185" s="14"/>
      <c r="D185" s="14"/>
      <c r="E185" s="16">
        <f>IF(B185="","",B185-D185)</f>
        <v>0</v>
      </c>
      <c r="F185" s="14"/>
      <c r="G185" s="16">
        <f>IF(D185="","",D185-N(F185))</f>
        <v>0</v>
      </c>
      <c r="H185" s="12"/>
      <c r="I185" s="12"/>
    </row>
    <row r="186" spans="1:9">
      <c r="A186" s="12"/>
      <c r="B186" s="14"/>
      <c r="C186" s="14"/>
      <c r="D186" s="14"/>
      <c r="E186" s="16">
        <f>IF(B186="","",B186-D186)</f>
        <v>0</v>
      </c>
      <c r="F186" s="14"/>
      <c r="G186" s="16">
        <f>IF(D186="","",D186-N(F186))</f>
        <v>0</v>
      </c>
      <c r="H186" s="12"/>
      <c r="I186" s="12"/>
    </row>
    <row r="187" spans="1:9">
      <c r="A187" s="12"/>
      <c r="B187" s="14"/>
      <c r="C187" s="14"/>
      <c r="D187" s="14"/>
      <c r="E187" s="16">
        <f>IF(B187="","",B187-D187)</f>
        <v>0</v>
      </c>
      <c r="F187" s="14"/>
      <c r="G187" s="16">
        <f>IF(D187="","",D187-N(F187))</f>
        <v>0</v>
      </c>
      <c r="H187" s="12"/>
      <c r="I187" s="12"/>
    </row>
    <row r="188" spans="1:9">
      <c r="A188" s="12"/>
      <c r="B188" s="14"/>
      <c r="C188" s="14"/>
      <c r="D188" s="14"/>
      <c r="E188" s="16">
        <f>IF(B188="","",B188-D188)</f>
        <v>0</v>
      </c>
      <c r="F188" s="14"/>
      <c r="G188" s="16">
        <f>IF(D188="","",D188-N(F188))</f>
        <v>0</v>
      </c>
      <c r="H188" s="12"/>
      <c r="I188" s="12"/>
    </row>
    <row r="189" spans="1:9">
      <c r="A189" s="12"/>
      <c r="B189" s="14"/>
      <c r="C189" s="14"/>
      <c r="D189" s="14"/>
      <c r="E189" s="16">
        <f>IF(B189="","",B189-D189)</f>
        <v>0</v>
      </c>
      <c r="F189" s="14"/>
      <c r="G189" s="16">
        <f>IF(D189="","",D189-N(F189))</f>
        <v>0</v>
      </c>
      <c r="H189" s="12"/>
      <c r="I189" s="12"/>
    </row>
    <row r="190" spans="1:9">
      <c r="A190" s="12"/>
      <c r="B190" s="14"/>
      <c r="C190" s="14"/>
      <c r="D190" s="14"/>
      <c r="E190" s="16">
        <f>IF(B190="","",B190-D190)</f>
        <v>0</v>
      </c>
      <c r="F190" s="14"/>
      <c r="G190" s="16">
        <f>IF(D190="","",D190-N(F190))</f>
        <v>0</v>
      </c>
      <c r="H190" s="12"/>
      <c r="I190" s="12"/>
    </row>
    <row r="191" spans="1:9">
      <c r="A191" s="12"/>
      <c r="B191" s="14"/>
      <c r="C191" s="14"/>
      <c r="D191" s="14"/>
      <c r="E191" s="16">
        <f>IF(B191="","",B191-D191)</f>
        <v>0</v>
      </c>
      <c r="F191" s="14"/>
      <c r="G191" s="16">
        <f>IF(D191="","",D191-N(F191))</f>
        <v>0</v>
      </c>
      <c r="H191" s="12"/>
      <c r="I191" s="12"/>
    </row>
    <row r="192" spans="1:9">
      <c r="A192" s="12"/>
      <c r="B192" s="14"/>
      <c r="C192" s="14"/>
      <c r="D192" s="14"/>
      <c r="E192" s="16">
        <f>IF(B192="","",B192-D192)</f>
        <v>0</v>
      </c>
      <c r="F192" s="14"/>
      <c r="G192" s="16">
        <f>IF(D192="","",D192-N(F192))</f>
        <v>0</v>
      </c>
      <c r="H192" s="12"/>
      <c r="I192" s="12"/>
    </row>
    <row r="193" spans="1:9">
      <c r="A193" s="12"/>
      <c r="B193" s="14"/>
      <c r="C193" s="14"/>
      <c r="D193" s="14"/>
      <c r="E193" s="16">
        <f>IF(B193="","",B193-D193)</f>
        <v>0</v>
      </c>
      <c r="F193" s="14"/>
      <c r="G193" s="16">
        <f>IF(D193="","",D193-N(F193))</f>
        <v>0</v>
      </c>
      <c r="H193" s="12"/>
      <c r="I193" s="12"/>
    </row>
    <row r="194" spans="1:9">
      <c r="A194" s="12"/>
      <c r="B194" s="14"/>
      <c r="C194" s="14"/>
      <c r="D194" s="14"/>
      <c r="E194" s="16">
        <f>IF(B194="","",B194-D194)</f>
        <v>0</v>
      </c>
      <c r="F194" s="14"/>
      <c r="G194" s="16">
        <f>IF(D194="","",D194-N(F194))</f>
        <v>0</v>
      </c>
      <c r="H194" s="12"/>
      <c r="I194" s="12"/>
    </row>
    <row r="195" spans="1:9">
      <c r="A195" s="12"/>
      <c r="B195" s="14"/>
      <c r="C195" s="14"/>
      <c r="D195" s="14"/>
      <c r="E195" s="16">
        <f>IF(B195="","",B195-D195)</f>
        <v>0</v>
      </c>
      <c r="F195" s="14"/>
      <c r="G195" s="16">
        <f>IF(D195="","",D195-N(F195))</f>
        <v>0</v>
      </c>
      <c r="H195" s="12"/>
      <c r="I195" s="12"/>
    </row>
    <row r="196" spans="1:9">
      <c r="A196" s="12"/>
      <c r="B196" s="14"/>
      <c r="C196" s="14"/>
      <c r="D196" s="14"/>
      <c r="E196" s="16">
        <f>IF(B196="","",B196-D196)</f>
        <v>0</v>
      </c>
      <c r="F196" s="14"/>
      <c r="G196" s="16">
        <f>IF(D196="","",D196-N(F196))</f>
        <v>0</v>
      </c>
      <c r="H196" s="12"/>
      <c r="I196" s="12"/>
    </row>
    <row r="197" spans="1:9">
      <c r="A197" s="12"/>
      <c r="B197" s="14"/>
      <c r="C197" s="14"/>
      <c r="D197" s="14"/>
      <c r="E197" s="16">
        <f>IF(B197="","",B197-D197)</f>
        <v>0</v>
      </c>
      <c r="F197" s="14"/>
      <c r="G197" s="16">
        <f>IF(D197="","",D197-N(F197))</f>
        <v>0</v>
      </c>
      <c r="H197" s="12"/>
      <c r="I197" s="12"/>
    </row>
    <row r="198" spans="1:9">
      <c r="A198" s="12"/>
      <c r="B198" s="14"/>
      <c r="C198" s="14"/>
      <c r="D198" s="14"/>
      <c r="E198" s="16">
        <f>IF(B198="","",B198-D198)</f>
        <v>0</v>
      </c>
      <c r="F198" s="14"/>
      <c r="G198" s="16">
        <f>IF(D198="","",D198-N(F198))</f>
        <v>0</v>
      </c>
      <c r="H198" s="12"/>
      <c r="I198" s="12"/>
    </row>
    <row r="199" spans="1:9">
      <c r="A199" s="12"/>
      <c r="B199" s="14"/>
      <c r="C199" s="14"/>
      <c r="D199" s="14"/>
      <c r="E199" s="16">
        <f>IF(B199="","",B199-D199)</f>
        <v>0</v>
      </c>
      <c r="F199" s="14"/>
      <c r="G199" s="16">
        <f>IF(D199="","",D199-N(F199))</f>
        <v>0</v>
      </c>
      <c r="H199" s="12"/>
      <c r="I199" s="12"/>
    </row>
    <row r="200" spans="1:9">
      <c r="A200" s="12"/>
      <c r="B200" s="14"/>
      <c r="C200" s="14"/>
      <c r="D200" s="14"/>
      <c r="E200" s="16">
        <f>IF(B200="","",B200-D200)</f>
        <v>0</v>
      </c>
      <c r="F200" s="14"/>
      <c r="G200" s="16">
        <f>IF(D200="","",D200-N(F200))</f>
        <v>0</v>
      </c>
      <c r="H200" s="12"/>
      <c r="I200" s="12"/>
    </row>
    <row r="201" spans="1:9">
      <c r="A201" s="12"/>
      <c r="B201" s="14"/>
      <c r="C201" s="14"/>
      <c r="D201" s="14"/>
      <c r="E201" s="16">
        <f>IF(B201="","",B201-D201)</f>
        <v>0</v>
      </c>
      <c r="F201" s="14"/>
      <c r="G201" s="16">
        <f>IF(D201="","",D201-N(F201))</f>
        <v>0</v>
      </c>
      <c r="H201" s="12"/>
      <c r="I201" s="12"/>
    </row>
    <row r="202" spans="1:9">
      <c r="A202" s="12"/>
      <c r="B202" s="14"/>
      <c r="C202" s="14"/>
      <c r="D202" s="14"/>
      <c r="E202" s="16">
        <f>IF(B202="","",B202-D202)</f>
        <v>0</v>
      </c>
      <c r="F202" s="14"/>
      <c r="G202" s="16">
        <f>IF(D202="","",D202-N(F202))</f>
        <v>0</v>
      </c>
      <c r="H202" s="12"/>
      <c r="I202" s="12"/>
    </row>
    <row r="203" spans="1:9">
      <c r="A203" s="12"/>
      <c r="B203" s="14"/>
      <c r="C203" s="14"/>
      <c r="D203" s="14"/>
      <c r="E203" s="16">
        <f>IF(B203="","",B203-D203)</f>
        <v>0</v>
      </c>
      <c r="F203" s="14"/>
      <c r="G203" s="16">
        <f>IF(D203="","",D203-N(F203))</f>
        <v>0</v>
      </c>
      <c r="H203" s="12"/>
      <c r="I203" s="12"/>
    </row>
    <row r="204" spans="1:9">
      <c r="A204" s="12"/>
      <c r="B204" s="14"/>
      <c r="C204" s="14"/>
      <c r="D204" s="14"/>
      <c r="E204" s="16">
        <f>IF(B204="","",B204-D204)</f>
        <v>0</v>
      </c>
      <c r="F204" s="14"/>
      <c r="G204" s="16">
        <f>IF(D204="","",D204-N(F204))</f>
        <v>0</v>
      </c>
      <c r="H204" s="12"/>
      <c r="I204" s="12"/>
    </row>
    <row r="205" spans="1:9">
      <c r="A205" s="12"/>
      <c r="B205" s="14"/>
      <c r="C205" s="14"/>
      <c r="D205" s="14"/>
      <c r="E205" s="16">
        <f>IF(B205="","",B205-D205)</f>
        <v>0</v>
      </c>
      <c r="F205" s="14"/>
      <c r="G205" s="16">
        <f>IF(D205="","",D205-N(F205))</f>
        <v>0</v>
      </c>
      <c r="H205" s="12"/>
      <c r="I205" s="12"/>
    </row>
    <row r="206" spans="1:9">
      <c r="A206" s="12"/>
      <c r="B206" s="14"/>
      <c r="C206" s="14"/>
      <c r="D206" s="14"/>
      <c r="E206" s="16">
        <f>IF(B206="","",B206-D206)</f>
        <v>0</v>
      </c>
      <c r="F206" s="14"/>
      <c r="G206" s="16">
        <f>IF(D206="","",D206-N(F206))</f>
        <v>0</v>
      </c>
      <c r="H206" s="12"/>
      <c r="I206" s="12"/>
    </row>
    <row r="207" spans="1:9">
      <c r="A207" s="12"/>
      <c r="B207" s="14"/>
      <c r="C207" s="14"/>
      <c r="D207" s="14"/>
      <c r="E207" s="16">
        <f>IF(B207="","",B207-D207)</f>
        <v>0</v>
      </c>
      <c r="F207" s="14"/>
      <c r="G207" s="16">
        <f>IF(D207="","",D207-N(F207))</f>
        <v>0</v>
      </c>
      <c r="H207" s="12"/>
      <c r="I207" s="12"/>
    </row>
    <row r="208" spans="1:9">
      <c r="A208" s="12"/>
      <c r="B208" s="14"/>
      <c r="C208" s="14"/>
      <c r="D208" s="14"/>
      <c r="E208" s="16">
        <f>IF(B208="","",B208-D208)</f>
        <v>0</v>
      </c>
      <c r="F208" s="14"/>
      <c r="G208" s="16">
        <f>IF(D208="","",D208-N(F208))</f>
        <v>0</v>
      </c>
      <c r="H208" s="12"/>
      <c r="I208" s="12"/>
    </row>
    <row r="209" spans="1:9">
      <c r="A209" s="12"/>
      <c r="B209" s="14"/>
      <c r="C209" s="14"/>
      <c r="D209" s="14"/>
      <c r="E209" s="16">
        <f>IF(B209="","",B209-D209)</f>
        <v>0</v>
      </c>
      <c r="F209" s="14"/>
      <c r="G209" s="16">
        <f>IF(D209="","",D209-N(F209))</f>
        <v>0</v>
      </c>
      <c r="H209" s="12"/>
      <c r="I209" s="12"/>
    </row>
    <row r="210" spans="1:9">
      <c r="A210" s="12"/>
      <c r="B210" s="14"/>
      <c r="C210" s="14"/>
      <c r="D210" s="14"/>
      <c r="E210" s="16">
        <f>IF(B210="","",B210-D210)</f>
        <v>0</v>
      </c>
      <c r="F210" s="14"/>
      <c r="G210" s="16">
        <f>IF(D210="","",D210-N(F210))</f>
        <v>0</v>
      </c>
      <c r="H210" s="12"/>
      <c r="I210" s="12"/>
    </row>
    <row r="211" spans="1:9">
      <c r="A211" s="12"/>
      <c r="B211" s="14"/>
      <c r="C211" s="14"/>
      <c r="D211" s="14"/>
      <c r="E211" s="16">
        <f>IF(B211="","",B211-D211)</f>
        <v>0</v>
      </c>
      <c r="F211" s="14"/>
      <c r="G211" s="16">
        <f>IF(D211="","",D211-N(F211))</f>
        <v>0</v>
      </c>
      <c r="H211" s="12"/>
      <c r="I211" s="12"/>
    </row>
    <row r="212" spans="1:9">
      <c r="A212" s="12"/>
      <c r="B212" s="14"/>
      <c r="C212" s="14"/>
      <c r="D212" s="14"/>
      <c r="E212" s="16">
        <f>IF(B212="","",B212-D212)</f>
        <v>0</v>
      </c>
      <c r="F212" s="14"/>
      <c r="G212" s="16">
        <f>IF(D212="","",D212-N(F212))</f>
        <v>0</v>
      </c>
      <c r="H212" s="12"/>
      <c r="I212" s="12"/>
    </row>
    <row r="213" spans="1:9">
      <c r="A213" s="12"/>
      <c r="B213" s="14"/>
      <c r="C213" s="14"/>
      <c r="D213" s="14"/>
      <c r="E213" s="16">
        <f>IF(B213="","",B213-D213)</f>
        <v>0</v>
      </c>
      <c r="F213" s="14"/>
      <c r="G213" s="16">
        <f>IF(D213="","",D213-N(F213))</f>
        <v>0</v>
      </c>
      <c r="H213" s="12"/>
      <c r="I213" s="12"/>
    </row>
    <row r="214" spans="1:9">
      <c r="A214" s="12"/>
      <c r="B214" s="14"/>
      <c r="C214" s="14"/>
      <c r="D214" s="14"/>
      <c r="E214" s="16">
        <f>IF(B214="","",B214-D214)</f>
        <v>0</v>
      </c>
      <c r="F214" s="14"/>
      <c r="G214" s="16">
        <f>IF(D214="","",D214-N(F214))</f>
        <v>0</v>
      </c>
      <c r="H214" s="12"/>
      <c r="I214" s="12"/>
    </row>
    <row r="215" spans="1:9">
      <c r="A215" s="12"/>
      <c r="B215" s="14"/>
      <c r="C215" s="14"/>
      <c r="D215" s="14"/>
      <c r="E215" s="16">
        <f>IF(B215="","",B215-D215)</f>
        <v>0</v>
      </c>
      <c r="F215" s="14"/>
      <c r="G215" s="16">
        <f>IF(D215="","",D215-N(F215))</f>
        <v>0</v>
      </c>
      <c r="H215" s="12"/>
      <c r="I215" s="12"/>
    </row>
    <row r="216" spans="1:9">
      <c r="A216" s="12"/>
      <c r="B216" s="14"/>
      <c r="C216" s="14"/>
      <c r="D216" s="14"/>
      <c r="E216" s="16">
        <f>IF(B216="","",B216-D216)</f>
        <v>0</v>
      </c>
      <c r="F216" s="14"/>
      <c r="G216" s="16">
        <f>IF(D216="","",D216-N(F216))</f>
        <v>0</v>
      </c>
      <c r="H216" s="12"/>
      <c r="I216" s="12"/>
    </row>
    <row r="217" spans="1:9">
      <c r="A217" s="12"/>
      <c r="B217" s="14"/>
      <c r="C217" s="14"/>
      <c r="D217" s="14"/>
      <c r="E217" s="16">
        <f>IF(B217="","",B217-D217)</f>
        <v>0</v>
      </c>
      <c r="F217" s="14"/>
      <c r="G217" s="16">
        <f>IF(D217="","",D217-N(F217))</f>
        <v>0</v>
      </c>
      <c r="H217" s="12"/>
      <c r="I217" s="12"/>
    </row>
    <row r="218" spans="1:9">
      <c r="A218" s="12"/>
      <c r="B218" s="14"/>
      <c r="C218" s="14"/>
      <c r="D218" s="14"/>
      <c r="E218" s="16">
        <f>IF(B218="","",B218-D218)</f>
        <v>0</v>
      </c>
      <c r="F218" s="14"/>
      <c r="G218" s="16">
        <f>IF(D218="","",D218-N(F218))</f>
        <v>0</v>
      </c>
      <c r="H218" s="12"/>
      <c r="I218" s="12"/>
    </row>
    <row r="219" spans="1:9">
      <c r="A219" s="12"/>
      <c r="B219" s="14"/>
      <c r="C219" s="14"/>
      <c r="D219" s="14"/>
      <c r="E219" s="16">
        <f>IF(B219="","",B219-D219)</f>
        <v>0</v>
      </c>
      <c r="F219" s="14"/>
      <c r="G219" s="16">
        <f>IF(D219="","",D219-N(F219))</f>
        <v>0</v>
      </c>
      <c r="H219" s="12"/>
      <c r="I219" s="12"/>
    </row>
    <row r="220" spans="1:9">
      <c r="A220" s="12"/>
      <c r="B220" s="14"/>
      <c r="C220" s="14"/>
      <c r="D220" s="14"/>
      <c r="E220" s="16">
        <f>IF(B220="","",B220-D220)</f>
        <v>0</v>
      </c>
      <c r="F220" s="14"/>
      <c r="G220" s="16">
        <f>IF(D220="","",D220-N(F220))</f>
        <v>0</v>
      </c>
      <c r="H220" s="12"/>
      <c r="I220" s="12"/>
    </row>
    <row r="221" spans="1:9">
      <c r="A221" s="12"/>
      <c r="B221" s="14"/>
      <c r="C221" s="14"/>
      <c r="D221" s="14"/>
      <c r="E221" s="16">
        <f>IF(B221="","",B221-D221)</f>
        <v>0</v>
      </c>
      <c r="F221" s="14"/>
      <c r="G221" s="16">
        <f>IF(D221="","",D221-N(F221))</f>
        <v>0</v>
      </c>
      <c r="H221" s="12"/>
      <c r="I221" s="12"/>
    </row>
    <row r="222" spans="1:9">
      <c r="A222" s="12"/>
      <c r="B222" s="14"/>
      <c r="C222" s="14"/>
      <c r="D222" s="14"/>
      <c r="E222" s="16">
        <f>IF(B222="","",B222-D222)</f>
        <v>0</v>
      </c>
      <c r="F222" s="14"/>
      <c r="G222" s="16">
        <f>IF(D222="","",D222-N(F222))</f>
        <v>0</v>
      </c>
      <c r="H222" s="12"/>
      <c r="I222" s="12"/>
    </row>
    <row r="223" spans="1:9">
      <c r="A223" s="12"/>
      <c r="B223" s="14"/>
      <c r="C223" s="14"/>
      <c r="D223" s="14"/>
      <c r="E223" s="16">
        <f>IF(B223="","",B223-D223)</f>
        <v>0</v>
      </c>
      <c r="F223" s="14"/>
      <c r="G223" s="16">
        <f>IF(D223="","",D223-N(F223))</f>
        <v>0</v>
      </c>
      <c r="H223" s="12"/>
      <c r="I223" s="12"/>
    </row>
    <row r="224" spans="1:9">
      <c r="A224" s="12"/>
      <c r="B224" s="14"/>
      <c r="C224" s="14"/>
      <c r="D224" s="14"/>
      <c r="E224" s="16">
        <f>IF(B224="","",B224-D224)</f>
        <v>0</v>
      </c>
      <c r="F224" s="14"/>
      <c r="G224" s="16">
        <f>IF(D224="","",D224-N(F224))</f>
        <v>0</v>
      </c>
      <c r="H224" s="12"/>
      <c r="I224" s="12"/>
    </row>
    <row r="225" spans="1:9">
      <c r="A225" s="12"/>
      <c r="B225" s="14"/>
      <c r="C225" s="14"/>
      <c r="D225" s="14"/>
      <c r="E225" s="16">
        <f>IF(B225="","",B225-D225)</f>
        <v>0</v>
      </c>
      <c r="F225" s="14"/>
      <c r="G225" s="16">
        <f>IF(D225="","",D225-N(F225))</f>
        <v>0</v>
      </c>
      <c r="H225" s="12"/>
      <c r="I225" s="12"/>
    </row>
    <row r="226" spans="1:9">
      <c r="A226" s="12"/>
      <c r="B226" s="14"/>
      <c r="C226" s="14"/>
      <c r="D226" s="14"/>
      <c r="E226" s="16">
        <f>IF(B226="","",B226-D226)</f>
        <v>0</v>
      </c>
      <c r="F226" s="14"/>
      <c r="G226" s="16">
        <f>IF(D226="","",D226-N(F226))</f>
        <v>0</v>
      </c>
      <c r="H226" s="12"/>
      <c r="I226" s="12"/>
    </row>
    <row r="227" spans="1:9">
      <c r="A227" s="12"/>
      <c r="B227" s="14"/>
      <c r="C227" s="14"/>
      <c r="D227" s="14"/>
      <c r="E227" s="16">
        <f>IF(B227="","",B227-D227)</f>
        <v>0</v>
      </c>
      <c r="F227" s="14"/>
      <c r="G227" s="16">
        <f>IF(D227="","",D227-N(F227))</f>
        <v>0</v>
      </c>
      <c r="H227" s="12"/>
      <c r="I227" s="12"/>
    </row>
    <row r="228" spans="1:9">
      <c r="A228" s="12"/>
      <c r="B228" s="14"/>
      <c r="C228" s="14"/>
      <c r="D228" s="14"/>
      <c r="E228" s="16">
        <f>IF(B228="","",B228-D228)</f>
        <v>0</v>
      </c>
      <c r="F228" s="14"/>
      <c r="G228" s="16">
        <f>IF(D228="","",D228-N(F228))</f>
        <v>0</v>
      </c>
      <c r="H228" s="12"/>
      <c r="I228" s="12"/>
    </row>
    <row r="229" spans="1:9">
      <c r="A229" s="12"/>
      <c r="B229" s="14"/>
      <c r="C229" s="14"/>
      <c r="D229" s="14"/>
      <c r="E229" s="16">
        <f>IF(B229="","",B229-D229)</f>
        <v>0</v>
      </c>
      <c r="F229" s="14"/>
      <c r="G229" s="16">
        <f>IF(D229="","",D229-N(F229))</f>
        <v>0</v>
      </c>
      <c r="H229" s="12"/>
      <c r="I229" s="12"/>
    </row>
    <row r="230" spans="1:9">
      <c r="A230" s="12"/>
      <c r="B230" s="14"/>
      <c r="C230" s="14"/>
      <c r="D230" s="14"/>
      <c r="E230" s="16">
        <f>IF(B230="","",B230-D230)</f>
        <v>0</v>
      </c>
      <c r="F230" s="14"/>
      <c r="G230" s="16">
        <f>IF(D230="","",D230-N(F230))</f>
        <v>0</v>
      </c>
      <c r="H230" s="12"/>
      <c r="I230" s="12"/>
    </row>
    <row r="231" spans="1:9">
      <c r="A231" s="12"/>
      <c r="B231" s="14"/>
      <c r="C231" s="14"/>
      <c r="D231" s="14"/>
      <c r="E231" s="16">
        <f>IF(B231="","",B231-D231)</f>
        <v>0</v>
      </c>
      <c r="F231" s="14"/>
      <c r="G231" s="16">
        <f>IF(D231="","",D231-N(F231))</f>
        <v>0</v>
      </c>
      <c r="H231" s="12"/>
      <c r="I231" s="12"/>
    </row>
    <row r="232" spans="1:9">
      <c r="A232" s="12"/>
      <c r="B232" s="14"/>
      <c r="C232" s="14"/>
      <c r="D232" s="14"/>
      <c r="E232" s="16">
        <f>IF(B232="","",B232-D232)</f>
        <v>0</v>
      </c>
      <c r="F232" s="14"/>
      <c r="G232" s="16">
        <f>IF(D232="","",D232-N(F232))</f>
        <v>0</v>
      </c>
      <c r="H232" s="12"/>
      <c r="I232" s="12"/>
    </row>
    <row r="233" spans="1:9">
      <c r="A233" s="12"/>
      <c r="B233" s="14"/>
      <c r="C233" s="14"/>
      <c r="D233" s="14"/>
      <c r="E233" s="16">
        <f>IF(B233="","",B233-D233)</f>
        <v>0</v>
      </c>
      <c r="F233" s="14"/>
      <c r="G233" s="16">
        <f>IF(D233="","",D233-N(F233))</f>
        <v>0</v>
      </c>
      <c r="H233" s="12"/>
      <c r="I233" s="12"/>
    </row>
    <row r="234" spans="1:9">
      <c r="A234" s="12"/>
      <c r="B234" s="14"/>
      <c r="C234" s="14"/>
      <c r="D234" s="14"/>
      <c r="E234" s="16">
        <f>IF(B234="","",B234-D234)</f>
        <v>0</v>
      </c>
      <c r="F234" s="14"/>
      <c r="G234" s="16">
        <f>IF(D234="","",D234-N(F234))</f>
        <v>0</v>
      </c>
      <c r="H234" s="12"/>
      <c r="I234" s="12"/>
    </row>
    <row r="235" spans="1:9">
      <c r="A235" s="12"/>
      <c r="B235" s="14"/>
      <c r="C235" s="14"/>
      <c r="D235" s="14"/>
      <c r="E235" s="16">
        <f>IF(B235="","",B235-D235)</f>
        <v>0</v>
      </c>
      <c r="F235" s="14"/>
      <c r="G235" s="16">
        <f>IF(D235="","",D235-N(F235))</f>
        <v>0</v>
      </c>
      <c r="H235" s="12"/>
      <c r="I235" s="12"/>
    </row>
    <row r="236" spans="1:9">
      <c r="A236" s="12"/>
      <c r="B236" s="14"/>
      <c r="C236" s="14"/>
      <c r="D236" s="14"/>
      <c r="E236" s="16">
        <f>IF(B236="","",B236-D236)</f>
        <v>0</v>
      </c>
      <c r="F236" s="14"/>
      <c r="G236" s="16">
        <f>IF(D236="","",D236-N(F236))</f>
        <v>0</v>
      </c>
      <c r="H236" s="12"/>
      <c r="I236" s="12"/>
    </row>
    <row r="237" spans="1:9">
      <c r="A237" s="12"/>
      <c r="B237" s="14"/>
      <c r="C237" s="14"/>
      <c r="D237" s="14"/>
      <c r="E237" s="16">
        <f>IF(B237="","",B237-D237)</f>
        <v>0</v>
      </c>
      <c r="F237" s="14"/>
      <c r="G237" s="16">
        <f>IF(D237="","",D237-N(F237))</f>
        <v>0</v>
      </c>
      <c r="H237" s="12"/>
      <c r="I237" s="12"/>
    </row>
    <row r="238" spans="1:9">
      <c r="A238" s="12"/>
      <c r="B238" s="14"/>
      <c r="C238" s="14"/>
      <c r="D238" s="14"/>
      <c r="E238" s="16">
        <f>IF(B238="","",B238-D238)</f>
        <v>0</v>
      </c>
      <c r="F238" s="14"/>
      <c r="G238" s="16">
        <f>IF(D238="","",D238-N(F238))</f>
        <v>0</v>
      </c>
      <c r="H238" s="12"/>
      <c r="I238" s="12"/>
    </row>
    <row r="239" spans="1:9">
      <c r="A239" s="12"/>
      <c r="B239" s="14"/>
      <c r="C239" s="14"/>
      <c r="D239" s="14"/>
      <c r="E239" s="16">
        <f>IF(B239="","",B239-D239)</f>
        <v>0</v>
      </c>
      <c r="F239" s="14"/>
      <c r="G239" s="16">
        <f>IF(D239="","",D239-N(F239))</f>
        <v>0</v>
      </c>
      <c r="H239" s="12"/>
      <c r="I239" s="12"/>
    </row>
    <row r="240" spans="1:9">
      <c r="A240" s="12"/>
      <c r="B240" s="14"/>
      <c r="C240" s="14"/>
      <c r="D240" s="14"/>
      <c r="E240" s="16">
        <f>IF(B240="","",B240-D240)</f>
        <v>0</v>
      </c>
      <c r="F240" s="14"/>
      <c r="G240" s="16">
        <f>IF(D240="","",D240-N(F240))</f>
        <v>0</v>
      </c>
      <c r="H240" s="12"/>
      <c r="I240" s="12"/>
    </row>
    <row r="241" spans="1:9">
      <c r="A241" s="12"/>
      <c r="B241" s="14"/>
      <c r="C241" s="14"/>
      <c r="D241" s="14"/>
      <c r="E241" s="16">
        <f>IF(B241="","",B241-D241)</f>
        <v>0</v>
      </c>
      <c r="F241" s="14"/>
      <c r="G241" s="16">
        <f>IF(D241="","",D241-N(F241))</f>
        <v>0</v>
      </c>
      <c r="H241" s="12"/>
      <c r="I241" s="12"/>
    </row>
    <row r="242" spans="1:9">
      <c r="A242" s="12"/>
      <c r="B242" s="14"/>
      <c r="C242" s="14"/>
      <c r="D242" s="14"/>
      <c r="E242" s="16">
        <f>IF(B242="","",B242-D242)</f>
        <v>0</v>
      </c>
      <c r="F242" s="14"/>
      <c r="G242" s="16">
        <f>IF(D242="","",D242-N(F242))</f>
        <v>0</v>
      </c>
      <c r="H242" s="12"/>
      <c r="I242" s="12"/>
    </row>
    <row r="243" spans="1:9">
      <c r="A243" s="12"/>
      <c r="B243" s="14"/>
      <c r="C243" s="14"/>
      <c r="D243" s="14"/>
      <c r="E243" s="16">
        <f>IF(B243="","",B243-D243)</f>
        <v>0</v>
      </c>
      <c r="F243" s="14"/>
      <c r="G243" s="16">
        <f>IF(D243="","",D243-N(F243))</f>
        <v>0</v>
      </c>
      <c r="H243" s="12"/>
      <c r="I243" s="12"/>
    </row>
    <row r="244" spans="1:9">
      <c r="A244" s="12"/>
      <c r="B244" s="14"/>
      <c r="C244" s="14"/>
      <c r="D244" s="14"/>
      <c r="E244" s="16">
        <f>IF(B244="","",B244-D244)</f>
        <v>0</v>
      </c>
      <c r="F244" s="14"/>
      <c r="G244" s="16">
        <f>IF(D244="","",D244-N(F244))</f>
        <v>0</v>
      </c>
      <c r="H244" s="12"/>
      <c r="I244" s="12"/>
    </row>
    <row r="245" spans="1:9">
      <c r="A245" s="12"/>
      <c r="B245" s="14"/>
      <c r="C245" s="14"/>
      <c r="D245" s="14"/>
      <c r="E245" s="16">
        <f>IF(B245="","",B245-D245)</f>
        <v>0</v>
      </c>
      <c r="F245" s="14"/>
      <c r="G245" s="16">
        <f>IF(D245="","",D245-N(F245))</f>
        <v>0</v>
      </c>
      <c r="H245" s="12"/>
      <c r="I245" s="12"/>
    </row>
    <row r="246" spans="1:9">
      <c r="A246" s="12"/>
      <c r="B246" s="14"/>
      <c r="C246" s="14"/>
      <c r="D246" s="14"/>
      <c r="E246" s="16">
        <f>IF(B246="","",B246-D246)</f>
        <v>0</v>
      </c>
      <c r="F246" s="14"/>
      <c r="G246" s="16">
        <f>IF(D246="","",D246-N(F246))</f>
        <v>0</v>
      </c>
      <c r="H246" s="12"/>
      <c r="I246" s="12"/>
    </row>
    <row r="247" spans="1:9">
      <c r="A247" s="12"/>
      <c r="B247" s="14"/>
      <c r="C247" s="14"/>
      <c r="D247" s="14"/>
      <c r="E247" s="16">
        <f>IF(B247="","",B247-D247)</f>
        <v>0</v>
      </c>
      <c r="F247" s="14"/>
      <c r="G247" s="16">
        <f>IF(D247="","",D247-N(F247))</f>
        <v>0</v>
      </c>
      <c r="H247" s="12"/>
      <c r="I247" s="12"/>
    </row>
    <row r="248" spans="1:9">
      <c r="A248" s="12"/>
      <c r="B248" s="14"/>
      <c r="C248" s="14"/>
      <c r="D248" s="14"/>
      <c r="E248" s="16">
        <f>IF(B248="","",B248-D248)</f>
        <v>0</v>
      </c>
      <c r="F248" s="14"/>
      <c r="G248" s="16">
        <f>IF(D248="","",D248-N(F248))</f>
        <v>0</v>
      </c>
      <c r="H248" s="12"/>
      <c r="I248" s="12"/>
    </row>
    <row r="249" spans="1:9">
      <c r="A249" s="12"/>
      <c r="B249" s="14"/>
      <c r="C249" s="14"/>
      <c r="D249" s="14"/>
      <c r="E249" s="16">
        <f>IF(B249="","",B249-D249)</f>
        <v>0</v>
      </c>
      <c r="F249" s="14"/>
      <c r="G249" s="16">
        <f>IF(D249="","",D249-N(F249))</f>
        <v>0</v>
      </c>
      <c r="H249" s="12"/>
      <c r="I249" s="12"/>
    </row>
    <row r="250" spans="1:9">
      <c r="A250" s="12"/>
      <c r="B250" s="14"/>
      <c r="C250" s="14"/>
      <c r="D250" s="14"/>
      <c r="E250" s="16">
        <f>IF(B250="","",B250-D250)</f>
        <v>0</v>
      </c>
      <c r="F250" s="14"/>
      <c r="G250" s="16">
        <f>IF(D250="","",D250-N(F250))</f>
        <v>0</v>
      </c>
      <c r="H250" s="12"/>
      <c r="I250" s="12"/>
    </row>
    <row r="251" spans="1:9">
      <c r="A251" s="12"/>
      <c r="B251" s="14"/>
      <c r="C251" s="14"/>
      <c r="D251" s="14"/>
      <c r="E251" s="16">
        <f>IF(B251="","",B251-D251)</f>
        <v>0</v>
      </c>
      <c r="F251" s="14"/>
      <c r="G251" s="16">
        <f>IF(D251="","",D251-N(F251))</f>
        <v>0</v>
      </c>
      <c r="H251" s="12"/>
      <c r="I251" s="12"/>
    </row>
    <row r="252" spans="1:9">
      <c r="A252" s="12"/>
      <c r="B252" s="14"/>
      <c r="C252" s="14"/>
      <c r="D252" s="14"/>
      <c r="E252" s="16">
        <f>IF(B252="","",B252-D252)</f>
        <v>0</v>
      </c>
      <c r="F252" s="14"/>
      <c r="G252" s="16">
        <f>IF(D252="","",D252-N(F252))</f>
        <v>0</v>
      </c>
      <c r="H252" s="12"/>
      <c r="I252" s="12"/>
    </row>
    <row r="253" spans="1:9">
      <c r="A253" s="12"/>
      <c r="B253" s="14"/>
      <c r="C253" s="14"/>
      <c r="D253" s="14"/>
      <c r="E253" s="16">
        <f>IF(B253="","",B253-D253)</f>
        <v>0</v>
      </c>
      <c r="F253" s="14"/>
      <c r="G253" s="16">
        <f>IF(D253="","",D253-N(F253))</f>
        <v>0</v>
      </c>
      <c r="H253" s="12"/>
      <c r="I253" s="12"/>
    </row>
    <row r="255" spans="1:9">
      <c r="A255" s="10" t="s">
        <v>348</v>
      </c>
      <c r="B255" s="16">
        <f>SUM(B4:B253)</f>
        <v>0</v>
      </c>
      <c r="C255" s="16">
        <f>SUM(C4:C253)</f>
        <v>0</v>
      </c>
      <c r="D255" s="16">
        <f>SUM(D4:D253)</f>
        <v>0</v>
      </c>
      <c r="E255" s="16">
        <f>SUM(E4:E253)</f>
        <v>0</v>
      </c>
      <c r="F255" s="16">
        <f>SUM(F4:F253)</f>
        <v>0</v>
      </c>
      <c r="G255" s="16">
        <f>SUM(G4:G253)</f>
        <v>0</v>
      </c>
    </row>
  </sheetData>
  <autoFilter ref="A3:I253"/>
  <mergeCells count="2">
    <mergeCell ref="A1:I1"/>
    <mergeCell ref="A2:I2"/>
  </mergeCells>
  <conditionalFormatting sqref="E4:E253">
    <cfRule type="cellIs" dxfId="2" priority="5" operator="lessThan">
      <formula>0</formula>
    </cfRule>
  </conditionalFormatting>
  <conditionalFormatting sqref="H4:H253">
    <cfRule type="expression" dxfId="0" priority="1">
      <formula>OR(ISNUMBER(SEARCH("approved",H4)),ISNUMBER(SEARCH("complete",H4)),ISNUMBER(SEARCH("delivered",H4)),ISNUMBER(SEARCH("installed",H4)),ISNUMBER(SEARCH("paid",H4)),ISNUMBER(SEARCH("good condition",H4)))</formula>
    </cfRule>
    <cfRule type="expression" dxfId="1" priority="2">
      <formula>OR(ISNUMBER(SEARCH("pending",H4)),ISNUMBER(SEARCH("progress",H4)),ISNUMBER(SEARCH("review",H4)),ISNUMBER(SEARCH("sent",H4)),ISNUMBER(SEARCH("scheduled",H4)),ISNUMBER(SEARCH("waiting",H4)),ISNUMBER(SEARCH("ordered",H4)),ISNUMBER(SEARCH("shipped",H4)))</formula>
    </cfRule>
    <cfRule type="expression" dxfId="2" priority="3">
      <formula>OR(ISNUMBER(SEARCH("overdue",H4)),ISNUMBER(SEARCH("delayed",H4)),ISNUMBER(SEARCH("rejected",H4)),ISNUMBER(SEARCH("damaged",H4)),ISNUMBER(SEARCH("missing",H4)),ISNUMBER(SEARCH("wrong",H4)),ISNUMBER(SEARCH("backordered",H4)))</formula>
    </cfRule>
    <cfRule type="expression" dxfId="3" priority="4">
      <formula>OR(ISNUMBER(SEARCH("cancelled",H4)),ISNUMBER(SEARCH("on hold",H4)),ISNUMBER(SEARCH("returned",H4)))</formula>
    </cfRule>
  </conditionalFormatting>
  <dataValidations count="2">
    <dataValidation type="list" allowBlank="1" showInputMessage="1" showErrorMessage="1" errorTitle="Choose a listed value" error="Please select an option from the dropdown." promptTitle="Budget Category" prompt="Select from the dropdown list." sqref="A4:A253">
      <formula1>BudgetCategories</formula1>
    </dataValidation>
    <dataValidation type="list" allowBlank="1" showInputMessage="1" showErrorMessage="1" errorTitle="Choose a listed value" error="Please select an option from the dropdown." promptTitle="Payment Status" prompt="Select from the dropdown list." sqref="H4:H253">
      <formula1>PaymentStatuses</formula1>
    </dataValidation>
  </dataValidations>
  <pageMargins left="0.25" right="0.25" top="0.5" bottom="0.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8.7109375" customWidth="1"/>
    <col min="4" max="4" width="24.7109375" customWidth="1"/>
    <col min="5" max="5" width="10.7109375" customWidth="1"/>
    <col min="6" max="6" width="15.7109375" customWidth="1"/>
    <col min="7" max="7" width="17.7109375" customWidth="1"/>
    <col min="8" max="8" width="19.7109375" customWidth="1"/>
    <col min="9" max="10" width="18.7109375" customWidth="1"/>
    <col min="11" max="11" width="20.7109375" customWidth="1"/>
    <col min="12" max="13" width="16.7109375" customWidth="1"/>
    <col min="14" max="14" width="14.7109375" customWidth="1"/>
    <col min="15" max="15" width="16.7109375" customWidth="1"/>
    <col min="16" max="16" width="30.7109375" customWidth="1"/>
  </cols>
  <sheetData>
    <row r="1" spans="1:16" ht="30" customHeight="1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2" customHeight="1">
      <c r="A3" s="10" t="s">
        <v>350</v>
      </c>
      <c r="B3" s="10" t="s">
        <v>150</v>
      </c>
      <c r="C3" s="10" t="s">
        <v>167</v>
      </c>
      <c r="D3" s="10" t="s">
        <v>351</v>
      </c>
      <c r="E3" s="10" t="s">
        <v>274</v>
      </c>
      <c r="F3" s="10" t="s">
        <v>352</v>
      </c>
      <c r="G3" s="10" t="s">
        <v>353</v>
      </c>
      <c r="H3" s="10" t="s">
        <v>354</v>
      </c>
      <c r="I3" s="10" t="s">
        <v>355</v>
      </c>
      <c r="J3" s="10" t="s">
        <v>288</v>
      </c>
      <c r="K3" s="10" t="s">
        <v>356</v>
      </c>
      <c r="L3" s="10" t="s">
        <v>357</v>
      </c>
      <c r="M3" s="10" t="s">
        <v>358</v>
      </c>
      <c r="N3" s="10" t="s">
        <v>359</v>
      </c>
      <c r="O3" s="10" t="s">
        <v>360</v>
      </c>
      <c r="P3" s="10" t="s">
        <v>267</v>
      </c>
    </row>
    <row r="4" spans="1:16">
      <c r="A4" s="12"/>
      <c r="B4" s="12"/>
      <c r="C4" s="12"/>
      <c r="D4" s="12"/>
      <c r="E4" s="17"/>
      <c r="F4" s="13"/>
      <c r="G4" s="13"/>
      <c r="H4" s="13"/>
      <c r="I4" s="13"/>
      <c r="J4" s="12"/>
      <c r="K4" s="12"/>
      <c r="L4" s="12"/>
      <c r="M4" s="12"/>
      <c r="N4" s="14"/>
      <c r="O4" s="12"/>
      <c r="P4" s="12"/>
    </row>
    <row r="5" spans="1:16">
      <c r="A5" s="12"/>
      <c r="B5" s="12"/>
      <c r="C5" s="12"/>
      <c r="D5" s="12"/>
      <c r="E5" s="17"/>
      <c r="F5" s="13"/>
      <c r="G5" s="13"/>
      <c r="H5" s="13"/>
      <c r="I5" s="13"/>
      <c r="J5" s="12"/>
      <c r="K5" s="12"/>
      <c r="L5" s="12"/>
      <c r="M5" s="12"/>
      <c r="N5" s="14"/>
      <c r="O5" s="12"/>
      <c r="P5" s="12"/>
    </row>
    <row r="6" spans="1:16">
      <c r="A6" s="12"/>
      <c r="B6" s="12"/>
      <c r="C6" s="12"/>
      <c r="D6" s="12"/>
      <c r="E6" s="17"/>
      <c r="F6" s="13"/>
      <c r="G6" s="13"/>
      <c r="H6" s="13"/>
      <c r="I6" s="13"/>
      <c r="J6" s="12"/>
      <c r="K6" s="12"/>
      <c r="L6" s="12"/>
      <c r="M6" s="12"/>
      <c r="N6" s="14"/>
      <c r="O6" s="12"/>
      <c r="P6" s="12"/>
    </row>
    <row r="7" spans="1:16">
      <c r="A7" s="12"/>
      <c r="B7" s="12"/>
      <c r="C7" s="12"/>
      <c r="D7" s="12"/>
      <c r="E7" s="17"/>
      <c r="F7" s="13"/>
      <c r="G7" s="13"/>
      <c r="H7" s="13"/>
      <c r="I7" s="13"/>
      <c r="J7" s="12"/>
      <c r="K7" s="12"/>
      <c r="L7" s="12"/>
      <c r="M7" s="12"/>
      <c r="N7" s="14"/>
      <c r="O7" s="12"/>
      <c r="P7" s="12"/>
    </row>
    <row r="8" spans="1:16">
      <c r="A8" s="12"/>
      <c r="B8" s="12"/>
      <c r="C8" s="12"/>
      <c r="D8" s="12"/>
      <c r="E8" s="17"/>
      <c r="F8" s="13"/>
      <c r="G8" s="13"/>
      <c r="H8" s="13"/>
      <c r="I8" s="13"/>
      <c r="J8" s="12"/>
      <c r="K8" s="12"/>
      <c r="L8" s="12"/>
      <c r="M8" s="12"/>
      <c r="N8" s="14"/>
      <c r="O8" s="12"/>
      <c r="P8" s="12"/>
    </row>
    <row r="9" spans="1:16">
      <c r="A9" s="12"/>
      <c r="B9" s="12"/>
      <c r="C9" s="12"/>
      <c r="D9" s="12"/>
      <c r="E9" s="17"/>
      <c r="F9" s="13"/>
      <c r="G9" s="13"/>
      <c r="H9" s="13"/>
      <c r="I9" s="13"/>
      <c r="J9" s="12"/>
      <c r="K9" s="12"/>
      <c r="L9" s="12"/>
      <c r="M9" s="12"/>
      <c r="N9" s="14"/>
      <c r="O9" s="12"/>
      <c r="P9" s="12"/>
    </row>
    <row r="10" spans="1:16">
      <c r="A10" s="12"/>
      <c r="B10" s="12"/>
      <c r="C10" s="12"/>
      <c r="D10" s="12"/>
      <c r="E10" s="17"/>
      <c r="F10" s="13"/>
      <c r="G10" s="13"/>
      <c r="H10" s="13"/>
      <c r="I10" s="13"/>
      <c r="J10" s="12"/>
      <c r="K10" s="12"/>
      <c r="L10" s="12"/>
      <c r="M10" s="12"/>
      <c r="N10" s="14"/>
      <c r="O10" s="12"/>
      <c r="P10" s="12"/>
    </row>
    <row r="11" spans="1:16">
      <c r="A11" s="12"/>
      <c r="B11" s="12"/>
      <c r="C11" s="12"/>
      <c r="D11" s="12"/>
      <c r="E11" s="17"/>
      <c r="F11" s="13"/>
      <c r="G11" s="13"/>
      <c r="H11" s="13"/>
      <c r="I11" s="13"/>
      <c r="J11" s="12"/>
      <c r="K11" s="12"/>
      <c r="L11" s="12"/>
      <c r="M11" s="12"/>
      <c r="N11" s="14"/>
      <c r="O11" s="12"/>
      <c r="P11" s="12"/>
    </row>
    <row r="12" spans="1:16">
      <c r="A12" s="12"/>
      <c r="B12" s="12"/>
      <c r="C12" s="12"/>
      <c r="D12" s="12"/>
      <c r="E12" s="17"/>
      <c r="F12" s="13"/>
      <c r="G12" s="13"/>
      <c r="H12" s="13"/>
      <c r="I12" s="13"/>
      <c r="J12" s="12"/>
      <c r="K12" s="12"/>
      <c r="L12" s="12"/>
      <c r="M12" s="12"/>
      <c r="N12" s="14"/>
      <c r="O12" s="12"/>
      <c r="P12" s="12"/>
    </row>
    <row r="13" spans="1:16">
      <c r="A13" s="12"/>
      <c r="B13" s="12"/>
      <c r="C13" s="12"/>
      <c r="D13" s="12"/>
      <c r="E13" s="17"/>
      <c r="F13" s="13"/>
      <c r="G13" s="13"/>
      <c r="H13" s="13"/>
      <c r="I13" s="13"/>
      <c r="J13" s="12"/>
      <c r="K13" s="12"/>
      <c r="L13" s="12"/>
      <c r="M13" s="12"/>
      <c r="N13" s="14"/>
      <c r="O13" s="12"/>
      <c r="P13" s="12"/>
    </row>
    <row r="14" spans="1:16">
      <c r="A14" s="12"/>
      <c r="B14" s="12"/>
      <c r="C14" s="12"/>
      <c r="D14" s="12"/>
      <c r="E14" s="17"/>
      <c r="F14" s="13"/>
      <c r="G14" s="13"/>
      <c r="H14" s="13"/>
      <c r="I14" s="13"/>
      <c r="J14" s="12"/>
      <c r="K14" s="12"/>
      <c r="L14" s="12"/>
      <c r="M14" s="12"/>
      <c r="N14" s="14"/>
      <c r="O14" s="12"/>
      <c r="P14" s="12"/>
    </row>
    <row r="15" spans="1:16">
      <c r="A15" s="12"/>
      <c r="B15" s="12"/>
      <c r="C15" s="12"/>
      <c r="D15" s="12"/>
      <c r="E15" s="17"/>
      <c r="F15" s="13"/>
      <c r="G15" s="13"/>
      <c r="H15" s="13"/>
      <c r="I15" s="13"/>
      <c r="J15" s="12"/>
      <c r="K15" s="12"/>
      <c r="L15" s="12"/>
      <c r="M15" s="12"/>
      <c r="N15" s="14"/>
      <c r="O15" s="12"/>
      <c r="P15" s="12"/>
    </row>
    <row r="16" spans="1:16">
      <c r="A16" s="12"/>
      <c r="B16" s="12"/>
      <c r="C16" s="12"/>
      <c r="D16" s="12"/>
      <c r="E16" s="17"/>
      <c r="F16" s="13"/>
      <c r="G16" s="13"/>
      <c r="H16" s="13"/>
      <c r="I16" s="13"/>
      <c r="J16" s="12"/>
      <c r="K16" s="12"/>
      <c r="L16" s="12"/>
      <c r="M16" s="12"/>
      <c r="N16" s="14"/>
      <c r="O16" s="12"/>
      <c r="P16" s="12"/>
    </row>
    <row r="17" spans="1:16">
      <c r="A17" s="12"/>
      <c r="B17" s="12"/>
      <c r="C17" s="12"/>
      <c r="D17" s="12"/>
      <c r="E17" s="17"/>
      <c r="F17" s="13"/>
      <c r="G17" s="13"/>
      <c r="H17" s="13"/>
      <c r="I17" s="13"/>
      <c r="J17" s="12"/>
      <c r="K17" s="12"/>
      <c r="L17" s="12"/>
      <c r="M17" s="12"/>
      <c r="N17" s="14"/>
      <c r="O17" s="12"/>
      <c r="P17" s="12"/>
    </row>
    <row r="18" spans="1:16">
      <c r="A18" s="12"/>
      <c r="B18" s="12"/>
      <c r="C18" s="12"/>
      <c r="D18" s="12"/>
      <c r="E18" s="17"/>
      <c r="F18" s="13"/>
      <c r="G18" s="13"/>
      <c r="H18" s="13"/>
      <c r="I18" s="13"/>
      <c r="J18" s="12"/>
      <c r="K18" s="12"/>
      <c r="L18" s="12"/>
      <c r="M18" s="12"/>
      <c r="N18" s="14"/>
      <c r="O18" s="12"/>
      <c r="P18" s="12"/>
    </row>
    <row r="19" spans="1:16">
      <c r="A19" s="12"/>
      <c r="B19" s="12"/>
      <c r="C19" s="12"/>
      <c r="D19" s="12"/>
      <c r="E19" s="17"/>
      <c r="F19" s="13"/>
      <c r="G19" s="13"/>
      <c r="H19" s="13"/>
      <c r="I19" s="13"/>
      <c r="J19" s="12"/>
      <c r="K19" s="12"/>
      <c r="L19" s="12"/>
      <c r="M19" s="12"/>
      <c r="N19" s="14"/>
      <c r="O19" s="12"/>
      <c r="P19" s="12"/>
    </row>
    <row r="20" spans="1:16">
      <c r="A20" s="12"/>
      <c r="B20" s="12"/>
      <c r="C20" s="12"/>
      <c r="D20" s="12"/>
      <c r="E20" s="17"/>
      <c r="F20" s="13"/>
      <c r="G20" s="13"/>
      <c r="H20" s="13"/>
      <c r="I20" s="13"/>
      <c r="J20" s="12"/>
      <c r="K20" s="12"/>
      <c r="L20" s="12"/>
      <c r="M20" s="12"/>
      <c r="N20" s="14"/>
      <c r="O20" s="12"/>
      <c r="P20" s="12"/>
    </row>
    <row r="21" spans="1:16">
      <c r="A21" s="12"/>
      <c r="B21" s="12"/>
      <c r="C21" s="12"/>
      <c r="D21" s="12"/>
      <c r="E21" s="17"/>
      <c r="F21" s="13"/>
      <c r="G21" s="13"/>
      <c r="H21" s="13"/>
      <c r="I21" s="13"/>
      <c r="J21" s="12"/>
      <c r="K21" s="12"/>
      <c r="L21" s="12"/>
      <c r="M21" s="12"/>
      <c r="N21" s="14"/>
      <c r="O21" s="12"/>
      <c r="P21" s="12"/>
    </row>
    <row r="22" spans="1:16">
      <c r="A22" s="12"/>
      <c r="B22" s="12"/>
      <c r="C22" s="12"/>
      <c r="D22" s="12"/>
      <c r="E22" s="17"/>
      <c r="F22" s="13"/>
      <c r="G22" s="13"/>
      <c r="H22" s="13"/>
      <c r="I22" s="13"/>
      <c r="J22" s="12"/>
      <c r="K22" s="12"/>
      <c r="L22" s="12"/>
      <c r="M22" s="12"/>
      <c r="N22" s="14"/>
      <c r="O22" s="12"/>
      <c r="P22" s="12"/>
    </row>
    <row r="23" spans="1:16">
      <c r="A23" s="12"/>
      <c r="B23" s="12"/>
      <c r="C23" s="12"/>
      <c r="D23" s="12"/>
      <c r="E23" s="17"/>
      <c r="F23" s="13"/>
      <c r="G23" s="13"/>
      <c r="H23" s="13"/>
      <c r="I23" s="13"/>
      <c r="J23" s="12"/>
      <c r="K23" s="12"/>
      <c r="L23" s="12"/>
      <c r="M23" s="12"/>
      <c r="N23" s="14"/>
      <c r="O23" s="12"/>
      <c r="P23" s="12"/>
    </row>
    <row r="24" spans="1:16">
      <c r="A24" s="12"/>
      <c r="B24" s="12"/>
      <c r="C24" s="12"/>
      <c r="D24" s="12"/>
      <c r="E24" s="17"/>
      <c r="F24" s="13"/>
      <c r="G24" s="13"/>
      <c r="H24" s="13"/>
      <c r="I24" s="13"/>
      <c r="J24" s="12"/>
      <c r="K24" s="12"/>
      <c r="L24" s="12"/>
      <c r="M24" s="12"/>
      <c r="N24" s="14"/>
      <c r="O24" s="12"/>
      <c r="P24" s="12"/>
    </row>
    <row r="25" spans="1:16">
      <c r="A25" s="12"/>
      <c r="B25" s="12"/>
      <c r="C25" s="12"/>
      <c r="D25" s="12"/>
      <c r="E25" s="17"/>
      <c r="F25" s="13"/>
      <c r="G25" s="13"/>
      <c r="H25" s="13"/>
      <c r="I25" s="13"/>
      <c r="J25" s="12"/>
      <c r="K25" s="12"/>
      <c r="L25" s="12"/>
      <c r="M25" s="12"/>
      <c r="N25" s="14"/>
      <c r="O25" s="12"/>
      <c r="P25" s="12"/>
    </row>
    <row r="26" spans="1:16">
      <c r="A26" s="12"/>
      <c r="B26" s="12"/>
      <c r="C26" s="12"/>
      <c r="D26" s="12"/>
      <c r="E26" s="17"/>
      <c r="F26" s="13"/>
      <c r="G26" s="13"/>
      <c r="H26" s="13"/>
      <c r="I26" s="13"/>
      <c r="J26" s="12"/>
      <c r="K26" s="12"/>
      <c r="L26" s="12"/>
      <c r="M26" s="12"/>
      <c r="N26" s="14"/>
      <c r="O26" s="12"/>
      <c r="P26" s="12"/>
    </row>
    <row r="27" spans="1:16">
      <c r="A27" s="12"/>
      <c r="B27" s="12"/>
      <c r="C27" s="12"/>
      <c r="D27" s="12"/>
      <c r="E27" s="17"/>
      <c r="F27" s="13"/>
      <c r="G27" s="13"/>
      <c r="H27" s="13"/>
      <c r="I27" s="13"/>
      <c r="J27" s="12"/>
      <c r="K27" s="12"/>
      <c r="L27" s="12"/>
      <c r="M27" s="12"/>
      <c r="N27" s="14"/>
      <c r="O27" s="12"/>
      <c r="P27" s="12"/>
    </row>
    <row r="28" spans="1:16">
      <c r="A28" s="12"/>
      <c r="B28" s="12"/>
      <c r="C28" s="12"/>
      <c r="D28" s="12"/>
      <c r="E28" s="17"/>
      <c r="F28" s="13"/>
      <c r="G28" s="13"/>
      <c r="H28" s="13"/>
      <c r="I28" s="13"/>
      <c r="J28" s="12"/>
      <c r="K28" s="12"/>
      <c r="L28" s="12"/>
      <c r="M28" s="12"/>
      <c r="N28" s="14"/>
      <c r="O28" s="12"/>
      <c r="P28" s="12"/>
    </row>
    <row r="29" spans="1:16">
      <c r="A29" s="12"/>
      <c r="B29" s="12"/>
      <c r="C29" s="12"/>
      <c r="D29" s="12"/>
      <c r="E29" s="17"/>
      <c r="F29" s="13"/>
      <c r="G29" s="13"/>
      <c r="H29" s="13"/>
      <c r="I29" s="13"/>
      <c r="J29" s="12"/>
      <c r="K29" s="12"/>
      <c r="L29" s="12"/>
      <c r="M29" s="12"/>
      <c r="N29" s="14"/>
      <c r="O29" s="12"/>
      <c r="P29" s="12"/>
    </row>
    <row r="30" spans="1:16">
      <c r="A30" s="12"/>
      <c r="B30" s="12"/>
      <c r="C30" s="12"/>
      <c r="D30" s="12"/>
      <c r="E30" s="17"/>
      <c r="F30" s="13"/>
      <c r="G30" s="13"/>
      <c r="H30" s="13"/>
      <c r="I30" s="13"/>
      <c r="J30" s="12"/>
      <c r="K30" s="12"/>
      <c r="L30" s="12"/>
      <c r="M30" s="12"/>
      <c r="N30" s="14"/>
      <c r="O30" s="12"/>
      <c r="P30" s="12"/>
    </row>
    <row r="31" spans="1:16">
      <c r="A31" s="12"/>
      <c r="B31" s="12"/>
      <c r="C31" s="12"/>
      <c r="D31" s="12"/>
      <c r="E31" s="17"/>
      <c r="F31" s="13"/>
      <c r="G31" s="13"/>
      <c r="H31" s="13"/>
      <c r="I31" s="13"/>
      <c r="J31" s="12"/>
      <c r="K31" s="12"/>
      <c r="L31" s="12"/>
      <c r="M31" s="12"/>
      <c r="N31" s="14"/>
      <c r="O31" s="12"/>
      <c r="P31" s="12"/>
    </row>
    <row r="32" spans="1:16">
      <c r="A32" s="12"/>
      <c r="B32" s="12"/>
      <c r="C32" s="12"/>
      <c r="D32" s="12"/>
      <c r="E32" s="17"/>
      <c r="F32" s="13"/>
      <c r="G32" s="13"/>
      <c r="H32" s="13"/>
      <c r="I32" s="13"/>
      <c r="J32" s="12"/>
      <c r="K32" s="12"/>
      <c r="L32" s="12"/>
      <c r="M32" s="12"/>
      <c r="N32" s="14"/>
      <c r="O32" s="12"/>
      <c r="P32" s="12"/>
    </row>
    <row r="33" spans="1:16">
      <c r="A33" s="12"/>
      <c r="B33" s="12"/>
      <c r="C33" s="12"/>
      <c r="D33" s="12"/>
      <c r="E33" s="17"/>
      <c r="F33" s="13"/>
      <c r="G33" s="13"/>
      <c r="H33" s="13"/>
      <c r="I33" s="13"/>
      <c r="J33" s="12"/>
      <c r="K33" s="12"/>
      <c r="L33" s="12"/>
      <c r="M33" s="12"/>
      <c r="N33" s="14"/>
      <c r="O33" s="12"/>
      <c r="P33" s="12"/>
    </row>
    <row r="34" spans="1:16">
      <c r="A34" s="12"/>
      <c r="B34" s="12"/>
      <c r="C34" s="12"/>
      <c r="D34" s="12"/>
      <c r="E34" s="17"/>
      <c r="F34" s="13"/>
      <c r="G34" s="13"/>
      <c r="H34" s="13"/>
      <c r="I34" s="13"/>
      <c r="J34" s="12"/>
      <c r="K34" s="12"/>
      <c r="L34" s="12"/>
      <c r="M34" s="12"/>
      <c r="N34" s="14"/>
      <c r="O34" s="12"/>
      <c r="P34" s="12"/>
    </row>
    <row r="35" spans="1:16">
      <c r="A35" s="12"/>
      <c r="B35" s="12"/>
      <c r="C35" s="12"/>
      <c r="D35" s="12"/>
      <c r="E35" s="17"/>
      <c r="F35" s="13"/>
      <c r="G35" s="13"/>
      <c r="H35" s="13"/>
      <c r="I35" s="13"/>
      <c r="J35" s="12"/>
      <c r="K35" s="12"/>
      <c r="L35" s="12"/>
      <c r="M35" s="12"/>
      <c r="N35" s="14"/>
      <c r="O35" s="12"/>
      <c r="P35" s="12"/>
    </row>
    <row r="36" spans="1:16">
      <c r="A36" s="12"/>
      <c r="B36" s="12"/>
      <c r="C36" s="12"/>
      <c r="D36" s="12"/>
      <c r="E36" s="17"/>
      <c r="F36" s="13"/>
      <c r="G36" s="13"/>
      <c r="H36" s="13"/>
      <c r="I36" s="13"/>
      <c r="J36" s="12"/>
      <c r="K36" s="12"/>
      <c r="L36" s="12"/>
      <c r="M36" s="12"/>
      <c r="N36" s="14"/>
      <c r="O36" s="12"/>
      <c r="P36" s="12"/>
    </row>
    <row r="37" spans="1:16">
      <c r="A37" s="12"/>
      <c r="B37" s="12"/>
      <c r="C37" s="12"/>
      <c r="D37" s="12"/>
      <c r="E37" s="17"/>
      <c r="F37" s="13"/>
      <c r="G37" s="13"/>
      <c r="H37" s="13"/>
      <c r="I37" s="13"/>
      <c r="J37" s="12"/>
      <c r="K37" s="12"/>
      <c r="L37" s="12"/>
      <c r="M37" s="12"/>
      <c r="N37" s="14"/>
      <c r="O37" s="12"/>
      <c r="P37" s="12"/>
    </row>
    <row r="38" spans="1:16">
      <c r="A38" s="12"/>
      <c r="B38" s="12"/>
      <c r="C38" s="12"/>
      <c r="D38" s="12"/>
      <c r="E38" s="17"/>
      <c r="F38" s="13"/>
      <c r="G38" s="13"/>
      <c r="H38" s="13"/>
      <c r="I38" s="13"/>
      <c r="J38" s="12"/>
      <c r="K38" s="12"/>
      <c r="L38" s="12"/>
      <c r="M38" s="12"/>
      <c r="N38" s="14"/>
      <c r="O38" s="12"/>
      <c r="P38" s="12"/>
    </row>
    <row r="39" spans="1:16">
      <c r="A39" s="12"/>
      <c r="B39" s="12"/>
      <c r="C39" s="12"/>
      <c r="D39" s="12"/>
      <c r="E39" s="17"/>
      <c r="F39" s="13"/>
      <c r="G39" s="13"/>
      <c r="H39" s="13"/>
      <c r="I39" s="13"/>
      <c r="J39" s="12"/>
      <c r="K39" s="12"/>
      <c r="L39" s="12"/>
      <c r="M39" s="12"/>
      <c r="N39" s="14"/>
      <c r="O39" s="12"/>
      <c r="P39" s="12"/>
    </row>
    <row r="40" spans="1:16">
      <c r="A40" s="12"/>
      <c r="B40" s="12"/>
      <c r="C40" s="12"/>
      <c r="D40" s="12"/>
      <c r="E40" s="17"/>
      <c r="F40" s="13"/>
      <c r="G40" s="13"/>
      <c r="H40" s="13"/>
      <c r="I40" s="13"/>
      <c r="J40" s="12"/>
      <c r="K40" s="12"/>
      <c r="L40" s="12"/>
      <c r="M40" s="12"/>
      <c r="N40" s="14"/>
      <c r="O40" s="12"/>
      <c r="P40" s="12"/>
    </row>
    <row r="41" spans="1:16">
      <c r="A41" s="12"/>
      <c r="B41" s="12"/>
      <c r="C41" s="12"/>
      <c r="D41" s="12"/>
      <c r="E41" s="17"/>
      <c r="F41" s="13"/>
      <c r="G41" s="13"/>
      <c r="H41" s="13"/>
      <c r="I41" s="13"/>
      <c r="J41" s="12"/>
      <c r="K41" s="12"/>
      <c r="L41" s="12"/>
      <c r="M41" s="12"/>
      <c r="N41" s="14"/>
      <c r="O41" s="12"/>
      <c r="P41" s="12"/>
    </row>
    <row r="42" spans="1:16">
      <c r="A42" s="12"/>
      <c r="B42" s="12"/>
      <c r="C42" s="12"/>
      <c r="D42" s="12"/>
      <c r="E42" s="17"/>
      <c r="F42" s="13"/>
      <c r="G42" s="13"/>
      <c r="H42" s="13"/>
      <c r="I42" s="13"/>
      <c r="J42" s="12"/>
      <c r="K42" s="12"/>
      <c r="L42" s="12"/>
      <c r="M42" s="12"/>
      <c r="N42" s="14"/>
      <c r="O42" s="12"/>
      <c r="P42" s="12"/>
    </row>
    <row r="43" spans="1:16">
      <c r="A43" s="12"/>
      <c r="B43" s="12"/>
      <c r="C43" s="12"/>
      <c r="D43" s="12"/>
      <c r="E43" s="17"/>
      <c r="F43" s="13"/>
      <c r="G43" s="13"/>
      <c r="H43" s="13"/>
      <c r="I43" s="13"/>
      <c r="J43" s="12"/>
      <c r="K43" s="12"/>
      <c r="L43" s="12"/>
      <c r="M43" s="12"/>
      <c r="N43" s="14"/>
      <c r="O43" s="12"/>
      <c r="P43" s="12"/>
    </row>
    <row r="44" spans="1:16">
      <c r="A44" s="12"/>
      <c r="B44" s="12"/>
      <c r="C44" s="12"/>
      <c r="D44" s="12"/>
      <c r="E44" s="17"/>
      <c r="F44" s="13"/>
      <c r="G44" s="13"/>
      <c r="H44" s="13"/>
      <c r="I44" s="13"/>
      <c r="J44" s="12"/>
      <c r="K44" s="12"/>
      <c r="L44" s="12"/>
      <c r="M44" s="12"/>
      <c r="N44" s="14"/>
      <c r="O44" s="12"/>
      <c r="P44" s="12"/>
    </row>
    <row r="45" spans="1:16">
      <c r="A45" s="12"/>
      <c r="B45" s="12"/>
      <c r="C45" s="12"/>
      <c r="D45" s="12"/>
      <c r="E45" s="17"/>
      <c r="F45" s="13"/>
      <c r="G45" s="13"/>
      <c r="H45" s="13"/>
      <c r="I45" s="13"/>
      <c r="J45" s="12"/>
      <c r="K45" s="12"/>
      <c r="L45" s="12"/>
      <c r="M45" s="12"/>
      <c r="N45" s="14"/>
      <c r="O45" s="12"/>
      <c r="P45" s="12"/>
    </row>
    <row r="46" spans="1:16">
      <c r="A46" s="12"/>
      <c r="B46" s="12"/>
      <c r="C46" s="12"/>
      <c r="D46" s="12"/>
      <c r="E46" s="17"/>
      <c r="F46" s="13"/>
      <c r="G46" s="13"/>
      <c r="H46" s="13"/>
      <c r="I46" s="13"/>
      <c r="J46" s="12"/>
      <c r="K46" s="12"/>
      <c r="L46" s="12"/>
      <c r="M46" s="12"/>
      <c r="N46" s="14"/>
      <c r="O46" s="12"/>
      <c r="P46" s="12"/>
    </row>
    <row r="47" spans="1:16">
      <c r="A47" s="12"/>
      <c r="B47" s="12"/>
      <c r="C47" s="12"/>
      <c r="D47" s="12"/>
      <c r="E47" s="17"/>
      <c r="F47" s="13"/>
      <c r="G47" s="13"/>
      <c r="H47" s="13"/>
      <c r="I47" s="13"/>
      <c r="J47" s="12"/>
      <c r="K47" s="12"/>
      <c r="L47" s="12"/>
      <c r="M47" s="12"/>
      <c r="N47" s="14"/>
      <c r="O47" s="12"/>
      <c r="P47" s="12"/>
    </row>
    <row r="48" spans="1:16">
      <c r="A48" s="12"/>
      <c r="B48" s="12"/>
      <c r="C48" s="12"/>
      <c r="D48" s="12"/>
      <c r="E48" s="17"/>
      <c r="F48" s="13"/>
      <c r="G48" s="13"/>
      <c r="H48" s="13"/>
      <c r="I48" s="13"/>
      <c r="J48" s="12"/>
      <c r="K48" s="12"/>
      <c r="L48" s="12"/>
      <c r="M48" s="12"/>
      <c r="N48" s="14"/>
      <c r="O48" s="12"/>
      <c r="P48" s="12"/>
    </row>
    <row r="49" spans="1:16">
      <c r="A49" s="12"/>
      <c r="B49" s="12"/>
      <c r="C49" s="12"/>
      <c r="D49" s="12"/>
      <c r="E49" s="17"/>
      <c r="F49" s="13"/>
      <c r="G49" s="13"/>
      <c r="H49" s="13"/>
      <c r="I49" s="13"/>
      <c r="J49" s="12"/>
      <c r="K49" s="12"/>
      <c r="L49" s="12"/>
      <c r="M49" s="12"/>
      <c r="N49" s="14"/>
      <c r="O49" s="12"/>
      <c r="P49" s="12"/>
    </row>
    <row r="50" spans="1:16">
      <c r="A50" s="12"/>
      <c r="B50" s="12"/>
      <c r="C50" s="12"/>
      <c r="D50" s="12"/>
      <c r="E50" s="17"/>
      <c r="F50" s="13"/>
      <c r="G50" s="13"/>
      <c r="H50" s="13"/>
      <c r="I50" s="13"/>
      <c r="J50" s="12"/>
      <c r="K50" s="12"/>
      <c r="L50" s="12"/>
      <c r="M50" s="12"/>
      <c r="N50" s="14"/>
      <c r="O50" s="12"/>
      <c r="P50" s="12"/>
    </row>
    <row r="51" spans="1:16">
      <c r="A51" s="12"/>
      <c r="B51" s="12"/>
      <c r="C51" s="12"/>
      <c r="D51" s="12"/>
      <c r="E51" s="17"/>
      <c r="F51" s="13"/>
      <c r="G51" s="13"/>
      <c r="H51" s="13"/>
      <c r="I51" s="13"/>
      <c r="J51" s="12"/>
      <c r="K51" s="12"/>
      <c r="L51" s="12"/>
      <c r="M51" s="12"/>
      <c r="N51" s="14"/>
      <c r="O51" s="12"/>
      <c r="P51" s="12"/>
    </row>
    <row r="52" spans="1:16">
      <c r="A52" s="12"/>
      <c r="B52" s="12"/>
      <c r="C52" s="12"/>
      <c r="D52" s="12"/>
      <c r="E52" s="17"/>
      <c r="F52" s="13"/>
      <c r="G52" s="13"/>
      <c r="H52" s="13"/>
      <c r="I52" s="13"/>
      <c r="J52" s="12"/>
      <c r="K52" s="12"/>
      <c r="L52" s="12"/>
      <c r="M52" s="12"/>
      <c r="N52" s="14"/>
      <c r="O52" s="12"/>
      <c r="P52" s="12"/>
    </row>
    <row r="53" spans="1:16">
      <c r="A53" s="12"/>
      <c r="B53" s="12"/>
      <c r="C53" s="12"/>
      <c r="D53" s="12"/>
      <c r="E53" s="17"/>
      <c r="F53" s="13"/>
      <c r="G53" s="13"/>
      <c r="H53" s="13"/>
      <c r="I53" s="13"/>
      <c r="J53" s="12"/>
      <c r="K53" s="12"/>
      <c r="L53" s="12"/>
      <c r="M53" s="12"/>
      <c r="N53" s="14"/>
      <c r="O53" s="12"/>
      <c r="P53" s="12"/>
    </row>
    <row r="54" spans="1:16">
      <c r="A54" s="12"/>
      <c r="B54" s="12"/>
      <c r="C54" s="12"/>
      <c r="D54" s="12"/>
      <c r="E54" s="17"/>
      <c r="F54" s="13"/>
      <c r="G54" s="13"/>
      <c r="H54" s="13"/>
      <c r="I54" s="13"/>
      <c r="J54" s="12"/>
      <c r="K54" s="12"/>
      <c r="L54" s="12"/>
      <c r="M54" s="12"/>
      <c r="N54" s="14"/>
      <c r="O54" s="12"/>
      <c r="P54" s="12"/>
    </row>
    <row r="55" spans="1:16">
      <c r="A55" s="12"/>
      <c r="B55" s="12"/>
      <c r="C55" s="12"/>
      <c r="D55" s="12"/>
      <c r="E55" s="17"/>
      <c r="F55" s="13"/>
      <c r="G55" s="13"/>
      <c r="H55" s="13"/>
      <c r="I55" s="13"/>
      <c r="J55" s="12"/>
      <c r="K55" s="12"/>
      <c r="L55" s="12"/>
      <c r="M55" s="12"/>
      <c r="N55" s="14"/>
      <c r="O55" s="12"/>
      <c r="P55" s="12"/>
    </row>
    <row r="56" spans="1:16">
      <c r="A56" s="12"/>
      <c r="B56" s="12"/>
      <c r="C56" s="12"/>
      <c r="D56" s="12"/>
      <c r="E56" s="17"/>
      <c r="F56" s="13"/>
      <c r="G56" s="13"/>
      <c r="H56" s="13"/>
      <c r="I56" s="13"/>
      <c r="J56" s="12"/>
      <c r="K56" s="12"/>
      <c r="L56" s="12"/>
      <c r="M56" s="12"/>
      <c r="N56" s="14"/>
      <c r="O56" s="12"/>
      <c r="P56" s="12"/>
    </row>
    <row r="57" spans="1:16">
      <c r="A57" s="12"/>
      <c r="B57" s="12"/>
      <c r="C57" s="12"/>
      <c r="D57" s="12"/>
      <c r="E57" s="17"/>
      <c r="F57" s="13"/>
      <c r="G57" s="13"/>
      <c r="H57" s="13"/>
      <c r="I57" s="13"/>
      <c r="J57" s="12"/>
      <c r="K57" s="12"/>
      <c r="L57" s="12"/>
      <c r="M57" s="12"/>
      <c r="N57" s="14"/>
      <c r="O57" s="12"/>
      <c r="P57" s="12"/>
    </row>
    <row r="58" spans="1:16">
      <c r="A58" s="12"/>
      <c r="B58" s="12"/>
      <c r="C58" s="12"/>
      <c r="D58" s="12"/>
      <c r="E58" s="17"/>
      <c r="F58" s="13"/>
      <c r="G58" s="13"/>
      <c r="H58" s="13"/>
      <c r="I58" s="13"/>
      <c r="J58" s="12"/>
      <c r="K58" s="12"/>
      <c r="L58" s="12"/>
      <c r="M58" s="12"/>
      <c r="N58" s="14"/>
      <c r="O58" s="12"/>
      <c r="P58" s="12"/>
    </row>
    <row r="59" spans="1:16">
      <c r="A59" s="12"/>
      <c r="B59" s="12"/>
      <c r="C59" s="12"/>
      <c r="D59" s="12"/>
      <c r="E59" s="17"/>
      <c r="F59" s="13"/>
      <c r="G59" s="13"/>
      <c r="H59" s="13"/>
      <c r="I59" s="13"/>
      <c r="J59" s="12"/>
      <c r="K59" s="12"/>
      <c r="L59" s="12"/>
      <c r="M59" s="12"/>
      <c r="N59" s="14"/>
      <c r="O59" s="12"/>
      <c r="P59" s="12"/>
    </row>
    <row r="60" spans="1:16">
      <c r="A60" s="12"/>
      <c r="B60" s="12"/>
      <c r="C60" s="12"/>
      <c r="D60" s="12"/>
      <c r="E60" s="17"/>
      <c r="F60" s="13"/>
      <c r="G60" s="13"/>
      <c r="H60" s="13"/>
      <c r="I60" s="13"/>
      <c r="J60" s="12"/>
      <c r="K60" s="12"/>
      <c r="L60" s="12"/>
      <c r="M60" s="12"/>
      <c r="N60" s="14"/>
      <c r="O60" s="12"/>
      <c r="P60" s="12"/>
    </row>
    <row r="61" spans="1:16">
      <c r="A61" s="12"/>
      <c r="B61" s="12"/>
      <c r="C61" s="12"/>
      <c r="D61" s="12"/>
      <c r="E61" s="17"/>
      <c r="F61" s="13"/>
      <c r="G61" s="13"/>
      <c r="H61" s="13"/>
      <c r="I61" s="13"/>
      <c r="J61" s="12"/>
      <c r="K61" s="12"/>
      <c r="L61" s="12"/>
      <c r="M61" s="12"/>
      <c r="N61" s="14"/>
      <c r="O61" s="12"/>
      <c r="P61" s="12"/>
    </row>
    <row r="62" spans="1:16">
      <c r="A62" s="12"/>
      <c r="B62" s="12"/>
      <c r="C62" s="12"/>
      <c r="D62" s="12"/>
      <c r="E62" s="17"/>
      <c r="F62" s="13"/>
      <c r="G62" s="13"/>
      <c r="H62" s="13"/>
      <c r="I62" s="13"/>
      <c r="J62" s="12"/>
      <c r="K62" s="12"/>
      <c r="L62" s="12"/>
      <c r="M62" s="12"/>
      <c r="N62" s="14"/>
      <c r="O62" s="12"/>
      <c r="P62" s="12"/>
    </row>
    <row r="63" spans="1:16">
      <c r="A63" s="12"/>
      <c r="B63" s="12"/>
      <c r="C63" s="12"/>
      <c r="D63" s="12"/>
      <c r="E63" s="17"/>
      <c r="F63" s="13"/>
      <c r="G63" s="13"/>
      <c r="H63" s="13"/>
      <c r="I63" s="13"/>
      <c r="J63" s="12"/>
      <c r="K63" s="12"/>
      <c r="L63" s="12"/>
      <c r="M63" s="12"/>
      <c r="N63" s="14"/>
      <c r="O63" s="12"/>
      <c r="P63" s="12"/>
    </row>
    <row r="64" spans="1:16">
      <c r="A64" s="12"/>
      <c r="B64" s="12"/>
      <c r="C64" s="12"/>
      <c r="D64" s="12"/>
      <c r="E64" s="17"/>
      <c r="F64" s="13"/>
      <c r="G64" s="13"/>
      <c r="H64" s="13"/>
      <c r="I64" s="13"/>
      <c r="J64" s="12"/>
      <c r="K64" s="12"/>
      <c r="L64" s="12"/>
      <c r="M64" s="12"/>
      <c r="N64" s="14"/>
      <c r="O64" s="12"/>
      <c r="P64" s="12"/>
    </row>
    <row r="65" spans="1:16">
      <c r="A65" s="12"/>
      <c r="B65" s="12"/>
      <c r="C65" s="12"/>
      <c r="D65" s="12"/>
      <c r="E65" s="17"/>
      <c r="F65" s="13"/>
      <c r="G65" s="13"/>
      <c r="H65" s="13"/>
      <c r="I65" s="13"/>
      <c r="J65" s="12"/>
      <c r="K65" s="12"/>
      <c r="L65" s="12"/>
      <c r="M65" s="12"/>
      <c r="N65" s="14"/>
      <c r="O65" s="12"/>
      <c r="P65" s="12"/>
    </row>
    <row r="66" spans="1:16">
      <c r="A66" s="12"/>
      <c r="B66" s="12"/>
      <c r="C66" s="12"/>
      <c r="D66" s="12"/>
      <c r="E66" s="17"/>
      <c r="F66" s="13"/>
      <c r="G66" s="13"/>
      <c r="H66" s="13"/>
      <c r="I66" s="13"/>
      <c r="J66" s="12"/>
      <c r="K66" s="12"/>
      <c r="L66" s="12"/>
      <c r="M66" s="12"/>
      <c r="N66" s="14"/>
      <c r="O66" s="12"/>
      <c r="P66" s="12"/>
    </row>
    <row r="67" spans="1:16">
      <c r="A67" s="12"/>
      <c r="B67" s="12"/>
      <c r="C67" s="12"/>
      <c r="D67" s="12"/>
      <c r="E67" s="17"/>
      <c r="F67" s="13"/>
      <c r="G67" s="13"/>
      <c r="H67" s="13"/>
      <c r="I67" s="13"/>
      <c r="J67" s="12"/>
      <c r="K67" s="12"/>
      <c r="L67" s="12"/>
      <c r="M67" s="12"/>
      <c r="N67" s="14"/>
      <c r="O67" s="12"/>
      <c r="P67" s="12"/>
    </row>
    <row r="68" spans="1:16">
      <c r="A68" s="12"/>
      <c r="B68" s="12"/>
      <c r="C68" s="12"/>
      <c r="D68" s="12"/>
      <c r="E68" s="17"/>
      <c r="F68" s="13"/>
      <c r="G68" s="13"/>
      <c r="H68" s="13"/>
      <c r="I68" s="13"/>
      <c r="J68" s="12"/>
      <c r="K68" s="12"/>
      <c r="L68" s="12"/>
      <c r="M68" s="12"/>
      <c r="N68" s="14"/>
      <c r="O68" s="12"/>
      <c r="P68" s="12"/>
    </row>
    <row r="69" spans="1:16">
      <c r="A69" s="12"/>
      <c r="B69" s="12"/>
      <c r="C69" s="12"/>
      <c r="D69" s="12"/>
      <c r="E69" s="17"/>
      <c r="F69" s="13"/>
      <c r="G69" s="13"/>
      <c r="H69" s="13"/>
      <c r="I69" s="13"/>
      <c r="J69" s="12"/>
      <c r="K69" s="12"/>
      <c r="L69" s="12"/>
      <c r="M69" s="12"/>
      <c r="N69" s="14"/>
      <c r="O69" s="12"/>
      <c r="P69" s="12"/>
    </row>
    <row r="70" spans="1:16">
      <c r="A70" s="12"/>
      <c r="B70" s="12"/>
      <c r="C70" s="12"/>
      <c r="D70" s="12"/>
      <c r="E70" s="17"/>
      <c r="F70" s="13"/>
      <c r="G70" s="13"/>
      <c r="H70" s="13"/>
      <c r="I70" s="13"/>
      <c r="J70" s="12"/>
      <c r="K70" s="12"/>
      <c r="L70" s="12"/>
      <c r="M70" s="12"/>
      <c r="N70" s="14"/>
      <c r="O70" s="12"/>
      <c r="P70" s="12"/>
    </row>
    <row r="71" spans="1:16">
      <c r="A71" s="12"/>
      <c r="B71" s="12"/>
      <c r="C71" s="12"/>
      <c r="D71" s="12"/>
      <c r="E71" s="17"/>
      <c r="F71" s="13"/>
      <c r="G71" s="13"/>
      <c r="H71" s="13"/>
      <c r="I71" s="13"/>
      <c r="J71" s="12"/>
      <c r="K71" s="12"/>
      <c r="L71" s="12"/>
      <c r="M71" s="12"/>
      <c r="N71" s="14"/>
      <c r="O71" s="12"/>
      <c r="P71" s="12"/>
    </row>
    <row r="72" spans="1:16">
      <c r="A72" s="12"/>
      <c r="B72" s="12"/>
      <c r="C72" s="12"/>
      <c r="D72" s="12"/>
      <c r="E72" s="17"/>
      <c r="F72" s="13"/>
      <c r="G72" s="13"/>
      <c r="H72" s="13"/>
      <c r="I72" s="13"/>
      <c r="J72" s="12"/>
      <c r="K72" s="12"/>
      <c r="L72" s="12"/>
      <c r="M72" s="12"/>
      <c r="N72" s="14"/>
      <c r="O72" s="12"/>
      <c r="P72" s="12"/>
    </row>
    <row r="73" spans="1:16">
      <c r="A73" s="12"/>
      <c r="B73" s="12"/>
      <c r="C73" s="12"/>
      <c r="D73" s="12"/>
      <c r="E73" s="17"/>
      <c r="F73" s="13"/>
      <c r="G73" s="13"/>
      <c r="H73" s="13"/>
      <c r="I73" s="13"/>
      <c r="J73" s="12"/>
      <c r="K73" s="12"/>
      <c r="L73" s="12"/>
      <c r="M73" s="12"/>
      <c r="N73" s="14"/>
      <c r="O73" s="12"/>
      <c r="P73" s="12"/>
    </row>
    <row r="74" spans="1:16">
      <c r="A74" s="12"/>
      <c r="B74" s="12"/>
      <c r="C74" s="12"/>
      <c r="D74" s="12"/>
      <c r="E74" s="17"/>
      <c r="F74" s="13"/>
      <c r="G74" s="13"/>
      <c r="H74" s="13"/>
      <c r="I74" s="13"/>
      <c r="J74" s="12"/>
      <c r="K74" s="12"/>
      <c r="L74" s="12"/>
      <c r="M74" s="12"/>
      <c r="N74" s="14"/>
      <c r="O74" s="12"/>
      <c r="P74" s="12"/>
    </row>
    <row r="75" spans="1:16">
      <c r="A75" s="12"/>
      <c r="B75" s="12"/>
      <c r="C75" s="12"/>
      <c r="D75" s="12"/>
      <c r="E75" s="17"/>
      <c r="F75" s="13"/>
      <c r="G75" s="13"/>
      <c r="H75" s="13"/>
      <c r="I75" s="13"/>
      <c r="J75" s="12"/>
      <c r="K75" s="12"/>
      <c r="L75" s="12"/>
      <c r="M75" s="12"/>
      <c r="N75" s="14"/>
      <c r="O75" s="12"/>
      <c r="P75" s="12"/>
    </row>
    <row r="76" spans="1:16">
      <c r="A76" s="12"/>
      <c r="B76" s="12"/>
      <c r="C76" s="12"/>
      <c r="D76" s="12"/>
      <c r="E76" s="17"/>
      <c r="F76" s="13"/>
      <c r="G76" s="13"/>
      <c r="H76" s="13"/>
      <c r="I76" s="13"/>
      <c r="J76" s="12"/>
      <c r="K76" s="12"/>
      <c r="L76" s="12"/>
      <c r="M76" s="12"/>
      <c r="N76" s="14"/>
      <c r="O76" s="12"/>
      <c r="P76" s="12"/>
    </row>
    <row r="77" spans="1:16">
      <c r="A77" s="12"/>
      <c r="B77" s="12"/>
      <c r="C77" s="12"/>
      <c r="D77" s="12"/>
      <c r="E77" s="17"/>
      <c r="F77" s="13"/>
      <c r="G77" s="13"/>
      <c r="H77" s="13"/>
      <c r="I77" s="13"/>
      <c r="J77" s="12"/>
      <c r="K77" s="12"/>
      <c r="L77" s="12"/>
      <c r="M77" s="12"/>
      <c r="N77" s="14"/>
      <c r="O77" s="12"/>
      <c r="P77" s="12"/>
    </row>
    <row r="78" spans="1:16">
      <c r="A78" s="12"/>
      <c r="B78" s="12"/>
      <c r="C78" s="12"/>
      <c r="D78" s="12"/>
      <c r="E78" s="17"/>
      <c r="F78" s="13"/>
      <c r="G78" s="13"/>
      <c r="H78" s="13"/>
      <c r="I78" s="13"/>
      <c r="J78" s="12"/>
      <c r="K78" s="12"/>
      <c r="L78" s="12"/>
      <c r="M78" s="12"/>
      <c r="N78" s="14"/>
      <c r="O78" s="12"/>
      <c r="P78" s="12"/>
    </row>
    <row r="79" spans="1:16">
      <c r="A79" s="12"/>
      <c r="B79" s="12"/>
      <c r="C79" s="12"/>
      <c r="D79" s="12"/>
      <c r="E79" s="17"/>
      <c r="F79" s="13"/>
      <c r="G79" s="13"/>
      <c r="H79" s="13"/>
      <c r="I79" s="13"/>
      <c r="J79" s="12"/>
      <c r="K79" s="12"/>
      <c r="L79" s="12"/>
      <c r="M79" s="12"/>
      <c r="N79" s="14"/>
      <c r="O79" s="12"/>
      <c r="P79" s="12"/>
    </row>
    <row r="80" spans="1:16">
      <c r="A80" s="12"/>
      <c r="B80" s="12"/>
      <c r="C80" s="12"/>
      <c r="D80" s="12"/>
      <c r="E80" s="17"/>
      <c r="F80" s="13"/>
      <c r="G80" s="13"/>
      <c r="H80" s="13"/>
      <c r="I80" s="13"/>
      <c r="J80" s="12"/>
      <c r="K80" s="12"/>
      <c r="L80" s="12"/>
      <c r="M80" s="12"/>
      <c r="N80" s="14"/>
      <c r="O80" s="12"/>
      <c r="P80" s="12"/>
    </row>
    <row r="81" spans="1:16">
      <c r="A81" s="12"/>
      <c r="B81" s="12"/>
      <c r="C81" s="12"/>
      <c r="D81" s="12"/>
      <c r="E81" s="17"/>
      <c r="F81" s="13"/>
      <c r="G81" s="13"/>
      <c r="H81" s="13"/>
      <c r="I81" s="13"/>
      <c r="J81" s="12"/>
      <c r="K81" s="12"/>
      <c r="L81" s="12"/>
      <c r="M81" s="12"/>
      <c r="N81" s="14"/>
      <c r="O81" s="12"/>
      <c r="P81" s="12"/>
    </row>
    <row r="82" spans="1:16">
      <c r="A82" s="12"/>
      <c r="B82" s="12"/>
      <c r="C82" s="12"/>
      <c r="D82" s="12"/>
      <c r="E82" s="17"/>
      <c r="F82" s="13"/>
      <c r="G82" s="13"/>
      <c r="H82" s="13"/>
      <c r="I82" s="13"/>
      <c r="J82" s="12"/>
      <c r="K82" s="12"/>
      <c r="L82" s="12"/>
      <c r="M82" s="12"/>
      <c r="N82" s="14"/>
      <c r="O82" s="12"/>
      <c r="P82" s="12"/>
    </row>
    <row r="83" spans="1:16">
      <c r="A83" s="12"/>
      <c r="B83" s="12"/>
      <c r="C83" s="12"/>
      <c r="D83" s="12"/>
      <c r="E83" s="17"/>
      <c r="F83" s="13"/>
      <c r="G83" s="13"/>
      <c r="H83" s="13"/>
      <c r="I83" s="13"/>
      <c r="J83" s="12"/>
      <c r="K83" s="12"/>
      <c r="L83" s="12"/>
      <c r="M83" s="12"/>
      <c r="N83" s="14"/>
      <c r="O83" s="12"/>
      <c r="P83" s="12"/>
    </row>
    <row r="84" spans="1:16">
      <c r="A84" s="12"/>
      <c r="B84" s="12"/>
      <c r="C84" s="12"/>
      <c r="D84" s="12"/>
      <c r="E84" s="17"/>
      <c r="F84" s="13"/>
      <c r="G84" s="13"/>
      <c r="H84" s="13"/>
      <c r="I84" s="13"/>
      <c r="J84" s="12"/>
      <c r="K84" s="12"/>
      <c r="L84" s="12"/>
      <c r="M84" s="12"/>
      <c r="N84" s="14"/>
      <c r="O84" s="12"/>
      <c r="P84" s="12"/>
    </row>
    <row r="85" spans="1:16">
      <c r="A85" s="12"/>
      <c r="B85" s="12"/>
      <c r="C85" s="12"/>
      <c r="D85" s="12"/>
      <c r="E85" s="17"/>
      <c r="F85" s="13"/>
      <c r="G85" s="13"/>
      <c r="H85" s="13"/>
      <c r="I85" s="13"/>
      <c r="J85" s="12"/>
      <c r="K85" s="12"/>
      <c r="L85" s="12"/>
      <c r="M85" s="12"/>
      <c r="N85" s="14"/>
      <c r="O85" s="12"/>
      <c r="P85" s="12"/>
    </row>
    <row r="86" spans="1:16">
      <c r="A86" s="12"/>
      <c r="B86" s="12"/>
      <c r="C86" s="12"/>
      <c r="D86" s="12"/>
      <c r="E86" s="17"/>
      <c r="F86" s="13"/>
      <c r="G86" s="13"/>
      <c r="H86" s="13"/>
      <c r="I86" s="13"/>
      <c r="J86" s="12"/>
      <c r="K86" s="12"/>
      <c r="L86" s="12"/>
      <c r="M86" s="12"/>
      <c r="N86" s="14"/>
      <c r="O86" s="12"/>
      <c r="P86" s="12"/>
    </row>
    <row r="87" spans="1:16">
      <c r="A87" s="12"/>
      <c r="B87" s="12"/>
      <c r="C87" s="12"/>
      <c r="D87" s="12"/>
      <c r="E87" s="17"/>
      <c r="F87" s="13"/>
      <c r="G87" s="13"/>
      <c r="H87" s="13"/>
      <c r="I87" s="13"/>
      <c r="J87" s="12"/>
      <c r="K87" s="12"/>
      <c r="L87" s="12"/>
      <c r="M87" s="12"/>
      <c r="N87" s="14"/>
      <c r="O87" s="12"/>
      <c r="P87" s="12"/>
    </row>
    <row r="88" spans="1:16">
      <c r="A88" s="12"/>
      <c r="B88" s="12"/>
      <c r="C88" s="12"/>
      <c r="D88" s="12"/>
      <c r="E88" s="17"/>
      <c r="F88" s="13"/>
      <c r="G88" s="13"/>
      <c r="H88" s="13"/>
      <c r="I88" s="13"/>
      <c r="J88" s="12"/>
      <c r="K88" s="12"/>
      <c r="L88" s="12"/>
      <c r="M88" s="12"/>
      <c r="N88" s="14"/>
      <c r="O88" s="12"/>
      <c r="P88" s="12"/>
    </row>
    <row r="89" spans="1:16">
      <c r="A89" s="12"/>
      <c r="B89" s="12"/>
      <c r="C89" s="12"/>
      <c r="D89" s="12"/>
      <c r="E89" s="17"/>
      <c r="F89" s="13"/>
      <c r="G89" s="13"/>
      <c r="H89" s="13"/>
      <c r="I89" s="13"/>
      <c r="J89" s="12"/>
      <c r="K89" s="12"/>
      <c r="L89" s="12"/>
      <c r="M89" s="12"/>
      <c r="N89" s="14"/>
      <c r="O89" s="12"/>
      <c r="P89" s="12"/>
    </row>
    <row r="90" spans="1:16">
      <c r="A90" s="12"/>
      <c r="B90" s="12"/>
      <c r="C90" s="12"/>
      <c r="D90" s="12"/>
      <c r="E90" s="17"/>
      <c r="F90" s="13"/>
      <c r="G90" s="13"/>
      <c r="H90" s="13"/>
      <c r="I90" s="13"/>
      <c r="J90" s="12"/>
      <c r="K90" s="12"/>
      <c r="L90" s="12"/>
      <c r="M90" s="12"/>
      <c r="N90" s="14"/>
      <c r="O90" s="12"/>
      <c r="P90" s="12"/>
    </row>
    <row r="91" spans="1:16">
      <c r="A91" s="12"/>
      <c r="B91" s="12"/>
      <c r="C91" s="12"/>
      <c r="D91" s="12"/>
      <c r="E91" s="17"/>
      <c r="F91" s="13"/>
      <c r="G91" s="13"/>
      <c r="H91" s="13"/>
      <c r="I91" s="13"/>
      <c r="J91" s="12"/>
      <c r="K91" s="12"/>
      <c r="L91" s="12"/>
      <c r="M91" s="12"/>
      <c r="N91" s="14"/>
      <c r="O91" s="12"/>
      <c r="P91" s="12"/>
    </row>
    <row r="92" spans="1:16">
      <c r="A92" s="12"/>
      <c r="B92" s="12"/>
      <c r="C92" s="12"/>
      <c r="D92" s="12"/>
      <c r="E92" s="17"/>
      <c r="F92" s="13"/>
      <c r="G92" s="13"/>
      <c r="H92" s="13"/>
      <c r="I92" s="13"/>
      <c r="J92" s="12"/>
      <c r="K92" s="12"/>
      <c r="L92" s="12"/>
      <c r="M92" s="12"/>
      <c r="N92" s="14"/>
      <c r="O92" s="12"/>
      <c r="P92" s="12"/>
    </row>
    <row r="93" spans="1:16">
      <c r="A93" s="12"/>
      <c r="B93" s="12"/>
      <c r="C93" s="12"/>
      <c r="D93" s="12"/>
      <c r="E93" s="17"/>
      <c r="F93" s="13"/>
      <c r="G93" s="13"/>
      <c r="H93" s="13"/>
      <c r="I93" s="13"/>
      <c r="J93" s="12"/>
      <c r="K93" s="12"/>
      <c r="L93" s="12"/>
      <c r="M93" s="12"/>
      <c r="N93" s="14"/>
      <c r="O93" s="12"/>
      <c r="P93" s="12"/>
    </row>
    <row r="94" spans="1:16">
      <c r="A94" s="12"/>
      <c r="B94" s="12"/>
      <c r="C94" s="12"/>
      <c r="D94" s="12"/>
      <c r="E94" s="17"/>
      <c r="F94" s="13"/>
      <c r="G94" s="13"/>
      <c r="H94" s="13"/>
      <c r="I94" s="13"/>
      <c r="J94" s="12"/>
      <c r="K94" s="12"/>
      <c r="L94" s="12"/>
      <c r="M94" s="12"/>
      <c r="N94" s="14"/>
      <c r="O94" s="12"/>
      <c r="P94" s="12"/>
    </row>
    <row r="95" spans="1:16">
      <c r="A95" s="12"/>
      <c r="B95" s="12"/>
      <c r="C95" s="12"/>
      <c r="D95" s="12"/>
      <c r="E95" s="17"/>
      <c r="F95" s="13"/>
      <c r="G95" s="13"/>
      <c r="H95" s="13"/>
      <c r="I95" s="13"/>
      <c r="J95" s="12"/>
      <c r="K95" s="12"/>
      <c r="L95" s="12"/>
      <c r="M95" s="12"/>
      <c r="N95" s="14"/>
      <c r="O95" s="12"/>
      <c r="P95" s="12"/>
    </row>
    <row r="96" spans="1:16">
      <c r="A96" s="12"/>
      <c r="B96" s="12"/>
      <c r="C96" s="12"/>
      <c r="D96" s="12"/>
      <c r="E96" s="17"/>
      <c r="F96" s="13"/>
      <c r="G96" s="13"/>
      <c r="H96" s="13"/>
      <c r="I96" s="13"/>
      <c r="J96" s="12"/>
      <c r="K96" s="12"/>
      <c r="L96" s="12"/>
      <c r="M96" s="12"/>
      <c r="N96" s="14"/>
      <c r="O96" s="12"/>
      <c r="P96" s="12"/>
    </row>
    <row r="97" spans="1:16">
      <c r="A97" s="12"/>
      <c r="B97" s="12"/>
      <c r="C97" s="12"/>
      <c r="D97" s="12"/>
      <c r="E97" s="17"/>
      <c r="F97" s="13"/>
      <c r="G97" s="13"/>
      <c r="H97" s="13"/>
      <c r="I97" s="13"/>
      <c r="J97" s="12"/>
      <c r="K97" s="12"/>
      <c r="L97" s="12"/>
      <c r="M97" s="12"/>
      <c r="N97" s="14"/>
      <c r="O97" s="12"/>
      <c r="P97" s="12"/>
    </row>
    <row r="98" spans="1:16">
      <c r="A98" s="12"/>
      <c r="B98" s="12"/>
      <c r="C98" s="12"/>
      <c r="D98" s="12"/>
      <c r="E98" s="17"/>
      <c r="F98" s="13"/>
      <c r="G98" s="13"/>
      <c r="H98" s="13"/>
      <c r="I98" s="13"/>
      <c r="J98" s="12"/>
      <c r="K98" s="12"/>
      <c r="L98" s="12"/>
      <c r="M98" s="12"/>
      <c r="N98" s="14"/>
      <c r="O98" s="12"/>
      <c r="P98" s="12"/>
    </row>
    <row r="99" spans="1:16">
      <c r="A99" s="12"/>
      <c r="B99" s="12"/>
      <c r="C99" s="12"/>
      <c r="D99" s="12"/>
      <c r="E99" s="17"/>
      <c r="F99" s="13"/>
      <c r="G99" s="13"/>
      <c r="H99" s="13"/>
      <c r="I99" s="13"/>
      <c r="J99" s="12"/>
      <c r="K99" s="12"/>
      <c r="L99" s="12"/>
      <c r="M99" s="12"/>
      <c r="N99" s="14"/>
      <c r="O99" s="12"/>
      <c r="P99" s="12"/>
    </row>
    <row r="100" spans="1:16">
      <c r="A100" s="12"/>
      <c r="B100" s="12"/>
      <c r="C100" s="12"/>
      <c r="D100" s="12"/>
      <c r="E100" s="17"/>
      <c r="F100" s="13"/>
      <c r="G100" s="13"/>
      <c r="H100" s="13"/>
      <c r="I100" s="13"/>
      <c r="J100" s="12"/>
      <c r="K100" s="12"/>
      <c r="L100" s="12"/>
      <c r="M100" s="12"/>
      <c r="N100" s="14"/>
      <c r="O100" s="12"/>
      <c r="P100" s="12"/>
    </row>
    <row r="101" spans="1:16">
      <c r="A101" s="12"/>
      <c r="B101" s="12"/>
      <c r="C101" s="12"/>
      <c r="D101" s="12"/>
      <c r="E101" s="17"/>
      <c r="F101" s="13"/>
      <c r="G101" s="13"/>
      <c r="H101" s="13"/>
      <c r="I101" s="13"/>
      <c r="J101" s="12"/>
      <c r="K101" s="12"/>
      <c r="L101" s="12"/>
      <c r="M101" s="12"/>
      <c r="N101" s="14"/>
      <c r="O101" s="12"/>
      <c r="P101" s="12"/>
    </row>
    <row r="102" spans="1:16">
      <c r="A102" s="12"/>
      <c r="B102" s="12"/>
      <c r="C102" s="12"/>
      <c r="D102" s="12"/>
      <c r="E102" s="17"/>
      <c r="F102" s="13"/>
      <c r="G102" s="13"/>
      <c r="H102" s="13"/>
      <c r="I102" s="13"/>
      <c r="J102" s="12"/>
      <c r="K102" s="12"/>
      <c r="L102" s="12"/>
      <c r="M102" s="12"/>
      <c r="N102" s="14"/>
      <c r="O102" s="12"/>
      <c r="P102" s="12"/>
    </row>
    <row r="103" spans="1:16">
      <c r="A103" s="12"/>
      <c r="B103" s="12"/>
      <c r="C103" s="12"/>
      <c r="D103" s="12"/>
      <c r="E103" s="17"/>
      <c r="F103" s="13"/>
      <c r="G103" s="13"/>
      <c r="H103" s="13"/>
      <c r="I103" s="13"/>
      <c r="J103" s="12"/>
      <c r="K103" s="12"/>
      <c r="L103" s="12"/>
      <c r="M103" s="12"/>
      <c r="N103" s="14"/>
      <c r="O103" s="12"/>
      <c r="P103" s="12"/>
    </row>
    <row r="104" spans="1:16">
      <c r="A104" s="12"/>
      <c r="B104" s="12"/>
      <c r="C104" s="12"/>
      <c r="D104" s="12"/>
      <c r="E104" s="17"/>
      <c r="F104" s="13"/>
      <c r="G104" s="13"/>
      <c r="H104" s="13"/>
      <c r="I104" s="13"/>
      <c r="J104" s="12"/>
      <c r="K104" s="12"/>
      <c r="L104" s="12"/>
      <c r="M104" s="12"/>
      <c r="N104" s="14"/>
      <c r="O104" s="12"/>
      <c r="P104" s="12"/>
    </row>
    <row r="105" spans="1:16">
      <c r="A105" s="12"/>
      <c r="B105" s="12"/>
      <c r="C105" s="12"/>
      <c r="D105" s="12"/>
      <c r="E105" s="17"/>
      <c r="F105" s="13"/>
      <c r="G105" s="13"/>
      <c r="H105" s="13"/>
      <c r="I105" s="13"/>
      <c r="J105" s="12"/>
      <c r="K105" s="12"/>
      <c r="L105" s="12"/>
      <c r="M105" s="12"/>
      <c r="N105" s="14"/>
      <c r="O105" s="12"/>
      <c r="P105" s="12"/>
    </row>
    <row r="106" spans="1:16">
      <c r="A106" s="12"/>
      <c r="B106" s="12"/>
      <c r="C106" s="12"/>
      <c r="D106" s="12"/>
      <c r="E106" s="17"/>
      <c r="F106" s="13"/>
      <c r="G106" s="13"/>
      <c r="H106" s="13"/>
      <c r="I106" s="13"/>
      <c r="J106" s="12"/>
      <c r="K106" s="12"/>
      <c r="L106" s="12"/>
      <c r="M106" s="12"/>
      <c r="N106" s="14"/>
      <c r="O106" s="12"/>
      <c r="P106" s="12"/>
    </row>
    <row r="107" spans="1:16">
      <c r="A107" s="12"/>
      <c r="B107" s="12"/>
      <c r="C107" s="12"/>
      <c r="D107" s="12"/>
      <c r="E107" s="17"/>
      <c r="F107" s="13"/>
      <c r="G107" s="13"/>
      <c r="H107" s="13"/>
      <c r="I107" s="13"/>
      <c r="J107" s="12"/>
      <c r="K107" s="12"/>
      <c r="L107" s="12"/>
      <c r="M107" s="12"/>
      <c r="N107" s="14"/>
      <c r="O107" s="12"/>
      <c r="P107" s="12"/>
    </row>
    <row r="108" spans="1:16">
      <c r="A108" s="12"/>
      <c r="B108" s="12"/>
      <c r="C108" s="12"/>
      <c r="D108" s="12"/>
      <c r="E108" s="17"/>
      <c r="F108" s="13"/>
      <c r="G108" s="13"/>
      <c r="H108" s="13"/>
      <c r="I108" s="13"/>
      <c r="J108" s="12"/>
      <c r="K108" s="12"/>
      <c r="L108" s="12"/>
      <c r="M108" s="12"/>
      <c r="N108" s="14"/>
      <c r="O108" s="12"/>
      <c r="P108" s="12"/>
    </row>
    <row r="109" spans="1:16">
      <c r="A109" s="12"/>
      <c r="B109" s="12"/>
      <c r="C109" s="12"/>
      <c r="D109" s="12"/>
      <c r="E109" s="17"/>
      <c r="F109" s="13"/>
      <c r="G109" s="13"/>
      <c r="H109" s="13"/>
      <c r="I109" s="13"/>
      <c r="J109" s="12"/>
      <c r="K109" s="12"/>
      <c r="L109" s="12"/>
      <c r="M109" s="12"/>
      <c r="N109" s="14"/>
      <c r="O109" s="12"/>
      <c r="P109" s="12"/>
    </row>
    <row r="110" spans="1:16">
      <c r="A110" s="12"/>
      <c r="B110" s="12"/>
      <c r="C110" s="12"/>
      <c r="D110" s="12"/>
      <c r="E110" s="17"/>
      <c r="F110" s="13"/>
      <c r="G110" s="13"/>
      <c r="H110" s="13"/>
      <c r="I110" s="13"/>
      <c r="J110" s="12"/>
      <c r="K110" s="12"/>
      <c r="L110" s="12"/>
      <c r="M110" s="12"/>
      <c r="N110" s="14"/>
      <c r="O110" s="12"/>
      <c r="P110" s="12"/>
    </row>
    <row r="111" spans="1:16">
      <c r="A111" s="12"/>
      <c r="B111" s="12"/>
      <c r="C111" s="12"/>
      <c r="D111" s="12"/>
      <c r="E111" s="17"/>
      <c r="F111" s="13"/>
      <c r="G111" s="13"/>
      <c r="H111" s="13"/>
      <c r="I111" s="13"/>
      <c r="J111" s="12"/>
      <c r="K111" s="12"/>
      <c r="L111" s="12"/>
      <c r="M111" s="12"/>
      <c r="N111" s="14"/>
      <c r="O111" s="12"/>
      <c r="P111" s="12"/>
    </row>
    <row r="112" spans="1:16">
      <c r="A112" s="12"/>
      <c r="B112" s="12"/>
      <c r="C112" s="12"/>
      <c r="D112" s="12"/>
      <c r="E112" s="17"/>
      <c r="F112" s="13"/>
      <c r="G112" s="13"/>
      <c r="H112" s="13"/>
      <c r="I112" s="13"/>
      <c r="J112" s="12"/>
      <c r="K112" s="12"/>
      <c r="L112" s="12"/>
      <c r="M112" s="12"/>
      <c r="N112" s="14"/>
      <c r="O112" s="12"/>
      <c r="P112" s="12"/>
    </row>
    <row r="113" spans="1:16">
      <c r="A113" s="12"/>
      <c r="B113" s="12"/>
      <c r="C113" s="12"/>
      <c r="D113" s="12"/>
      <c r="E113" s="17"/>
      <c r="F113" s="13"/>
      <c r="G113" s="13"/>
      <c r="H113" s="13"/>
      <c r="I113" s="13"/>
      <c r="J113" s="12"/>
      <c r="K113" s="12"/>
      <c r="L113" s="12"/>
      <c r="M113" s="12"/>
      <c r="N113" s="14"/>
      <c r="O113" s="12"/>
      <c r="P113" s="12"/>
    </row>
    <row r="114" spans="1:16">
      <c r="A114" s="12"/>
      <c r="B114" s="12"/>
      <c r="C114" s="12"/>
      <c r="D114" s="12"/>
      <c r="E114" s="17"/>
      <c r="F114" s="13"/>
      <c r="G114" s="13"/>
      <c r="H114" s="13"/>
      <c r="I114" s="13"/>
      <c r="J114" s="12"/>
      <c r="K114" s="12"/>
      <c r="L114" s="12"/>
      <c r="M114" s="12"/>
      <c r="N114" s="14"/>
      <c r="O114" s="12"/>
      <c r="P114" s="12"/>
    </row>
    <row r="115" spans="1:16">
      <c r="A115" s="12"/>
      <c r="B115" s="12"/>
      <c r="C115" s="12"/>
      <c r="D115" s="12"/>
      <c r="E115" s="17"/>
      <c r="F115" s="13"/>
      <c r="G115" s="13"/>
      <c r="H115" s="13"/>
      <c r="I115" s="13"/>
      <c r="J115" s="12"/>
      <c r="K115" s="12"/>
      <c r="L115" s="12"/>
      <c r="M115" s="12"/>
      <c r="N115" s="14"/>
      <c r="O115" s="12"/>
      <c r="P115" s="12"/>
    </row>
    <row r="116" spans="1:16">
      <c r="A116" s="12"/>
      <c r="B116" s="12"/>
      <c r="C116" s="12"/>
      <c r="D116" s="12"/>
      <c r="E116" s="17"/>
      <c r="F116" s="13"/>
      <c r="G116" s="13"/>
      <c r="H116" s="13"/>
      <c r="I116" s="13"/>
      <c r="J116" s="12"/>
      <c r="K116" s="12"/>
      <c r="L116" s="12"/>
      <c r="M116" s="12"/>
      <c r="N116" s="14"/>
      <c r="O116" s="12"/>
      <c r="P116" s="12"/>
    </row>
    <row r="117" spans="1:16">
      <c r="A117" s="12"/>
      <c r="B117" s="12"/>
      <c r="C117" s="12"/>
      <c r="D117" s="12"/>
      <c r="E117" s="17"/>
      <c r="F117" s="13"/>
      <c r="G117" s="13"/>
      <c r="H117" s="13"/>
      <c r="I117" s="13"/>
      <c r="J117" s="12"/>
      <c r="K117" s="12"/>
      <c r="L117" s="12"/>
      <c r="M117" s="12"/>
      <c r="N117" s="14"/>
      <c r="O117" s="12"/>
      <c r="P117" s="12"/>
    </row>
    <row r="118" spans="1:16">
      <c r="A118" s="12"/>
      <c r="B118" s="12"/>
      <c r="C118" s="12"/>
      <c r="D118" s="12"/>
      <c r="E118" s="17"/>
      <c r="F118" s="13"/>
      <c r="G118" s="13"/>
      <c r="H118" s="13"/>
      <c r="I118" s="13"/>
      <c r="J118" s="12"/>
      <c r="K118" s="12"/>
      <c r="L118" s="12"/>
      <c r="M118" s="12"/>
      <c r="N118" s="14"/>
      <c r="O118" s="12"/>
      <c r="P118" s="12"/>
    </row>
    <row r="119" spans="1:16">
      <c r="A119" s="12"/>
      <c r="B119" s="12"/>
      <c r="C119" s="12"/>
      <c r="D119" s="12"/>
      <c r="E119" s="17"/>
      <c r="F119" s="13"/>
      <c r="G119" s="13"/>
      <c r="H119" s="13"/>
      <c r="I119" s="13"/>
      <c r="J119" s="12"/>
      <c r="K119" s="12"/>
      <c r="L119" s="12"/>
      <c r="M119" s="12"/>
      <c r="N119" s="14"/>
      <c r="O119" s="12"/>
      <c r="P119" s="12"/>
    </row>
    <row r="120" spans="1:16">
      <c r="A120" s="12"/>
      <c r="B120" s="12"/>
      <c r="C120" s="12"/>
      <c r="D120" s="12"/>
      <c r="E120" s="17"/>
      <c r="F120" s="13"/>
      <c r="G120" s="13"/>
      <c r="H120" s="13"/>
      <c r="I120" s="13"/>
      <c r="J120" s="12"/>
      <c r="K120" s="12"/>
      <c r="L120" s="12"/>
      <c r="M120" s="12"/>
      <c r="N120" s="14"/>
      <c r="O120" s="12"/>
      <c r="P120" s="12"/>
    </row>
    <row r="121" spans="1:16">
      <c r="A121" s="12"/>
      <c r="B121" s="12"/>
      <c r="C121" s="12"/>
      <c r="D121" s="12"/>
      <c r="E121" s="17"/>
      <c r="F121" s="13"/>
      <c r="G121" s="13"/>
      <c r="H121" s="13"/>
      <c r="I121" s="13"/>
      <c r="J121" s="12"/>
      <c r="K121" s="12"/>
      <c r="L121" s="12"/>
      <c r="M121" s="12"/>
      <c r="N121" s="14"/>
      <c r="O121" s="12"/>
      <c r="P121" s="12"/>
    </row>
    <row r="122" spans="1:16">
      <c r="A122" s="12"/>
      <c r="B122" s="12"/>
      <c r="C122" s="12"/>
      <c r="D122" s="12"/>
      <c r="E122" s="17"/>
      <c r="F122" s="13"/>
      <c r="G122" s="13"/>
      <c r="H122" s="13"/>
      <c r="I122" s="13"/>
      <c r="J122" s="12"/>
      <c r="K122" s="12"/>
      <c r="L122" s="12"/>
      <c r="M122" s="12"/>
      <c r="N122" s="14"/>
      <c r="O122" s="12"/>
      <c r="P122" s="12"/>
    </row>
    <row r="123" spans="1:16">
      <c r="A123" s="12"/>
      <c r="B123" s="12"/>
      <c r="C123" s="12"/>
      <c r="D123" s="12"/>
      <c r="E123" s="17"/>
      <c r="F123" s="13"/>
      <c r="G123" s="13"/>
      <c r="H123" s="13"/>
      <c r="I123" s="13"/>
      <c r="J123" s="12"/>
      <c r="K123" s="12"/>
      <c r="L123" s="12"/>
      <c r="M123" s="12"/>
      <c r="N123" s="14"/>
      <c r="O123" s="12"/>
      <c r="P123" s="12"/>
    </row>
    <row r="124" spans="1:16">
      <c r="A124" s="12"/>
      <c r="B124" s="12"/>
      <c r="C124" s="12"/>
      <c r="D124" s="12"/>
      <c r="E124" s="17"/>
      <c r="F124" s="13"/>
      <c r="G124" s="13"/>
      <c r="H124" s="13"/>
      <c r="I124" s="13"/>
      <c r="J124" s="12"/>
      <c r="K124" s="12"/>
      <c r="L124" s="12"/>
      <c r="M124" s="12"/>
      <c r="N124" s="14"/>
      <c r="O124" s="12"/>
      <c r="P124" s="12"/>
    </row>
    <row r="125" spans="1:16">
      <c r="A125" s="12"/>
      <c r="B125" s="12"/>
      <c r="C125" s="12"/>
      <c r="D125" s="12"/>
      <c r="E125" s="17"/>
      <c r="F125" s="13"/>
      <c r="G125" s="13"/>
      <c r="H125" s="13"/>
      <c r="I125" s="13"/>
      <c r="J125" s="12"/>
      <c r="K125" s="12"/>
      <c r="L125" s="12"/>
      <c r="M125" s="12"/>
      <c r="N125" s="14"/>
      <c r="O125" s="12"/>
      <c r="P125" s="12"/>
    </row>
    <row r="126" spans="1:16">
      <c r="A126" s="12"/>
      <c r="B126" s="12"/>
      <c r="C126" s="12"/>
      <c r="D126" s="12"/>
      <c r="E126" s="17"/>
      <c r="F126" s="13"/>
      <c r="G126" s="13"/>
      <c r="H126" s="13"/>
      <c r="I126" s="13"/>
      <c r="J126" s="12"/>
      <c r="K126" s="12"/>
      <c r="L126" s="12"/>
      <c r="M126" s="12"/>
      <c r="N126" s="14"/>
      <c r="O126" s="12"/>
      <c r="P126" s="12"/>
    </row>
    <row r="127" spans="1:16">
      <c r="A127" s="12"/>
      <c r="B127" s="12"/>
      <c r="C127" s="12"/>
      <c r="D127" s="12"/>
      <c r="E127" s="17"/>
      <c r="F127" s="13"/>
      <c r="G127" s="13"/>
      <c r="H127" s="13"/>
      <c r="I127" s="13"/>
      <c r="J127" s="12"/>
      <c r="K127" s="12"/>
      <c r="L127" s="12"/>
      <c r="M127" s="12"/>
      <c r="N127" s="14"/>
      <c r="O127" s="12"/>
      <c r="P127" s="12"/>
    </row>
    <row r="128" spans="1:16">
      <c r="A128" s="12"/>
      <c r="B128" s="12"/>
      <c r="C128" s="12"/>
      <c r="D128" s="12"/>
      <c r="E128" s="17"/>
      <c r="F128" s="13"/>
      <c r="G128" s="13"/>
      <c r="H128" s="13"/>
      <c r="I128" s="13"/>
      <c r="J128" s="12"/>
      <c r="K128" s="12"/>
      <c r="L128" s="12"/>
      <c r="M128" s="12"/>
      <c r="N128" s="14"/>
      <c r="O128" s="12"/>
      <c r="P128" s="12"/>
    </row>
    <row r="129" spans="1:16">
      <c r="A129" s="12"/>
      <c r="B129" s="12"/>
      <c r="C129" s="12"/>
      <c r="D129" s="12"/>
      <c r="E129" s="17"/>
      <c r="F129" s="13"/>
      <c r="G129" s="13"/>
      <c r="H129" s="13"/>
      <c r="I129" s="13"/>
      <c r="J129" s="12"/>
      <c r="K129" s="12"/>
      <c r="L129" s="12"/>
      <c r="M129" s="12"/>
      <c r="N129" s="14"/>
      <c r="O129" s="12"/>
      <c r="P129" s="12"/>
    </row>
    <row r="130" spans="1:16">
      <c r="A130" s="12"/>
      <c r="B130" s="12"/>
      <c r="C130" s="12"/>
      <c r="D130" s="12"/>
      <c r="E130" s="17"/>
      <c r="F130" s="13"/>
      <c r="G130" s="13"/>
      <c r="H130" s="13"/>
      <c r="I130" s="13"/>
      <c r="J130" s="12"/>
      <c r="K130" s="12"/>
      <c r="L130" s="12"/>
      <c r="M130" s="12"/>
      <c r="N130" s="14"/>
      <c r="O130" s="12"/>
      <c r="P130" s="12"/>
    </row>
    <row r="131" spans="1:16">
      <c r="A131" s="12"/>
      <c r="B131" s="12"/>
      <c r="C131" s="12"/>
      <c r="D131" s="12"/>
      <c r="E131" s="17"/>
      <c r="F131" s="13"/>
      <c r="G131" s="13"/>
      <c r="H131" s="13"/>
      <c r="I131" s="13"/>
      <c r="J131" s="12"/>
      <c r="K131" s="12"/>
      <c r="L131" s="12"/>
      <c r="M131" s="12"/>
      <c r="N131" s="14"/>
      <c r="O131" s="12"/>
      <c r="P131" s="12"/>
    </row>
    <row r="132" spans="1:16">
      <c r="A132" s="12"/>
      <c r="B132" s="12"/>
      <c r="C132" s="12"/>
      <c r="D132" s="12"/>
      <c r="E132" s="17"/>
      <c r="F132" s="13"/>
      <c r="G132" s="13"/>
      <c r="H132" s="13"/>
      <c r="I132" s="13"/>
      <c r="J132" s="12"/>
      <c r="K132" s="12"/>
      <c r="L132" s="12"/>
      <c r="M132" s="12"/>
      <c r="N132" s="14"/>
      <c r="O132" s="12"/>
      <c r="P132" s="12"/>
    </row>
    <row r="133" spans="1:16">
      <c r="A133" s="12"/>
      <c r="B133" s="12"/>
      <c r="C133" s="12"/>
      <c r="D133" s="12"/>
      <c r="E133" s="17"/>
      <c r="F133" s="13"/>
      <c r="G133" s="13"/>
      <c r="H133" s="13"/>
      <c r="I133" s="13"/>
      <c r="J133" s="12"/>
      <c r="K133" s="12"/>
      <c r="L133" s="12"/>
      <c r="M133" s="12"/>
      <c r="N133" s="14"/>
      <c r="O133" s="12"/>
      <c r="P133" s="12"/>
    </row>
    <row r="134" spans="1:16">
      <c r="A134" s="12"/>
      <c r="B134" s="12"/>
      <c r="C134" s="12"/>
      <c r="D134" s="12"/>
      <c r="E134" s="17"/>
      <c r="F134" s="13"/>
      <c r="G134" s="13"/>
      <c r="H134" s="13"/>
      <c r="I134" s="13"/>
      <c r="J134" s="12"/>
      <c r="K134" s="12"/>
      <c r="L134" s="12"/>
      <c r="M134" s="12"/>
      <c r="N134" s="14"/>
      <c r="O134" s="12"/>
      <c r="P134" s="12"/>
    </row>
    <row r="135" spans="1:16">
      <c r="A135" s="12"/>
      <c r="B135" s="12"/>
      <c r="C135" s="12"/>
      <c r="D135" s="12"/>
      <c r="E135" s="17"/>
      <c r="F135" s="13"/>
      <c r="G135" s="13"/>
      <c r="H135" s="13"/>
      <c r="I135" s="13"/>
      <c r="J135" s="12"/>
      <c r="K135" s="12"/>
      <c r="L135" s="12"/>
      <c r="M135" s="12"/>
      <c r="N135" s="14"/>
      <c r="O135" s="12"/>
      <c r="P135" s="12"/>
    </row>
    <row r="136" spans="1:16">
      <c r="A136" s="12"/>
      <c r="B136" s="12"/>
      <c r="C136" s="12"/>
      <c r="D136" s="12"/>
      <c r="E136" s="17"/>
      <c r="F136" s="13"/>
      <c r="G136" s="13"/>
      <c r="H136" s="13"/>
      <c r="I136" s="13"/>
      <c r="J136" s="12"/>
      <c r="K136" s="12"/>
      <c r="L136" s="12"/>
      <c r="M136" s="12"/>
      <c r="N136" s="14"/>
      <c r="O136" s="12"/>
      <c r="P136" s="12"/>
    </row>
    <row r="137" spans="1:16">
      <c r="A137" s="12"/>
      <c r="B137" s="12"/>
      <c r="C137" s="12"/>
      <c r="D137" s="12"/>
      <c r="E137" s="17"/>
      <c r="F137" s="13"/>
      <c r="G137" s="13"/>
      <c r="H137" s="13"/>
      <c r="I137" s="13"/>
      <c r="J137" s="12"/>
      <c r="K137" s="12"/>
      <c r="L137" s="12"/>
      <c r="M137" s="12"/>
      <c r="N137" s="14"/>
      <c r="O137" s="12"/>
      <c r="P137" s="12"/>
    </row>
    <row r="138" spans="1:16">
      <c r="A138" s="12"/>
      <c r="B138" s="12"/>
      <c r="C138" s="12"/>
      <c r="D138" s="12"/>
      <c r="E138" s="17"/>
      <c r="F138" s="13"/>
      <c r="G138" s="13"/>
      <c r="H138" s="13"/>
      <c r="I138" s="13"/>
      <c r="J138" s="12"/>
      <c r="K138" s="12"/>
      <c r="L138" s="12"/>
      <c r="M138" s="12"/>
      <c r="N138" s="14"/>
      <c r="O138" s="12"/>
      <c r="P138" s="12"/>
    </row>
    <row r="139" spans="1:16">
      <c r="A139" s="12"/>
      <c r="B139" s="12"/>
      <c r="C139" s="12"/>
      <c r="D139" s="12"/>
      <c r="E139" s="17"/>
      <c r="F139" s="13"/>
      <c r="G139" s="13"/>
      <c r="H139" s="13"/>
      <c r="I139" s="13"/>
      <c r="J139" s="12"/>
      <c r="K139" s="12"/>
      <c r="L139" s="12"/>
      <c r="M139" s="12"/>
      <c r="N139" s="14"/>
      <c r="O139" s="12"/>
      <c r="P139" s="12"/>
    </row>
    <row r="140" spans="1:16">
      <c r="A140" s="12"/>
      <c r="B140" s="12"/>
      <c r="C140" s="12"/>
      <c r="D140" s="12"/>
      <c r="E140" s="17"/>
      <c r="F140" s="13"/>
      <c r="G140" s="13"/>
      <c r="H140" s="13"/>
      <c r="I140" s="13"/>
      <c r="J140" s="12"/>
      <c r="K140" s="12"/>
      <c r="L140" s="12"/>
      <c r="M140" s="12"/>
      <c r="N140" s="14"/>
      <c r="O140" s="12"/>
      <c r="P140" s="12"/>
    </row>
    <row r="141" spans="1:16">
      <c r="A141" s="12"/>
      <c r="B141" s="12"/>
      <c r="C141" s="12"/>
      <c r="D141" s="12"/>
      <c r="E141" s="17"/>
      <c r="F141" s="13"/>
      <c r="G141" s="13"/>
      <c r="H141" s="13"/>
      <c r="I141" s="13"/>
      <c r="J141" s="12"/>
      <c r="K141" s="12"/>
      <c r="L141" s="12"/>
      <c r="M141" s="12"/>
      <c r="N141" s="14"/>
      <c r="O141" s="12"/>
      <c r="P141" s="12"/>
    </row>
    <row r="142" spans="1:16">
      <c r="A142" s="12"/>
      <c r="B142" s="12"/>
      <c r="C142" s="12"/>
      <c r="D142" s="12"/>
      <c r="E142" s="17"/>
      <c r="F142" s="13"/>
      <c r="G142" s="13"/>
      <c r="H142" s="13"/>
      <c r="I142" s="13"/>
      <c r="J142" s="12"/>
      <c r="K142" s="12"/>
      <c r="L142" s="12"/>
      <c r="M142" s="12"/>
      <c r="N142" s="14"/>
      <c r="O142" s="12"/>
      <c r="P142" s="12"/>
    </row>
    <row r="143" spans="1:16">
      <c r="A143" s="12"/>
      <c r="B143" s="12"/>
      <c r="C143" s="12"/>
      <c r="D143" s="12"/>
      <c r="E143" s="17"/>
      <c r="F143" s="13"/>
      <c r="G143" s="13"/>
      <c r="H143" s="13"/>
      <c r="I143" s="13"/>
      <c r="J143" s="12"/>
      <c r="K143" s="12"/>
      <c r="L143" s="12"/>
      <c r="M143" s="12"/>
      <c r="N143" s="14"/>
      <c r="O143" s="12"/>
      <c r="P143" s="12"/>
    </row>
    <row r="144" spans="1:16">
      <c r="A144" s="12"/>
      <c r="B144" s="12"/>
      <c r="C144" s="12"/>
      <c r="D144" s="12"/>
      <c r="E144" s="17"/>
      <c r="F144" s="13"/>
      <c r="G144" s="13"/>
      <c r="H144" s="13"/>
      <c r="I144" s="13"/>
      <c r="J144" s="12"/>
      <c r="K144" s="12"/>
      <c r="L144" s="12"/>
      <c r="M144" s="12"/>
      <c r="N144" s="14"/>
      <c r="O144" s="12"/>
      <c r="P144" s="12"/>
    </row>
    <row r="145" spans="1:16">
      <c r="A145" s="12"/>
      <c r="B145" s="12"/>
      <c r="C145" s="12"/>
      <c r="D145" s="12"/>
      <c r="E145" s="17"/>
      <c r="F145" s="13"/>
      <c r="G145" s="13"/>
      <c r="H145" s="13"/>
      <c r="I145" s="13"/>
      <c r="J145" s="12"/>
      <c r="K145" s="12"/>
      <c r="L145" s="12"/>
      <c r="M145" s="12"/>
      <c r="N145" s="14"/>
      <c r="O145" s="12"/>
      <c r="P145" s="12"/>
    </row>
    <row r="146" spans="1:16">
      <c r="A146" s="12"/>
      <c r="B146" s="12"/>
      <c r="C146" s="12"/>
      <c r="D146" s="12"/>
      <c r="E146" s="17"/>
      <c r="F146" s="13"/>
      <c r="G146" s="13"/>
      <c r="H146" s="13"/>
      <c r="I146" s="13"/>
      <c r="J146" s="12"/>
      <c r="K146" s="12"/>
      <c r="L146" s="12"/>
      <c r="M146" s="12"/>
      <c r="N146" s="14"/>
      <c r="O146" s="12"/>
      <c r="P146" s="12"/>
    </row>
    <row r="147" spans="1:16">
      <c r="A147" s="12"/>
      <c r="B147" s="12"/>
      <c r="C147" s="12"/>
      <c r="D147" s="12"/>
      <c r="E147" s="17"/>
      <c r="F147" s="13"/>
      <c r="G147" s="13"/>
      <c r="H147" s="13"/>
      <c r="I147" s="13"/>
      <c r="J147" s="12"/>
      <c r="K147" s="12"/>
      <c r="L147" s="12"/>
      <c r="M147" s="12"/>
      <c r="N147" s="14"/>
      <c r="O147" s="12"/>
      <c r="P147" s="12"/>
    </row>
    <row r="148" spans="1:16">
      <c r="A148" s="12"/>
      <c r="B148" s="12"/>
      <c r="C148" s="12"/>
      <c r="D148" s="12"/>
      <c r="E148" s="17"/>
      <c r="F148" s="13"/>
      <c r="G148" s="13"/>
      <c r="H148" s="13"/>
      <c r="I148" s="13"/>
      <c r="J148" s="12"/>
      <c r="K148" s="12"/>
      <c r="L148" s="12"/>
      <c r="M148" s="12"/>
      <c r="N148" s="14"/>
      <c r="O148" s="12"/>
      <c r="P148" s="12"/>
    </row>
    <row r="149" spans="1:16">
      <c r="A149" s="12"/>
      <c r="B149" s="12"/>
      <c r="C149" s="12"/>
      <c r="D149" s="12"/>
      <c r="E149" s="17"/>
      <c r="F149" s="13"/>
      <c r="G149" s="13"/>
      <c r="H149" s="13"/>
      <c r="I149" s="13"/>
      <c r="J149" s="12"/>
      <c r="K149" s="12"/>
      <c r="L149" s="12"/>
      <c r="M149" s="12"/>
      <c r="N149" s="14"/>
      <c r="O149" s="12"/>
      <c r="P149" s="12"/>
    </row>
    <row r="150" spans="1:16">
      <c r="A150" s="12"/>
      <c r="B150" s="12"/>
      <c r="C150" s="12"/>
      <c r="D150" s="12"/>
      <c r="E150" s="17"/>
      <c r="F150" s="13"/>
      <c r="G150" s="13"/>
      <c r="H150" s="13"/>
      <c r="I150" s="13"/>
      <c r="J150" s="12"/>
      <c r="K150" s="12"/>
      <c r="L150" s="12"/>
      <c r="M150" s="12"/>
      <c r="N150" s="14"/>
      <c r="O150" s="12"/>
      <c r="P150" s="12"/>
    </row>
    <row r="151" spans="1:16">
      <c r="A151" s="12"/>
      <c r="B151" s="12"/>
      <c r="C151" s="12"/>
      <c r="D151" s="12"/>
      <c r="E151" s="17"/>
      <c r="F151" s="13"/>
      <c r="G151" s="13"/>
      <c r="H151" s="13"/>
      <c r="I151" s="13"/>
      <c r="J151" s="12"/>
      <c r="K151" s="12"/>
      <c r="L151" s="12"/>
      <c r="M151" s="12"/>
      <c r="N151" s="14"/>
      <c r="O151" s="12"/>
      <c r="P151" s="12"/>
    </row>
    <row r="152" spans="1:16">
      <c r="A152" s="12"/>
      <c r="B152" s="12"/>
      <c r="C152" s="12"/>
      <c r="D152" s="12"/>
      <c r="E152" s="17"/>
      <c r="F152" s="13"/>
      <c r="G152" s="13"/>
      <c r="H152" s="13"/>
      <c r="I152" s="13"/>
      <c r="J152" s="12"/>
      <c r="K152" s="12"/>
      <c r="L152" s="12"/>
      <c r="M152" s="12"/>
      <c r="N152" s="14"/>
      <c r="O152" s="12"/>
      <c r="P152" s="12"/>
    </row>
    <row r="153" spans="1:16">
      <c r="A153" s="12"/>
      <c r="B153" s="12"/>
      <c r="C153" s="12"/>
      <c r="D153" s="12"/>
      <c r="E153" s="17"/>
      <c r="F153" s="13"/>
      <c r="G153" s="13"/>
      <c r="H153" s="13"/>
      <c r="I153" s="13"/>
      <c r="J153" s="12"/>
      <c r="K153" s="12"/>
      <c r="L153" s="12"/>
      <c r="M153" s="12"/>
      <c r="N153" s="14"/>
      <c r="O153" s="12"/>
      <c r="P153" s="12"/>
    </row>
    <row r="154" spans="1:16">
      <c r="A154" s="12"/>
      <c r="B154" s="12"/>
      <c r="C154" s="12"/>
      <c r="D154" s="12"/>
      <c r="E154" s="17"/>
      <c r="F154" s="13"/>
      <c r="G154" s="13"/>
      <c r="H154" s="13"/>
      <c r="I154" s="13"/>
      <c r="J154" s="12"/>
      <c r="K154" s="12"/>
      <c r="L154" s="12"/>
      <c r="M154" s="12"/>
      <c r="N154" s="14"/>
      <c r="O154" s="12"/>
      <c r="P154" s="12"/>
    </row>
    <row r="155" spans="1:16">
      <c r="A155" s="12"/>
      <c r="B155" s="12"/>
      <c r="C155" s="12"/>
      <c r="D155" s="12"/>
      <c r="E155" s="17"/>
      <c r="F155" s="13"/>
      <c r="G155" s="13"/>
      <c r="H155" s="13"/>
      <c r="I155" s="13"/>
      <c r="J155" s="12"/>
      <c r="K155" s="12"/>
      <c r="L155" s="12"/>
      <c r="M155" s="12"/>
      <c r="N155" s="14"/>
      <c r="O155" s="12"/>
      <c r="P155" s="12"/>
    </row>
    <row r="156" spans="1:16">
      <c r="A156" s="12"/>
      <c r="B156" s="12"/>
      <c r="C156" s="12"/>
      <c r="D156" s="12"/>
      <c r="E156" s="17"/>
      <c r="F156" s="13"/>
      <c r="G156" s="13"/>
      <c r="H156" s="13"/>
      <c r="I156" s="13"/>
      <c r="J156" s="12"/>
      <c r="K156" s="12"/>
      <c r="L156" s="12"/>
      <c r="M156" s="12"/>
      <c r="N156" s="14"/>
      <c r="O156" s="12"/>
      <c r="P156" s="12"/>
    </row>
    <row r="157" spans="1:16">
      <c r="A157" s="12"/>
      <c r="B157" s="12"/>
      <c r="C157" s="12"/>
      <c r="D157" s="12"/>
      <c r="E157" s="17"/>
      <c r="F157" s="13"/>
      <c r="G157" s="13"/>
      <c r="H157" s="13"/>
      <c r="I157" s="13"/>
      <c r="J157" s="12"/>
      <c r="K157" s="12"/>
      <c r="L157" s="12"/>
      <c r="M157" s="12"/>
      <c r="N157" s="14"/>
      <c r="O157" s="12"/>
      <c r="P157" s="12"/>
    </row>
    <row r="158" spans="1:16">
      <c r="A158" s="12"/>
      <c r="B158" s="12"/>
      <c r="C158" s="12"/>
      <c r="D158" s="12"/>
      <c r="E158" s="17"/>
      <c r="F158" s="13"/>
      <c r="G158" s="13"/>
      <c r="H158" s="13"/>
      <c r="I158" s="13"/>
      <c r="J158" s="12"/>
      <c r="K158" s="12"/>
      <c r="L158" s="12"/>
      <c r="M158" s="12"/>
      <c r="N158" s="14"/>
      <c r="O158" s="12"/>
      <c r="P158" s="12"/>
    </row>
    <row r="159" spans="1:16">
      <c r="A159" s="12"/>
      <c r="B159" s="12"/>
      <c r="C159" s="12"/>
      <c r="D159" s="12"/>
      <c r="E159" s="17"/>
      <c r="F159" s="13"/>
      <c r="G159" s="13"/>
      <c r="H159" s="13"/>
      <c r="I159" s="13"/>
      <c r="J159" s="12"/>
      <c r="K159" s="12"/>
      <c r="L159" s="12"/>
      <c r="M159" s="12"/>
      <c r="N159" s="14"/>
      <c r="O159" s="12"/>
      <c r="P159" s="12"/>
    </row>
    <row r="160" spans="1:16">
      <c r="A160" s="12"/>
      <c r="B160" s="12"/>
      <c r="C160" s="12"/>
      <c r="D160" s="12"/>
      <c r="E160" s="17"/>
      <c r="F160" s="13"/>
      <c r="G160" s="13"/>
      <c r="H160" s="13"/>
      <c r="I160" s="13"/>
      <c r="J160" s="12"/>
      <c r="K160" s="12"/>
      <c r="L160" s="12"/>
      <c r="M160" s="12"/>
      <c r="N160" s="14"/>
      <c r="O160" s="12"/>
      <c r="P160" s="12"/>
    </row>
    <row r="161" spans="1:16">
      <c r="A161" s="12"/>
      <c r="B161" s="12"/>
      <c r="C161" s="12"/>
      <c r="D161" s="12"/>
      <c r="E161" s="17"/>
      <c r="F161" s="13"/>
      <c r="G161" s="13"/>
      <c r="H161" s="13"/>
      <c r="I161" s="13"/>
      <c r="J161" s="12"/>
      <c r="K161" s="12"/>
      <c r="L161" s="12"/>
      <c r="M161" s="12"/>
      <c r="N161" s="14"/>
      <c r="O161" s="12"/>
      <c r="P161" s="12"/>
    </row>
    <row r="162" spans="1:16">
      <c r="A162" s="12"/>
      <c r="B162" s="12"/>
      <c r="C162" s="12"/>
      <c r="D162" s="12"/>
      <c r="E162" s="17"/>
      <c r="F162" s="13"/>
      <c r="G162" s="13"/>
      <c r="H162" s="13"/>
      <c r="I162" s="13"/>
      <c r="J162" s="12"/>
      <c r="K162" s="12"/>
      <c r="L162" s="12"/>
      <c r="M162" s="12"/>
      <c r="N162" s="14"/>
      <c r="O162" s="12"/>
      <c r="P162" s="12"/>
    </row>
    <row r="163" spans="1:16">
      <c r="A163" s="12"/>
      <c r="B163" s="12"/>
      <c r="C163" s="12"/>
      <c r="D163" s="12"/>
      <c r="E163" s="17"/>
      <c r="F163" s="13"/>
      <c r="G163" s="13"/>
      <c r="H163" s="13"/>
      <c r="I163" s="13"/>
      <c r="J163" s="12"/>
      <c r="K163" s="12"/>
      <c r="L163" s="12"/>
      <c r="M163" s="12"/>
      <c r="N163" s="14"/>
      <c r="O163" s="12"/>
      <c r="P163" s="12"/>
    </row>
    <row r="164" spans="1:16">
      <c r="A164" s="12"/>
      <c r="B164" s="12"/>
      <c r="C164" s="12"/>
      <c r="D164" s="12"/>
      <c r="E164" s="17"/>
      <c r="F164" s="13"/>
      <c r="G164" s="13"/>
      <c r="H164" s="13"/>
      <c r="I164" s="13"/>
      <c r="J164" s="12"/>
      <c r="K164" s="12"/>
      <c r="L164" s="12"/>
      <c r="M164" s="12"/>
      <c r="N164" s="14"/>
      <c r="O164" s="12"/>
      <c r="P164" s="12"/>
    </row>
    <row r="165" spans="1:16">
      <c r="A165" s="12"/>
      <c r="B165" s="12"/>
      <c r="C165" s="12"/>
      <c r="D165" s="12"/>
      <c r="E165" s="17"/>
      <c r="F165" s="13"/>
      <c r="G165" s="13"/>
      <c r="H165" s="13"/>
      <c r="I165" s="13"/>
      <c r="J165" s="12"/>
      <c r="K165" s="12"/>
      <c r="L165" s="12"/>
      <c r="M165" s="12"/>
      <c r="N165" s="14"/>
      <c r="O165" s="12"/>
      <c r="P165" s="12"/>
    </row>
    <row r="166" spans="1:16">
      <c r="A166" s="12"/>
      <c r="B166" s="12"/>
      <c r="C166" s="12"/>
      <c r="D166" s="12"/>
      <c r="E166" s="17"/>
      <c r="F166" s="13"/>
      <c r="G166" s="13"/>
      <c r="H166" s="13"/>
      <c r="I166" s="13"/>
      <c r="J166" s="12"/>
      <c r="K166" s="12"/>
      <c r="L166" s="12"/>
      <c r="M166" s="12"/>
      <c r="N166" s="14"/>
      <c r="O166" s="12"/>
      <c r="P166" s="12"/>
    </row>
    <row r="167" spans="1:16">
      <c r="A167" s="12"/>
      <c r="B167" s="12"/>
      <c r="C167" s="12"/>
      <c r="D167" s="12"/>
      <c r="E167" s="17"/>
      <c r="F167" s="13"/>
      <c r="G167" s="13"/>
      <c r="H167" s="13"/>
      <c r="I167" s="13"/>
      <c r="J167" s="12"/>
      <c r="K167" s="12"/>
      <c r="L167" s="12"/>
      <c r="M167" s="12"/>
      <c r="N167" s="14"/>
      <c r="O167" s="12"/>
      <c r="P167" s="12"/>
    </row>
    <row r="168" spans="1:16">
      <c r="A168" s="12"/>
      <c r="B168" s="12"/>
      <c r="C168" s="12"/>
      <c r="D168" s="12"/>
      <c r="E168" s="17"/>
      <c r="F168" s="13"/>
      <c r="G168" s="13"/>
      <c r="H168" s="13"/>
      <c r="I168" s="13"/>
      <c r="J168" s="12"/>
      <c r="K168" s="12"/>
      <c r="L168" s="12"/>
      <c r="M168" s="12"/>
      <c r="N168" s="14"/>
      <c r="O168" s="12"/>
      <c r="P168" s="12"/>
    </row>
    <row r="169" spans="1:16">
      <c r="A169" s="12"/>
      <c r="B169" s="12"/>
      <c r="C169" s="12"/>
      <c r="D169" s="12"/>
      <c r="E169" s="17"/>
      <c r="F169" s="13"/>
      <c r="G169" s="13"/>
      <c r="H169" s="13"/>
      <c r="I169" s="13"/>
      <c r="J169" s="12"/>
      <c r="K169" s="12"/>
      <c r="L169" s="12"/>
      <c r="M169" s="12"/>
      <c r="N169" s="14"/>
      <c r="O169" s="12"/>
      <c r="P169" s="12"/>
    </row>
    <row r="170" spans="1:16">
      <c r="A170" s="12"/>
      <c r="B170" s="12"/>
      <c r="C170" s="12"/>
      <c r="D170" s="12"/>
      <c r="E170" s="17"/>
      <c r="F170" s="13"/>
      <c r="G170" s="13"/>
      <c r="H170" s="13"/>
      <c r="I170" s="13"/>
      <c r="J170" s="12"/>
      <c r="K170" s="12"/>
      <c r="L170" s="12"/>
      <c r="M170" s="12"/>
      <c r="N170" s="14"/>
      <c r="O170" s="12"/>
      <c r="P170" s="12"/>
    </row>
    <row r="171" spans="1:16">
      <c r="A171" s="12"/>
      <c r="B171" s="12"/>
      <c r="C171" s="12"/>
      <c r="D171" s="12"/>
      <c r="E171" s="17"/>
      <c r="F171" s="13"/>
      <c r="G171" s="13"/>
      <c r="H171" s="13"/>
      <c r="I171" s="13"/>
      <c r="J171" s="12"/>
      <c r="K171" s="12"/>
      <c r="L171" s="12"/>
      <c r="M171" s="12"/>
      <c r="N171" s="14"/>
      <c r="O171" s="12"/>
      <c r="P171" s="12"/>
    </row>
    <row r="172" spans="1:16">
      <c r="A172" s="12"/>
      <c r="B172" s="12"/>
      <c r="C172" s="12"/>
      <c r="D172" s="12"/>
      <c r="E172" s="17"/>
      <c r="F172" s="13"/>
      <c r="G172" s="13"/>
      <c r="H172" s="13"/>
      <c r="I172" s="13"/>
      <c r="J172" s="12"/>
      <c r="K172" s="12"/>
      <c r="L172" s="12"/>
      <c r="M172" s="12"/>
      <c r="N172" s="14"/>
      <c r="O172" s="12"/>
      <c r="P172" s="12"/>
    </row>
    <row r="173" spans="1:16">
      <c r="A173" s="12"/>
      <c r="B173" s="12"/>
      <c r="C173" s="12"/>
      <c r="D173" s="12"/>
      <c r="E173" s="17"/>
      <c r="F173" s="13"/>
      <c r="G173" s="13"/>
      <c r="H173" s="13"/>
      <c r="I173" s="13"/>
      <c r="J173" s="12"/>
      <c r="K173" s="12"/>
      <c r="L173" s="12"/>
      <c r="M173" s="12"/>
      <c r="N173" s="14"/>
      <c r="O173" s="12"/>
      <c r="P173" s="12"/>
    </row>
    <row r="174" spans="1:16">
      <c r="A174" s="12"/>
      <c r="B174" s="12"/>
      <c r="C174" s="12"/>
      <c r="D174" s="12"/>
      <c r="E174" s="17"/>
      <c r="F174" s="13"/>
      <c r="G174" s="13"/>
      <c r="H174" s="13"/>
      <c r="I174" s="13"/>
      <c r="J174" s="12"/>
      <c r="K174" s="12"/>
      <c r="L174" s="12"/>
      <c r="M174" s="12"/>
      <c r="N174" s="14"/>
      <c r="O174" s="12"/>
      <c r="P174" s="12"/>
    </row>
    <row r="175" spans="1:16">
      <c r="A175" s="12"/>
      <c r="B175" s="12"/>
      <c r="C175" s="12"/>
      <c r="D175" s="12"/>
      <c r="E175" s="17"/>
      <c r="F175" s="13"/>
      <c r="G175" s="13"/>
      <c r="H175" s="13"/>
      <c r="I175" s="13"/>
      <c r="J175" s="12"/>
      <c r="K175" s="12"/>
      <c r="L175" s="12"/>
      <c r="M175" s="12"/>
      <c r="N175" s="14"/>
      <c r="O175" s="12"/>
      <c r="P175" s="12"/>
    </row>
    <row r="176" spans="1:16">
      <c r="A176" s="12"/>
      <c r="B176" s="12"/>
      <c r="C176" s="12"/>
      <c r="D176" s="12"/>
      <c r="E176" s="17"/>
      <c r="F176" s="13"/>
      <c r="G176" s="13"/>
      <c r="H176" s="13"/>
      <c r="I176" s="13"/>
      <c r="J176" s="12"/>
      <c r="K176" s="12"/>
      <c r="L176" s="12"/>
      <c r="M176" s="12"/>
      <c r="N176" s="14"/>
      <c r="O176" s="12"/>
      <c r="P176" s="12"/>
    </row>
    <row r="177" spans="1:16">
      <c r="A177" s="12"/>
      <c r="B177" s="12"/>
      <c r="C177" s="12"/>
      <c r="D177" s="12"/>
      <c r="E177" s="17"/>
      <c r="F177" s="13"/>
      <c r="G177" s="13"/>
      <c r="H177" s="13"/>
      <c r="I177" s="13"/>
      <c r="J177" s="12"/>
      <c r="K177" s="12"/>
      <c r="L177" s="12"/>
      <c r="M177" s="12"/>
      <c r="N177" s="14"/>
      <c r="O177" s="12"/>
      <c r="P177" s="12"/>
    </row>
    <row r="178" spans="1:16">
      <c r="A178" s="12"/>
      <c r="B178" s="12"/>
      <c r="C178" s="12"/>
      <c r="D178" s="12"/>
      <c r="E178" s="17"/>
      <c r="F178" s="13"/>
      <c r="G178" s="13"/>
      <c r="H178" s="13"/>
      <c r="I178" s="13"/>
      <c r="J178" s="12"/>
      <c r="K178" s="12"/>
      <c r="L178" s="12"/>
      <c r="M178" s="12"/>
      <c r="N178" s="14"/>
      <c r="O178" s="12"/>
      <c r="P178" s="12"/>
    </row>
    <row r="179" spans="1:16">
      <c r="A179" s="12"/>
      <c r="B179" s="12"/>
      <c r="C179" s="12"/>
      <c r="D179" s="12"/>
      <c r="E179" s="17"/>
      <c r="F179" s="13"/>
      <c r="G179" s="13"/>
      <c r="H179" s="13"/>
      <c r="I179" s="13"/>
      <c r="J179" s="12"/>
      <c r="K179" s="12"/>
      <c r="L179" s="12"/>
      <c r="M179" s="12"/>
      <c r="N179" s="14"/>
      <c r="O179" s="12"/>
      <c r="P179" s="12"/>
    </row>
    <row r="180" spans="1:16">
      <c r="A180" s="12"/>
      <c r="B180" s="12"/>
      <c r="C180" s="12"/>
      <c r="D180" s="12"/>
      <c r="E180" s="17"/>
      <c r="F180" s="13"/>
      <c r="G180" s="13"/>
      <c r="H180" s="13"/>
      <c r="I180" s="13"/>
      <c r="J180" s="12"/>
      <c r="K180" s="12"/>
      <c r="L180" s="12"/>
      <c r="M180" s="12"/>
      <c r="N180" s="14"/>
      <c r="O180" s="12"/>
      <c r="P180" s="12"/>
    </row>
    <row r="181" spans="1:16">
      <c r="A181" s="12"/>
      <c r="B181" s="12"/>
      <c r="C181" s="12"/>
      <c r="D181" s="12"/>
      <c r="E181" s="17"/>
      <c r="F181" s="13"/>
      <c r="G181" s="13"/>
      <c r="H181" s="13"/>
      <c r="I181" s="13"/>
      <c r="J181" s="12"/>
      <c r="K181" s="12"/>
      <c r="L181" s="12"/>
      <c r="M181" s="12"/>
      <c r="N181" s="14"/>
      <c r="O181" s="12"/>
      <c r="P181" s="12"/>
    </row>
    <row r="182" spans="1:16">
      <c r="A182" s="12"/>
      <c r="B182" s="12"/>
      <c r="C182" s="12"/>
      <c r="D182" s="12"/>
      <c r="E182" s="17"/>
      <c r="F182" s="13"/>
      <c r="G182" s="13"/>
      <c r="H182" s="13"/>
      <c r="I182" s="13"/>
      <c r="J182" s="12"/>
      <c r="K182" s="12"/>
      <c r="L182" s="12"/>
      <c r="M182" s="12"/>
      <c r="N182" s="14"/>
      <c r="O182" s="12"/>
      <c r="P182" s="12"/>
    </row>
    <row r="183" spans="1:16">
      <c r="A183" s="12"/>
      <c r="B183" s="12"/>
      <c r="C183" s="12"/>
      <c r="D183" s="12"/>
      <c r="E183" s="17"/>
      <c r="F183" s="13"/>
      <c r="G183" s="13"/>
      <c r="H183" s="13"/>
      <c r="I183" s="13"/>
      <c r="J183" s="12"/>
      <c r="K183" s="12"/>
      <c r="L183" s="12"/>
      <c r="M183" s="12"/>
      <c r="N183" s="14"/>
      <c r="O183" s="12"/>
      <c r="P183" s="12"/>
    </row>
    <row r="184" spans="1:16">
      <c r="A184" s="12"/>
      <c r="B184" s="12"/>
      <c r="C184" s="12"/>
      <c r="D184" s="12"/>
      <c r="E184" s="17"/>
      <c r="F184" s="13"/>
      <c r="G184" s="13"/>
      <c r="H184" s="13"/>
      <c r="I184" s="13"/>
      <c r="J184" s="12"/>
      <c r="K184" s="12"/>
      <c r="L184" s="12"/>
      <c r="M184" s="12"/>
      <c r="N184" s="14"/>
      <c r="O184" s="12"/>
      <c r="P184" s="12"/>
    </row>
    <row r="185" spans="1:16">
      <c r="A185" s="12"/>
      <c r="B185" s="12"/>
      <c r="C185" s="12"/>
      <c r="D185" s="12"/>
      <c r="E185" s="17"/>
      <c r="F185" s="13"/>
      <c r="G185" s="13"/>
      <c r="H185" s="13"/>
      <c r="I185" s="13"/>
      <c r="J185" s="12"/>
      <c r="K185" s="12"/>
      <c r="L185" s="12"/>
      <c r="M185" s="12"/>
      <c r="N185" s="14"/>
      <c r="O185" s="12"/>
      <c r="P185" s="12"/>
    </row>
    <row r="186" spans="1:16">
      <c r="A186" s="12"/>
      <c r="B186" s="12"/>
      <c r="C186" s="12"/>
      <c r="D186" s="12"/>
      <c r="E186" s="17"/>
      <c r="F186" s="13"/>
      <c r="G186" s="13"/>
      <c r="H186" s="13"/>
      <c r="I186" s="13"/>
      <c r="J186" s="12"/>
      <c r="K186" s="12"/>
      <c r="L186" s="12"/>
      <c r="M186" s="12"/>
      <c r="N186" s="14"/>
      <c r="O186" s="12"/>
      <c r="P186" s="12"/>
    </row>
    <row r="187" spans="1:16">
      <c r="A187" s="12"/>
      <c r="B187" s="12"/>
      <c r="C187" s="12"/>
      <c r="D187" s="12"/>
      <c r="E187" s="17"/>
      <c r="F187" s="13"/>
      <c r="G187" s="13"/>
      <c r="H187" s="13"/>
      <c r="I187" s="13"/>
      <c r="J187" s="12"/>
      <c r="K187" s="12"/>
      <c r="L187" s="12"/>
      <c r="M187" s="12"/>
      <c r="N187" s="14"/>
      <c r="O187" s="12"/>
      <c r="P187" s="12"/>
    </row>
    <row r="188" spans="1:16">
      <c r="A188" s="12"/>
      <c r="B188" s="12"/>
      <c r="C188" s="12"/>
      <c r="D188" s="12"/>
      <c r="E188" s="17"/>
      <c r="F188" s="13"/>
      <c r="G188" s="13"/>
      <c r="H188" s="13"/>
      <c r="I188" s="13"/>
      <c r="J188" s="12"/>
      <c r="K188" s="12"/>
      <c r="L188" s="12"/>
      <c r="M188" s="12"/>
      <c r="N188" s="14"/>
      <c r="O188" s="12"/>
      <c r="P188" s="12"/>
    </row>
    <row r="189" spans="1:16">
      <c r="A189" s="12"/>
      <c r="B189" s="12"/>
      <c r="C189" s="12"/>
      <c r="D189" s="12"/>
      <c r="E189" s="17"/>
      <c r="F189" s="13"/>
      <c r="G189" s="13"/>
      <c r="H189" s="13"/>
      <c r="I189" s="13"/>
      <c r="J189" s="12"/>
      <c r="K189" s="12"/>
      <c r="L189" s="12"/>
      <c r="M189" s="12"/>
      <c r="N189" s="14"/>
      <c r="O189" s="12"/>
      <c r="P189" s="12"/>
    </row>
    <row r="190" spans="1:16">
      <c r="A190" s="12"/>
      <c r="B190" s="12"/>
      <c r="C190" s="12"/>
      <c r="D190" s="12"/>
      <c r="E190" s="17"/>
      <c r="F190" s="13"/>
      <c r="G190" s="13"/>
      <c r="H190" s="13"/>
      <c r="I190" s="13"/>
      <c r="J190" s="12"/>
      <c r="K190" s="12"/>
      <c r="L190" s="12"/>
      <c r="M190" s="12"/>
      <c r="N190" s="14"/>
      <c r="O190" s="12"/>
      <c r="P190" s="12"/>
    </row>
    <row r="191" spans="1:16">
      <c r="A191" s="12"/>
      <c r="B191" s="12"/>
      <c r="C191" s="12"/>
      <c r="D191" s="12"/>
      <c r="E191" s="17"/>
      <c r="F191" s="13"/>
      <c r="G191" s="13"/>
      <c r="H191" s="13"/>
      <c r="I191" s="13"/>
      <c r="J191" s="12"/>
      <c r="K191" s="12"/>
      <c r="L191" s="12"/>
      <c r="M191" s="12"/>
      <c r="N191" s="14"/>
      <c r="O191" s="12"/>
      <c r="P191" s="12"/>
    </row>
    <row r="192" spans="1:16">
      <c r="A192" s="12"/>
      <c r="B192" s="12"/>
      <c r="C192" s="12"/>
      <c r="D192" s="12"/>
      <c r="E192" s="17"/>
      <c r="F192" s="13"/>
      <c r="G192" s="13"/>
      <c r="H192" s="13"/>
      <c r="I192" s="13"/>
      <c r="J192" s="12"/>
      <c r="K192" s="12"/>
      <c r="L192" s="12"/>
      <c r="M192" s="12"/>
      <c r="N192" s="14"/>
      <c r="O192" s="12"/>
      <c r="P192" s="12"/>
    </row>
    <row r="193" spans="1:16">
      <c r="A193" s="12"/>
      <c r="B193" s="12"/>
      <c r="C193" s="12"/>
      <c r="D193" s="12"/>
      <c r="E193" s="17"/>
      <c r="F193" s="13"/>
      <c r="G193" s="13"/>
      <c r="H193" s="13"/>
      <c r="I193" s="13"/>
      <c r="J193" s="12"/>
      <c r="K193" s="12"/>
      <c r="L193" s="12"/>
      <c r="M193" s="12"/>
      <c r="N193" s="14"/>
      <c r="O193" s="12"/>
      <c r="P193" s="12"/>
    </row>
    <row r="194" spans="1:16">
      <c r="A194" s="12"/>
      <c r="B194" s="12"/>
      <c r="C194" s="12"/>
      <c r="D194" s="12"/>
      <c r="E194" s="17"/>
      <c r="F194" s="13"/>
      <c r="G194" s="13"/>
      <c r="H194" s="13"/>
      <c r="I194" s="13"/>
      <c r="J194" s="12"/>
      <c r="K194" s="12"/>
      <c r="L194" s="12"/>
      <c r="M194" s="12"/>
      <c r="N194" s="14"/>
      <c r="O194" s="12"/>
      <c r="P194" s="12"/>
    </row>
    <row r="195" spans="1:16">
      <c r="A195" s="12"/>
      <c r="B195" s="12"/>
      <c r="C195" s="12"/>
      <c r="D195" s="12"/>
      <c r="E195" s="17"/>
      <c r="F195" s="13"/>
      <c r="G195" s="13"/>
      <c r="H195" s="13"/>
      <c r="I195" s="13"/>
      <c r="J195" s="12"/>
      <c r="K195" s="12"/>
      <c r="L195" s="12"/>
      <c r="M195" s="12"/>
      <c r="N195" s="14"/>
      <c r="O195" s="12"/>
      <c r="P195" s="12"/>
    </row>
    <row r="196" spans="1:16">
      <c r="A196" s="12"/>
      <c r="B196" s="12"/>
      <c r="C196" s="12"/>
      <c r="D196" s="12"/>
      <c r="E196" s="17"/>
      <c r="F196" s="13"/>
      <c r="G196" s="13"/>
      <c r="H196" s="13"/>
      <c r="I196" s="13"/>
      <c r="J196" s="12"/>
      <c r="K196" s="12"/>
      <c r="L196" s="12"/>
      <c r="M196" s="12"/>
      <c r="N196" s="14"/>
      <c r="O196" s="12"/>
      <c r="P196" s="12"/>
    </row>
    <row r="197" spans="1:16">
      <c r="A197" s="12"/>
      <c r="B197" s="12"/>
      <c r="C197" s="12"/>
      <c r="D197" s="12"/>
      <c r="E197" s="17"/>
      <c r="F197" s="13"/>
      <c r="G197" s="13"/>
      <c r="H197" s="13"/>
      <c r="I197" s="13"/>
      <c r="J197" s="12"/>
      <c r="K197" s="12"/>
      <c r="L197" s="12"/>
      <c r="M197" s="12"/>
      <c r="N197" s="14"/>
      <c r="O197" s="12"/>
      <c r="P197" s="12"/>
    </row>
    <row r="198" spans="1:16">
      <c r="A198" s="12"/>
      <c r="B198" s="12"/>
      <c r="C198" s="12"/>
      <c r="D198" s="12"/>
      <c r="E198" s="17"/>
      <c r="F198" s="13"/>
      <c r="G198" s="13"/>
      <c r="H198" s="13"/>
      <c r="I198" s="13"/>
      <c r="J198" s="12"/>
      <c r="K198" s="12"/>
      <c r="L198" s="12"/>
      <c r="M198" s="12"/>
      <c r="N198" s="14"/>
      <c r="O198" s="12"/>
      <c r="P198" s="12"/>
    </row>
    <row r="199" spans="1:16">
      <c r="A199" s="12"/>
      <c r="B199" s="12"/>
      <c r="C199" s="12"/>
      <c r="D199" s="12"/>
      <c r="E199" s="17"/>
      <c r="F199" s="13"/>
      <c r="G199" s="13"/>
      <c r="H199" s="13"/>
      <c r="I199" s="13"/>
      <c r="J199" s="12"/>
      <c r="K199" s="12"/>
      <c r="L199" s="12"/>
      <c r="M199" s="12"/>
      <c r="N199" s="14"/>
      <c r="O199" s="12"/>
      <c r="P199" s="12"/>
    </row>
    <row r="200" spans="1:16">
      <c r="A200" s="12"/>
      <c r="B200" s="12"/>
      <c r="C200" s="12"/>
      <c r="D200" s="12"/>
      <c r="E200" s="17"/>
      <c r="F200" s="13"/>
      <c r="G200" s="13"/>
      <c r="H200" s="13"/>
      <c r="I200" s="13"/>
      <c r="J200" s="12"/>
      <c r="K200" s="12"/>
      <c r="L200" s="12"/>
      <c r="M200" s="12"/>
      <c r="N200" s="14"/>
      <c r="O200" s="12"/>
      <c r="P200" s="12"/>
    </row>
    <row r="201" spans="1:16">
      <c r="A201" s="12"/>
      <c r="B201" s="12"/>
      <c r="C201" s="12"/>
      <c r="D201" s="12"/>
      <c r="E201" s="17"/>
      <c r="F201" s="13"/>
      <c r="G201" s="13"/>
      <c r="H201" s="13"/>
      <c r="I201" s="13"/>
      <c r="J201" s="12"/>
      <c r="K201" s="12"/>
      <c r="L201" s="12"/>
      <c r="M201" s="12"/>
      <c r="N201" s="14"/>
      <c r="O201" s="12"/>
      <c r="P201" s="12"/>
    </row>
    <row r="202" spans="1:16">
      <c r="A202" s="12"/>
      <c r="B202" s="12"/>
      <c r="C202" s="12"/>
      <c r="D202" s="12"/>
      <c r="E202" s="17"/>
      <c r="F202" s="13"/>
      <c r="G202" s="13"/>
      <c r="H202" s="13"/>
      <c r="I202" s="13"/>
      <c r="J202" s="12"/>
      <c r="K202" s="12"/>
      <c r="L202" s="12"/>
      <c r="M202" s="12"/>
      <c r="N202" s="14"/>
      <c r="O202" s="12"/>
      <c r="P202" s="12"/>
    </row>
    <row r="203" spans="1:16">
      <c r="A203" s="12"/>
      <c r="B203" s="12"/>
      <c r="C203" s="12"/>
      <c r="D203" s="12"/>
      <c r="E203" s="17"/>
      <c r="F203" s="13"/>
      <c r="G203" s="13"/>
      <c r="H203" s="13"/>
      <c r="I203" s="13"/>
      <c r="J203" s="12"/>
      <c r="K203" s="12"/>
      <c r="L203" s="12"/>
      <c r="M203" s="12"/>
      <c r="N203" s="14"/>
      <c r="O203" s="12"/>
      <c r="P203" s="12"/>
    </row>
    <row r="204" spans="1:16">
      <c r="A204" s="12"/>
      <c r="B204" s="12"/>
      <c r="C204" s="12"/>
      <c r="D204" s="12"/>
      <c r="E204" s="17"/>
      <c r="F204" s="13"/>
      <c r="G204" s="13"/>
      <c r="H204" s="13"/>
      <c r="I204" s="13"/>
      <c r="J204" s="12"/>
      <c r="K204" s="12"/>
      <c r="L204" s="12"/>
      <c r="M204" s="12"/>
      <c r="N204" s="14"/>
      <c r="O204" s="12"/>
      <c r="P204" s="12"/>
    </row>
    <row r="205" spans="1:16">
      <c r="A205" s="12"/>
      <c r="B205" s="12"/>
      <c r="C205" s="12"/>
      <c r="D205" s="12"/>
      <c r="E205" s="17"/>
      <c r="F205" s="13"/>
      <c r="G205" s="13"/>
      <c r="H205" s="13"/>
      <c r="I205" s="13"/>
      <c r="J205" s="12"/>
      <c r="K205" s="12"/>
      <c r="L205" s="12"/>
      <c r="M205" s="12"/>
      <c r="N205" s="14"/>
      <c r="O205" s="12"/>
      <c r="P205" s="12"/>
    </row>
    <row r="206" spans="1:16">
      <c r="A206" s="12"/>
      <c r="B206" s="12"/>
      <c r="C206" s="12"/>
      <c r="D206" s="12"/>
      <c r="E206" s="17"/>
      <c r="F206" s="13"/>
      <c r="G206" s="13"/>
      <c r="H206" s="13"/>
      <c r="I206" s="13"/>
      <c r="J206" s="12"/>
      <c r="K206" s="12"/>
      <c r="L206" s="12"/>
      <c r="M206" s="12"/>
      <c r="N206" s="14"/>
      <c r="O206" s="12"/>
      <c r="P206" s="12"/>
    </row>
    <row r="207" spans="1:16">
      <c r="A207" s="12"/>
      <c r="B207" s="12"/>
      <c r="C207" s="12"/>
      <c r="D207" s="12"/>
      <c r="E207" s="17"/>
      <c r="F207" s="13"/>
      <c r="G207" s="13"/>
      <c r="H207" s="13"/>
      <c r="I207" s="13"/>
      <c r="J207" s="12"/>
      <c r="K207" s="12"/>
      <c r="L207" s="12"/>
      <c r="M207" s="12"/>
      <c r="N207" s="14"/>
      <c r="O207" s="12"/>
      <c r="P207" s="12"/>
    </row>
    <row r="208" spans="1:16">
      <c r="A208" s="12"/>
      <c r="B208" s="12"/>
      <c r="C208" s="12"/>
      <c r="D208" s="12"/>
      <c r="E208" s="17"/>
      <c r="F208" s="13"/>
      <c r="G208" s="13"/>
      <c r="H208" s="13"/>
      <c r="I208" s="13"/>
      <c r="J208" s="12"/>
      <c r="K208" s="12"/>
      <c r="L208" s="12"/>
      <c r="M208" s="12"/>
      <c r="N208" s="14"/>
      <c r="O208" s="12"/>
      <c r="P208" s="12"/>
    </row>
    <row r="209" spans="1:16">
      <c r="A209" s="12"/>
      <c r="B209" s="12"/>
      <c r="C209" s="12"/>
      <c r="D209" s="12"/>
      <c r="E209" s="17"/>
      <c r="F209" s="13"/>
      <c r="G209" s="13"/>
      <c r="H209" s="13"/>
      <c r="I209" s="13"/>
      <c r="J209" s="12"/>
      <c r="K209" s="12"/>
      <c r="L209" s="12"/>
      <c r="M209" s="12"/>
      <c r="N209" s="14"/>
      <c r="O209" s="12"/>
      <c r="P209" s="12"/>
    </row>
    <row r="210" spans="1:16">
      <c r="A210" s="12"/>
      <c r="B210" s="12"/>
      <c r="C210" s="12"/>
      <c r="D210" s="12"/>
      <c r="E210" s="17"/>
      <c r="F210" s="13"/>
      <c r="G210" s="13"/>
      <c r="H210" s="13"/>
      <c r="I210" s="13"/>
      <c r="J210" s="12"/>
      <c r="K210" s="12"/>
      <c r="L210" s="12"/>
      <c r="M210" s="12"/>
      <c r="N210" s="14"/>
      <c r="O210" s="12"/>
      <c r="P210" s="12"/>
    </row>
    <row r="211" spans="1:16">
      <c r="A211" s="12"/>
      <c r="B211" s="12"/>
      <c r="C211" s="12"/>
      <c r="D211" s="12"/>
      <c r="E211" s="17"/>
      <c r="F211" s="13"/>
      <c r="G211" s="13"/>
      <c r="H211" s="13"/>
      <c r="I211" s="13"/>
      <c r="J211" s="12"/>
      <c r="K211" s="12"/>
      <c r="L211" s="12"/>
      <c r="M211" s="12"/>
      <c r="N211" s="14"/>
      <c r="O211" s="12"/>
      <c r="P211" s="12"/>
    </row>
    <row r="212" spans="1:16">
      <c r="A212" s="12"/>
      <c r="B212" s="12"/>
      <c r="C212" s="12"/>
      <c r="D212" s="12"/>
      <c r="E212" s="17"/>
      <c r="F212" s="13"/>
      <c r="G212" s="13"/>
      <c r="H212" s="13"/>
      <c r="I212" s="13"/>
      <c r="J212" s="12"/>
      <c r="K212" s="12"/>
      <c r="L212" s="12"/>
      <c r="M212" s="12"/>
      <c r="N212" s="14"/>
      <c r="O212" s="12"/>
      <c r="P212" s="12"/>
    </row>
    <row r="213" spans="1:16">
      <c r="A213" s="12"/>
      <c r="B213" s="12"/>
      <c r="C213" s="12"/>
      <c r="D213" s="12"/>
      <c r="E213" s="17"/>
      <c r="F213" s="13"/>
      <c r="G213" s="13"/>
      <c r="H213" s="13"/>
      <c r="I213" s="13"/>
      <c r="J213" s="12"/>
      <c r="K213" s="12"/>
      <c r="L213" s="12"/>
      <c r="M213" s="12"/>
      <c r="N213" s="14"/>
      <c r="O213" s="12"/>
      <c r="P213" s="12"/>
    </row>
    <row r="214" spans="1:16">
      <c r="A214" s="12"/>
      <c r="B214" s="12"/>
      <c r="C214" s="12"/>
      <c r="D214" s="12"/>
      <c r="E214" s="17"/>
      <c r="F214" s="13"/>
      <c r="G214" s="13"/>
      <c r="H214" s="13"/>
      <c r="I214" s="13"/>
      <c r="J214" s="12"/>
      <c r="K214" s="12"/>
      <c r="L214" s="12"/>
      <c r="M214" s="12"/>
      <c r="N214" s="14"/>
      <c r="O214" s="12"/>
      <c r="P214" s="12"/>
    </row>
    <row r="215" spans="1:16">
      <c r="A215" s="12"/>
      <c r="B215" s="12"/>
      <c r="C215" s="12"/>
      <c r="D215" s="12"/>
      <c r="E215" s="17"/>
      <c r="F215" s="13"/>
      <c r="G215" s="13"/>
      <c r="H215" s="13"/>
      <c r="I215" s="13"/>
      <c r="J215" s="12"/>
      <c r="K215" s="12"/>
      <c r="L215" s="12"/>
      <c r="M215" s="12"/>
      <c r="N215" s="14"/>
      <c r="O215" s="12"/>
      <c r="P215" s="12"/>
    </row>
    <row r="216" spans="1:16">
      <c r="A216" s="12"/>
      <c r="B216" s="12"/>
      <c r="C216" s="12"/>
      <c r="D216" s="12"/>
      <c r="E216" s="17"/>
      <c r="F216" s="13"/>
      <c r="G216" s="13"/>
      <c r="H216" s="13"/>
      <c r="I216" s="13"/>
      <c r="J216" s="12"/>
      <c r="K216" s="12"/>
      <c r="L216" s="12"/>
      <c r="M216" s="12"/>
      <c r="N216" s="14"/>
      <c r="O216" s="12"/>
      <c r="P216" s="12"/>
    </row>
    <row r="217" spans="1:16">
      <c r="A217" s="12"/>
      <c r="B217" s="12"/>
      <c r="C217" s="12"/>
      <c r="D217" s="12"/>
      <c r="E217" s="17"/>
      <c r="F217" s="13"/>
      <c r="G217" s="13"/>
      <c r="H217" s="13"/>
      <c r="I217" s="13"/>
      <c r="J217" s="12"/>
      <c r="K217" s="12"/>
      <c r="L217" s="12"/>
      <c r="M217" s="12"/>
      <c r="N217" s="14"/>
      <c r="O217" s="12"/>
      <c r="P217" s="12"/>
    </row>
    <row r="218" spans="1:16">
      <c r="A218" s="12"/>
      <c r="B218" s="12"/>
      <c r="C218" s="12"/>
      <c r="D218" s="12"/>
      <c r="E218" s="17"/>
      <c r="F218" s="13"/>
      <c r="G218" s="13"/>
      <c r="H218" s="13"/>
      <c r="I218" s="13"/>
      <c r="J218" s="12"/>
      <c r="K218" s="12"/>
      <c r="L218" s="12"/>
      <c r="M218" s="12"/>
      <c r="N218" s="14"/>
      <c r="O218" s="12"/>
      <c r="P218" s="12"/>
    </row>
    <row r="219" spans="1:16">
      <c r="A219" s="12"/>
      <c r="B219" s="12"/>
      <c r="C219" s="12"/>
      <c r="D219" s="12"/>
      <c r="E219" s="17"/>
      <c r="F219" s="13"/>
      <c r="G219" s="13"/>
      <c r="H219" s="13"/>
      <c r="I219" s="13"/>
      <c r="J219" s="12"/>
      <c r="K219" s="12"/>
      <c r="L219" s="12"/>
      <c r="M219" s="12"/>
      <c r="N219" s="14"/>
      <c r="O219" s="12"/>
      <c r="P219" s="12"/>
    </row>
    <row r="220" spans="1:16">
      <c r="A220" s="12"/>
      <c r="B220" s="12"/>
      <c r="C220" s="12"/>
      <c r="D220" s="12"/>
      <c r="E220" s="17"/>
      <c r="F220" s="13"/>
      <c r="G220" s="13"/>
      <c r="H220" s="13"/>
      <c r="I220" s="13"/>
      <c r="J220" s="12"/>
      <c r="K220" s="12"/>
      <c r="L220" s="12"/>
      <c r="M220" s="12"/>
      <c r="N220" s="14"/>
      <c r="O220" s="12"/>
      <c r="P220" s="12"/>
    </row>
    <row r="221" spans="1:16">
      <c r="A221" s="12"/>
      <c r="B221" s="12"/>
      <c r="C221" s="12"/>
      <c r="D221" s="12"/>
      <c r="E221" s="17"/>
      <c r="F221" s="13"/>
      <c r="G221" s="13"/>
      <c r="H221" s="13"/>
      <c r="I221" s="13"/>
      <c r="J221" s="12"/>
      <c r="K221" s="12"/>
      <c r="L221" s="12"/>
      <c r="M221" s="12"/>
      <c r="N221" s="14"/>
      <c r="O221" s="12"/>
      <c r="P221" s="12"/>
    </row>
    <row r="222" spans="1:16">
      <c r="A222" s="12"/>
      <c r="B222" s="12"/>
      <c r="C222" s="12"/>
      <c r="D222" s="12"/>
      <c r="E222" s="17"/>
      <c r="F222" s="13"/>
      <c r="G222" s="13"/>
      <c r="H222" s="13"/>
      <c r="I222" s="13"/>
      <c r="J222" s="12"/>
      <c r="K222" s="12"/>
      <c r="L222" s="12"/>
      <c r="M222" s="12"/>
      <c r="N222" s="14"/>
      <c r="O222" s="12"/>
      <c r="P222" s="12"/>
    </row>
    <row r="223" spans="1:16">
      <c r="A223" s="12"/>
      <c r="B223" s="12"/>
      <c r="C223" s="12"/>
      <c r="D223" s="12"/>
      <c r="E223" s="17"/>
      <c r="F223" s="13"/>
      <c r="G223" s="13"/>
      <c r="H223" s="13"/>
      <c r="I223" s="13"/>
      <c r="J223" s="12"/>
      <c r="K223" s="12"/>
      <c r="L223" s="12"/>
      <c r="M223" s="12"/>
      <c r="N223" s="14"/>
      <c r="O223" s="12"/>
      <c r="P223" s="12"/>
    </row>
    <row r="224" spans="1:16">
      <c r="A224" s="12"/>
      <c r="B224" s="12"/>
      <c r="C224" s="12"/>
      <c r="D224" s="12"/>
      <c r="E224" s="17"/>
      <c r="F224" s="13"/>
      <c r="G224" s="13"/>
      <c r="H224" s="13"/>
      <c r="I224" s="13"/>
      <c r="J224" s="12"/>
      <c r="K224" s="12"/>
      <c r="L224" s="12"/>
      <c r="M224" s="12"/>
      <c r="N224" s="14"/>
      <c r="O224" s="12"/>
      <c r="P224" s="12"/>
    </row>
    <row r="225" spans="1:16">
      <c r="A225" s="12"/>
      <c r="B225" s="12"/>
      <c r="C225" s="12"/>
      <c r="D225" s="12"/>
      <c r="E225" s="17"/>
      <c r="F225" s="13"/>
      <c r="G225" s="13"/>
      <c r="H225" s="13"/>
      <c r="I225" s="13"/>
      <c r="J225" s="12"/>
      <c r="K225" s="12"/>
      <c r="L225" s="12"/>
      <c r="M225" s="12"/>
      <c r="N225" s="14"/>
      <c r="O225" s="12"/>
      <c r="P225" s="12"/>
    </row>
    <row r="226" spans="1:16">
      <c r="A226" s="12"/>
      <c r="B226" s="12"/>
      <c r="C226" s="12"/>
      <c r="D226" s="12"/>
      <c r="E226" s="17"/>
      <c r="F226" s="13"/>
      <c r="G226" s="13"/>
      <c r="H226" s="13"/>
      <c r="I226" s="13"/>
      <c r="J226" s="12"/>
      <c r="K226" s="12"/>
      <c r="L226" s="12"/>
      <c r="M226" s="12"/>
      <c r="N226" s="14"/>
      <c r="O226" s="12"/>
      <c r="P226" s="12"/>
    </row>
    <row r="227" spans="1:16">
      <c r="A227" s="12"/>
      <c r="B227" s="12"/>
      <c r="C227" s="12"/>
      <c r="D227" s="12"/>
      <c r="E227" s="17"/>
      <c r="F227" s="13"/>
      <c r="G227" s="13"/>
      <c r="H227" s="13"/>
      <c r="I227" s="13"/>
      <c r="J227" s="12"/>
      <c r="K227" s="12"/>
      <c r="L227" s="12"/>
      <c r="M227" s="12"/>
      <c r="N227" s="14"/>
      <c r="O227" s="12"/>
      <c r="P227" s="12"/>
    </row>
    <row r="228" spans="1:16">
      <c r="A228" s="12"/>
      <c r="B228" s="12"/>
      <c r="C228" s="12"/>
      <c r="D228" s="12"/>
      <c r="E228" s="17"/>
      <c r="F228" s="13"/>
      <c r="G228" s="13"/>
      <c r="H228" s="13"/>
      <c r="I228" s="13"/>
      <c r="J228" s="12"/>
      <c r="K228" s="12"/>
      <c r="L228" s="12"/>
      <c r="M228" s="12"/>
      <c r="N228" s="14"/>
      <c r="O228" s="12"/>
      <c r="P228" s="12"/>
    </row>
    <row r="229" spans="1:16">
      <c r="A229" s="12"/>
      <c r="B229" s="12"/>
      <c r="C229" s="12"/>
      <c r="D229" s="12"/>
      <c r="E229" s="17"/>
      <c r="F229" s="13"/>
      <c r="G229" s="13"/>
      <c r="H229" s="13"/>
      <c r="I229" s="13"/>
      <c r="J229" s="12"/>
      <c r="K229" s="12"/>
      <c r="L229" s="12"/>
      <c r="M229" s="12"/>
      <c r="N229" s="14"/>
      <c r="O229" s="12"/>
      <c r="P229" s="12"/>
    </row>
    <row r="230" spans="1:16">
      <c r="A230" s="12"/>
      <c r="B230" s="12"/>
      <c r="C230" s="12"/>
      <c r="D230" s="12"/>
      <c r="E230" s="17"/>
      <c r="F230" s="13"/>
      <c r="G230" s="13"/>
      <c r="H230" s="13"/>
      <c r="I230" s="13"/>
      <c r="J230" s="12"/>
      <c r="K230" s="12"/>
      <c r="L230" s="12"/>
      <c r="M230" s="12"/>
      <c r="N230" s="14"/>
      <c r="O230" s="12"/>
      <c r="P230" s="12"/>
    </row>
    <row r="231" spans="1:16">
      <c r="A231" s="12"/>
      <c r="B231" s="12"/>
      <c r="C231" s="12"/>
      <c r="D231" s="12"/>
      <c r="E231" s="17"/>
      <c r="F231" s="13"/>
      <c r="G231" s="13"/>
      <c r="H231" s="13"/>
      <c r="I231" s="13"/>
      <c r="J231" s="12"/>
      <c r="K231" s="12"/>
      <c r="L231" s="12"/>
      <c r="M231" s="12"/>
      <c r="N231" s="14"/>
      <c r="O231" s="12"/>
      <c r="P231" s="12"/>
    </row>
    <row r="232" spans="1:16">
      <c r="A232" s="12"/>
      <c r="B232" s="12"/>
      <c r="C232" s="12"/>
      <c r="D232" s="12"/>
      <c r="E232" s="17"/>
      <c r="F232" s="13"/>
      <c r="G232" s="13"/>
      <c r="H232" s="13"/>
      <c r="I232" s="13"/>
      <c r="J232" s="12"/>
      <c r="K232" s="12"/>
      <c r="L232" s="12"/>
      <c r="M232" s="12"/>
      <c r="N232" s="14"/>
      <c r="O232" s="12"/>
      <c r="P232" s="12"/>
    </row>
    <row r="233" spans="1:16">
      <c r="A233" s="12"/>
      <c r="B233" s="12"/>
      <c r="C233" s="12"/>
      <c r="D233" s="12"/>
      <c r="E233" s="17"/>
      <c r="F233" s="13"/>
      <c r="G233" s="13"/>
      <c r="H233" s="13"/>
      <c r="I233" s="13"/>
      <c r="J233" s="12"/>
      <c r="K233" s="12"/>
      <c r="L233" s="12"/>
      <c r="M233" s="12"/>
      <c r="N233" s="14"/>
      <c r="O233" s="12"/>
      <c r="P233" s="12"/>
    </row>
    <row r="234" spans="1:16">
      <c r="A234" s="12"/>
      <c r="B234" s="12"/>
      <c r="C234" s="12"/>
      <c r="D234" s="12"/>
      <c r="E234" s="17"/>
      <c r="F234" s="13"/>
      <c r="G234" s="13"/>
      <c r="H234" s="13"/>
      <c r="I234" s="13"/>
      <c r="J234" s="12"/>
      <c r="K234" s="12"/>
      <c r="L234" s="12"/>
      <c r="M234" s="12"/>
      <c r="N234" s="14"/>
      <c r="O234" s="12"/>
      <c r="P234" s="12"/>
    </row>
    <row r="235" spans="1:16">
      <c r="A235" s="12"/>
      <c r="B235" s="12"/>
      <c r="C235" s="12"/>
      <c r="D235" s="12"/>
      <c r="E235" s="17"/>
      <c r="F235" s="13"/>
      <c r="G235" s="13"/>
      <c r="H235" s="13"/>
      <c r="I235" s="13"/>
      <c r="J235" s="12"/>
      <c r="K235" s="12"/>
      <c r="L235" s="12"/>
      <c r="M235" s="12"/>
      <c r="N235" s="14"/>
      <c r="O235" s="12"/>
      <c r="P235" s="12"/>
    </row>
    <row r="236" spans="1:16">
      <c r="A236" s="12"/>
      <c r="B236" s="12"/>
      <c r="C236" s="12"/>
      <c r="D236" s="12"/>
      <c r="E236" s="17"/>
      <c r="F236" s="13"/>
      <c r="G236" s="13"/>
      <c r="H236" s="13"/>
      <c r="I236" s="13"/>
      <c r="J236" s="12"/>
      <c r="K236" s="12"/>
      <c r="L236" s="12"/>
      <c r="M236" s="12"/>
      <c r="N236" s="14"/>
      <c r="O236" s="12"/>
      <c r="P236" s="12"/>
    </row>
    <row r="237" spans="1:16">
      <c r="A237" s="12"/>
      <c r="B237" s="12"/>
      <c r="C237" s="12"/>
      <c r="D237" s="12"/>
      <c r="E237" s="17"/>
      <c r="F237" s="13"/>
      <c r="G237" s="13"/>
      <c r="H237" s="13"/>
      <c r="I237" s="13"/>
      <c r="J237" s="12"/>
      <c r="K237" s="12"/>
      <c r="L237" s="12"/>
      <c r="M237" s="12"/>
      <c r="N237" s="14"/>
      <c r="O237" s="12"/>
      <c r="P237" s="12"/>
    </row>
    <row r="238" spans="1:16">
      <c r="A238" s="12"/>
      <c r="B238" s="12"/>
      <c r="C238" s="12"/>
      <c r="D238" s="12"/>
      <c r="E238" s="17"/>
      <c r="F238" s="13"/>
      <c r="G238" s="13"/>
      <c r="H238" s="13"/>
      <c r="I238" s="13"/>
      <c r="J238" s="12"/>
      <c r="K238" s="12"/>
      <c r="L238" s="12"/>
      <c r="M238" s="12"/>
      <c r="N238" s="14"/>
      <c r="O238" s="12"/>
      <c r="P238" s="12"/>
    </row>
    <row r="239" spans="1:16">
      <c r="A239" s="12"/>
      <c r="B239" s="12"/>
      <c r="C239" s="12"/>
      <c r="D239" s="12"/>
      <c r="E239" s="17"/>
      <c r="F239" s="13"/>
      <c r="G239" s="13"/>
      <c r="H239" s="13"/>
      <c r="I239" s="13"/>
      <c r="J239" s="12"/>
      <c r="K239" s="12"/>
      <c r="L239" s="12"/>
      <c r="M239" s="12"/>
      <c r="N239" s="14"/>
      <c r="O239" s="12"/>
      <c r="P239" s="12"/>
    </row>
    <row r="240" spans="1:16">
      <c r="A240" s="12"/>
      <c r="B240" s="12"/>
      <c r="C240" s="12"/>
      <c r="D240" s="12"/>
      <c r="E240" s="17"/>
      <c r="F240" s="13"/>
      <c r="G240" s="13"/>
      <c r="H240" s="13"/>
      <c r="I240" s="13"/>
      <c r="J240" s="12"/>
      <c r="K240" s="12"/>
      <c r="L240" s="12"/>
      <c r="M240" s="12"/>
      <c r="N240" s="14"/>
      <c r="O240" s="12"/>
      <c r="P240" s="12"/>
    </row>
    <row r="241" spans="1:16">
      <c r="A241" s="12"/>
      <c r="B241" s="12"/>
      <c r="C241" s="12"/>
      <c r="D241" s="12"/>
      <c r="E241" s="17"/>
      <c r="F241" s="13"/>
      <c r="G241" s="13"/>
      <c r="H241" s="13"/>
      <c r="I241" s="13"/>
      <c r="J241" s="12"/>
      <c r="K241" s="12"/>
      <c r="L241" s="12"/>
      <c r="M241" s="12"/>
      <c r="N241" s="14"/>
      <c r="O241" s="12"/>
      <c r="P241" s="12"/>
    </row>
    <row r="242" spans="1:16">
      <c r="A242" s="12"/>
      <c r="B242" s="12"/>
      <c r="C242" s="12"/>
      <c r="D242" s="12"/>
      <c r="E242" s="17"/>
      <c r="F242" s="13"/>
      <c r="G242" s="13"/>
      <c r="H242" s="13"/>
      <c r="I242" s="13"/>
      <c r="J242" s="12"/>
      <c r="K242" s="12"/>
      <c r="L242" s="12"/>
      <c r="M242" s="12"/>
      <c r="N242" s="14"/>
      <c r="O242" s="12"/>
      <c r="P242" s="12"/>
    </row>
    <row r="243" spans="1:16">
      <c r="A243" s="12"/>
      <c r="B243" s="12"/>
      <c r="C243" s="12"/>
      <c r="D243" s="12"/>
      <c r="E243" s="17"/>
      <c r="F243" s="13"/>
      <c r="G243" s="13"/>
      <c r="H243" s="13"/>
      <c r="I243" s="13"/>
      <c r="J243" s="12"/>
      <c r="K243" s="12"/>
      <c r="L243" s="12"/>
      <c r="M243" s="12"/>
      <c r="N243" s="14"/>
      <c r="O243" s="12"/>
      <c r="P243" s="12"/>
    </row>
    <row r="244" spans="1:16">
      <c r="A244" s="12"/>
      <c r="B244" s="12"/>
      <c r="C244" s="12"/>
      <c r="D244" s="12"/>
      <c r="E244" s="17"/>
      <c r="F244" s="13"/>
      <c r="G244" s="13"/>
      <c r="H244" s="13"/>
      <c r="I244" s="13"/>
      <c r="J244" s="12"/>
      <c r="K244" s="12"/>
      <c r="L244" s="12"/>
      <c r="M244" s="12"/>
      <c r="N244" s="14"/>
      <c r="O244" s="12"/>
      <c r="P244" s="12"/>
    </row>
    <row r="245" spans="1:16">
      <c r="A245" s="12"/>
      <c r="B245" s="12"/>
      <c r="C245" s="12"/>
      <c r="D245" s="12"/>
      <c r="E245" s="17"/>
      <c r="F245" s="13"/>
      <c r="G245" s="13"/>
      <c r="H245" s="13"/>
      <c r="I245" s="13"/>
      <c r="J245" s="12"/>
      <c r="K245" s="12"/>
      <c r="L245" s="12"/>
      <c r="M245" s="12"/>
      <c r="N245" s="14"/>
      <c r="O245" s="12"/>
      <c r="P245" s="12"/>
    </row>
    <row r="246" spans="1:16">
      <c r="A246" s="12"/>
      <c r="B246" s="12"/>
      <c r="C246" s="12"/>
      <c r="D246" s="12"/>
      <c r="E246" s="17"/>
      <c r="F246" s="13"/>
      <c r="G246" s="13"/>
      <c r="H246" s="13"/>
      <c r="I246" s="13"/>
      <c r="J246" s="12"/>
      <c r="K246" s="12"/>
      <c r="L246" s="12"/>
      <c r="M246" s="12"/>
      <c r="N246" s="14"/>
      <c r="O246" s="12"/>
      <c r="P246" s="12"/>
    </row>
    <row r="247" spans="1:16">
      <c r="A247" s="12"/>
      <c r="B247" s="12"/>
      <c r="C247" s="12"/>
      <c r="D247" s="12"/>
      <c r="E247" s="17"/>
      <c r="F247" s="13"/>
      <c r="G247" s="13"/>
      <c r="H247" s="13"/>
      <c r="I247" s="13"/>
      <c r="J247" s="12"/>
      <c r="K247" s="12"/>
      <c r="L247" s="12"/>
      <c r="M247" s="12"/>
      <c r="N247" s="14"/>
      <c r="O247" s="12"/>
      <c r="P247" s="12"/>
    </row>
    <row r="248" spans="1:16">
      <c r="A248" s="12"/>
      <c r="B248" s="12"/>
      <c r="C248" s="12"/>
      <c r="D248" s="12"/>
      <c r="E248" s="17"/>
      <c r="F248" s="13"/>
      <c r="G248" s="13"/>
      <c r="H248" s="13"/>
      <c r="I248" s="13"/>
      <c r="J248" s="12"/>
      <c r="K248" s="12"/>
      <c r="L248" s="12"/>
      <c r="M248" s="12"/>
      <c r="N248" s="14"/>
      <c r="O248" s="12"/>
      <c r="P248" s="12"/>
    </row>
    <row r="249" spans="1:16">
      <c r="A249" s="12"/>
      <c r="B249" s="12"/>
      <c r="C249" s="12"/>
      <c r="D249" s="12"/>
      <c r="E249" s="17"/>
      <c r="F249" s="13"/>
      <c r="G249" s="13"/>
      <c r="H249" s="13"/>
      <c r="I249" s="13"/>
      <c r="J249" s="12"/>
      <c r="K249" s="12"/>
      <c r="L249" s="12"/>
      <c r="M249" s="12"/>
      <c r="N249" s="14"/>
      <c r="O249" s="12"/>
      <c r="P249" s="12"/>
    </row>
    <row r="250" spans="1:16">
      <c r="A250" s="12"/>
      <c r="B250" s="12"/>
      <c r="C250" s="12"/>
      <c r="D250" s="12"/>
      <c r="E250" s="17"/>
      <c r="F250" s="13"/>
      <c r="G250" s="13"/>
      <c r="H250" s="13"/>
      <c r="I250" s="13"/>
      <c r="J250" s="12"/>
      <c r="K250" s="12"/>
      <c r="L250" s="12"/>
      <c r="M250" s="12"/>
      <c r="N250" s="14"/>
      <c r="O250" s="12"/>
      <c r="P250" s="12"/>
    </row>
    <row r="251" spans="1:16">
      <c r="A251" s="12"/>
      <c r="B251" s="12"/>
      <c r="C251" s="12"/>
      <c r="D251" s="12"/>
      <c r="E251" s="17"/>
      <c r="F251" s="13"/>
      <c r="G251" s="13"/>
      <c r="H251" s="13"/>
      <c r="I251" s="13"/>
      <c r="J251" s="12"/>
      <c r="K251" s="12"/>
      <c r="L251" s="12"/>
      <c r="M251" s="12"/>
      <c r="N251" s="14"/>
      <c r="O251" s="12"/>
      <c r="P251" s="12"/>
    </row>
    <row r="252" spans="1:16">
      <c r="A252" s="12"/>
      <c r="B252" s="12"/>
      <c r="C252" s="12"/>
      <c r="D252" s="12"/>
      <c r="E252" s="17"/>
      <c r="F252" s="13"/>
      <c r="G252" s="13"/>
      <c r="H252" s="13"/>
      <c r="I252" s="13"/>
      <c r="J252" s="12"/>
      <c r="K252" s="12"/>
      <c r="L252" s="12"/>
      <c r="M252" s="12"/>
      <c r="N252" s="14"/>
      <c r="O252" s="12"/>
      <c r="P252" s="12"/>
    </row>
    <row r="253" spans="1:16">
      <c r="A253" s="12"/>
      <c r="B253" s="12"/>
      <c r="C253" s="12"/>
      <c r="D253" s="12"/>
      <c r="E253" s="17"/>
      <c r="F253" s="13"/>
      <c r="G253" s="13"/>
      <c r="H253" s="13"/>
      <c r="I253" s="13"/>
      <c r="J253" s="12"/>
      <c r="K253" s="12"/>
      <c r="L253" s="12"/>
      <c r="M253" s="12"/>
      <c r="N253" s="14"/>
      <c r="O253" s="12"/>
      <c r="P253" s="12"/>
    </row>
  </sheetData>
  <autoFilter ref="A3:P253"/>
  <mergeCells count="2">
    <mergeCell ref="A1:P1"/>
    <mergeCell ref="A2:P2"/>
  </mergeCells>
  <conditionalFormatting sqref="J4:J253">
    <cfRule type="expression" dxfId="0" priority="1">
      <formula>OR(ISNUMBER(SEARCH("approved",J4)),ISNUMBER(SEARCH("complete",J4)),ISNUMBER(SEARCH("delivered",J4)),ISNUMBER(SEARCH("installed",J4)),ISNUMBER(SEARCH("paid",J4)),ISNUMBER(SEARCH("good condition",J4)))</formula>
    </cfRule>
    <cfRule type="expression" dxfId="1" priority="2">
      <formula>OR(ISNUMBER(SEARCH("pending",J4)),ISNUMBER(SEARCH("progress",J4)),ISNUMBER(SEARCH("review",J4)),ISNUMBER(SEARCH("sent",J4)),ISNUMBER(SEARCH("scheduled",J4)),ISNUMBER(SEARCH("waiting",J4)),ISNUMBER(SEARCH("ordered",J4)),ISNUMBER(SEARCH("shipped",J4)))</formula>
    </cfRule>
    <cfRule type="expression" dxfId="2" priority="3">
      <formula>OR(ISNUMBER(SEARCH("overdue",J4)),ISNUMBER(SEARCH("delayed",J4)),ISNUMBER(SEARCH("rejected",J4)),ISNUMBER(SEARCH("damaged",J4)),ISNUMBER(SEARCH("missing",J4)),ISNUMBER(SEARCH("wrong",J4)),ISNUMBER(SEARCH("backordered",J4)))</formula>
    </cfRule>
    <cfRule type="expression" dxfId="3" priority="4">
      <formula>OR(ISNUMBER(SEARCH("cancelled",J4)),ISNUMBER(SEARCH("on hold",J4)),ISNUMBER(SEARCH("returned",J4)))</formula>
    </cfRule>
  </conditionalFormatting>
  <conditionalFormatting sqref="O4:O253">
    <cfRule type="expression" dxfId="0" priority="5">
      <formula>OR(ISNUMBER(SEARCH("approved",O4)),ISNUMBER(SEARCH("complete",O4)),ISNUMBER(SEARCH("delivered",O4)),ISNUMBER(SEARCH("installed",O4)),ISNUMBER(SEARCH("paid",O4)),ISNUMBER(SEARCH("good condition",O4)))</formula>
    </cfRule>
    <cfRule type="expression" dxfId="1" priority="6">
      <formula>OR(ISNUMBER(SEARCH("pending",O4)),ISNUMBER(SEARCH("progress",O4)),ISNUMBER(SEARCH("review",O4)),ISNUMBER(SEARCH("sent",O4)),ISNUMBER(SEARCH("scheduled",O4)),ISNUMBER(SEARCH("waiting",O4)),ISNUMBER(SEARCH("ordered",O4)),ISNUMBER(SEARCH("shipped",O4)))</formula>
    </cfRule>
    <cfRule type="expression" dxfId="2" priority="7">
      <formula>OR(ISNUMBER(SEARCH("overdue",O4)),ISNUMBER(SEARCH("delayed",O4)),ISNUMBER(SEARCH("rejected",O4)),ISNUMBER(SEARCH("damaged",O4)),ISNUMBER(SEARCH("missing",O4)),ISNUMBER(SEARCH("wrong",O4)),ISNUMBER(SEARCH("backordered",O4)))</formula>
    </cfRule>
    <cfRule type="expression" dxfId="3" priority="8">
      <formula>OR(ISNUMBER(SEARCH("cancelled",O4)),ISNUMBER(SEARCH("on hold",O4)),ISNUMBER(SEARCH("returned",O4)))</formula>
    </cfRule>
  </conditionalFormatting>
  <dataValidations count="4">
    <dataValidation type="list" allowBlank="1" showInputMessage="1" showErrorMessage="1" errorTitle="Choose a listed value" error="Please select an option from the dropdown." promptTitle="Vendor" prompt="Select from the dropdown list." sqref="B4:B253">
      <formula1>VendorNames</formula1>
    </dataValidation>
    <dataValidation type="list" allowBlank="1" showInputMessage="1" showErrorMessage="1" errorTitle="Choose a listed value" error="Please select an option from the dropdown." promptTitle="Room" prompt="Select from the dropdown list." sqref="C4:C253">
      <formula1>RoomNames</formula1>
    </dataValidation>
    <dataValidation type="list" allowBlank="1" showInputMessage="1" showErrorMessage="1" errorTitle="Choose a listed value" error="Please select an option from the dropdown." promptTitle="Order Status" prompt="Select from the dropdown list." sqref="J4:J253">
      <formula1>OrderStatuses</formula1>
    </dataValidation>
    <dataValidation type="list" allowBlank="1" showInputMessage="1" showErrorMessage="1" errorTitle="Choose a listed value" error="Please select an option from the dropdown." promptTitle="Paid Status" prompt="Select from the dropdown list." sqref="O4:O253">
      <formula1>PaymentStatuses</formula1>
    </dataValidation>
  </dataValidations>
  <pageMargins left="0.25" right="0.25" top="0.5" bottom="0.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20.7109375" customWidth="1"/>
    <col min="4" max="4" width="28.7109375" customWidth="1"/>
    <col min="5" max="5" width="19.7109375" customWidth="1"/>
    <col min="6" max="9" width="18.7109375" customWidth="1"/>
    <col min="10" max="10" width="26.7109375" customWidth="1"/>
    <col min="11" max="11" width="20.7109375" customWidth="1"/>
    <col min="12" max="12" width="16.7109375" customWidth="1"/>
    <col min="13" max="14" width="20.7109375" customWidth="1"/>
    <col min="15" max="15" width="30.7109375" customWidth="1"/>
  </cols>
  <sheetData>
    <row r="1" spans="1:15" ht="30" customHeight="1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10" t="s">
        <v>351</v>
      </c>
      <c r="B3" s="10" t="s">
        <v>167</v>
      </c>
      <c r="C3" s="10" t="s">
        <v>150</v>
      </c>
      <c r="D3" s="10" t="s">
        <v>362</v>
      </c>
      <c r="E3" s="10" t="s">
        <v>354</v>
      </c>
      <c r="F3" s="10" t="s">
        <v>355</v>
      </c>
      <c r="G3" s="10" t="s">
        <v>290</v>
      </c>
      <c r="H3" s="10" t="s">
        <v>363</v>
      </c>
      <c r="I3" s="10" t="s">
        <v>364</v>
      </c>
      <c r="J3" s="10" t="s">
        <v>365</v>
      </c>
      <c r="K3" s="10" t="s">
        <v>366</v>
      </c>
      <c r="L3" s="10" t="s">
        <v>298</v>
      </c>
      <c r="M3" s="10" t="s">
        <v>118</v>
      </c>
      <c r="N3" s="10" t="s">
        <v>367</v>
      </c>
      <c r="O3" s="10" t="s">
        <v>368</v>
      </c>
    </row>
    <row r="4" spans="1:15">
      <c r="A4" s="12"/>
      <c r="B4" s="12"/>
      <c r="C4" s="12"/>
      <c r="D4" s="12"/>
      <c r="E4" s="13"/>
      <c r="F4" s="13"/>
      <c r="G4" s="12"/>
      <c r="H4" s="12"/>
      <c r="I4" s="12"/>
      <c r="J4" s="12"/>
      <c r="K4" s="12"/>
      <c r="L4" s="13"/>
      <c r="M4" s="12"/>
      <c r="N4" s="12"/>
      <c r="O4" s="12"/>
    </row>
    <row r="5" spans="1:15">
      <c r="A5" s="12"/>
      <c r="B5" s="12"/>
      <c r="C5" s="12"/>
      <c r="D5" s="12"/>
      <c r="E5" s="13"/>
      <c r="F5" s="13"/>
      <c r="G5" s="12"/>
      <c r="H5" s="12"/>
      <c r="I5" s="12"/>
      <c r="J5" s="12"/>
      <c r="K5" s="12"/>
      <c r="L5" s="13"/>
      <c r="M5" s="12"/>
      <c r="N5" s="12"/>
      <c r="O5" s="12"/>
    </row>
    <row r="6" spans="1:15">
      <c r="A6" s="12"/>
      <c r="B6" s="12"/>
      <c r="C6" s="12"/>
      <c r="D6" s="12"/>
      <c r="E6" s="13"/>
      <c r="F6" s="13"/>
      <c r="G6" s="12"/>
      <c r="H6" s="12"/>
      <c r="I6" s="12"/>
      <c r="J6" s="12"/>
      <c r="K6" s="12"/>
      <c r="L6" s="13"/>
      <c r="M6" s="12"/>
      <c r="N6" s="12"/>
      <c r="O6" s="12"/>
    </row>
    <row r="7" spans="1:15">
      <c r="A7" s="12"/>
      <c r="B7" s="12"/>
      <c r="C7" s="12"/>
      <c r="D7" s="12"/>
      <c r="E7" s="13"/>
      <c r="F7" s="13"/>
      <c r="G7" s="12"/>
      <c r="H7" s="12"/>
      <c r="I7" s="12"/>
      <c r="J7" s="12"/>
      <c r="K7" s="12"/>
      <c r="L7" s="13"/>
      <c r="M7" s="12"/>
      <c r="N7" s="12"/>
      <c r="O7" s="12"/>
    </row>
    <row r="8" spans="1:15">
      <c r="A8" s="12"/>
      <c r="B8" s="12"/>
      <c r="C8" s="12"/>
      <c r="D8" s="12"/>
      <c r="E8" s="13"/>
      <c r="F8" s="13"/>
      <c r="G8" s="12"/>
      <c r="H8" s="12"/>
      <c r="I8" s="12"/>
      <c r="J8" s="12"/>
      <c r="K8" s="12"/>
      <c r="L8" s="13"/>
      <c r="M8" s="12"/>
      <c r="N8" s="12"/>
      <c r="O8" s="12"/>
    </row>
    <row r="9" spans="1:15">
      <c r="A9" s="12"/>
      <c r="B9" s="12"/>
      <c r="C9" s="12"/>
      <c r="D9" s="12"/>
      <c r="E9" s="13"/>
      <c r="F9" s="13"/>
      <c r="G9" s="12"/>
      <c r="H9" s="12"/>
      <c r="I9" s="12"/>
      <c r="J9" s="12"/>
      <c r="K9" s="12"/>
      <c r="L9" s="13"/>
      <c r="M9" s="12"/>
      <c r="N9" s="12"/>
      <c r="O9" s="12"/>
    </row>
    <row r="10" spans="1:15">
      <c r="A10" s="12"/>
      <c r="B10" s="12"/>
      <c r="C10" s="12"/>
      <c r="D10" s="12"/>
      <c r="E10" s="13"/>
      <c r="F10" s="13"/>
      <c r="G10" s="12"/>
      <c r="H10" s="12"/>
      <c r="I10" s="12"/>
      <c r="J10" s="12"/>
      <c r="K10" s="12"/>
      <c r="L10" s="13"/>
      <c r="M10" s="12"/>
      <c r="N10" s="12"/>
      <c r="O10" s="12"/>
    </row>
    <row r="11" spans="1:15">
      <c r="A11" s="12"/>
      <c r="B11" s="12"/>
      <c r="C11" s="12"/>
      <c r="D11" s="12"/>
      <c r="E11" s="13"/>
      <c r="F11" s="13"/>
      <c r="G11" s="12"/>
      <c r="H11" s="12"/>
      <c r="I11" s="12"/>
      <c r="J11" s="12"/>
      <c r="K11" s="12"/>
      <c r="L11" s="13"/>
      <c r="M11" s="12"/>
      <c r="N11" s="12"/>
      <c r="O11" s="12"/>
    </row>
    <row r="12" spans="1:15">
      <c r="A12" s="12"/>
      <c r="B12" s="12"/>
      <c r="C12" s="12"/>
      <c r="D12" s="12"/>
      <c r="E12" s="13"/>
      <c r="F12" s="13"/>
      <c r="G12" s="12"/>
      <c r="H12" s="12"/>
      <c r="I12" s="12"/>
      <c r="J12" s="12"/>
      <c r="K12" s="12"/>
      <c r="L12" s="13"/>
      <c r="M12" s="12"/>
      <c r="N12" s="12"/>
      <c r="O12" s="12"/>
    </row>
    <row r="13" spans="1:15">
      <c r="A13" s="12"/>
      <c r="B13" s="12"/>
      <c r="C13" s="12"/>
      <c r="D13" s="12"/>
      <c r="E13" s="13"/>
      <c r="F13" s="13"/>
      <c r="G13" s="12"/>
      <c r="H13" s="12"/>
      <c r="I13" s="12"/>
      <c r="J13" s="12"/>
      <c r="K13" s="12"/>
      <c r="L13" s="13"/>
      <c r="M13" s="12"/>
      <c r="N13" s="12"/>
      <c r="O13" s="12"/>
    </row>
    <row r="14" spans="1:15">
      <c r="A14" s="12"/>
      <c r="B14" s="12"/>
      <c r="C14" s="12"/>
      <c r="D14" s="12"/>
      <c r="E14" s="13"/>
      <c r="F14" s="13"/>
      <c r="G14" s="12"/>
      <c r="H14" s="12"/>
      <c r="I14" s="12"/>
      <c r="J14" s="12"/>
      <c r="K14" s="12"/>
      <c r="L14" s="13"/>
      <c r="M14" s="12"/>
      <c r="N14" s="12"/>
      <c r="O14" s="12"/>
    </row>
    <row r="15" spans="1:15">
      <c r="A15" s="12"/>
      <c r="B15" s="12"/>
      <c r="C15" s="12"/>
      <c r="D15" s="12"/>
      <c r="E15" s="13"/>
      <c r="F15" s="13"/>
      <c r="G15" s="12"/>
      <c r="H15" s="12"/>
      <c r="I15" s="12"/>
      <c r="J15" s="12"/>
      <c r="K15" s="12"/>
      <c r="L15" s="13"/>
      <c r="M15" s="12"/>
      <c r="N15" s="12"/>
      <c r="O15" s="12"/>
    </row>
    <row r="16" spans="1:15">
      <c r="A16" s="12"/>
      <c r="B16" s="12"/>
      <c r="C16" s="12"/>
      <c r="D16" s="12"/>
      <c r="E16" s="13"/>
      <c r="F16" s="13"/>
      <c r="G16" s="12"/>
      <c r="H16" s="12"/>
      <c r="I16" s="12"/>
      <c r="J16" s="12"/>
      <c r="K16" s="12"/>
      <c r="L16" s="13"/>
      <c r="M16" s="12"/>
      <c r="N16" s="12"/>
      <c r="O16" s="12"/>
    </row>
    <row r="17" spans="1:15">
      <c r="A17" s="12"/>
      <c r="B17" s="12"/>
      <c r="C17" s="12"/>
      <c r="D17" s="12"/>
      <c r="E17" s="13"/>
      <c r="F17" s="13"/>
      <c r="G17" s="12"/>
      <c r="H17" s="12"/>
      <c r="I17" s="12"/>
      <c r="J17" s="12"/>
      <c r="K17" s="12"/>
      <c r="L17" s="13"/>
      <c r="M17" s="12"/>
      <c r="N17" s="12"/>
      <c r="O17" s="12"/>
    </row>
    <row r="18" spans="1:15">
      <c r="A18" s="12"/>
      <c r="B18" s="12"/>
      <c r="C18" s="12"/>
      <c r="D18" s="12"/>
      <c r="E18" s="13"/>
      <c r="F18" s="13"/>
      <c r="G18" s="12"/>
      <c r="H18" s="12"/>
      <c r="I18" s="12"/>
      <c r="J18" s="12"/>
      <c r="K18" s="12"/>
      <c r="L18" s="13"/>
      <c r="M18" s="12"/>
      <c r="N18" s="12"/>
      <c r="O18" s="12"/>
    </row>
    <row r="19" spans="1:15">
      <c r="A19" s="12"/>
      <c r="B19" s="12"/>
      <c r="C19" s="12"/>
      <c r="D19" s="12"/>
      <c r="E19" s="13"/>
      <c r="F19" s="13"/>
      <c r="G19" s="12"/>
      <c r="H19" s="12"/>
      <c r="I19" s="12"/>
      <c r="J19" s="12"/>
      <c r="K19" s="12"/>
      <c r="L19" s="13"/>
      <c r="M19" s="12"/>
      <c r="N19" s="12"/>
      <c r="O19" s="12"/>
    </row>
    <row r="20" spans="1:15">
      <c r="A20" s="12"/>
      <c r="B20" s="12"/>
      <c r="C20" s="12"/>
      <c r="D20" s="12"/>
      <c r="E20" s="13"/>
      <c r="F20" s="13"/>
      <c r="G20" s="12"/>
      <c r="H20" s="12"/>
      <c r="I20" s="12"/>
      <c r="J20" s="12"/>
      <c r="K20" s="12"/>
      <c r="L20" s="13"/>
      <c r="M20" s="12"/>
      <c r="N20" s="12"/>
      <c r="O20" s="12"/>
    </row>
    <row r="21" spans="1:15">
      <c r="A21" s="12"/>
      <c r="B21" s="12"/>
      <c r="C21" s="12"/>
      <c r="D21" s="12"/>
      <c r="E21" s="13"/>
      <c r="F21" s="13"/>
      <c r="G21" s="12"/>
      <c r="H21" s="12"/>
      <c r="I21" s="12"/>
      <c r="J21" s="12"/>
      <c r="K21" s="12"/>
      <c r="L21" s="13"/>
      <c r="M21" s="12"/>
      <c r="N21" s="12"/>
      <c r="O21" s="12"/>
    </row>
    <row r="22" spans="1:15">
      <c r="A22" s="12"/>
      <c r="B22" s="12"/>
      <c r="C22" s="12"/>
      <c r="D22" s="12"/>
      <c r="E22" s="13"/>
      <c r="F22" s="13"/>
      <c r="G22" s="12"/>
      <c r="H22" s="12"/>
      <c r="I22" s="12"/>
      <c r="J22" s="12"/>
      <c r="K22" s="12"/>
      <c r="L22" s="13"/>
      <c r="M22" s="12"/>
      <c r="N22" s="12"/>
      <c r="O22" s="12"/>
    </row>
    <row r="23" spans="1:15">
      <c r="A23" s="12"/>
      <c r="B23" s="12"/>
      <c r="C23" s="12"/>
      <c r="D23" s="12"/>
      <c r="E23" s="13"/>
      <c r="F23" s="13"/>
      <c r="G23" s="12"/>
      <c r="H23" s="12"/>
      <c r="I23" s="12"/>
      <c r="J23" s="12"/>
      <c r="K23" s="12"/>
      <c r="L23" s="13"/>
      <c r="M23" s="12"/>
      <c r="N23" s="12"/>
      <c r="O23" s="12"/>
    </row>
    <row r="24" spans="1:15">
      <c r="A24" s="12"/>
      <c r="B24" s="12"/>
      <c r="C24" s="12"/>
      <c r="D24" s="12"/>
      <c r="E24" s="13"/>
      <c r="F24" s="13"/>
      <c r="G24" s="12"/>
      <c r="H24" s="12"/>
      <c r="I24" s="12"/>
      <c r="J24" s="12"/>
      <c r="K24" s="12"/>
      <c r="L24" s="13"/>
      <c r="M24" s="12"/>
      <c r="N24" s="12"/>
      <c r="O24" s="12"/>
    </row>
    <row r="25" spans="1:15">
      <c r="A25" s="12"/>
      <c r="B25" s="12"/>
      <c r="C25" s="12"/>
      <c r="D25" s="12"/>
      <c r="E25" s="13"/>
      <c r="F25" s="13"/>
      <c r="G25" s="12"/>
      <c r="H25" s="12"/>
      <c r="I25" s="12"/>
      <c r="J25" s="12"/>
      <c r="K25" s="12"/>
      <c r="L25" s="13"/>
      <c r="M25" s="12"/>
      <c r="N25" s="12"/>
      <c r="O25" s="12"/>
    </row>
    <row r="26" spans="1:15">
      <c r="A26" s="12"/>
      <c r="B26" s="12"/>
      <c r="C26" s="12"/>
      <c r="D26" s="12"/>
      <c r="E26" s="13"/>
      <c r="F26" s="13"/>
      <c r="G26" s="12"/>
      <c r="H26" s="12"/>
      <c r="I26" s="12"/>
      <c r="J26" s="12"/>
      <c r="K26" s="12"/>
      <c r="L26" s="13"/>
      <c r="M26" s="12"/>
      <c r="N26" s="12"/>
      <c r="O26" s="12"/>
    </row>
    <row r="27" spans="1:15">
      <c r="A27" s="12"/>
      <c r="B27" s="12"/>
      <c r="C27" s="12"/>
      <c r="D27" s="12"/>
      <c r="E27" s="13"/>
      <c r="F27" s="13"/>
      <c r="G27" s="12"/>
      <c r="H27" s="12"/>
      <c r="I27" s="12"/>
      <c r="J27" s="12"/>
      <c r="K27" s="12"/>
      <c r="L27" s="13"/>
      <c r="M27" s="12"/>
      <c r="N27" s="12"/>
      <c r="O27" s="12"/>
    </row>
    <row r="28" spans="1:15">
      <c r="A28" s="12"/>
      <c r="B28" s="12"/>
      <c r="C28" s="12"/>
      <c r="D28" s="12"/>
      <c r="E28" s="13"/>
      <c r="F28" s="13"/>
      <c r="G28" s="12"/>
      <c r="H28" s="12"/>
      <c r="I28" s="12"/>
      <c r="J28" s="12"/>
      <c r="K28" s="12"/>
      <c r="L28" s="13"/>
      <c r="M28" s="12"/>
      <c r="N28" s="12"/>
      <c r="O28" s="12"/>
    </row>
    <row r="29" spans="1:15">
      <c r="A29" s="12"/>
      <c r="B29" s="12"/>
      <c r="C29" s="12"/>
      <c r="D29" s="12"/>
      <c r="E29" s="13"/>
      <c r="F29" s="13"/>
      <c r="G29" s="12"/>
      <c r="H29" s="12"/>
      <c r="I29" s="12"/>
      <c r="J29" s="12"/>
      <c r="K29" s="12"/>
      <c r="L29" s="13"/>
      <c r="M29" s="12"/>
      <c r="N29" s="12"/>
      <c r="O29" s="12"/>
    </row>
    <row r="30" spans="1:15">
      <c r="A30" s="12"/>
      <c r="B30" s="12"/>
      <c r="C30" s="12"/>
      <c r="D30" s="12"/>
      <c r="E30" s="13"/>
      <c r="F30" s="13"/>
      <c r="G30" s="12"/>
      <c r="H30" s="12"/>
      <c r="I30" s="12"/>
      <c r="J30" s="12"/>
      <c r="K30" s="12"/>
      <c r="L30" s="13"/>
      <c r="M30" s="12"/>
      <c r="N30" s="12"/>
      <c r="O30" s="12"/>
    </row>
    <row r="31" spans="1:15">
      <c r="A31" s="12"/>
      <c r="B31" s="12"/>
      <c r="C31" s="12"/>
      <c r="D31" s="12"/>
      <c r="E31" s="13"/>
      <c r="F31" s="13"/>
      <c r="G31" s="12"/>
      <c r="H31" s="12"/>
      <c r="I31" s="12"/>
      <c r="J31" s="12"/>
      <c r="K31" s="12"/>
      <c r="L31" s="13"/>
      <c r="M31" s="12"/>
      <c r="N31" s="12"/>
      <c r="O31" s="12"/>
    </row>
    <row r="32" spans="1:15">
      <c r="A32" s="12"/>
      <c r="B32" s="12"/>
      <c r="C32" s="12"/>
      <c r="D32" s="12"/>
      <c r="E32" s="13"/>
      <c r="F32" s="13"/>
      <c r="G32" s="12"/>
      <c r="H32" s="12"/>
      <c r="I32" s="12"/>
      <c r="J32" s="12"/>
      <c r="K32" s="12"/>
      <c r="L32" s="13"/>
      <c r="M32" s="12"/>
      <c r="N32" s="12"/>
      <c r="O32" s="12"/>
    </row>
    <row r="33" spans="1:15">
      <c r="A33" s="12"/>
      <c r="B33" s="12"/>
      <c r="C33" s="12"/>
      <c r="D33" s="12"/>
      <c r="E33" s="13"/>
      <c r="F33" s="13"/>
      <c r="G33" s="12"/>
      <c r="H33" s="12"/>
      <c r="I33" s="12"/>
      <c r="J33" s="12"/>
      <c r="K33" s="12"/>
      <c r="L33" s="13"/>
      <c r="M33" s="12"/>
      <c r="N33" s="12"/>
      <c r="O33" s="12"/>
    </row>
    <row r="34" spans="1:15">
      <c r="A34" s="12"/>
      <c r="B34" s="12"/>
      <c r="C34" s="12"/>
      <c r="D34" s="12"/>
      <c r="E34" s="13"/>
      <c r="F34" s="13"/>
      <c r="G34" s="12"/>
      <c r="H34" s="12"/>
      <c r="I34" s="12"/>
      <c r="J34" s="12"/>
      <c r="K34" s="12"/>
      <c r="L34" s="13"/>
      <c r="M34" s="12"/>
      <c r="N34" s="12"/>
      <c r="O34" s="12"/>
    </row>
    <row r="35" spans="1:15">
      <c r="A35" s="12"/>
      <c r="B35" s="12"/>
      <c r="C35" s="12"/>
      <c r="D35" s="12"/>
      <c r="E35" s="13"/>
      <c r="F35" s="13"/>
      <c r="G35" s="12"/>
      <c r="H35" s="12"/>
      <c r="I35" s="12"/>
      <c r="J35" s="12"/>
      <c r="K35" s="12"/>
      <c r="L35" s="13"/>
      <c r="M35" s="12"/>
      <c r="N35" s="12"/>
      <c r="O35" s="12"/>
    </row>
    <row r="36" spans="1:15">
      <c r="A36" s="12"/>
      <c r="B36" s="12"/>
      <c r="C36" s="12"/>
      <c r="D36" s="12"/>
      <c r="E36" s="13"/>
      <c r="F36" s="13"/>
      <c r="G36" s="12"/>
      <c r="H36" s="12"/>
      <c r="I36" s="12"/>
      <c r="J36" s="12"/>
      <c r="K36" s="12"/>
      <c r="L36" s="13"/>
      <c r="M36" s="12"/>
      <c r="N36" s="12"/>
      <c r="O36" s="12"/>
    </row>
    <row r="37" spans="1:15">
      <c r="A37" s="12"/>
      <c r="B37" s="12"/>
      <c r="C37" s="12"/>
      <c r="D37" s="12"/>
      <c r="E37" s="13"/>
      <c r="F37" s="13"/>
      <c r="G37" s="12"/>
      <c r="H37" s="12"/>
      <c r="I37" s="12"/>
      <c r="J37" s="12"/>
      <c r="K37" s="12"/>
      <c r="L37" s="13"/>
      <c r="M37" s="12"/>
      <c r="N37" s="12"/>
      <c r="O37" s="12"/>
    </row>
    <row r="38" spans="1:15">
      <c r="A38" s="12"/>
      <c r="B38" s="12"/>
      <c r="C38" s="12"/>
      <c r="D38" s="12"/>
      <c r="E38" s="13"/>
      <c r="F38" s="13"/>
      <c r="G38" s="12"/>
      <c r="H38" s="12"/>
      <c r="I38" s="12"/>
      <c r="J38" s="12"/>
      <c r="K38" s="12"/>
      <c r="L38" s="13"/>
      <c r="M38" s="12"/>
      <c r="N38" s="12"/>
      <c r="O38" s="12"/>
    </row>
    <row r="39" spans="1:15">
      <c r="A39" s="12"/>
      <c r="B39" s="12"/>
      <c r="C39" s="12"/>
      <c r="D39" s="12"/>
      <c r="E39" s="13"/>
      <c r="F39" s="13"/>
      <c r="G39" s="12"/>
      <c r="H39" s="12"/>
      <c r="I39" s="12"/>
      <c r="J39" s="12"/>
      <c r="K39" s="12"/>
      <c r="L39" s="13"/>
      <c r="M39" s="12"/>
      <c r="N39" s="12"/>
      <c r="O39" s="12"/>
    </row>
    <row r="40" spans="1:15">
      <c r="A40" s="12"/>
      <c r="B40" s="12"/>
      <c r="C40" s="12"/>
      <c r="D40" s="12"/>
      <c r="E40" s="13"/>
      <c r="F40" s="13"/>
      <c r="G40" s="12"/>
      <c r="H40" s="12"/>
      <c r="I40" s="12"/>
      <c r="J40" s="12"/>
      <c r="K40" s="12"/>
      <c r="L40" s="13"/>
      <c r="M40" s="12"/>
      <c r="N40" s="12"/>
      <c r="O40" s="12"/>
    </row>
    <row r="41" spans="1:15">
      <c r="A41" s="12"/>
      <c r="B41" s="12"/>
      <c r="C41" s="12"/>
      <c r="D41" s="12"/>
      <c r="E41" s="13"/>
      <c r="F41" s="13"/>
      <c r="G41" s="12"/>
      <c r="H41" s="12"/>
      <c r="I41" s="12"/>
      <c r="J41" s="12"/>
      <c r="K41" s="12"/>
      <c r="L41" s="13"/>
      <c r="M41" s="12"/>
      <c r="N41" s="12"/>
      <c r="O41" s="12"/>
    </row>
    <row r="42" spans="1:15">
      <c r="A42" s="12"/>
      <c r="B42" s="12"/>
      <c r="C42" s="12"/>
      <c r="D42" s="12"/>
      <c r="E42" s="13"/>
      <c r="F42" s="13"/>
      <c r="G42" s="12"/>
      <c r="H42" s="12"/>
      <c r="I42" s="12"/>
      <c r="J42" s="12"/>
      <c r="K42" s="12"/>
      <c r="L42" s="13"/>
      <c r="M42" s="12"/>
      <c r="N42" s="12"/>
      <c r="O42" s="12"/>
    </row>
    <row r="43" spans="1:15">
      <c r="A43" s="12"/>
      <c r="B43" s="12"/>
      <c r="C43" s="12"/>
      <c r="D43" s="12"/>
      <c r="E43" s="13"/>
      <c r="F43" s="13"/>
      <c r="G43" s="12"/>
      <c r="H43" s="12"/>
      <c r="I43" s="12"/>
      <c r="J43" s="12"/>
      <c r="K43" s="12"/>
      <c r="L43" s="13"/>
      <c r="M43" s="12"/>
      <c r="N43" s="12"/>
      <c r="O43" s="12"/>
    </row>
    <row r="44" spans="1:15">
      <c r="A44" s="12"/>
      <c r="B44" s="12"/>
      <c r="C44" s="12"/>
      <c r="D44" s="12"/>
      <c r="E44" s="13"/>
      <c r="F44" s="13"/>
      <c r="G44" s="12"/>
      <c r="H44" s="12"/>
      <c r="I44" s="12"/>
      <c r="J44" s="12"/>
      <c r="K44" s="12"/>
      <c r="L44" s="13"/>
      <c r="M44" s="12"/>
      <c r="N44" s="12"/>
      <c r="O44" s="12"/>
    </row>
    <row r="45" spans="1:15">
      <c r="A45" s="12"/>
      <c r="B45" s="12"/>
      <c r="C45" s="12"/>
      <c r="D45" s="12"/>
      <c r="E45" s="13"/>
      <c r="F45" s="13"/>
      <c r="G45" s="12"/>
      <c r="H45" s="12"/>
      <c r="I45" s="12"/>
      <c r="J45" s="12"/>
      <c r="K45" s="12"/>
      <c r="L45" s="13"/>
      <c r="M45" s="12"/>
      <c r="N45" s="12"/>
      <c r="O45" s="12"/>
    </row>
    <row r="46" spans="1:15">
      <c r="A46" s="12"/>
      <c r="B46" s="12"/>
      <c r="C46" s="12"/>
      <c r="D46" s="12"/>
      <c r="E46" s="13"/>
      <c r="F46" s="13"/>
      <c r="G46" s="12"/>
      <c r="H46" s="12"/>
      <c r="I46" s="12"/>
      <c r="J46" s="12"/>
      <c r="K46" s="12"/>
      <c r="L46" s="13"/>
      <c r="M46" s="12"/>
      <c r="N46" s="12"/>
      <c r="O46" s="12"/>
    </row>
    <row r="47" spans="1:15">
      <c r="A47" s="12"/>
      <c r="B47" s="12"/>
      <c r="C47" s="12"/>
      <c r="D47" s="12"/>
      <c r="E47" s="13"/>
      <c r="F47" s="13"/>
      <c r="G47" s="12"/>
      <c r="H47" s="12"/>
      <c r="I47" s="12"/>
      <c r="J47" s="12"/>
      <c r="K47" s="12"/>
      <c r="L47" s="13"/>
      <c r="M47" s="12"/>
      <c r="N47" s="12"/>
      <c r="O47" s="12"/>
    </row>
    <row r="48" spans="1:15">
      <c r="A48" s="12"/>
      <c r="B48" s="12"/>
      <c r="C48" s="12"/>
      <c r="D48" s="12"/>
      <c r="E48" s="13"/>
      <c r="F48" s="13"/>
      <c r="G48" s="12"/>
      <c r="H48" s="12"/>
      <c r="I48" s="12"/>
      <c r="J48" s="12"/>
      <c r="K48" s="12"/>
      <c r="L48" s="13"/>
      <c r="M48" s="12"/>
      <c r="N48" s="12"/>
      <c r="O48" s="12"/>
    </row>
    <row r="49" spans="1:15">
      <c r="A49" s="12"/>
      <c r="B49" s="12"/>
      <c r="C49" s="12"/>
      <c r="D49" s="12"/>
      <c r="E49" s="13"/>
      <c r="F49" s="13"/>
      <c r="G49" s="12"/>
      <c r="H49" s="12"/>
      <c r="I49" s="12"/>
      <c r="J49" s="12"/>
      <c r="K49" s="12"/>
      <c r="L49" s="13"/>
      <c r="M49" s="12"/>
      <c r="N49" s="12"/>
      <c r="O49" s="12"/>
    </row>
    <row r="50" spans="1:15">
      <c r="A50" s="12"/>
      <c r="B50" s="12"/>
      <c r="C50" s="12"/>
      <c r="D50" s="12"/>
      <c r="E50" s="13"/>
      <c r="F50" s="13"/>
      <c r="G50" s="12"/>
      <c r="H50" s="12"/>
      <c r="I50" s="12"/>
      <c r="J50" s="12"/>
      <c r="K50" s="12"/>
      <c r="L50" s="13"/>
      <c r="M50" s="12"/>
      <c r="N50" s="12"/>
      <c r="O50" s="12"/>
    </row>
    <row r="51" spans="1:15">
      <c r="A51" s="12"/>
      <c r="B51" s="12"/>
      <c r="C51" s="12"/>
      <c r="D51" s="12"/>
      <c r="E51" s="13"/>
      <c r="F51" s="13"/>
      <c r="G51" s="12"/>
      <c r="H51" s="12"/>
      <c r="I51" s="12"/>
      <c r="J51" s="12"/>
      <c r="K51" s="12"/>
      <c r="L51" s="13"/>
      <c r="M51" s="12"/>
      <c r="N51" s="12"/>
      <c r="O51" s="12"/>
    </row>
    <row r="52" spans="1:15">
      <c r="A52" s="12"/>
      <c r="B52" s="12"/>
      <c r="C52" s="12"/>
      <c r="D52" s="12"/>
      <c r="E52" s="13"/>
      <c r="F52" s="13"/>
      <c r="G52" s="12"/>
      <c r="H52" s="12"/>
      <c r="I52" s="12"/>
      <c r="J52" s="12"/>
      <c r="K52" s="12"/>
      <c r="L52" s="13"/>
      <c r="M52" s="12"/>
      <c r="N52" s="12"/>
      <c r="O52" s="12"/>
    </row>
    <row r="53" spans="1:15">
      <c r="A53" s="12"/>
      <c r="B53" s="12"/>
      <c r="C53" s="12"/>
      <c r="D53" s="12"/>
      <c r="E53" s="13"/>
      <c r="F53" s="13"/>
      <c r="G53" s="12"/>
      <c r="H53" s="12"/>
      <c r="I53" s="12"/>
      <c r="J53" s="12"/>
      <c r="K53" s="12"/>
      <c r="L53" s="13"/>
      <c r="M53" s="12"/>
      <c r="N53" s="12"/>
      <c r="O53" s="12"/>
    </row>
    <row r="54" spans="1:15">
      <c r="A54" s="12"/>
      <c r="B54" s="12"/>
      <c r="C54" s="12"/>
      <c r="D54" s="12"/>
      <c r="E54" s="13"/>
      <c r="F54" s="13"/>
      <c r="G54" s="12"/>
      <c r="H54" s="12"/>
      <c r="I54" s="12"/>
      <c r="J54" s="12"/>
      <c r="K54" s="12"/>
      <c r="L54" s="13"/>
      <c r="M54" s="12"/>
      <c r="N54" s="12"/>
      <c r="O54" s="12"/>
    </row>
    <row r="55" spans="1:15">
      <c r="A55" s="12"/>
      <c r="B55" s="12"/>
      <c r="C55" s="12"/>
      <c r="D55" s="12"/>
      <c r="E55" s="13"/>
      <c r="F55" s="13"/>
      <c r="G55" s="12"/>
      <c r="H55" s="12"/>
      <c r="I55" s="12"/>
      <c r="J55" s="12"/>
      <c r="K55" s="12"/>
      <c r="L55" s="13"/>
      <c r="M55" s="12"/>
      <c r="N55" s="12"/>
      <c r="O55" s="12"/>
    </row>
    <row r="56" spans="1:15">
      <c r="A56" s="12"/>
      <c r="B56" s="12"/>
      <c r="C56" s="12"/>
      <c r="D56" s="12"/>
      <c r="E56" s="13"/>
      <c r="F56" s="13"/>
      <c r="G56" s="12"/>
      <c r="H56" s="12"/>
      <c r="I56" s="12"/>
      <c r="J56" s="12"/>
      <c r="K56" s="12"/>
      <c r="L56" s="13"/>
      <c r="M56" s="12"/>
      <c r="N56" s="12"/>
      <c r="O56" s="12"/>
    </row>
    <row r="57" spans="1:15">
      <c r="A57" s="12"/>
      <c r="B57" s="12"/>
      <c r="C57" s="12"/>
      <c r="D57" s="12"/>
      <c r="E57" s="13"/>
      <c r="F57" s="13"/>
      <c r="G57" s="12"/>
      <c r="H57" s="12"/>
      <c r="I57" s="12"/>
      <c r="J57" s="12"/>
      <c r="K57" s="12"/>
      <c r="L57" s="13"/>
      <c r="M57" s="12"/>
      <c r="N57" s="12"/>
      <c r="O57" s="12"/>
    </row>
    <row r="58" spans="1:15">
      <c r="A58" s="12"/>
      <c r="B58" s="12"/>
      <c r="C58" s="12"/>
      <c r="D58" s="12"/>
      <c r="E58" s="13"/>
      <c r="F58" s="13"/>
      <c r="G58" s="12"/>
      <c r="H58" s="12"/>
      <c r="I58" s="12"/>
      <c r="J58" s="12"/>
      <c r="K58" s="12"/>
      <c r="L58" s="13"/>
      <c r="M58" s="12"/>
      <c r="N58" s="12"/>
      <c r="O58" s="12"/>
    </row>
    <row r="59" spans="1:15">
      <c r="A59" s="12"/>
      <c r="B59" s="12"/>
      <c r="C59" s="12"/>
      <c r="D59" s="12"/>
      <c r="E59" s="13"/>
      <c r="F59" s="13"/>
      <c r="G59" s="12"/>
      <c r="H59" s="12"/>
      <c r="I59" s="12"/>
      <c r="J59" s="12"/>
      <c r="K59" s="12"/>
      <c r="L59" s="13"/>
      <c r="M59" s="12"/>
      <c r="N59" s="12"/>
      <c r="O59" s="12"/>
    </row>
    <row r="60" spans="1:15">
      <c r="A60" s="12"/>
      <c r="B60" s="12"/>
      <c r="C60" s="12"/>
      <c r="D60" s="12"/>
      <c r="E60" s="13"/>
      <c r="F60" s="13"/>
      <c r="G60" s="12"/>
      <c r="H60" s="12"/>
      <c r="I60" s="12"/>
      <c r="J60" s="12"/>
      <c r="K60" s="12"/>
      <c r="L60" s="13"/>
      <c r="M60" s="12"/>
      <c r="N60" s="12"/>
      <c r="O60" s="12"/>
    </row>
    <row r="61" spans="1:15">
      <c r="A61" s="12"/>
      <c r="B61" s="12"/>
      <c r="C61" s="12"/>
      <c r="D61" s="12"/>
      <c r="E61" s="13"/>
      <c r="F61" s="13"/>
      <c r="G61" s="12"/>
      <c r="H61" s="12"/>
      <c r="I61" s="12"/>
      <c r="J61" s="12"/>
      <c r="K61" s="12"/>
      <c r="L61" s="13"/>
      <c r="M61" s="12"/>
      <c r="N61" s="12"/>
      <c r="O61" s="12"/>
    </row>
    <row r="62" spans="1:15">
      <c r="A62" s="12"/>
      <c r="B62" s="12"/>
      <c r="C62" s="12"/>
      <c r="D62" s="12"/>
      <c r="E62" s="13"/>
      <c r="F62" s="13"/>
      <c r="G62" s="12"/>
      <c r="H62" s="12"/>
      <c r="I62" s="12"/>
      <c r="J62" s="12"/>
      <c r="K62" s="12"/>
      <c r="L62" s="13"/>
      <c r="M62" s="12"/>
      <c r="N62" s="12"/>
      <c r="O62" s="12"/>
    </row>
    <row r="63" spans="1:15">
      <c r="A63" s="12"/>
      <c r="B63" s="12"/>
      <c r="C63" s="12"/>
      <c r="D63" s="12"/>
      <c r="E63" s="13"/>
      <c r="F63" s="13"/>
      <c r="G63" s="12"/>
      <c r="H63" s="12"/>
      <c r="I63" s="12"/>
      <c r="J63" s="12"/>
      <c r="K63" s="12"/>
      <c r="L63" s="13"/>
      <c r="M63" s="12"/>
      <c r="N63" s="12"/>
      <c r="O63" s="12"/>
    </row>
    <row r="64" spans="1:15">
      <c r="A64" s="12"/>
      <c r="B64" s="12"/>
      <c r="C64" s="12"/>
      <c r="D64" s="12"/>
      <c r="E64" s="13"/>
      <c r="F64" s="13"/>
      <c r="G64" s="12"/>
      <c r="H64" s="12"/>
      <c r="I64" s="12"/>
      <c r="J64" s="12"/>
      <c r="K64" s="12"/>
      <c r="L64" s="13"/>
      <c r="M64" s="12"/>
      <c r="N64" s="12"/>
      <c r="O64" s="12"/>
    </row>
    <row r="65" spans="1:15">
      <c r="A65" s="12"/>
      <c r="B65" s="12"/>
      <c r="C65" s="12"/>
      <c r="D65" s="12"/>
      <c r="E65" s="13"/>
      <c r="F65" s="13"/>
      <c r="G65" s="12"/>
      <c r="H65" s="12"/>
      <c r="I65" s="12"/>
      <c r="J65" s="12"/>
      <c r="K65" s="12"/>
      <c r="L65" s="13"/>
      <c r="M65" s="12"/>
      <c r="N65" s="12"/>
      <c r="O65" s="12"/>
    </row>
    <row r="66" spans="1:15">
      <c r="A66" s="12"/>
      <c r="B66" s="12"/>
      <c r="C66" s="12"/>
      <c r="D66" s="12"/>
      <c r="E66" s="13"/>
      <c r="F66" s="13"/>
      <c r="G66" s="12"/>
      <c r="H66" s="12"/>
      <c r="I66" s="12"/>
      <c r="J66" s="12"/>
      <c r="K66" s="12"/>
      <c r="L66" s="13"/>
      <c r="M66" s="12"/>
      <c r="N66" s="12"/>
      <c r="O66" s="12"/>
    </row>
    <row r="67" spans="1:15">
      <c r="A67" s="12"/>
      <c r="B67" s="12"/>
      <c r="C67" s="12"/>
      <c r="D67" s="12"/>
      <c r="E67" s="13"/>
      <c r="F67" s="13"/>
      <c r="G67" s="12"/>
      <c r="H67" s="12"/>
      <c r="I67" s="12"/>
      <c r="J67" s="12"/>
      <c r="K67" s="12"/>
      <c r="L67" s="13"/>
      <c r="M67" s="12"/>
      <c r="N67" s="12"/>
      <c r="O67" s="12"/>
    </row>
    <row r="68" spans="1:15">
      <c r="A68" s="12"/>
      <c r="B68" s="12"/>
      <c r="C68" s="12"/>
      <c r="D68" s="12"/>
      <c r="E68" s="13"/>
      <c r="F68" s="13"/>
      <c r="G68" s="12"/>
      <c r="H68" s="12"/>
      <c r="I68" s="12"/>
      <c r="J68" s="12"/>
      <c r="K68" s="12"/>
      <c r="L68" s="13"/>
      <c r="M68" s="12"/>
      <c r="N68" s="12"/>
      <c r="O68" s="12"/>
    </row>
    <row r="69" spans="1:15">
      <c r="A69" s="12"/>
      <c r="B69" s="12"/>
      <c r="C69" s="12"/>
      <c r="D69" s="12"/>
      <c r="E69" s="13"/>
      <c r="F69" s="13"/>
      <c r="G69" s="12"/>
      <c r="H69" s="12"/>
      <c r="I69" s="12"/>
      <c r="J69" s="12"/>
      <c r="K69" s="12"/>
      <c r="L69" s="13"/>
      <c r="M69" s="12"/>
      <c r="N69" s="12"/>
      <c r="O69" s="12"/>
    </row>
    <row r="70" spans="1:15">
      <c r="A70" s="12"/>
      <c r="B70" s="12"/>
      <c r="C70" s="12"/>
      <c r="D70" s="12"/>
      <c r="E70" s="13"/>
      <c r="F70" s="13"/>
      <c r="G70" s="12"/>
      <c r="H70" s="12"/>
      <c r="I70" s="12"/>
      <c r="J70" s="12"/>
      <c r="K70" s="12"/>
      <c r="L70" s="13"/>
      <c r="M70" s="12"/>
      <c r="N70" s="12"/>
      <c r="O70" s="12"/>
    </row>
    <row r="71" spans="1:15">
      <c r="A71" s="12"/>
      <c r="B71" s="12"/>
      <c r="C71" s="12"/>
      <c r="D71" s="12"/>
      <c r="E71" s="13"/>
      <c r="F71" s="13"/>
      <c r="G71" s="12"/>
      <c r="H71" s="12"/>
      <c r="I71" s="12"/>
      <c r="J71" s="12"/>
      <c r="K71" s="12"/>
      <c r="L71" s="13"/>
      <c r="M71" s="12"/>
      <c r="N71" s="12"/>
      <c r="O71" s="12"/>
    </row>
    <row r="72" spans="1:15">
      <c r="A72" s="12"/>
      <c r="B72" s="12"/>
      <c r="C72" s="12"/>
      <c r="D72" s="12"/>
      <c r="E72" s="13"/>
      <c r="F72" s="13"/>
      <c r="G72" s="12"/>
      <c r="H72" s="12"/>
      <c r="I72" s="12"/>
      <c r="J72" s="12"/>
      <c r="K72" s="12"/>
      <c r="L72" s="13"/>
      <c r="M72" s="12"/>
      <c r="N72" s="12"/>
      <c r="O72" s="12"/>
    </row>
    <row r="73" spans="1:15">
      <c r="A73" s="12"/>
      <c r="B73" s="12"/>
      <c r="C73" s="12"/>
      <c r="D73" s="12"/>
      <c r="E73" s="13"/>
      <c r="F73" s="13"/>
      <c r="G73" s="12"/>
      <c r="H73" s="12"/>
      <c r="I73" s="12"/>
      <c r="J73" s="12"/>
      <c r="K73" s="12"/>
      <c r="L73" s="13"/>
      <c r="M73" s="12"/>
      <c r="N73" s="12"/>
      <c r="O73" s="12"/>
    </row>
    <row r="74" spans="1:15">
      <c r="A74" s="12"/>
      <c r="B74" s="12"/>
      <c r="C74" s="12"/>
      <c r="D74" s="12"/>
      <c r="E74" s="13"/>
      <c r="F74" s="13"/>
      <c r="G74" s="12"/>
      <c r="H74" s="12"/>
      <c r="I74" s="12"/>
      <c r="J74" s="12"/>
      <c r="K74" s="12"/>
      <c r="L74" s="13"/>
      <c r="M74" s="12"/>
      <c r="N74" s="12"/>
      <c r="O74" s="12"/>
    </row>
    <row r="75" spans="1:15">
      <c r="A75" s="12"/>
      <c r="B75" s="12"/>
      <c r="C75" s="12"/>
      <c r="D75" s="12"/>
      <c r="E75" s="13"/>
      <c r="F75" s="13"/>
      <c r="G75" s="12"/>
      <c r="H75" s="12"/>
      <c r="I75" s="12"/>
      <c r="J75" s="12"/>
      <c r="K75" s="12"/>
      <c r="L75" s="13"/>
      <c r="M75" s="12"/>
      <c r="N75" s="12"/>
      <c r="O75" s="12"/>
    </row>
    <row r="76" spans="1:15">
      <c r="A76" s="12"/>
      <c r="B76" s="12"/>
      <c r="C76" s="12"/>
      <c r="D76" s="12"/>
      <c r="E76" s="13"/>
      <c r="F76" s="13"/>
      <c r="G76" s="12"/>
      <c r="H76" s="12"/>
      <c r="I76" s="12"/>
      <c r="J76" s="12"/>
      <c r="K76" s="12"/>
      <c r="L76" s="13"/>
      <c r="M76" s="12"/>
      <c r="N76" s="12"/>
      <c r="O76" s="12"/>
    </row>
    <row r="77" spans="1:15">
      <c r="A77" s="12"/>
      <c r="B77" s="12"/>
      <c r="C77" s="12"/>
      <c r="D77" s="12"/>
      <c r="E77" s="13"/>
      <c r="F77" s="13"/>
      <c r="G77" s="12"/>
      <c r="H77" s="12"/>
      <c r="I77" s="12"/>
      <c r="J77" s="12"/>
      <c r="K77" s="12"/>
      <c r="L77" s="13"/>
      <c r="M77" s="12"/>
      <c r="N77" s="12"/>
      <c r="O77" s="12"/>
    </row>
    <row r="78" spans="1:15">
      <c r="A78" s="12"/>
      <c r="B78" s="12"/>
      <c r="C78" s="12"/>
      <c r="D78" s="12"/>
      <c r="E78" s="13"/>
      <c r="F78" s="13"/>
      <c r="G78" s="12"/>
      <c r="H78" s="12"/>
      <c r="I78" s="12"/>
      <c r="J78" s="12"/>
      <c r="K78" s="12"/>
      <c r="L78" s="13"/>
      <c r="M78" s="12"/>
      <c r="N78" s="12"/>
      <c r="O78" s="12"/>
    </row>
    <row r="79" spans="1:15">
      <c r="A79" s="12"/>
      <c r="B79" s="12"/>
      <c r="C79" s="12"/>
      <c r="D79" s="12"/>
      <c r="E79" s="13"/>
      <c r="F79" s="13"/>
      <c r="G79" s="12"/>
      <c r="H79" s="12"/>
      <c r="I79" s="12"/>
      <c r="J79" s="12"/>
      <c r="K79" s="12"/>
      <c r="L79" s="13"/>
      <c r="M79" s="12"/>
      <c r="N79" s="12"/>
      <c r="O79" s="12"/>
    </row>
    <row r="80" spans="1:15">
      <c r="A80" s="12"/>
      <c r="B80" s="12"/>
      <c r="C80" s="12"/>
      <c r="D80" s="12"/>
      <c r="E80" s="13"/>
      <c r="F80" s="13"/>
      <c r="G80" s="12"/>
      <c r="H80" s="12"/>
      <c r="I80" s="12"/>
      <c r="J80" s="12"/>
      <c r="K80" s="12"/>
      <c r="L80" s="13"/>
      <c r="M80" s="12"/>
      <c r="N80" s="12"/>
      <c r="O80" s="12"/>
    </row>
    <row r="81" spans="1:15">
      <c r="A81" s="12"/>
      <c r="B81" s="12"/>
      <c r="C81" s="12"/>
      <c r="D81" s="12"/>
      <c r="E81" s="13"/>
      <c r="F81" s="13"/>
      <c r="G81" s="12"/>
      <c r="H81" s="12"/>
      <c r="I81" s="12"/>
      <c r="J81" s="12"/>
      <c r="K81" s="12"/>
      <c r="L81" s="13"/>
      <c r="M81" s="12"/>
      <c r="N81" s="12"/>
      <c r="O81" s="12"/>
    </row>
    <row r="82" spans="1:15">
      <c r="A82" s="12"/>
      <c r="B82" s="12"/>
      <c r="C82" s="12"/>
      <c r="D82" s="12"/>
      <c r="E82" s="13"/>
      <c r="F82" s="13"/>
      <c r="G82" s="12"/>
      <c r="H82" s="12"/>
      <c r="I82" s="12"/>
      <c r="J82" s="12"/>
      <c r="K82" s="12"/>
      <c r="L82" s="13"/>
      <c r="M82" s="12"/>
      <c r="N82" s="12"/>
      <c r="O82" s="12"/>
    </row>
    <row r="83" spans="1:15">
      <c r="A83" s="12"/>
      <c r="B83" s="12"/>
      <c r="C83" s="12"/>
      <c r="D83" s="12"/>
      <c r="E83" s="13"/>
      <c r="F83" s="13"/>
      <c r="G83" s="12"/>
      <c r="H83" s="12"/>
      <c r="I83" s="12"/>
      <c r="J83" s="12"/>
      <c r="K83" s="12"/>
      <c r="L83" s="13"/>
      <c r="M83" s="12"/>
      <c r="N83" s="12"/>
      <c r="O83" s="12"/>
    </row>
    <row r="84" spans="1:15">
      <c r="A84" s="12"/>
      <c r="B84" s="12"/>
      <c r="C84" s="12"/>
      <c r="D84" s="12"/>
      <c r="E84" s="13"/>
      <c r="F84" s="13"/>
      <c r="G84" s="12"/>
      <c r="H84" s="12"/>
      <c r="I84" s="12"/>
      <c r="J84" s="12"/>
      <c r="K84" s="12"/>
      <c r="L84" s="13"/>
      <c r="M84" s="12"/>
      <c r="N84" s="12"/>
      <c r="O84" s="12"/>
    </row>
    <row r="85" spans="1:15">
      <c r="A85" s="12"/>
      <c r="B85" s="12"/>
      <c r="C85" s="12"/>
      <c r="D85" s="12"/>
      <c r="E85" s="13"/>
      <c r="F85" s="13"/>
      <c r="G85" s="12"/>
      <c r="H85" s="12"/>
      <c r="I85" s="12"/>
      <c r="J85" s="12"/>
      <c r="K85" s="12"/>
      <c r="L85" s="13"/>
      <c r="M85" s="12"/>
      <c r="N85" s="12"/>
      <c r="O85" s="12"/>
    </row>
    <row r="86" spans="1:15">
      <c r="A86" s="12"/>
      <c r="B86" s="12"/>
      <c r="C86" s="12"/>
      <c r="D86" s="12"/>
      <c r="E86" s="13"/>
      <c r="F86" s="13"/>
      <c r="G86" s="12"/>
      <c r="H86" s="12"/>
      <c r="I86" s="12"/>
      <c r="J86" s="12"/>
      <c r="K86" s="12"/>
      <c r="L86" s="13"/>
      <c r="M86" s="12"/>
      <c r="N86" s="12"/>
      <c r="O86" s="12"/>
    </row>
    <row r="87" spans="1:15">
      <c r="A87" s="12"/>
      <c r="B87" s="12"/>
      <c r="C87" s="12"/>
      <c r="D87" s="12"/>
      <c r="E87" s="13"/>
      <c r="F87" s="13"/>
      <c r="G87" s="12"/>
      <c r="H87" s="12"/>
      <c r="I87" s="12"/>
      <c r="J87" s="12"/>
      <c r="K87" s="12"/>
      <c r="L87" s="13"/>
      <c r="M87" s="12"/>
      <c r="N87" s="12"/>
      <c r="O87" s="12"/>
    </row>
    <row r="88" spans="1:15">
      <c r="A88" s="12"/>
      <c r="B88" s="12"/>
      <c r="C88" s="12"/>
      <c r="D88" s="12"/>
      <c r="E88" s="13"/>
      <c r="F88" s="13"/>
      <c r="G88" s="12"/>
      <c r="H88" s="12"/>
      <c r="I88" s="12"/>
      <c r="J88" s="12"/>
      <c r="K88" s="12"/>
      <c r="L88" s="13"/>
      <c r="M88" s="12"/>
      <c r="N88" s="12"/>
      <c r="O88" s="12"/>
    </row>
    <row r="89" spans="1:15">
      <c r="A89" s="12"/>
      <c r="B89" s="12"/>
      <c r="C89" s="12"/>
      <c r="D89" s="12"/>
      <c r="E89" s="13"/>
      <c r="F89" s="13"/>
      <c r="G89" s="12"/>
      <c r="H89" s="12"/>
      <c r="I89" s="12"/>
      <c r="J89" s="12"/>
      <c r="K89" s="12"/>
      <c r="L89" s="13"/>
      <c r="M89" s="12"/>
      <c r="N89" s="12"/>
      <c r="O89" s="12"/>
    </row>
    <row r="90" spans="1:15">
      <c r="A90" s="12"/>
      <c r="B90" s="12"/>
      <c r="C90" s="12"/>
      <c r="D90" s="12"/>
      <c r="E90" s="13"/>
      <c r="F90" s="13"/>
      <c r="G90" s="12"/>
      <c r="H90" s="12"/>
      <c r="I90" s="12"/>
      <c r="J90" s="12"/>
      <c r="K90" s="12"/>
      <c r="L90" s="13"/>
      <c r="M90" s="12"/>
      <c r="N90" s="12"/>
      <c r="O90" s="12"/>
    </row>
    <row r="91" spans="1:15">
      <c r="A91" s="12"/>
      <c r="B91" s="12"/>
      <c r="C91" s="12"/>
      <c r="D91" s="12"/>
      <c r="E91" s="13"/>
      <c r="F91" s="13"/>
      <c r="G91" s="12"/>
      <c r="H91" s="12"/>
      <c r="I91" s="12"/>
      <c r="J91" s="12"/>
      <c r="K91" s="12"/>
      <c r="L91" s="13"/>
      <c r="M91" s="12"/>
      <c r="N91" s="12"/>
      <c r="O91" s="12"/>
    </row>
    <row r="92" spans="1:15">
      <c r="A92" s="12"/>
      <c r="B92" s="12"/>
      <c r="C92" s="12"/>
      <c r="D92" s="12"/>
      <c r="E92" s="13"/>
      <c r="F92" s="13"/>
      <c r="G92" s="12"/>
      <c r="H92" s="12"/>
      <c r="I92" s="12"/>
      <c r="J92" s="12"/>
      <c r="K92" s="12"/>
      <c r="L92" s="13"/>
      <c r="M92" s="12"/>
      <c r="N92" s="12"/>
      <c r="O92" s="12"/>
    </row>
    <row r="93" spans="1:15">
      <c r="A93" s="12"/>
      <c r="B93" s="12"/>
      <c r="C93" s="12"/>
      <c r="D93" s="12"/>
      <c r="E93" s="13"/>
      <c r="F93" s="13"/>
      <c r="G93" s="12"/>
      <c r="H93" s="12"/>
      <c r="I93" s="12"/>
      <c r="J93" s="12"/>
      <c r="K93" s="12"/>
      <c r="L93" s="13"/>
      <c r="M93" s="12"/>
      <c r="N93" s="12"/>
      <c r="O93" s="12"/>
    </row>
    <row r="94" spans="1:15">
      <c r="A94" s="12"/>
      <c r="B94" s="12"/>
      <c r="C94" s="12"/>
      <c r="D94" s="12"/>
      <c r="E94" s="13"/>
      <c r="F94" s="13"/>
      <c r="G94" s="12"/>
      <c r="H94" s="12"/>
      <c r="I94" s="12"/>
      <c r="J94" s="12"/>
      <c r="K94" s="12"/>
      <c r="L94" s="13"/>
      <c r="M94" s="12"/>
      <c r="N94" s="12"/>
      <c r="O94" s="12"/>
    </row>
    <row r="95" spans="1:15">
      <c r="A95" s="12"/>
      <c r="B95" s="12"/>
      <c r="C95" s="12"/>
      <c r="D95" s="12"/>
      <c r="E95" s="13"/>
      <c r="F95" s="13"/>
      <c r="G95" s="12"/>
      <c r="H95" s="12"/>
      <c r="I95" s="12"/>
      <c r="J95" s="12"/>
      <c r="K95" s="12"/>
      <c r="L95" s="13"/>
      <c r="M95" s="12"/>
      <c r="N95" s="12"/>
      <c r="O95" s="12"/>
    </row>
    <row r="96" spans="1:15">
      <c r="A96" s="12"/>
      <c r="B96" s="12"/>
      <c r="C96" s="12"/>
      <c r="D96" s="12"/>
      <c r="E96" s="13"/>
      <c r="F96" s="13"/>
      <c r="G96" s="12"/>
      <c r="H96" s="12"/>
      <c r="I96" s="12"/>
      <c r="J96" s="12"/>
      <c r="K96" s="12"/>
      <c r="L96" s="13"/>
      <c r="M96" s="12"/>
      <c r="N96" s="12"/>
      <c r="O96" s="12"/>
    </row>
    <row r="97" spans="1:15">
      <c r="A97" s="12"/>
      <c r="B97" s="12"/>
      <c r="C97" s="12"/>
      <c r="D97" s="12"/>
      <c r="E97" s="13"/>
      <c r="F97" s="13"/>
      <c r="G97" s="12"/>
      <c r="H97" s="12"/>
      <c r="I97" s="12"/>
      <c r="J97" s="12"/>
      <c r="K97" s="12"/>
      <c r="L97" s="13"/>
      <c r="M97" s="12"/>
      <c r="N97" s="12"/>
      <c r="O97" s="12"/>
    </row>
    <row r="98" spans="1:15">
      <c r="A98" s="12"/>
      <c r="B98" s="12"/>
      <c r="C98" s="12"/>
      <c r="D98" s="12"/>
      <c r="E98" s="13"/>
      <c r="F98" s="13"/>
      <c r="G98" s="12"/>
      <c r="H98" s="12"/>
      <c r="I98" s="12"/>
      <c r="J98" s="12"/>
      <c r="K98" s="12"/>
      <c r="L98" s="13"/>
      <c r="M98" s="12"/>
      <c r="N98" s="12"/>
      <c r="O98" s="12"/>
    </row>
    <row r="99" spans="1:15">
      <c r="A99" s="12"/>
      <c r="B99" s="12"/>
      <c r="C99" s="12"/>
      <c r="D99" s="12"/>
      <c r="E99" s="13"/>
      <c r="F99" s="13"/>
      <c r="G99" s="12"/>
      <c r="H99" s="12"/>
      <c r="I99" s="12"/>
      <c r="J99" s="12"/>
      <c r="K99" s="12"/>
      <c r="L99" s="13"/>
      <c r="M99" s="12"/>
      <c r="N99" s="12"/>
      <c r="O99" s="12"/>
    </row>
    <row r="100" spans="1:15">
      <c r="A100" s="12"/>
      <c r="B100" s="12"/>
      <c r="C100" s="12"/>
      <c r="D100" s="12"/>
      <c r="E100" s="13"/>
      <c r="F100" s="13"/>
      <c r="G100" s="12"/>
      <c r="H100" s="12"/>
      <c r="I100" s="12"/>
      <c r="J100" s="12"/>
      <c r="K100" s="12"/>
      <c r="L100" s="13"/>
      <c r="M100" s="12"/>
      <c r="N100" s="12"/>
      <c r="O100" s="12"/>
    </row>
    <row r="101" spans="1:15">
      <c r="A101" s="12"/>
      <c r="B101" s="12"/>
      <c r="C101" s="12"/>
      <c r="D101" s="12"/>
      <c r="E101" s="13"/>
      <c r="F101" s="13"/>
      <c r="G101" s="12"/>
      <c r="H101" s="12"/>
      <c r="I101" s="12"/>
      <c r="J101" s="12"/>
      <c r="K101" s="12"/>
      <c r="L101" s="13"/>
      <c r="M101" s="12"/>
      <c r="N101" s="12"/>
      <c r="O101" s="12"/>
    </row>
    <row r="102" spans="1:15">
      <c r="A102" s="12"/>
      <c r="B102" s="12"/>
      <c r="C102" s="12"/>
      <c r="D102" s="12"/>
      <c r="E102" s="13"/>
      <c r="F102" s="13"/>
      <c r="G102" s="12"/>
      <c r="H102" s="12"/>
      <c r="I102" s="12"/>
      <c r="J102" s="12"/>
      <c r="K102" s="12"/>
      <c r="L102" s="13"/>
      <c r="M102" s="12"/>
      <c r="N102" s="12"/>
      <c r="O102" s="12"/>
    </row>
    <row r="103" spans="1:15">
      <c r="A103" s="12"/>
      <c r="B103" s="12"/>
      <c r="C103" s="12"/>
      <c r="D103" s="12"/>
      <c r="E103" s="13"/>
      <c r="F103" s="13"/>
      <c r="G103" s="12"/>
      <c r="H103" s="12"/>
      <c r="I103" s="12"/>
      <c r="J103" s="12"/>
      <c r="K103" s="12"/>
      <c r="L103" s="13"/>
      <c r="M103" s="12"/>
      <c r="N103" s="12"/>
      <c r="O103" s="12"/>
    </row>
    <row r="104" spans="1:15">
      <c r="A104" s="12"/>
      <c r="B104" s="12"/>
      <c r="C104" s="12"/>
      <c r="D104" s="12"/>
      <c r="E104" s="13"/>
      <c r="F104" s="13"/>
      <c r="G104" s="12"/>
      <c r="H104" s="12"/>
      <c r="I104" s="12"/>
      <c r="J104" s="12"/>
      <c r="K104" s="12"/>
      <c r="L104" s="13"/>
      <c r="M104" s="12"/>
      <c r="N104" s="12"/>
      <c r="O104" s="12"/>
    </row>
    <row r="105" spans="1:15">
      <c r="A105" s="12"/>
      <c r="B105" s="12"/>
      <c r="C105" s="12"/>
      <c r="D105" s="12"/>
      <c r="E105" s="13"/>
      <c r="F105" s="13"/>
      <c r="G105" s="12"/>
      <c r="H105" s="12"/>
      <c r="I105" s="12"/>
      <c r="J105" s="12"/>
      <c r="K105" s="12"/>
      <c r="L105" s="13"/>
      <c r="M105" s="12"/>
      <c r="N105" s="12"/>
      <c r="O105" s="12"/>
    </row>
    <row r="106" spans="1:15">
      <c r="A106" s="12"/>
      <c r="B106" s="12"/>
      <c r="C106" s="12"/>
      <c r="D106" s="12"/>
      <c r="E106" s="13"/>
      <c r="F106" s="13"/>
      <c r="G106" s="12"/>
      <c r="H106" s="12"/>
      <c r="I106" s="12"/>
      <c r="J106" s="12"/>
      <c r="K106" s="12"/>
      <c r="L106" s="13"/>
      <c r="M106" s="12"/>
      <c r="N106" s="12"/>
      <c r="O106" s="12"/>
    </row>
    <row r="107" spans="1:15">
      <c r="A107" s="12"/>
      <c r="B107" s="12"/>
      <c r="C107" s="12"/>
      <c r="D107" s="12"/>
      <c r="E107" s="13"/>
      <c r="F107" s="13"/>
      <c r="G107" s="12"/>
      <c r="H107" s="12"/>
      <c r="I107" s="12"/>
      <c r="J107" s="12"/>
      <c r="K107" s="12"/>
      <c r="L107" s="13"/>
      <c r="M107" s="12"/>
      <c r="N107" s="12"/>
      <c r="O107" s="12"/>
    </row>
    <row r="108" spans="1:15">
      <c r="A108" s="12"/>
      <c r="B108" s="12"/>
      <c r="C108" s="12"/>
      <c r="D108" s="12"/>
      <c r="E108" s="13"/>
      <c r="F108" s="13"/>
      <c r="G108" s="12"/>
      <c r="H108" s="12"/>
      <c r="I108" s="12"/>
      <c r="J108" s="12"/>
      <c r="K108" s="12"/>
      <c r="L108" s="13"/>
      <c r="M108" s="12"/>
      <c r="N108" s="12"/>
      <c r="O108" s="12"/>
    </row>
    <row r="109" spans="1:15">
      <c r="A109" s="12"/>
      <c r="B109" s="12"/>
      <c r="C109" s="12"/>
      <c r="D109" s="12"/>
      <c r="E109" s="13"/>
      <c r="F109" s="13"/>
      <c r="G109" s="12"/>
      <c r="H109" s="12"/>
      <c r="I109" s="12"/>
      <c r="J109" s="12"/>
      <c r="K109" s="12"/>
      <c r="L109" s="13"/>
      <c r="M109" s="12"/>
      <c r="N109" s="12"/>
      <c r="O109" s="12"/>
    </row>
    <row r="110" spans="1:15">
      <c r="A110" s="12"/>
      <c r="B110" s="12"/>
      <c r="C110" s="12"/>
      <c r="D110" s="12"/>
      <c r="E110" s="13"/>
      <c r="F110" s="13"/>
      <c r="G110" s="12"/>
      <c r="H110" s="12"/>
      <c r="I110" s="12"/>
      <c r="J110" s="12"/>
      <c r="K110" s="12"/>
      <c r="L110" s="13"/>
      <c r="M110" s="12"/>
      <c r="N110" s="12"/>
      <c r="O110" s="12"/>
    </row>
    <row r="111" spans="1:15">
      <c r="A111" s="12"/>
      <c r="B111" s="12"/>
      <c r="C111" s="12"/>
      <c r="D111" s="12"/>
      <c r="E111" s="13"/>
      <c r="F111" s="13"/>
      <c r="G111" s="12"/>
      <c r="H111" s="12"/>
      <c r="I111" s="12"/>
      <c r="J111" s="12"/>
      <c r="K111" s="12"/>
      <c r="L111" s="13"/>
      <c r="M111" s="12"/>
      <c r="N111" s="12"/>
      <c r="O111" s="12"/>
    </row>
    <row r="112" spans="1:15">
      <c r="A112" s="12"/>
      <c r="B112" s="12"/>
      <c r="C112" s="12"/>
      <c r="D112" s="12"/>
      <c r="E112" s="13"/>
      <c r="F112" s="13"/>
      <c r="G112" s="12"/>
      <c r="H112" s="12"/>
      <c r="I112" s="12"/>
      <c r="J112" s="12"/>
      <c r="K112" s="12"/>
      <c r="L112" s="13"/>
      <c r="M112" s="12"/>
      <c r="N112" s="12"/>
      <c r="O112" s="12"/>
    </row>
    <row r="113" spans="1:15">
      <c r="A113" s="12"/>
      <c r="B113" s="12"/>
      <c r="C113" s="12"/>
      <c r="D113" s="12"/>
      <c r="E113" s="13"/>
      <c r="F113" s="13"/>
      <c r="G113" s="12"/>
      <c r="H113" s="12"/>
      <c r="I113" s="12"/>
      <c r="J113" s="12"/>
      <c r="K113" s="12"/>
      <c r="L113" s="13"/>
      <c r="M113" s="12"/>
      <c r="N113" s="12"/>
      <c r="O113" s="12"/>
    </row>
    <row r="114" spans="1:15">
      <c r="A114" s="12"/>
      <c r="B114" s="12"/>
      <c r="C114" s="12"/>
      <c r="D114" s="12"/>
      <c r="E114" s="13"/>
      <c r="F114" s="13"/>
      <c r="G114" s="12"/>
      <c r="H114" s="12"/>
      <c r="I114" s="12"/>
      <c r="J114" s="12"/>
      <c r="K114" s="12"/>
      <c r="L114" s="13"/>
      <c r="M114" s="12"/>
      <c r="N114" s="12"/>
      <c r="O114" s="12"/>
    </row>
    <row r="115" spans="1:15">
      <c r="A115" s="12"/>
      <c r="B115" s="12"/>
      <c r="C115" s="12"/>
      <c r="D115" s="12"/>
      <c r="E115" s="13"/>
      <c r="F115" s="13"/>
      <c r="G115" s="12"/>
      <c r="H115" s="12"/>
      <c r="I115" s="12"/>
      <c r="J115" s="12"/>
      <c r="K115" s="12"/>
      <c r="L115" s="13"/>
      <c r="M115" s="12"/>
      <c r="N115" s="12"/>
      <c r="O115" s="12"/>
    </row>
    <row r="116" spans="1:15">
      <c r="A116" s="12"/>
      <c r="B116" s="12"/>
      <c r="C116" s="12"/>
      <c r="D116" s="12"/>
      <c r="E116" s="13"/>
      <c r="F116" s="13"/>
      <c r="G116" s="12"/>
      <c r="H116" s="12"/>
      <c r="I116" s="12"/>
      <c r="J116" s="12"/>
      <c r="K116" s="12"/>
      <c r="L116" s="13"/>
      <c r="M116" s="12"/>
      <c r="N116" s="12"/>
      <c r="O116" s="12"/>
    </row>
    <row r="117" spans="1:15">
      <c r="A117" s="12"/>
      <c r="B117" s="12"/>
      <c r="C117" s="12"/>
      <c r="D117" s="12"/>
      <c r="E117" s="13"/>
      <c r="F117" s="13"/>
      <c r="G117" s="12"/>
      <c r="H117" s="12"/>
      <c r="I117" s="12"/>
      <c r="J117" s="12"/>
      <c r="K117" s="12"/>
      <c r="L117" s="13"/>
      <c r="M117" s="12"/>
      <c r="N117" s="12"/>
      <c r="O117" s="12"/>
    </row>
    <row r="118" spans="1:15">
      <c r="A118" s="12"/>
      <c r="B118" s="12"/>
      <c r="C118" s="12"/>
      <c r="D118" s="12"/>
      <c r="E118" s="13"/>
      <c r="F118" s="13"/>
      <c r="G118" s="12"/>
      <c r="H118" s="12"/>
      <c r="I118" s="12"/>
      <c r="J118" s="12"/>
      <c r="K118" s="12"/>
      <c r="L118" s="13"/>
      <c r="M118" s="12"/>
      <c r="N118" s="12"/>
      <c r="O118" s="12"/>
    </row>
    <row r="119" spans="1:15">
      <c r="A119" s="12"/>
      <c r="B119" s="12"/>
      <c r="C119" s="12"/>
      <c r="D119" s="12"/>
      <c r="E119" s="13"/>
      <c r="F119" s="13"/>
      <c r="G119" s="12"/>
      <c r="H119" s="12"/>
      <c r="I119" s="12"/>
      <c r="J119" s="12"/>
      <c r="K119" s="12"/>
      <c r="L119" s="13"/>
      <c r="M119" s="12"/>
      <c r="N119" s="12"/>
      <c r="O119" s="12"/>
    </row>
    <row r="120" spans="1:15">
      <c r="A120" s="12"/>
      <c r="B120" s="12"/>
      <c r="C120" s="12"/>
      <c r="D120" s="12"/>
      <c r="E120" s="13"/>
      <c r="F120" s="13"/>
      <c r="G120" s="12"/>
      <c r="H120" s="12"/>
      <c r="I120" s="12"/>
      <c r="J120" s="12"/>
      <c r="K120" s="12"/>
      <c r="L120" s="13"/>
      <c r="M120" s="12"/>
      <c r="N120" s="12"/>
      <c r="O120" s="12"/>
    </row>
    <row r="121" spans="1:15">
      <c r="A121" s="12"/>
      <c r="B121" s="12"/>
      <c r="C121" s="12"/>
      <c r="D121" s="12"/>
      <c r="E121" s="13"/>
      <c r="F121" s="13"/>
      <c r="G121" s="12"/>
      <c r="H121" s="12"/>
      <c r="I121" s="12"/>
      <c r="J121" s="12"/>
      <c r="K121" s="12"/>
      <c r="L121" s="13"/>
      <c r="M121" s="12"/>
      <c r="N121" s="12"/>
      <c r="O121" s="12"/>
    </row>
    <row r="122" spans="1:15">
      <c r="A122" s="12"/>
      <c r="B122" s="12"/>
      <c r="C122" s="12"/>
      <c r="D122" s="12"/>
      <c r="E122" s="13"/>
      <c r="F122" s="13"/>
      <c r="G122" s="12"/>
      <c r="H122" s="12"/>
      <c r="I122" s="12"/>
      <c r="J122" s="12"/>
      <c r="K122" s="12"/>
      <c r="L122" s="13"/>
      <c r="M122" s="12"/>
      <c r="N122" s="12"/>
      <c r="O122" s="12"/>
    </row>
    <row r="123" spans="1:15">
      <c r="A123" s="12"/>
      <c r="B123" s="12"/>
      <c r="C123" s="12"/>
      <c r="D123" s="12"/>
      <c r="E123" s="13"/>
      <c r="F123" s="13"/>
      <c r="G123" s="12"/>
      <c r="H123" s="12"/>
      <c r="I123" s="12"/>
      <c r="J123" s="12"/>
      <c r="K123" s="12"/>
      <c r="L123" s="13"/>
      <c r="M123" s="12"/>
      <c r="N123" s="12"/>
      <c r="O123" s="12"/>
    </row>
    <row r="124" spans="1:15">
      <c r="A124" s="12"/>
      <c r="B124" s="12"/>
      <c r="C124" s="12"/>
      <c r="D124" s="12"/>
      <c r="E124" s="13"/>
      <c r="F124" s="13"/>
      <c r="G124" s="12"/>
      <c r="H124" s="12"/>
      <c r="I124" s="12"/>
      <c r="J124" s="12"/>
      <c r="K124" s="12"/>
      <c r="L124" s="13"/>
      <c r="M124" s="12"/>
      <c r="N124" s="12"/>
      <c r="O124" s="12"/>
    </row>
    <row r="125" spans="1:15">
      <c r="A125" s="12"/>
      <c r="B125" s="12"/>
      <c r="C125" s="12"/>
      <c r="D125" s="12"/>
      <c r="E125" s="13"/>
      <c r="F125" s="13"/>
      <c r="G125" s="12"/>
      <c r="H125" s="12"/>
      <c r="I125" s="12"/>
      <c r="J125" s="12"/>
      <c r="K125" s="12"/>
      <c r="L125" s="13"/>
      <c r="M125" s="12"/>
      <c r="N125" s="12"/>
      <c r="O125" s="12"/>
    </row>
    <row r="126" spans="1:15">
      <c r="A126" s="12"/>
      <c r="B126" s="12"/>
      <c r="C126" s="12"/>
      <c r="D126" s="12"/>
      <c r="E126" s="13"/>
      <c r="F126" s="13"/>
      <c r="G126" s="12"/>
      <c r="H126" s="12"/>
      <c r="I126" s="12"/>
      <c r="J126" s="12"/>
      <c r="K126" s="12"/>
      <c r="L126" s="13"/>
      <c r="M126" s="12"/>
      <c r="N126" s="12"/>
      <c r="O126" s="12"/>
    </row>
    <row r="127" spans="1:15">
      <c r="A127" s="12"/>
      <c r="B127" s="12"/>
      <c r="C127" s="12"/>
      <c r="D127" s="12"/>
      <c r="E127" s="13"/>
      <c r="F127" s="13"/>
      <c r="G127" s="12"/>
      <c r="H127" s="12"/>
      <c r="I127" s="12"/>
      <c r="J127" s="12"/>
      <c r="K127" s="12"/>
      <c r="L127" s="13"/>
      <c r="M127" s="12"/>
      <c r="N127" s="12"/>
      <c r="O127" s="12"/>
    </row>
    <row r="128" spans="1:15">
      <c r="A128" s="12"/>
      <c r="B128" s="12"/>
      <c r="C128" s="12"/>
      <c r="D128" s="12"/>
      <c r="E128" s="13"/>
      <c r="F128" s="13"/>
      <c r="G128" s="12"/>
      <c r="H128" s="12"/>
      <c r="I128" s="12"/>
      <c r="J128" s="12"/>
      <c r="K128" s="12"/>
      <c r="L128" s="13"/>
      <c r="M128" s="12"/>
      <c r="N128" s="12"/>
      <c r="O128" s="12"/>
    </row>
    <row r="129" spans="1:15">
      <c r="A129" s="12"/>
      <c r="B129" s="12"/>
      <c r="C129" s="12"/>
      <c r="D129" s="12"/>
      <c r="E129" s="13"/>
      <c r="F129" s="13"/>
      <c r="G129" s="12"/>
      <c r="H129" s="12"/>
      <c r="I129" s="12"/>
      <c r="J129" s="12"/>
      <c r="K129" s="12"/>
      <c r="L129" s="13"/>
      <c r="M129" s="12"/>
      <c r="N129" s="12"/>
      <c r="O129" s="12"/>
    </row>
    <row r="130" spans="1:15">
      <c r="A130" s="12"/>
      <c r="B130" s="12"/>
      <c r="C130" s="12"/>
      <c r="D130" s="12"/>
      <c r="E130" s="13"/>
      <c r="F130" s="13"/>
      <c r="G130" s="12"/>
      <c r="H130" s="12"/>
      <c r="I130" s="12"/>
      <c r="J130" s="12"/>
      <c r="K130" s="12"/>
      <c r="L130" s="13"/>
      <c r="M130" s="12"/>
      <c r="N130" s="12"/>
      <c r="O130" s="12"/>
    </row>
    <row r="131" spans="1:15">
      <c r="A131" s="12"/>
      <c r="B131" s="12"/>
      <c r="C131" s="12"/>
      <c r="D131" s="12"/>
      <c r="E131" s="13"/>
      <c r="F131" s="13"/>
      <c r="G131" s="12"/>
      <c r="H131" s="12"/>
      <c r="I131" s="12"/>
      <c r="J131" s="12"/>
      <c r="K131" s="12"/>
      <c r="L131" s="13"/>
      <c r="M131" s="12"/>
      <c r="N131" s="12"/>
      <c r="O131" s="12"/>
    </row>
    <row r="132" spans="1:15">
      <c r="A132" s="12"/>
      <c r="B132" s="12"/>
      <c r="C132" s="12"/>
      <c r="D132" s="12"/>
      <c r="E132" s="13"/>
      <c r="F132" s="13"/>
      <c r="G132" s="12"/>
      <c r="H132" s="12"/>
      <c r="I132" s="12"/>
      <c r="J132" s="12"/>
      <c r="K132" s="12"/>
      <c r="L132" s="13"/>
      <c r="M132" s="12"/>
      <c r="N132" s="12"/>
      <c r="O132" s="12"/>
    </row>
    <row r="133" spans="1:15">
      <c r="A133" s="12"/>
      <c r="B133" s="12"/>
      <c r="C133" s="12"/>
      <c r="D133" s="12"/>
      <c r="E133" s="13"/>
      <c r="F133" s="13"/>
      <c r="G133" s="12"/>
      <c r="H133" s="12"/>
      <c r="I133" s="12"/>
      <c r="J133" s="12"/>
      <c r="K133" s="12"/>
      <c r="L133" s="13"/>
      <c r="M133" s="12"/>
      <c r="N133" s="12"/>
      <c r="O133" s="12"/>
    </row>
    <row r="134" spans="1:15">
      <c r="A134" s="12"/>
      <c r="B134" s="12"/>
      <c r="C134" s="12"/>
      <c r="D134" s="12"/>
      <c r="E134" s="13"/>
      <c r="F134" s="13"/>
      <c r="G134" s="12"/>
      <c r="H134" s="12"/>
      <c r="I134" s="12"/>
      <c r="J134" s="12"/>
      <c r="K134" s="12"/>
      <c r="L134" s="13"/>
      <c r="M134" s="12"/>
      <c r="N134" s="12"/>
      <c r="O134" s="12"/>
    </row>
    <row r="135" spans="1:15">
      <c r="A135" s="12"/>
      <c r="B135" s="12"/>
      <c r="C135" s="12"/>
      <c r="D135" s="12"/>
      <c r="E135" s="13"/>
      <c r="F135" s="13"/>
      <c r="G135" s="12"/>
      <c r="H135" s="12"/>
      <c r="I135" s="12"/>
      <c r="J135" s="12"/>
      <c r="K135" s="12"/>
      <c r="L135" s="13"/>
      <c r="M135" s="12"/>
      <c r="N135" s="12"/>
      <c r="O135" s="12"/>
    </row>
    <row r="136" spans="1:15">
      <c r="A136" s="12"/>
      <c r="B136" s="12"/>
      <c r="C136" s="12"/>
      <c r="D136" s="12"/>
      <c r="E136" s="13"/>
      <c r="F136" s="13"/>
      <c r="G136" s="12"/>
      <c r="H136" s="12"/>
      <c r="I136" s="12"/>
      <c r="J136" s="12"/>
      <c r="K136" s="12"/>
      <c r="L136" s="13"/>
      <c r="M136" s="12"/>
      <c r="N136" s="12"/>
      <c r="O136" s="12"/>
    </row>
    <row r="137" spans="1:15">
      <c r="A137" s="12"/>
      <c r="B137" s="12"/>
      <c r="C137" s="12"/>
      <c r="D137" s="12"/>
      <c r="E137" s="13"/>
      <c r="F137" s="13"/>
      <c r="G137" s="12"/>
      <c r="H137" s="12"/>
      <c r="I137" s="12"/>
      <c r="J137" s="12"/>
      <c r="K137" s="12"/>
      <c r="L137" s="13"/>
      <c r="M137" s="12"/>
      <c r="N137" s="12"/>
      <c r="O137" s="12"/>
    </row>
    <row r="138" spans="1:15">
      <c r="A138" s="12"/>
      <c r="B138" s="12"/>
      <c r="C138" s="12"/>
      <c r="D138" s="12"/>
      <c r="E138" s="13"/>
      <c r="F138" s="13"/>
      <c r="G138" s="12"/>
      <c r="H138" s="12"/>
      <c r="I138" s="12"/>
      <c r="J138" s="12"/>
      <c r="K138" s="12"/>
      <c r="L138" s="13"/>
      <c r="M138" s="12"/>
      <c r="N138" s="12"/>
      <c r="O138" s="12"/>
    </row>
    <row r="139" spans="1:15">
      <c r="A139" s="12"/>
      <c r="B139" s="12"/>
      <c r="C139" s="12"/>
      <c r="D139" s="12"/>
      <c r="E139" s="13"/>
      <c r="F139" s="13"/>
      <c r="G139" s="12"/>
      <c r="H139" s="12"/>
      <c r="I139" s="12"/>
      <c r="J139" s="12"/>
      <c r="K139" s="12"/>
      <c r="L139" s="13"/>
      <c r="M139" s="12"/>
      <c r="N139" s="12"/>
      <c r="O139" s="12"/>
    </row>
    <row r="140" spans="1:15">
      <c r="A140" s="12"/>
      <c r="B140" s="12"/>
      <c r="C140" s="12"/>
      <c r="D140" s="12"/>
      <c r="E140" s="13"/>
      <c r="F140" s="13"/>
      <c r="G140" s="12"/>
      <c r="H140" s="12"/>
      <c r="I140" s="12"/>
      <c r="J140" s="12"/>
      <c r="K140" s="12"/>
      <c r="L140" s="13"/>
      <c r="M140" s="12"/>
      <c r="N140" s="12"/>
      <c r="O140" s="12"/>
    </row>
    <row r="141" spans="1:15">
      <c r="A141" s="12"/>
      <c r="B141" s="12"/>
      <c r="C141" s="12"/>
      <c r="D141" s="12"/>
      <c r="E141" s="13"/>
      <c r="F141" s="13"/>
      <c r="G141" s="12"/>
      <c r="H141" s="12"/>
      <c r="I141" s="12"/>
      <c r="J141" s="12"/>
      <c r="K141" s="12"/>
      <c r="L141" s="13"/>
      <c r="M141" s="12"/>
      <c r="N141" s="12"/>
      <c r="O141" s="12"/>
    </row>
    <row r="142" spans="1:15">
      <c r="A142" s="12"/>
      <c r="B142" s="12"/>
      <c r="C142" s="12"/>
      <c r="D142" s="12"/>
      <c r="E142" s="13"/>
      <c r="F142" s="13"/>
      <c r="G142" s="12"/>
      <c r="H142" s="12"/>
      <c r="I142" s="12"/>
      <c r="J142" s="12"/>
      <c r="K142" s="12"/>
      <c r="L142" s="13"/>
      <c r="M142" s="12"/>
      <c r="N142" s="12"/>
      <c r="O142" s="12"/>
    </row>
    <row r="143" spans="1:15">
      <c r="A143" s="12"/>
      <c r="B143" s="12"/>
      <c r="C143" s="12"/>
      <c r="D143" s="12"/>
      <c r="E143" s="13"/>
      <c r="F143" s="13"/>
      <c r="G143" s="12"/>
      <c r="H143" s="12"/>
      <c r="I143" s="12"/>
      <c r="J143" s="12"/>
      <c r="K143" s="12"/>
      <c r="L143" s="13"/>
      <c r="M143" s="12"/>
      <c r="N143" s="12"/>
      <c r="O143" s="12"/>
    </row>
    <row r="144" spans="1:15">
      <c r="A144" s="12"/>
      <c r="B144" s="12"/>
      <c r="C144" s="12"/>
      <c r="D144" s="12"/>
      <c r="E144" s="13"/>
      <c r="F144" s="13"/>
      <c r="G144" s="12"/>
      <c r="H144" s="12"/>
      <c r="I144" s="12"/>
      <c r="J144" s="12"/>
      <c r="K144" s="12"/>
      <c r="L144" s="13"/>
      <c r="M144" s="12"/>
      <c r="N144" s="12"/>
      <c r="O144" s="12"/>
    </row>
    <row r="145" spans="1:15">
      <c r="A145" s="12"/>
      <c r="B145" s="12"/>
      <c r="C145" s="12"/>
      <c r="D145" s="12"/>
      <c r="E145" s="13"/>
      <c r="F145" s="13"/>
      <c r="G145" s="12"/>
      <c r="H145" s="12"/>
      <c r="I145" s="12"/>
      <c r="J145" s="12"/>
      <c r="K145" s="12"/>
      <c r="L145" s="13"/>
      <c r="M145" s="12"/>
      <c r="N145" s="12"/>
      <c r="O145" s="12"/>
    </row>
    <row r="146" spans="1:15">
      <c r="A146" s="12"/>
      <c r="B146" s="12"/>
      <c r="C146" s="12"/>
      <c r="D146" s="12"/>
      <c r="E146" s="13"/>
      <c r="F146" s="13"/>
      <c r="G146" s="12"/>
      <c r="H146" s="12"/>
      <c r="I146" s="12"/>
      <c r="J146" s="12"/>
      <c r="K146" s="12"/>
      <c r="L146" s="13"/>
      <c r="M146" s="12"/>
      <c r="N146" s="12"/>
      <c r="O146" s="12"/>
    </row>
    <row r="147" spans="1:15">
      <c r="A147" s="12"/>
      <c r="B147" s="12"/>
      <c r="C147" s="12"/>
      <c r="D147" s="12"/>
      <c r="E147" s="13"/>
      <c r="F147" s="13"/>
      <c r="G147" s="12"/>
      <c r="H147" s="12"/>
      <c r="I147" s="12"/>
      <c r="J147" s="12"/>
      <c r="K147" s="12"/>
      <c r="L147" s="13"/>
      <c r="M147" s="12"/>
      <c r="N147" s="12"/>
      <c r="O147" s="12"/>
    </row>
    <row r="148" spans="1:15">
      <c r="A148" s="12"/>
      <c r="B148" s="12"/>
      <c r="C148" s="12"/>
      <c r="D148" s="12"/>
      <c r="E148" s="13"/>
      <c r="F148" s="13"/>
      <c r="G148" s="12"/>
      <c r="H148" s="12"/>
      <c r="I148" s="12"/>
      <c r="J148" s="12"/>
      <c r="K148" s="12"/>
      <c r="L148" s="13"/>
      <c r="M148" s="12"/>
      <c r="N148" s="12"/>
      <c r="O148" s="12"/>
    </row>
    <row r="149" spans="1:15">
      <c r="A149" s="12"/>
      <c r="B149" s="12"/>
      <c r="C149" s="12"/>
      <c r="D149" s="12"/>
      <c r="E149" s="13"/>
      <c r="F149" s="13"/>
      <c r="G149" s="12"/>
      <c r="H149" s="12"/>
      <c r="I149" s="12"/>
      <c r="J149" s="12"/>
      <c r="K149" s="12"/>
      <c r="L149" s="13"/>
      <c r="M149" s="12"/>
      <c r="N149" s="12"/>
      <c r="O149" s="12"/>
    </row>
    <row r="150" spans="1:15">
      <c r="A150" s="12"/>
      <c r="B150" s="12"/>
      <c r="C150" s="12"/>
      <c r="D150" s="12"/>
      <c r="E150" s="13"/>
      <c r="F150" s="13"/>
      <c r="G150" s="12"/>
      <c r="H150" s="12"/>
      <c r="I150" s="12"/>
      <c r="J150" s="12"/>
      <c r="K150" s="12"/>
      <c r="L150" s="13"/>
      <c r="M150" s="12"/>
      <c r="N150" s="12"/>
      <c r="O150" s="12"/>
    </row>
    <row r="151" spans="1:15">
      <c r="A151" s="12"/>
      <c r="B151" s="12"/>
      <c r="C151" s="12"/>
      <c r="D151" s="12"/>
      <c r="E151" s="13"/>
      <c r="F151" s="13"/>
      <c r="G151" s="12"/>
      <c r="H151" s="12"/>
      <c r="I151" s="12"/>
      <c r="J151" s="12"/>
      <c r="K151" s="12"/>
      <c r="L151" s="13"/>
      <c r="M151" s="12"/>
      <c r="N151" s="12"/>
      <c r="O151" s="12"/>
    </row>
    <row r="152" spans="1:15">
      <c r="A152" s="12"/>
      <c r="B152" s="12"/>
      <c r="C152" s="12"/>
      <c r="D152" s="12"/>
      <c r="E152" s="13"/>
      <c r="F152" s="13"/>
      <c r="G152" s="12"/>
      <c r="H152" s="12"/>
      <c r="I152" s="12"/>
      <c r="J152" s="12"/>
      <c r="K152" s="12"/>
      <c r="L152" s="13"/>
      <c r="M152" s="12"/>
      <c r="N152" s="12"/>
      <c r="O152" s="12"/>
    </row>
    <row r="153" spans="1:15">
      <c r="A153" s="12"/>
      <c r="B153" s="12"/>
      <c r="C153" s="12"/>
      <c r="D153" s="12"/>
      <c r="E153" s="13"/>
      <c r="F153" s="13"/>
      <c r="G153" s="12"/>
      <c r="H153" s="12"/>
      <c r="I153" s="12"/>
      <c r="J153" s="12"/>
      <c r="K153" s="12"/>
      <c r="L153" s="13"/>
      <c r="M153" s="12"/>
      <c r="N153" s="12"/>
      <c r="O153" s="12"/>
    </row>
    <row r="154" spans="1:15">
      <c r="A154" s="12"/>
      <c r="B154" s="12"/>
      <c r="C154" s="12"/>
      <c r="D154" s="12"/>
      <c r="E154" s="13"/>
      <c r="F154" s="13"/>
      <c r="G154" s="12"/>
      <c r="H154" s="12"/>
      <c r="I154" s="12"/>
      <c r="J154" s="12"/>
      <c r="K154" s="12"/>
      <c r="L154" s="13"/>
      <c r="M154" s="12"/>
      <c r="N154" s="12"/>
      <c r="O154" s="12"/>
    </row>
    <row r="155" spans="1:15">
      <c r="A155" s="12"/>
      <c r="B155" s="12"/>
      <c r="C155" s="12"/>
      <c r="D155" s="12"/>
      <c r="E155" s="13"/>
      <c r="F155" s="13"/>
      <c r="G155" s="12"/>
      <c r="H155" s="12"/>
      <c r="I155" s="12"/>
      <c r="J155" s="12"/>
      <c r="K155" s="12"/>
      <c r="L155" s="13"/>
      <c r="M155" s="12"/>
      <c r="N155" s="12"/>
      <c r="O155" s="12"/>
    </row>
    <row r="156" spans="1:15">
      <c r="A156" s="12"/>
      <c r="B156" s="12"/>
      <c r="C156" s="12"/>
      <c r="D156" s="12"/>
      <c r="E156" s="13"/>
      <c r="F156" s="13"/>
      <c r="G156" s="12"/>
      <c r="H156" s="12"/>
      <c r="I156" s="12"/>
      <c r="J156" s="12"/>
      <c r="K156" s="12"/>
      <c r="L156" s="13"/>
      <c r="M156" s="12"/>
      <c r="N156" s="12"/>
      <c r="O156" s="12"/>
    </row>
    <row r="157" spans="1:15">
      <c r="A157" s="12"/>
      <c r="B157" s="12"/>
      <c r="C157" s="12"/>
      <c r="D157" s="12"/>
      <c r="E157" s="13"/>
      <c r="F157" s="13"/>
      <c r="G157" s="12"/>
      <c r="H157" s="12"/>
      <c r="I157" s="12"/>
      <c r="J157" s="12"/>
      <c r="K157" s="12"/>
      <c r="L157" s="13"/>
      <c r="M157" s="12"/>
      <c r="N157" s="12"/>
      <c r="O157" s="12"/>
    </row>
    <row r="158" spans="1:15">
      <c r="A158" s="12"/>
      <c r="B158" s="12"/>
      <c r="C158" s="12"/>
      <c r="D158" s="12"/>
      <c r="E158" s="13"/>
      <c r="F158" s="13"/>
      <c r="G158" s="12"/>
      <c r="H158" s="12"/>
      <c r="I158" s="12"/>
      <c r="J158" s="12"/>
      <c r="K158" s="12"/>
      <c r="L158" s="13"/>
      <c r="M158" s="12"/>
      <c r="N158" s="12"/>
      <c r="O158" s="12"/>
    </row>
    <row r="159" spans="1:15">
      <c r="A159" s="12"/>
      <c r="B159" s="12"/>
      <c r="C159" s="12"/>
      <c r="D159" s="12"/>
      <c r="E159" s="13"/>
      <c r="F159" s="13"/>
      <c r="G159" s="12"/>
      <c r="H159" s="12"/>
      <c r="I159" s="12"/>
      <c r="J159" s="12"/>
      <c r="K159" s="12"/>
      <c r="L159" s="13"/>
      <c r="M159" s="12"/>
      <c r="N159" s="12"/>
      <c r="O159" s="12"/>
    </row>
    <row r="160" spans="1:15">
      <c r="A160" s="12"/>
      <c r="B160" s="12"/>
      <c r="C160" s="12"/>
      <c r="D160" s="12"/>
      <c r="E160" s="13"/>
      <c r="F160" s="13"/>
      <c r="G160" s="12"/>
      <c r="H160" s="12"/>
      <c r="I160" s="12"/>
      <c r="J160" s="12"/>
      <c r="K160" s="12"/>
      <c r="L160" s="13"/>
      <c r="M160" s="12"/>
      <c r="N160" s="12"/>
      <c r="O160" s="12"/>
    </row>
    <row r="161" spans="1:15">
      <c r="A161" s="12"/>
      <c r="B161" s="12"/>
      <c r="C161" s="12"/>
      <c r="D161" s="12"/>
      <c r="E161" s="13"/>
      <c r="F161" s="13"/>
      <c r="G161" s="12"/>
      <c r="H161" s="12"/>
      <c r="I161" s="12"/>
      <c r="J161" s="12"/>
      <c r="K161" s="12"/>
      <c r="L161" s="13"/>
      <c r="M161" s="12"/>
      <c r="N161" s="12"/>
      <c r="O161" s="12"/>
    </row>
    <row r="162" spans="1:15">
      <c r="A162" s="12"/>
      <c r="B162" s="12"/>
      <c r="C162" s="12"/>
      <c r="D162" s="12"/>
      <c r="E162" s="13"/>
      <c r="F162" s="13"/>
      <c r="G162" s="12"/>
      <c r="H162" s="12"/>
      <c r="I162" s="12"/>
      <c r="J162" s="12"/>
      <c r="K162" s="12"/>
      <c r="L162" s="13"/>
      <c r="M162" s="12"/>
      <c r="N162" s="12"/>
      <c r="O162" s="12"/>
    </row>
    <row r="163" spans="1:15">
      <c r="A163" s="12"/>
      <c r="B163" s="12"/>
      <c r="C163" s="12"/>
      <c r="D163" s="12"/>
      <c r="E163" s="13"/>
      <c r="F163" s="13"/>
      <c r="G163" s="12"/>
      <c r="H163" s="12"/>
      <c r="I163" s="12"/>
      <c r="J163" s="12"/>
      <c r="K163" s="12"/>
      <c r="L163" s="13"/>
      <c r="M163" s="12"/>
      <c r="N163" s="12"/>
      <c r="O163" s="12"/>
    </row>
    <row r="164" spans="1:15">
      <c r="A164" s="12"/>
      <c r="B164" s="12"/>
      <c r="C164" s="12"/>
      <c r="D164" s="12"/>
      <c r="E164" s="13"/>
      <c r="F164" s="13"/>
      <c r="G164" s="12"/>
      <c r="H164" s="12"/>
      <c r="I164" s="12"/>
      <c r="J164" s="12"/>
      <c r="K164" s="12"/>
      <c r="L164" s="13"/>
      <c r="M164" s="12"/>
      <c r="N164" s="12"/>
      <c r="O164" s="12"/>
    </row>
    <row r="165" spans="1:15">
      <c r="A165" s="12"/>
      <c r="B165" s="12"/>
      <c r="C165" s="12"/>
      <c r="D165" s="12"/>
      <c r="E165" s="13"/>
      <c r="F165" s="13"/>
      <c r="G165" s="12"/>
      <c r="H165" s="12"/>
      <c r="I165" s="12"/>
      <c r="J165" s="12"/>
      <c r="K165" s="12"/>
      <c r="L165" s="13"/>
      <c r="M165" s="12"/>
      <c r="N165" s="12"/>
      <c r="O165" s="12"/>
    </row>
    <row r="166" spans="1:15">
      <c r="A166" s="12"/>
      <c r="B166" s="12"/>
      <c r="C166" s="12"/>
      <c r="D166" s="12"/>
      <c r="E166" s="13"/>
      <c r="F166" s="13"/>
      <c r="G166" s="12"/>
      <c r="H166" s="12"/>
      <c r="I166" s="12"/>
      <c r="J166" s="12"/>
      <c r="K166" s="12"/>
      <c r="L166" s="13"/>
      <c r="M166" s="12"/>
      <c r="N166" s="12"/>
      <c r="O166" s="12"/>
    </row>
    <row r="167" spans="1:15">
      <c r="A167" s="12"/>
      <c r="B167" s="12"/>
      <c r="C167" s="12"/>
      <c r="D167" s="12"/>
      <c r="E167" s="13"/>
      <c r="F167" s="13"/>
      <c r="G167" s="12"/>
      <c r="H167" s="12"/>
      <c r="I167" s="12"/>
      <c r="J167" s="12"/>
      <c r="K167" s="12"/>
      <c r="L167" s="13"/>
      <c r="M167" s="12"/>
      <c r="N167" s="12"/>
      <c r="O167" s="12"/>
    </row>
    <row r="168" spans="1:15">
      <c r="A168" s="12"/>
      <c r="B168" s="12"/>
      <c r="C168" s="12"/>
      <c r="D168" s="12"/>
      <c r="E168" s="13"/>
      <c r="F168" s="13"/>
      <c r="G168" s="12"/>
      <c r="H168" s="12"/>
      <c r="I168" s="12"/>
      <c r="J168" s="12"/>
      <c r="K168" s="12"/>
      <c r="L168" s="13"/>
      <c r="M168" s="12"/>
      <c r="N168" s="12"/>
      <c r="O168" s="12"/>
    </row>
    <row r="169" spans="1:15">
      <c r="A169" s="12"/>
      <c r="B169" s="12"/>
      <c r="C169" s="12"/>
      <c r="D169" s="12"/>
      <c r="E169" s="13"/>
      <c r="F169" s="13"/>
      <c r="G169" s="12"/>
      <c r="H169" s="12"/>
      <c r="I169" s="12"/>
      <c r="J169" s="12"/>
      <c r="K169" s="12"/>
      <c r="L169" s="13"/>
      <c r="M169" s="12"/>
      <c r="N169" s="12"/>
      <c r="O169" s="12"/>
    </row>
    <row r="170" spans="1:15">
      <c r="A170" s="12"/>
      <c r="B170" s="12"/>
      <c r="C170" s="12"/>
      <c r="D170" s="12"/>
      <c r="E170" s="13"/>
      <c r="F170" s="13"/>
      <c r="G170" s="12"/>
      <c r="H170" s="12"/>
      <c r="I170" s="12"/>
      <c r="J170" s="12"/>
      <c r="K170" s="12"/>
      <c r="L170" s="13"/>
      <c r="M170" s="12"/>
      <c r="N170" s="12"/>
      <c r="O170" s="12"/>
    </row>
    <row r="171" spans="1:15">
      <c r="A171" s="12"/>
      <c r="B171" s="12"/>
      <c r="C171" s="12"/>
      <c r="D171" s="12"/>
      <c r="E171" s="13"/>
      <c r="F171" s="13"/>
      <c r="G171" s="12"/>
      <c r="H171" s="12"/>
      <c r="I171" s="12"/>
      <c r="J171" s="12"/>
      <c r="K171" s="12"/>
      <c r="L171" s="13"/>
      <c r="M171" s="12"/>
      <c r="N171" s="12"/>
      <c r="O171" s="12"/>
    </row>
    <row r="172" spans="1:15">
      <c r="A172" s="12"/>
      <c r="B172" s="12"/>
      <c r="C172" s="12"/>
      <c r="D172" s="12"/>
      <c r="E172" s="13"/>
      <c r="F172" s="13"/>
      <c r="G172" s="12"/>
      <c r="H172" s="12"/>
      <c r="I172" s="12"/>
      <c r="J172" s="12"/>
      <c r="K172" s="12"/>
      <c r="L172" s="13"/>
      <c r="M172" s="12"/>
      <c r="N172" s="12"/>
      <c r="O172" s="12"/>
    </row>
    <row r="173" spans="1:15">
      <c r="A173" s="12"/>
      <c r="B173" s="12"/>
      <c r="C173" s="12"/>
      <c r="D173" s="12"/>
      <c r="E173" s="13"/>
      <c r="F173" s="13"/>
      <c r="G173" s="12"/>
      <c r="H173" s="12"/>
      <c r="I173" s="12"/>
      <c r="J173" s="12"/>
      <c r="K173" s="12"/>
      <c r="L173" s="13"/>
      <c r="M173" s="12"/>
      <c r="N173" s="12"/>
      <c r="O173" s="12"/>
    </row>
    <row r="174" spans="1:15">
      <c r="A174" s="12"/>
      <c r="B174" s="12"/>
      <c r="C174" s="12"/>
      <c r="D174" s="12"/>
      <c r="E174" s="13"/>
      <c r="F174" s="13"/>
      <c r="G174" s="12"/>
      <c r="H174" s="12"/>
      <c r="I174" s="12"/>
      <c r="J174" s="12"/>
      <c r="K174" s="12"/>
      <c r="L174" s="13"/>
      <c r="M174" s="12"/>
      <c r="N174" s="12"/>
      <c r="O174" s="12"/>
    </row>
    <row r="175" spans="1:15">
      <c r="A175" s="12"/>
      <c r="B175" s="12"/>
      <c r="C175" s="12"/>
      <c r="D175" s="12"/>
      <c r="E175" s="13"/>
      <c r="F175" s="13"/>
      <c r="G175" s="12"/>
      <c r="H175" s="12"/>
      <c r="I175" s="12"/>
      <c r="J175" s="12"/>
      <c r="K175" s="12"/>
      <c r="L175" s="13"/>
      <c r="M175" s="12"/>
      <c r="N175" s="12"/>
      <c r="O175" s="12"/>
    </row>
    <row r="176" spans="1:15">
      <c r="A176" s="12"/>
      <c r="B176" s="12"/>
      <c r="C176" s="12"/>
      <c r="D176" s="12"/>
      <c r="E176" s="13"/>
      <c r="F176" s="13"/>
      <c r="G176" s="12"/>
      <c r="H176" s="12"/>
      <c r="I176" s="12"/>
      <c r="J176" s="12"/>
      <c r="K176" s="12"/>
      <c r="L176" s="13"/>
      <c r="M176" s="12"/>
      <c r="N176" s="12"/>
      <c r="O176" s="12"/>
    </row>
    <row r="177" spans="1:15">
      <c r="A177" s="12"/>
      <c r="B177" s="12"/>
      <c r="C177" s="12"/>
      <c r="D177" s="12"/>
      <c r="E177" s="13"/>
      <c r="F177" s="13"/>
      <c r="G177" s="12"/>
      <c r="H177" s="12"/>
      <c r="I177" s="12"/>
      <c r="J177" s="12"/>
      <c r="K177" s="12"/>
      <c r="L177" s="13"/>
      <c r="M177" s="12"/>
      <c r="N177" s="12"/>
      <c r="O177" s="12"/>
    </row>
    <row r="178" spans="1:15">
      <c r="A178" s="12"/>
      <c r="B178" s="12"/>
      <c r="C178" s="12"/>
      <c r="D178" s="12"/>
      <c r="E178" s="13"/>
      <c r="F178" s="13"/>
      <c r="G178" s="12"/>
      <c r="H178" s="12"/>
      <c r="I178" s="12"/>
      <c r="J178" s="12"/>
      <c r="K178" s="12"/>
      <c r="L178" s="13"/>
      <c r="M178" s="12"/>
      <c r="N178" s="12"/>
      <c r="O178" s="12"/>
    </row>
    <row r="179" spans="1:15">
      <c r="A179" s="12"/>
      <c r="B179" s="12"/>
      <c r="C179" s="12"/>
      <c r="D179" s="12"/>
      <c r="E179" s="13"/>
      <c r="F179" s="13"/>
      <c r="G179" s="12"/>
      <c r="H179" s="12"/>
      <c r="I179" s="12"/>
      <c r="J179" s="12"/>
      <c r="K179" s="12"/>
      <c r="L179" s="13"/>
      <c r="M179" s="12"/>
      <c r="N179" s="12"/>
      <c r="O179" s="12"/>
    </row>
    <row r="180" spans="1:15">
      <c r="A180" s="12"/>
      <c r="B180" s="12"/>
      <c r="C180" s="12"/>
      <c r="D180" s="12"/>
      <c r="E180" s="13"/>
      <c r="F180" s="13"/>
      <c r="G180" s="12"/>
      <c r="H180" s="12"/>
      <c r="I180" s="12"/>
      <c r="J180" s="12"/>
      <c r="K180" s="12"/>
      <c r="L180" s="13"/>
      <c r="M180" s="12"/>
      <c r="N180" s="12"/>
      <c r="O180" s="12"/>
    </row>
    <row r="181" spans="1:15">
      <c r="A181" s="12"/>
      <c r="B181" s="12"/>
      <c r="C181" s="12"/>
      <c r="D181" s="12"/>
      <c r="E181" s="13"/>
      <c r="F181" s="13"/>
      <c r="G181" s="12"/>
      <c r="H181" s="12"/>
      <c r="I181" s="12"/>
      <c r="J181" s="12"/>
      <c r="K181" s="12"/>
      <c r="L181" s="13"/>
      <c r="M181" s="12"/>
      <c r="N181" s="12"/>
      <c r="O181" s="12"/>
    </row>
    <row r="182" spans="1:15">
      <c r="A182" s="12"/>
      <c r="B182" s="12"/>
      <c r="C182" s="12"/>
      <c r="D182" s="12"/>
      <c r="E182" s="13"/>
      <c r="F182" s="13"/>
      <c r="G182" s="12"/>
      <c r="H182" s="12"/>
      <c r="I182" s="12"/>
      <c r="J182" s="12"/>
      <c r="K182" s="12"/>
      <c r="L182" s="13"/>
      <c r="M182" s="12"/>
      <c r="N182" s="12"/>
      <c r="O182" s="12"/>
    </row>
    <row r="183" spans="1:15">
      <c r="A183" s="12"/>
      <c r="B183" s="12"/>
      <c r="C183" s="12"/>
      <c r="D183" s="12"/>
      <c r="E183" s="13"/>
      <c r="F183" s="13"/>
      <c r="G183" s="12"/>
      <c r="H183" s="12"/>
      <c r="I183" s="12"/>
      <c r="J183" s="12"/>
      <c r="K183" s="12"/>
      <c r="L183" s="13"/>
      <c r="M183" s="12"/>
      <c r="N183" s="12"/>
      <c r="O183" s="12"/>
    </row>
    <row r="184" spans="1:15">
      <c r="A184" s="12"/>
      <c r="B184" s="12"/>
      <c r="C184" s="12"/>
      <c r="D184" s="12"/>
      <c r="E184" s="13"/>
      <c r="F184" s="13"/>
      <c r="G184" s="12"/>
      <c r="H184" s="12"/>
      <c r="I184" s="12"/>
      <c r="J184" s="12"/>
      <c r="K184" s="12"/>
      <c r="L184" s="13"/>
      <c r="M184" s="12"/>
      <c r="N184" s="12"/>
      <c r="O184" s="12"/>
    </row>
    <row r="185" spans="1:15">
      <c r="A185" s="12"/>
      <c r="B185" s="12"/>
      <c r="C185" s="12"/>
      <c r="D185" s="12"/>
      <c r="E185" s="13"/>
      <c r="F185" s="13"/>
      <c r="G185" s="12"/>
      <c r="H185" s="12"/>
      <c r="I185" s="12"/>
      <c r="J185" s="12"/>
      <c r="K185" s="12"/>
      <c r="L185" s="13"/>
      <c r="M185" s="12"/>
      <c r="N185" s="12"/>
      <c r="O185" s="12"/>
    </row>
    <row r="186" spans="1:15">
      <c r="A186" s="12"/>
      <c r="B186" s="12"/>
      <c r="C186" s="12"/>
      <c r="D186" s="12"/>
      <c r="E186" s="13"/>
      <c r="F186" s="13"/>
      <c r="G186" s="12"/>
      <c r="H186" s="12"/>
      <c r="I186" s="12"/>
      <c r="J186" s="12"/>
      <c r="K186" s="12"/>
      <c r="L186" s="13"/>
      <c r="M186" s="12"/>
      <c r="N186" s="12"/>
      <c r="O186" s="12"/>
    </row>
    <row r="187" spans="1:15">
      <c r="A187" s="12"/>
      <c r="B187" s="12"/>
      <c r="C187" s="12"/>
      <c r="D187" s="12"/>
      <c r="E187" s="13"/>
      <c r="F187" s="13"/>
      <c r="G187" s="12"/>
      <c r="H187" s="12"/>
      <c r="I187" s="12"/>
      <c r="J187" s="12"/>
      <c r="K187" s="12"/>
      <c r="L187" s="13"/>
      <c r="M187" s="12"/>
      <c r="N187" s="12"/>
      <c r="O187" s="12"/>
    </row>
    <row r="188" spans="1:15">
      <c r="A188" s="12"/>
      <c r="B188" s="12"/>
      <c r="C188" s="12"/>
      <c r="D188" s="12"/>
      <c r="E188" s="13"/>
      <c r="F188" s="13"/>
      <c r="G188" s="12"/>
      <c r="H188" s="12"/>
      <c r="I188" s="12"/>
      <c r="J188" s="12"/>
      <c r="K188" s="12"/>
      <c r="L188" s="13"/>
      <c r="M188" s="12"/>
      <c r="N188" s="12"/>
      <c r="O188" s="12"/>
    </row>
    <row r="189" spans="1:15">
      <c r="A189" s="12"/>
      <c r="B189" s="12"/>
      <c r="C189" s="12"/>
      <c r="D189" s="12"/>
      <c r="E189" s="13"/>
      <c r="F189" s="13"/>
      <c r="G189" s="12"/>
      <c r="H189" s="12"/>
      <c r="I189" s="12"/>
      <c r="J189" s="12"/>
      <c r="K189" s="12"/>
      <c r="L189" s="13"/>
      <c r="M189" s="12"/>
      <c r="N189" s="12"/>
      <c r="O189" s="12"/>
    </row>
    <row r="190" spans="1:15">
      <c r="A190" s="12"/>
      <c r="B190" s="12"/>
      <c r="C190" s="12"/>
      <c r="D190" s="12"/>
      <c r="E190" s="13"/>
      <c r="F190" s="13"/>
      <c r="G190" s="12"/>
      <c r="H190" s="12"/>
      <c r="I190" s="12"/>
      <c r="J190" s="12"/>
      <c r="K190" s="12"/>
      <c r="L190" s="13"/>
      <c r="M190" s="12"/>
      <c r="N190" s="12"/>
      <c r="O190" s="12"/>
    </row>
    <row r="191" spans="1:15">
      <c r="A191" s="12"/>
      <c r="B191" s="12"/>
      <c r="C191" s="12"/>
      <c r="D191" s="12"/>
      <c r="E191" s="13"/>
      <c r="F191" s="13"/>
      <c r="G191" s="12"/>
      <c r="H191" s="12"/>
      <c r="I191" s="12"/>
      <c r="J191" s="12"/>
      <c r="K191" s="12"/>
      <c r="L191" s="13"/>
      <c r="M191" s="12"/>
      <c r="N191" s="12"/>
      <c r="O191" s="12"/>
    </row>
    <row r="192" spans="1:15">
      <c r="A192" s="12"/>
      <c r="B192" s="12"/>
      <c r="C192" s="12"/>
      <c r="D192" s="12"/>
      <c r="E192" s="13"/>
      <c r="F192" s="13"/>
      <c r="G192" s="12"/>
      <c r="H192" s="12"/>
      <c r="I192" s="12"/>
      <c r="J192" s="12"/>
      <c r="K192" s="12"/>
      <c r="L192" s="13"/>
      <c r="M192" s="12"/>
      <c r="N192" s="12"/>
      <c r="O192" s="12"/>
    </row>
    <row r="193" spans="1:15">
      <c r="A193" s="12"/>
      <c r="B193" s="12"/>
      <c r="C193" s="12"/>
      <c r="D193" s="12"/>
      <c r="E193" s="13"/>
      <c r="F193" s="13"/>
      <c r="G193" s="12"/>
      <c r="H193" s="12"/>
      <c r="I193" s="12"/>
      <c r="J193" s="12"/>
      <c r="K193" s="12"/>
      <c r="L193" s="13"/>
      <c r="M193" s="12"/>
      <c r="N193" s="12"/>
      <c r="O193" s="12"/>
    </row>
    <row r="194" spans="1:15">
      <c r="A194" s="12"/>
      <c r="B194" s="12"/>
      <c r="C194" s="12"/>
      <c r="D194" s="12"/>
      <c r="E194" s="13"/>
      <c r="F194" s="13"/>
      <c r="G194" s="12"/>
      <c r="H194" s="12"/>
      <c r="I194" s="12"/>
      <c r="J194" s="12"/>
      <c r="K194" s="12"/>
      <c r="L194" s="13"/>
      <c r="M194" s="12"/>
      <c r="N194" s="12"/>
      <c r="O194" s="12"/>
    </row>
    <row r="195" spans="1:15">
      <c r="A195" s="12"/>
      <c r="B195" s="12"/>
      <c r="C195" s="12"/>
      <c r="D195" s="12"/>
      <c r="E195" s="13"/>
      <c r="F195" s="13"/>
      <c r="G195" s="12"/>
      <c r="H195" s="12"/>
      <c r="I195" s="12"/>
      <c r="J195" s="12"/>
      <c r="K195" s="12"/>
      <c r="L195" s="13"/>
      <c r="M195" s="12"/>
      <c r="N195" s="12"/>
      <c r="O195" s="12"/>
    </row>
    <row r="196" spans="1:15">
      <c r="A196" s="12"/>
      <c r="B196" s="12"/>
      <c r="C196" s="12"/>
      <c r="D196" s="12"/>
      <c r="E196" s="13"/>
      <c r="F196" s="13"/>
      <c r="G196" s="12"/>
      <c r="H196" s="12"/>
      <c r="I196" s="12"/>
      <c r="J196" s="12"/>
      <c r="K196" s="12"/>
      <c r="L196" s="13"/>
      <c r="M196" s="12"/>
      <c r="N196" s="12"/>
      <c r="O196" s="12"/>
    </row>
    <row r="197" spans="1:15">
      <c r="A197" s="12"/>
      <c r="B197" s="12"/>
      <c r="C197" s="12"/>
      <c r="D197" s="12"/>
      <c r="E197" s="13"/>
      <c r="F197" s="13"/>
      <c r="G197" s="12"/>
      <c r="H197" s="12"/>
      <c r="I197" s="12"/>
      <c r="J197" s="12"/>
      <c r="K197" s="12"/>
      <c r="L197" s="13"/>
      <c r="M197" s="12"/>
      <c r="N197" s="12"/>
      <c r="O197" s="12"/>
    </row>
    <row r="198" spans="1:15">
      <c r="A198" s="12"/>
      <c r="B198" s="12"/>
      <c r="C198" s="12"/>
      <c r="D198" s="12"/>
      <c r="E198" s="13"/>
      <c r="F198" s="13"/>
      <c r="G198" s="12"/>
      <c r="H198" s="12"/>
      <c r="I198" s="12"/>
      <c r="J198" s="12"/>
      <c r="K198" s="12"/>
      <c r="L198" s="13"/>
      <c r="M198" s="12"/>
      <c r="N198" s="12"/>
      <c r="O198" s="12"/>
    </row>
    <row r="199" spans="1:15">
      <c r="A199" s="12"/>
      <c r="B199" s="12"/>
      <c r="C199" s="12"/>
      <c r="D199" s="12"/>
      <c r="E199" s="13"/>
      <c r="F199" s="13"/>
      <c r="G199" s="12"/>
      <c r="H199" s="12"/>
      <c r="I199" s="12"/>
      <c r="J199" s="12"/>
      <c r="K199" s="12"/>
      <c r="L199" s="13"/>
      <c r="M199" s="12"/>
      <c r="N199" s="12"/>
      <c r="O199" s="12"/>
    </row>
    <row r="200" spans="1:15">
      <c r="A200" s="12"/>
      <c r="B200" s="12"/>
      <c r="C200" s="12"/>
      <c r="D200" s="12"/>
      <c r="E200" s="13"/>
      <c r="F200" s="13"/>
      <c r="G200" s="12"/>
      <c r="H200" s="12"/>
      <c r="I200" s="12"/>
      <c r="J200" s="12"/>
      <c r="K200" s="12"/>
      <c r="L200" s="13"/>
      <c r="M200" s="12"/>
      <c r="N200" s="12"/>
      <c r="O200" s="12"/>
    </row>
    <row r="201" spans="1:15">
      <c r="A201" s="12"/>
      <c r="B201" s="12"/>
      <c r="C201" s="12"/>
      <c r="D201" s="12"/>
      <c r="E201" s="13"/>
      <c r="F201" s="13"/>
      <c r="G201" s="12"/>
      <c r="H201" s="12"/>
      <c r="I201" s="12"/>
      <c r="J201" s="12"/>
      <c r="K201" s="12"/>
      <c r="L201" s="13"/>
      <c r="M201" s="12"/>
      <c r="N201" s="12"/>
      <c r="O201" s="12"/>
    </row>
    <row r="202" spans="1:15">
      <c r="A202" s="12"/>
      <c r="B202" s="12"/>
      <c r="C202" s="12"/>
      <c r="D202" s="12"/>
      <c r="E202" s="13"/>
      <c r="F202" s="13"/>
      <c r="G202" s="12"/>
      <c r="H202" s="12"/>
      <c r="I202" s="12"/>
      <c r="J202" s="12"/>
      <c r="K202" s="12"/>
      <c r="L202" s="13"/>
      <c r="M202" s="12"/>
      <c r="N202" s="12"/>
      <c r="O202" s="12"/>
    </row>
    <row r="203" spans="1:15">
      <c r="A203" s="12"/>
      <c r="B203" s="12"/>
      <c r="C203" s="12"/>
      <c r="D203" s="12"/>
      <c r="E203" s="13"/>
      <c r="F203" s="13"/>
      <c r="G203" s="12"/>
      <c r="H203" s="12"/>
      <c r="I203" s="12"/>
      <c r="J203" s="12"/>
      <c r="K203" s="12"/>
      <c r="L203" s="13"/>
      <c r="M203" s="12"/>
      <c r="N203" s="12"/>
      <c r="O203" s="12"/>
    </row>
    <row r="204" spans="1:15">
      <c r="A204" s="12"/>
      <c r="B204" s="12"/>
      <c r="C204" s="12"/>
      <c r="D204" s="12"/>
      <c r="E204" s="13"/>
      <c r="F204" s="13"/>
      <c r="G204" s="12"/>
      <c r="H204" s="12"/>
      <c r="I204" s="12"/>
      <c r="J204" s="12"/>
      <c r="K204" s="12"/>
      <c r="L204" s="13"/>
      <c r="M204" s="12"/>
      <c r="N204" s="12"/>
      <c r="O204" s="12"/>
    </row>
    <row r="205" spans="1:15">
      <c r="A205" s="12"/>
      <c r="B205" s="12"/>
      <c r="C205" s="12"/>
      <c r="D205" s="12"/>
      <c r="E205" s="13"/>
      <c r="F205" s="13"/>
      <c r="G205" s="12"/>
      <c r="H205" s="12"/>
      <c r="I205" s="12"/>
      <c r="J205" s="12"/>
      <c r="K205" s="12"/>
      <c r="L205" s="13"/>
      <c r="M205" s="12"/>
      <c r="N205" s="12"/>
      <c r="O205" s="12"/>
    </row>
    <row r="206" spans="1:15">
      <c r="A206" s="12"/>
      <c r="B206" s="12"/>
      <c r="C206" s="12"/>
      <c r="D206" s="12"/>
      <c r="E206" s="13"/>
      <c r="F206" s="13"/>
      <c r="G206" s="12"/>
      <c r="H206" s="12"/>
      <c r="I206" s="12"/>
      <c r="J206" s="12"/>
      <c r="K206" s="12"/>
      <c r="L206" s="13"/>
      <c r="M206" s="12"/>
      <c r="N206" s="12"/>
      <c r="O206" s="12"/>
    </row>
    <row r="207" spans="1:15">
      <c r="A207" s="12"/>
      <c r="B207" s="12"/>
      <c r="C207" s="12"/>
      <c r="D207" s="12"/>
      <c r="E207" s="13"/>
      <c r="F207" s="13"/>
      <c r="G207" s="12"/>
      <c r="H207" s="12"/>
      <c r="I207" s="12"/>
      <c r="J207" s="12"/>
      <c r="K207" s="12"/>
      <c r="L207" s="13"/>
      <c r="M207" s="12"/>
      <c r="N207" s="12"/>
      <c r="O207" s="12"/>
    </row>
    <row r="208" spans="1:15">
      <c r="A208" s="12"/>
      <c r="B208" s="12"/>
      <c r="C208" s="12"/>
      <c r="D208" s="12"/>
      <c r="E208" s="13"/>
      <c r="F208" s="13"/>
      <c r="G208" s="12"/>
      <c r="H208" s="12"/>
      <c r="I208" s="12"/>
      <c r="J208" s="12"/>
      <c r="K208" s="12"/>
      <c r="L208" s="13"/>
      <c r="M208" s="12"/>
      <c r="N208" s="12"/>
      <c r="O208" s="12"/>
    </row>
    <row r="209" spans="1:15">
      <c r="A209" s="12"/>
      <c r="B209" s="12"/>
      <c r="C209" s="12"/>
      <c r="D209" s="12"/>
      <c r="E209" s="13"/>
      <c r="F209" s="13"/>
      <c r="G209" s="12"/>
      <c r="H209" s="12"/>
      <c r="I209" s="12"/>
      <c r="J209" s="12"/>
      <c r="K209" s="12"/>
      <c r="L209" s="13"/>
      <c r="M209" s="12"/>
      <c r="N209" s="12"/>
      <c r="O209" s="12"/>
    </row>
    <row r="210" spans="1:15">
      <c r="A210" s="12"/>
      <c r="B210" s="12"/>
      <c r="C210" s="12"/>
      <c r="D210" s="12"/>
      <c r="E210" s="13"/>
      <c r="F210" s="13"/>
      <c r="G210" s="12"/>
      <c r="H210" s="12"/>
      <c r="I210" s="12"/>
      <c r="J210" s="12"/>
      <c r="K210" s="12"/>
      <c r="L210" s="13"/>
      <c r="M210" s="12"/>
      <c r="N210" s="12"/>
      <c r="O210" s="12"/>
    </row>
    <row r="211" spans="1:15">
      <c r="A211" s="12"/>
      <c r="B211" s="12"/>
      <c r="C211" s="12"/>
      <c r="D211" s="12"/>
      <c r="E211" s="13"/>
      <c r="F211" s="13"/>
      <c r="G211" s="12"/>
      <c r="H211" s="12"/>
      <c r="I211" s="12"/>
      <c r="J211" s="12"/>
      <c r="K211" s="12"/>
      <c r="L211" s="13"/>
      <c r="M211" s="12"/>
      <c r="N211" s="12"/>
      <c r="O211" s="12"/>
    </row>
    <row r="212" spans="1:15">
      <c r="A212" s="12"/>
      <c r="B212" s="12"/>
      <c r="C212" s="12"/>
      <c r="D212" s="12"/>
      <c r="E212" s="13"/>
      <c r="F212" s="13"/>
      <c r="G212" s="12"/>
      <c r="H212" s="12"/>
      <c r="I212" s="12"/>
      <c r="J212" s="12"/>
      <c r="K212" s="12"/>
      <c r="L212" s="13"/>
      <c r="M212" s="12"/>
      <c r="N212" s="12"/>
      <c r="O212" s="12"/>
    </row>
    <row r="213" spans="1:15">
      <c r="A213" s="12"/>
      <c r="B213" s="12"/>
      <c r="C213" s="12"/>
      <c r="D213" s="12"/>
      <c r="E213" s="13"/>
      <c r="F213" s="13"/>
      <c r="G213" s="12"/>
      <c r="H213" s="12"/>
      <c r="I213" s="12"/>
      <c r="J213" s="12"/>
      <c r="K213" s="12"/>
      <c r="L213" s="13"/>
      <c r="M213" s="12"/>
      <c r="N213" s="12"/>
      <c r="O213" s="12"/>
    </row>
    <row r="214" spans="1:15">
      <c r="A214" s="12"/>
      <c r="B214" s="12"/>
      <c r="C214" s="12"/>
      <c r="D214" s="12"/>
      <c r="E214" s="13"/>
      <c r="F214" s="13"/>
      <c r="G214" s="12"/>
      <c r="H214" s="12"/>
      <c r="I214" s="12"/>
      <c r="J214" s="12"/>
      <c r="K214" s="12"/>
      <c r="L214" s="13"/>
      <c r="M214" s="12"/>
      <c r="N214" s="12"/>
      <c r="O214" s="12"/>
    </row>
    <row r="215" spans="1:15">
      <c r="A215" s="12"/>
      <c r="B215" s="12"/>
      <c r="C215" s="12"/>
      <c r="D215" s="12"/>
      <c r="E215" s="13"/>
      <c r="F215" s="13"/>
      <c r="G215" s="12"/>
      <c r="H215" s="12"/>
      <c r="I215" s="12"/>
      <c r="J215" s="12"/>
      <c r="K215" s="12"/>
      <c r="L215" s="13"/>
      <c r="M215" s="12"/>
      <c r="N215" s="12"/>
      <c r="O215" s="12"/>
    </row>
    <row r="216" spans="1:15">
      <c r="A216" s="12"/>
      <c r="B216" s="12"/>
      <c r="C216" s="12"/>
      <c r="D216" s="12"/>
      <c r="E216" s="13"/>
      <c r="F216" s="13"/>
      <c r="G216" s="12"/>
      <c r="H216" s="12"/>
      <c r="I216" s="12"/>
      <c r="J216" s="12"/>
      <c r="K216" s="12"/>
      <c r="L216" s="13"/>
      <c r="M216" s="12"/>
      <c r="N216" s="12"/>
      <c r="O216" s="12"/>
    </row>
    <row r="217" spans="1:15">
      <c r="A217" s="12"/>
      <c r="B217" s="12"/>
      <c r="C217" s="12"/>
      <c r="D217" s="12"/>
      <c r="E217" s="13"/>
      <c r="F217" s="13"/>
      <c r="G217" s="12"/>
      <c r="H217" s="12"/>
      <c r="I217" s="12"/>
      <c r="J217" s="12"/>
      <c r="K217" s="12"/>
      <c r="L217" s="13"/>
      <c r="M217" s="12"/>
      <c r="N217" s="12"/>
      <c r="O217" s="12"/>
    </row>
    <row r="218" spans="1:15">
      <c r="A218" s="12"/>
      <c r="B218" s="12"/>
      <c r="C218" s="12"/>
      <c r="D218" s="12"/>
      <c r="E218" s="13"/>
      <c r="F218" s="13"/>
      <c r="G218" s="12"/>
      <c r="H218" s="12"/>
      <c r="I218" s="12"/>
      <c r="J218" s="12"/>
      <c r="K218" s="12"/>
      <c r="L218" s="13"/>
      <c r="M218" s="12"/>
      <c r="N218" s="12"/>
      <c r="O218" s="12"/>
    </row>
    <row r="219" spans="1:15">
      <c r="A219" s="12"/>
      <c r="B219" s="12"/>
      <c r="C219" s="12"/>
      <c r="D219" s="12"/>
      <c r="E219" s="13"/>
      <c r="F219" s="13"/>
      <c r="G219" s="12"/>
      <c r="H219" s="12"/>
      <c r="I219" s="12"/>
      <c r="J219" s="12"/>
      <c r="K219" s="12"/>
      <c r="L219" s="13"/>
      <c r="M219" s="12"/>
      <c r="N219" s="12"/>
      <c r="O219" s="12"/>
    </row>
    <row r="220" spans="1:15">
      <c r="A220" s="12"/>
      <c r="B220" s="12"/>
      <c r="C220" s="12"/>
      <c r="D220" s="12"/>
      <c r="E220" s="13"/>
      <c r="F220" s="13"/>
      <c r="G220" s="12"/>
      <c r="H220" s="12"/>
      <c r="I220" s="12"/>
      <c r="J220" s="12"/>
      <c r="K220" s="12"/>
      <c r="L220" s="13"/>
      <c r="M220" s="12"/>
      <c r="N220" s="12"/>
      <c r="O220" s="12"/>
    </row>
    <row r="221" spans="1:15">
      <c r="A221" s="12"/>
      <c r="B221" s="12"/>
      <c r="C221" s="12"/>
      <c r="D221" s="12"/>
      <c r="E221" s="13"/>
      <c r="F221" s="13"/>
      <c r="G221" s="12"/>
      <c r="H221" s="12"/>
      <c r="I221" s="12"/>
      <c r="J221" s="12"/>
      <c r="K221" s="12"/>
      <c r="L221" s="13"/>
      <c r="M221" s="12"/>
      <c r="N221" s="12"/>
      <c r="O221" s="12"/>
    </row>
    <row r="222" spans="1:15">
      <c r="A222" s="12"/>
      <c r="B222" s="12"/>
      <c r="C222" s="12"/>
      <c r="D222" s="12"/>
      <c r="E222" s="13"/>
      <c r="F222" s="13"/>
      <c r="G222" s="12"/>
      <c r="H222" s="12"/>
      <c r="I222" s="12"/>
      <c r="J222" s="12"/>
      <c r="K222" s="12"/>
      <c r="L222" s="13"/>
      <c r="M222" s="12"/>
      <c r="N222" s="12"/>
      <c r="O222" s="12"/>
    </row>
    <row r="223" spans="1:15">
      <c r="A223" s="12"/>
      <c r="B223" s="12"/>
      <c r="C223" s="12"/>
      <c r="D223" s="12"/>
      <c r="E223" s="13"/>
      <c r="F223" s="13"/>
      <c r="G223" s="12"/>
      <c r="H223" s="12"/>
      <c r="I223" s="12"/>
      <c r="J223" s="12"/>
      <c r="K223" s="12"/>
      <c r="L223" s="13"/>
      <c r="M223" s="12"/>
      <c r="N223" s="12"/>
      <c r="O223" s="12"/>
    </row>
    <row r="224" spans="1:15">
      <c r="A224" s="12"/>
      <c r="B224" s="12"/>
      <c r="C224" s="12"/>
      <c r="D224" s="12"/>
      <c r="E224" s="13"/>
      <c r="F224" s="13"/>
      <c r="G224" s="12"/>
      <c r="H224" s="12"/>
      <c r="I224" s="12"/>
      <c r="J224" s="12"/>
      <c r="K224" s="12"/>
      <c r="L224" s="13"/>
      <c r="M224" s="12"/>
      <c r="N224" s="12"/>
      <c r="O224" s="12"/>
    </row>
    <row r="225" spans="1:15">
      <c r="A225" s="12"/>
      <c r="B225" s="12"/>
      <c r="C225" s="12"/>
      <c r="D225" s="12"/>
      <c r="E225" s="13"/>
      <c r="F225" s="13"/>
      <c r="G225" s="12"/>
      <c r="H225" s="12"/>
      <c r="I225" s="12"/>
      <c r="J225" s="12"/>
      <c r="K225" s="12"/>
      <c r="L225" s="13"/>
      <c r="M225" s="12"/>
      <c r="N225" s="12"/>
      <c r="O225" s="12"/>
    </row>
    <row r="226" spans="1:15">
      <c r="A226" s="12"/>
      <c r="B226" s="12"/>
      <c r="C226" s="12"/>
      <c r="D226" s="12"/>
      <c r="E226" s="13"/>
      <c r="F226" s="13"/>
      <c r="G226" s="12"/>
      <c r="H226" s="12"/>
      <c r="I226" s="12"/>
      <c r="J226" s="12"/>
      <c r="K226" s="12"/>
      <c r="L226" s="13"/>
      <c r="M226" s="12"/>
      <c r="N226" s="12"/>
      <c r="O226" s="12"/>
    </row>
    <row r="227" spans="1:15">
      <c r="A227" s="12"/>
      <c r="B227" s="12"/>
      <c r="C227" s="12"/>
      <c r="D227" s="12"/>
      <c r="E227" s="13"/>
      <c r="F227" s="13"/>
      <c r="G227" s="12"/>
      <c r="H227" s="12"/>
      <c r="I227" s="12"/>
      <c r="J227" s="12"/>
      <c r="K227" s="12"/>
      <c r="L227" s="13"/>
      <c r="M227" s="12"/>
      <c r="N227" s="12"/>
      <c r="O227" s="12"/>
    </row>
    <row r="228" spans="1:15">
      <c r="A228" s="12"/>
      <c r="B228" s="12"/>
      <c r="C228" s="12"/>
      <c r="D228" s="12"/>
      <c r="E228" s="13"/>
      <c r="F228" s="13"/>
      <c r="G228" s="12"/>
      <c r="H228" s="12"/>
      <c r="I228" s="12"/>
      <c r="J228" s="12"/>
      <c r="K228" s="12"/>
      <c r="L228" s="13"/>
      <c r="M228" s="12"/>
      <c r="N228" s="12"/>
      <c r="O228" s="12"/>
    </row>
    <row r="229" spans="1:15">
      <c r="A229" s="12"/>
      <c r="B229" s="12"/>
      <c r="C229" s="12"/>
      <c r="D229" s="12"/>
      <c r="E229" s="13"/>
      <c r="F229" s="13"/>
      <c r="G229" s="12"/>
      <c r="H229" s="12"/>
      <c r="I229" s="12"/>
      <c r="J229" s="12"/>
      <c r="K229" s="12"/>
      <c r="L229" s="13"/>
      <c r="M229" s="12"/>
      <c r="N229" s="12"/>
      <c r="O229" s="12"/>
    </row>
    <row r="230" spans="1:15">
      <c r="A230" s="12"/>
      <c r="B230" s="12"/>
      <c r="C230" s="12"/>
      <c r="D230" s="12"/>
      <c r="E230" s="13"/>
      <c r="F230" s="13"/>
      <c r="G230" s="12"/>
      <c r="H230" s="12"/>
      <c r="I230" s="12"/>
      <c r="J230" s="12"/>
      <c r="K230" s="12"/>
      <c r="L230" s="13"/>
      <c r="M230" s="12"/>
      <c r="N230" s="12"/>
      <c r="O230" s="12"/>
    </row>
    <row r="231" spans="1:15">
      <c r="A231" s="12"/>
      <c r="B231" s="12"/>
      <c r="C231" s="12"/>
      <c r="D231" s="12"/>
      <c r="E231" s="13"/>
      <c r="F231" s="13"/>
      <c r="G231" s="12"/>
      <c r="H231" s="12"/>
      <c r="I231" s="12"/>
      <c r="J231" s="12"/>
      <c r="K231" s="12"/>
      <c r="L231" s="13"/>
      <c r="M231" s="12"/>
      <c r="N231" s="12"/>
      <c r="O231" s="12"/>
    </row>
    <row r="232" spans="1:15">
      <c r="A232" s="12"/>
      <c r="B232" s="12"/>
      <c r="C232" s="12"/>
      <c r="D232" s="12"/>
      <c r="E232" s="13"/>
      <c r="F232" s="13"/>
      <c r="G232" s="12"/>
      <c r="H232" s="12"/>
      <c r="I232" s="12"/>
      <c r="J232" s="12"/>
      <c r="K232" s="12"/>
      <c r="L232" s="13"/>
      <c r="M232" s="12"/>
      <c r="N232" s="12"/>
      <c r="O232" s="12"/>
    </row>
    <row r="233" spans="1:15">
      <c r="A233" s="12"/>
      <c r="B233" s="12"/>
      <c r="C233" s="12"/>
      <c r="D233" s="12"/>
      <c r="E233" s="13"/>
      <c r="F233" s="13"/>
      <c r="G233" s="12"/>
      <c r="H233" s="12"/>
      <c r="I233" s="12"/>
      <c r="J233" s="12"/>
      <c r="K233" s="12"/>
      <c r="L233" s="13"/>
      <c r="M233" s="12"/>
      <c r="N233" s="12"/>
      <c r="O233" s="12"/>
    </row>
    <row r="234" spans="1:15">
      <c r="A234" s="12"/>
      <c r="B234" s="12"/>
      <c r="C234" s="12"/>
      <c r="D234" s="12"/>
      <c r="E234" s="13"/>
      <c r="F234" s="13"/>
      <c r="G234" s="12"/>
      <c r="H234" s="12"/>
      <c r="I234" s="12"/>
      <c r="J234" s="12"/>
      <c r="K234" s="12"/>
      <c r="L234" s="13"/>
      <c r="M234" s="12"/>
      <c r="N234" s="12"/>
      <c r="O234" s="12"/>
    </row>
    <row r="235" spans="1:15">
      <c r="A235" s="12"/>
      <c r="B235" s="12"/>
      <c r="C235" s="12"/>
      <c r="D235" s="12"/>
      <c r="E235" s="13"/>
      <c r="F235" s="13"/>
      <c r="G235" s="12"/>
      <c r="H235" s="12"/>
      <c r="I235" s="12"/>
      <c r="J235" s="12"/>
      <c r="K235" s="12"/>
      <c r="L235" s="13"/>
      <c r="M235" s="12"/>
      <c r="N235" s="12"/>
      <c r="O235" s="12"/>
    </row>
    <row r="236" spans="1:15">
      <c r="A236" s="12"/>
      <c r="B236" s="12"/>
      <c r="C236" s="12"/>
      <c r="D236" s="12"/>
      <c r="E236" s="13"/>
      <c r="F236" s="13"/>
      <c r="G236" s="12"/>
      <c r="H236" s="12"/>
      <c r="I236" s="12"/>
      <c r="J236" s="12"/>
      <c r="K236" s="12"/>
      <c r="L236" s="13"/>
      <c r="M236" s="12"/>
      <c r="N236" s="12"/>
      <c r="O236" s="12"/>
    </row>
    <row r="237" spans="1:15">
      <c r="A237" s="12"/>
      <c r="B237" s="12"/>
      <c r="C237" s="12"/>
      <c r="D237" s="12"/>
      <c r="E237" s="13"/>
      <c r="F237" s="13"/>
      <c r="G237" s="12"/>
      <c r="H237" s="12"/>
      <c r="I237" s="12"/>
      <c r="J237" s="12"/>
      <c r="K237" s="12"/>
      <c r="L237" s="13"/>
      <c r="M237" s="12"/>
      <c r="N237" s="12"/>
      <c r="O237" s="12"/>
    </row>
    <row r="238" spans="1:15">
      <c r="A238" s="12"/>
      <c r="B238" s="12"/>
      <c r="C238" s="12"/>
      <c r="D238" s="12"/>
      <c r="E238" s="13"/>
      <c r="F238" s="13"/>
      <c r="G238" s="12"/>
      <c r="H238" s="12"/>
      <c r="I238" s="12"/>
      <c r="J238" s="12"/>
      <c r="K238" s="12"/>
      <c r="L238" s="13"/>
      <c r="M238" s="12"/>
      <c r="N238" s="12"/>
      <c r="O238" s="12"/>
    </row>
    <row r="239" spans="1:15">
      <c r="A239" s="12"/>
      <c r="B239" s="12"/>
      <c r="C239" s="12"/>
      <c r="D239" s="12"/>
      <c r="E239" s="13"/>
      <c r="F239" s="13"/>
      <c r="G239" s="12"/>
      <c r="H239" s="12"/>
      <c r="I239" s="12"/>
      <c r="J239" s="12"/>
      <c r="K239" s="12"/>
      <c r="L239" s="13"/>
      <c r="M239" s="12"/>
      <c r="N239" s="12"/>
      <c r="O239" s="12"/>
    </row>
    <row r="240" spans="1:15">
      <c r="A240" s="12"/>
      <c r="B240" s="12"/>
      <c r="C240" s="12"/>
      <c r="D240" s="12"/>
      <c r="E240" s="13"/>
      <c r="F240" s="13"/>
      <c r="G240" s="12"/>
      <c r="H240" s="12"/>
      <c r="I240" s="12"/>
      <c r="J240" s="12"/>
      <c r="K240" s="12"/>
      <c r="L240" s="13"/>
      <c r="M240" s="12"/>
      <c r="N240" s="12"/>
      <c r="O240" s="12"/>
    </row>
    <row r="241" spans="1:15">
      <c r="A241" s="12"/>
      <c r="B241" s="12"/>
      <c r="C241" s="12"/>
      <c r="D241" s="12"/>
      <c r="E241" s="13"/>
      <c r="F241" s="13"/>
      <c r="G241" s="12"/>
      <c r="H241" s="12"/>
      <c r="I241" s="12"/>
      <c r="J241" s="12"/>
      <c r="K241" s="12"/>
      <c r="L241" s="13"/>
      <c r="M241" s="12"/>
      <c r="N241" s="12"/>
      <c r="O241" s="12"/>
    </row>
    <row r="242" spans="1:15">
      <c r="A242" s="12"/>
      <c r="B242" s="12"/>
      <c r="C242" s="12"/>
      <c r="D242" s="12"/>
      <c r="E242" s="13"/>
      <c r="F242" s="13"/>
      <c r="G242" s="12"/>
      <c r="H242" s="12"/>
      <c r="I242" s="12"/>
      <c r="J242" s="12"/>
      <c r="K242" s="12"/>
      <c r="L242" s="13"/>
      <c r="M242" s="12"/>
      <c r="N242" s="12"/>
      <c r="O242" s="12"/>
    </row>
    <row r="243" spans="1:15">
      <c r="A243" s="12"/>
      <c r="B243" s="12"/>
      <c r="C243" s="12"/>
      <c r="D243" s="12"/>
      <c r="E243" s="13"/>
      <c r="F243" s="13"/>
      <c r="G243" s="12"/>
      <c r="H243" s="12"/>
      <c r="I243" s="12"/>
      <c r="J243" s="12"/>
      <c r="K243" s="12"/>
      <c r="L243" s="13"/>
      <c r="M243" s="12"/>
      <c r="N243" s="12"/>
      <c r="O243" s="12"/>
    </row>
    <row r="244" spans="1:15">
      <c r="A244" s="12"/>
      <c r="B244" s="12"/>
      <c r="C244" s="12"/>
      <c r="D244" s="12"/>
      <c r="E244" s="13"/>
      <c r="F244" s="13"/>
      <c r="G244" s="12"/>
      <c r="H244" s="12"/>
      <c r="I244" s="12"/>
      <c r="J244" s="12"/>
      <c r="K244" s="12"/>
      <c r="L244" s="13"/>
      <c r="M244" s="12"/>
      <c r="N244" s="12"/>
      <c r="O244" s="12"/>
    </row>
    <row r="245" spans="1:15">
      <c r="A245" s="12"/>
      <c r="B245" s="12"/>
      <c r="C245" s="12"/>
      <c r="D245" s="12"/>
      <c r="E245" s="13"/>
      <c r="F245" s="13"/>
      <c r="G245" s="12"/>
      <c r="H245" s="12"/>
      <c r="I245" s="12"/>
      <c r="J245" s="12"/>
      <c r="K245" s="12"/>
      <c r="L245" s="13"/>
      <c r="M245" s="12"/>
      <c r="N245" s="12"/>
      <c r="O245" s="12"/>
    </row>
    <row r="246" spans="1:15">
      <c r="A246" s="12"/>
      <c r="B246" s="12"/>
      <c r="C246" s="12"/>
      <c r="D246" s="12"/>
      <c r="E246" s="13"/>
      <c r="F246" s="13"/>
      <c r="G246" s="12"/>
      <c r="H246" s="12"/>
      <c r="I246" s="12"/>
      <c r="J246" s="12"/>
      <c r="K246" s="12"/>
      <c r="L246" s="13"/>
      <c r="M246" s="12"/>
      <c r="N246" s="12"/>
      <c r="O246" s="12"/>
    </row>
    <row r="247" spans="1:15">
      <c r="A247" s="12"/>
      <c r="B247" s="12"/>
      <c r="C247" s="12"/>
      <c r="D247" s="12"/>
      <c r="E247" s="13"/>
      <c r="F247" s="13"/>
      <c r="G247" s="12"/>
      <c r="H247" s="12"/>
      <c r="I247" s="12"/>
      <c r="J247" s="12"/>
      <c r="K247" s="12"/>
      <c r="L247" s="13"/>
      <c r="M247" s="12"/>
      <c r="N247" s="12"/>
      <c r="O247" s="12"/>
    </row>
    <row r="248" spans="1:15">
      <c r="A248" s="12"/>
      <c r="B248" s="12"/>
      <c r="C248" s="12"/>
      <c r="D248" s="12"/>
      <c r="E248" s="13"/>
      <c r="F248" s="13"/>
      <c r="G248" s="12"/>
      <c r="H248" s="12"/>
      <c r="I248" s="12"/>
      <c r="J248" s="12"/>
      <c r="K248" s="12"/>
      <c r="L248" s="13"/>
      <c r="M248" s="12"/>
      <c r="N248" s="12"/>
      <c r="O248" s="12"/>
    </row>
    <row r="249" spans="1:15">
      <c r="A249" s="12"/>
      <c r="B249" s="12"/>
      <c r="C249" s="12"/>
      <c r="D249" s="12"/>
      <c r="E249" s="13"/>
      <c r="F249" s="13"/>
      <c r="G249" s="12"/>
      <c r="H249" s="12"/>
      <c r="I249" s="12"/>
      <c r="J249" s="12"/>
      <c r="K249" s="12"/>
      <c r="L249" s="13"/>
      <c r="M249" s="12"/>
      <c r="N249" s="12"/>
      <c r="O249" s="12"/>
    </row>
    <row r="250" spans="1:15">
      <c r="A250" s="12"/>
      <c r="B250" s="12"/>
      <c r="C250" s="12"/>
      <c r="D250" s="12"/>
      <c r="E250" s="13"/>
      <c r="F250" s="13"/>
      <c r="G250" s="12"/>
      <c r="H250" s="12"/>
      <c r="I250" s="12"/>
      <c r="J250" s="12"/>
      <c r="K250" s="12"/>
      <c r="L250" s="13"/>
      <c r="M250" s="12"/>
      <c r="N250" s="12"/>
      <c r="O250" s="12"/>
    </row>
    <row r="251" spans="1:15">
      <c r="A251" s="12"/>
      <c r="B251" s="12"/>
      <c r="C251" s="12"/>
      <c r="D251" s="12"/>
      <c r="E251" s="13"/>
      <c r="F251" s="13"/>
      <c r="G251" s="12"/>
      <c r="H251" s="12"/>
      <c r="I251" s="12"/>
      <c r="J251" s="12"/>
      <c r="K251" s="12"/>
      <c r="L251" s="13"/>
      <c r="M251" s="12"/>
      <c r="N251" s="12"/>
      <c r="O251" s="12"/>
    </row>
    <row r="252" spans="1:15">
      <c r="A252" s="12"/>
      <c r="B252" s="12"/>
      <c r="C252" s="12"/>
      <c r="D252" s="12"/>
      <c r="E252" s="13"/>
      <c r="F252" s="13"/>
      <c r="G252" s="12"/>
      <c r="H252" s="12"/>
      <c r="I252" s="12"/>
      <c r="J252" s="12"/>
      <c r="K252" s="12"/>
      <c r="L252" s="13"/>
      <c r="M252" s="12"/>
      <c r="N252" s="12"/>
      <c r="O252" s="12"/>
    </row>
    <row r="253" spans="1:15">
      <c r="A253" s="12"/>
      <c r="B253" s="12"/>
      <c r="C253" s="12"/>
      <c r="D253" s="12"/>
      <c r="E253" s="13"/>
      <c r="F253" s="13"/>
      <c r="G253" s="12"/>
      <c r="H253" s="12"/>
      <c r="I253" s="12"/>
      <c r="J253" s="12"/>
      <c r="K253" s="12"/>
      <c r="L253" s="13"/>
      <c r="M253" s="12"/>
      <c r="N253" s="12"/>
      <c r="O253" s="12"/>
    </row>
  </sheetData>
  <autoFilter ref="A3:O253"/>
  <mergeCells count="2">
    <mergeCell ref="A1:O1"/>
    <mergeCell ref="A2:O2"/>
  </mergeCells>
  <conditionalFormatting sqref="G4:G253">
    <cfRule type="expression" dxfId="0" priority="1">
      <formula>OR(ISNUMBER(SEARCH("approved",G4)),ISNUMBER(SEARCH("complete",G4)),ISNUMBER(SEARCH("delivered",G4)),ISNUMBER(SEARCH("installed",G4)),ISNUMBER(SEARCH("paid",G4)),ISNUMBER(SEARCH("good condition",G4)))</formula>
    </cfRule>
    <cfRule type="expression" dxfId="1" priority="2">
      <formula>OR(ISNUMBER(SEARCH("pending",G4)),ISNUMBER(SEARCH("progress",G4)),ISNUMBER(SEARCH("review",G4)),ISNUMBER(SEARCH("sent",G4)),ISNUMBER(SEARCH("scheduled",G4)),ISNUMBER(SEARCH("waiting",G4)),ISNUMBER(SEARCH("ordered",G4)),ISNUMBER(SEARCH("shipped",G4)))</formula>
    </cfRule>
    <cfRule type="expression" dxfId="2" priority="3">
      <formula>OR(ISNUMBER(SEARCH("overdue",G4)),ISNUMBER(SEARCH("delayed",G4)),ISNUMBER(SEARCH("rejected",G4)),ISNUMBER(SEARCH("damaged",G4)),ISNUMBER(SEARCH("missing",G4)),ISNUMBER(SEARCH("wrong",G4)),ISNUMBER(SEARCH("backordered",G4)))</formula>
    </cfRule>
    <cfRule type="expression" dxfId="3" priority="4">
      <formula>OR(ISNUMBER(SEARCH("cancelled",G4)),ISNUMBER(SEARCH("on hold",G4)),ISNUMBER(SEARCH("returned",G4)))</formula>
    </cfRule>
  </conditionalFormatting>
  <conditionalFormatting sqref="I4:I253">
    <cfRule type="expression" dxfId="0" priority="5">
      <formula>OR(ISNUMBER(SEARCH("approved",I4)),ISNUMBER(SEARCH("complete",I4)),ISNUMBER(SEARCH("delivered",I4)),ISNUMBER(SEARCH("installed",I4)),ISNUMBER(SEARCH("paid",I4)),ISNUMBER(SEARCH("good condition",I4)))</formula>
    </cfRule>
    <cfRule type="expression" dxfId="1" priority="6">
      <formula>OR(ISNUMBER(SEARCH("pending",I4)),ISNUMBER(SEARCH("progress",I4)),ISNUMBER(SEARCH("review",I4)),ISNUMBER(SEARCH("sent",I4)),ISNUMBER(SEARCH("scheduled",I4)),ISNUMBER(SEARCH("waiting",I4)),ISNUMBER(SEARCH("ordered",I4)),ISNUMBER(SEARCH("shipped",I4)))</formula>
    </cfRule>
    <cfRule type="expression" dxfId="2" priority="7">
      <formula>OR(ISNUMBER(SEARCH("overdue",I4)),ISNUMBER(SEARCH("delayed",I4)),ISNUMBER(SEARCH("rejected",I4)),ISNUMBER(SEARCH("damaged",I4)),ISNUMBER(SEARCH("missing",I4)),ISNUMBER(SEARCH("wrong",I4)),ISNUMBER(SEARCH("backordered",I4)))</formula>
    </cfRule>
    <cfRule type="expression" dxfId="3" priority="8">
      <formula>OR(ISNUMBER(SEARCH("cancelled",I4)),ISNUMBER(SEARCH("on hold",I4)),ISNUMBER(SEARCH("returned",I4)))</formula>
    </cfRule>
  </conditionalFormatting>
  <conditionalFormatting sqref="N4:N253">
    <cfRule type="expression" dxfId="0" priority="9">
      <formula>OR(ISNUMBER(SEARCH("approved",N4)),ISNUMBER(SEARCH("complete",N4)),ISNUMBER(SEARCH("delivered",N4)),ISNUMBER(SEARCH("installed",N4)),ISNUMBER(SEARCH("paid",N4)),ISNUMBER(SEARCH("good condition",N4)))</formula>
    </cfRule>
    <cfRule type="expression" dxfId="1" priority="10">
      <formula>OR(ISNUMBER(SEARCH("pending",N4)),ISNUMBER(SEARCH("progress",N4)),ISNUMBER(SEARCH("review",N4)),ISNUMBER(SEARCH("sent",N4)),ISNUMBER(SEARCH("scheduled",N4)),ISNUMBER(SEARCH("waiting",N4)),ISNUMBER(SEARCH("ordered",N4)),ISNUMBER(SEARCH("shipped",N4)))</formula>
    </cfRule>
    <cfRule type="expression" dxfId="2" priority="11">
      <formula>OR(ISNUMBER(SEARCH("overdue",N4)),ISNUMBER(SEARCH("delayed",N4)),ISNUMBER(SEARCH("rejected",N4)),ISNUMBER(SEARCH("damaged",N4)),ISNUMBER(SEARCH("missing",N4)),ISNUMBER(SEARCH("wrong",N4)),ISNUMBER(SEARCH("backordered",N4)))</formula>
    </cfRule>
    <cfRule type="expression" dxfId="3" priority="12">
      <formula>OR(ISNUMBER(SEARCH("cancelled",N4)),ISNUMBER(SEARCH("on hold",N4)),ISNUMBER(SEARCH("returned",N4)))</formula>
    </cfRule>
  </conditionalFormatting>
  <dataValidations count="5">
    <dataValidation type="list" allowBlank="1" showInputMessage="1" showErrorMessage="1" errorTitle="Choose a listed value" error="Please select an option from the dropdown." promptTitle="Room" prompt="Select from the dropdown list." sqref="B4:B253">
      <formula1>RoomNames</formula1>
    </dataValidation>
    <dataValidation type="list" allowBlank="1" showInputMessage="1" showErrorMessage="1" errorTitle="Choose a listed value" error="Please select an option from the dropdown." promptTitle="Vendor" prompt="Select from the dropdown list." sqref="C4:C253">
      <formula1>VendorNames</formula1>
    </dataValidation>
    <dataValidation type="list" allowBlank="1" showInputMessage="1" showErrorMessage="1" errorTitle="Choose a listed value" error="Please select an option from the dropdown." promptTitle="Delivery Status" prompt="Select from the dropdown list." sqref="G4:G253">
      <formula1>DeliveryStatuses</formula1>
    </dataValidation>
    <dataValidation type="list" allowBlank="1" showInputMessage="1" showErrorMessage="1" errorTitle="Choose a listed value" error="Please select an option from the dropdown." promptTitle="Damage Check" prompt="Select from the dropdown list." sqref="I4:I253">
      <formula1>DamageChecks</formula1>
    </dataValidation>
    <dataValidation type="list" allowBlank="1" showInputMessage="1" showErrorMessage="1" errorTitle="Choose a listed value" error="Please select an option from the dropdown." promptTitle="Installation Status" prompt="Select from the dropdown list." sqref="N4:N253">
      <formula1>InstallStatuses</formula1>
    </dataValidation>
  </dataValidations>
  <pageMargins left="0.25" right="0.25" top="0.5" bottom="0.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3" width="18.7109375" customWidth="1"/>
    <col min="4" max="4" width="19.7109375" customWidth="1"/>
    <col min="5" max="6" width="20.7109375" customWidth="1"/>
    <col min="7" max="7" width="22.7109375" customWidth="1"/>
    <col min="8" max="8" width="30.7109375" customWidth="1"/>
    <col min="9" max="10" width="18.7109375" customWidth="1"/>
  </cols>
  <sheetData>
    <row r="1" spans="1:10" ht="30" customHeight="1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</row>
    <row r="3" spans="1:10" ht="32" customHeight="1">
      <c r="A3" s="10" t="s">
        <v>370</v>
      </c>
      <c r="B3" s="10" t="s">
        <v>167</v>
      </c>
      <c r="C3" s="10" t="s">
        <v>371</v>
      </c>
      <c r="D3" s="10" t="s">
        <v>372</v>
      </c>
      <c r="E3" s="10" t="s">
        <v>373</v>
      </c>
      <c r="F3" s="10" t="s">
        <v>374</v>
      </c>
      <c r="G3" s="10" t="s">
        <v>375</v>
      </c>
      <c r="H3" s="10" t="s">
        <v>376</v>
      </c>
      <c r="I3" s="10" t="s">
        <v>377</v>
      </c>
      <c r="J3" s="10" t="s">
        <v>378</v>
      </c>
    </row>
    <row r="4" spans="1:10">
      <c r="A4" s="12"/>
      <c r="B4" s="12"/>
      <c r="C4" s="12"/>
      <c r="D4" s="13"/>
      <c r="E4" s="13"/>
      <c r="F4" s="12"/>
      <c r="G4" s="12"/>
      <c r="H4" s="12"/>
      <c r="I4" s="12"/>
      <c r="J4" s="13"/>
    </row>
    <row r="5" spans="1:10">
      <c r="A5" s="12"/>
      <c r="B5" s="12"/>
      <c r="C5" s="12"/>
      <c r="D5" s="13"/>
      <c r="E5" s="13"/>
      <c r="F5" s="12"/>
      <c r="G5" s="12"/>
      <c r="H5" s="12"/>
      <c r="I5" s="12"/>
      <c r="J5" s="13"/>
    </row>
    <row r="6" spans="1:10">
      <c r="A6" s="12"/>
      <c r="B6" s="12"/>
      <c r="C6" s="12"/>
      <c r="D6" s="13"/>
      <c r="E6" s="13"/>
      <c r="F6" s="12"/>
      <c r="G6" s="12"/>
      <c r="H6" s="12"/>
      <c r="I6" s="12"/>
      <c r="J6" s="13"/>
    </row>
    <row r="7" spans="1:10">
      <c r="A7" s="12"/>
      <c r="B7" s="12"/>
      <c r="C7" s="12"/>
      <c r="D7" s="13"/>
      <c r="E7" s="13"/>
      <c r="F7" s="12"/>
      <c r="G7" s="12"/>
      <c r="H7" s="12"/>
      <c r="I7" s="12"/>
      <c r="J7" s="13"/>
    </row>
    <row r="8" spans="1:10">
      <c r="A8" s="12"/>
      <c r="B8" s="12"/>
      <c r="C8" s="12"/>
      <c r="D8" s="13"/>
      <c r="E8" s="13"/>
      <c r="F8" s="12"/>
      <c r="G8" s="12"/>
      <c r="H8" s="12"/>
      <c r="I8" s="12"/>
      <c r="J8" s="13"/>
    </row>
    <row r="9" spans="1:10">
      <c r="A9" s="12"/>
      <c r="B9" s="12"/>
      <c r="C9" s="12"/>
      <c r="D9" s="13"/>
      <c r="E9" s="13"/>
      <c r="F9" s="12"/>
      <c r="G9" s="12"/>
      <c r="H9" s="12"/>
      <c r="I9" s="12"/>
      <c r="J9" s="13"/>
    </row>
    <row r="10" spans="1:10">
      <c r="A10" s="12"/>
      <c r="B10" s="12"/>
      <c r="C10" s="12"/>
      <c r="D10" s="13"/>
      <c r="E10" s="13"/>
      <c r="F10" s="12"/>
      <c r="G10" s="12"/>
      <c r="H10" s="12"/>
      <c r="I10" s="12"/>
      <c r="J10" s="13"/>
    </row>
    <row r="11" spans="1:10">
      <c r="A11" s="12"/>
      <c r="B11" s="12"/>
      <c r="C11" s="12"/>
      <c r="D11" s="13"/>
      <c r="E11" s="13"/>
      <c r="F11" s="12"/>
      <c r="G11" s="12"/>
      <c r="H11" s="12"/>
      <c r="I11" s="12"/>
      <c r="J11" s="13"/>
    </row>
    <row r="12" spans="1:10">
      <c r="A12" s="12"/>
      <c r="B12" s="12"/>
      <c r="C12" s="12"/>
      <c r="D12" s="13"/>
      <c r="E12" s="13"/>
      <c r="F12" s="12"/>
      <c r="G12" s="12"/>
      <c r="H12" s="12"/>
      <c r="I12" s="12"/>
      <c r="J12" s="13"/>
    </row>
    <row r="13" spans="1:10">
      <c r="A13" s="12"/>
      <c r="B13" s="12"/>
      <c r="C13" s="12"/>
      <c r="D13" s="13"/>
      <c r="E13" s="13"/>
      <c r="F13" s="12"/>
      <c r="G13" s="12"/>
      <c r="H13" s="12"/>
      <c r="I13" s="12"/>
      <c r="J13" s="13"/>
    </row>
    <row r="14" spans="1:10">
      <c r="A14" s="12"/>
      <c r="B14" s="12"/>
      <c r="C14" s="12"/>
      <c r="D14" s="13"/>
      <c r="E14" s="13"/>
      <c r="F14" s="12"/>
      <c r="G14" s="12"/>
      <c r="H14" s="12"/>
      <c r="I14" s="12"/>
      <c r="J14" s="13"/>
    </row>
    <row r="15" spans="1:10">
      <c r="A15" s="12"/>
      <c r="B15" s="12"/>
      <c r="C15" s="12"/>
      <c r="D15" s="13"/>
      <c r="E15" s="13"/>
      <c r="F15" s="12"/>
      <c r="G15" s="12"/>
      <c r="H15" s="12"/>
      <c r="I15" s="12"/>
      <c r="J15" s="13"/>
    </row>
    <row r="16" spans="1:10">
      <c r="A16" s="12"/>
      <c r="B16" s="12"/>
      <c r="C16" s="12"/>
      <c r="D16" s="13"/>
      <c r="E16" s="13"/>
      <c r="F16" s="12"/>
      <c r="G16" s="12"/>
      <c r="H16" s="12"/>
      <c r="I16" s="12"/>
      <c r="J16" s="13"/>
    </row>
    <row r="17" spans="1:10">
      <c r="A17" s="12"/>
      <c r="B17" s="12"/>
      <c r="C17" s="12"/>
      <c r="D17" s="13"/>
      <c r="E17" s="13"/>
      <c r="F17" s="12"/>
      <c r="G17" s="12"/>
      <c r="H17" s="12"/>
      <c r="I17" s="12"/>
      <c r="J17" s="13"/>
    </row>
    <row r="18" spans="1:10">
      <c r="A18" s="12"/>
      <c r="B18" s="12"/>
      <c r="C18" s="12"/>
      <c r="D18" s="13"/>
      <c r="E18" s="13"/>
      <c r="F18" s="12"/>
      <c r="G18" s="12"/>
      <c r="H18" s="12"/>
      <c r="I18" s="12"/>
      <c r="J18" s="13"/>
    </row>
    <row r="19" spans="1:10">
      <c r="A19" s="12"/>
      <c r="B19" s="12"/>
      <c r="C19" s="12"/>
      <c r="D19" s="13"/>
      <c r="E19" s="13"/>
      <c r="F19" s="12"/>
      <c r="G19" s="12"/>
      <c r="H19" s="12"/>
      <c r="I19" s="12"/>
      <c r="J19" s="13"/>
    </row>
    <row r="20" spans="1:10">
      <c r="A20" s="12"/>
      <c r="B20" s="12"/>
      <c r="C20" s="12"/>
      <c r="D20" s="13"/>
      <c r="E20" s="13"/>
      <c r="F20" s="12"/>
      <c r="G20" s="12"/>
      <c r="H20" s="12"/>
      <c r="I20" s="12"/>
      <c r="J20" s="13"/>
    </row>
    <row r="21" spans="1:10">
      <c r="A21" s="12"/>
      <c r="B21" s="12"/>
      <c r="C21" s="12"/>
      <c r="D21" s="13"/>
      <c r="E21" s="13"/>
      <c r="F21" s="12"/>
      <c r="G21" s="12"/>
      <c r="H21" s="12"/>
      <c r="I21" s="12"/>
      <c r="J21" s="13"/>
    </row>
    <row r="22" spans="1:10">
      <c r="A22" s="12"/>
      <c r="B22" s="12"/>
      <c r="C22" s="12"/>
      <c r="D22" s="13"/>
      <c r="E22" s="13"/>
      <c r="F22" s="12"/>
      <c r="G22" s="12"/>
      <c r="H22" s="12"/>
      <c r="I22" s="12"/>
      <c r="J22" s="13"/>
    </row>
    <row r="23" spans="1:10">
      <c r="A23" s="12"/>
      <c r="B23" s="12"/>
      <c r="C23" s="12"/>
      <c r="D23" s="13"/>
      <c r="E23" s="13"/>
      <c r="F23" s="12"/>
      <c r="G23" s="12"/>
      <c r="H23" s="12"/>
      <c r="I23" s="12"/>
      <c r="J23" s="13"/>
    </row>
    <row r="24" spans="1:10">
      <c r="A24" s="12"/>
      <c r="B24" s="12"/>
      <c r="C24" s="12"/>
      <c r="D24" s="13"/>
      <c r="E24" s="13"/>
      <c r="F24" s="12"/>
      <c r="G24" s="12"/>
      <c r="H24" s="12"/>
      <c r="I24" s="12"/>
      <c r="J24" s="13"/>
    </row>
    <row r="25" spans="1:10">
      <c r="A25" s="12"/>
      <c r="B25" s="12"/>
      <c r="C25" s="12"/>
      <c r="D25" s="13"/>
      <c r="E25" s="13"/>
      <c r="F25" s="12"/>
      <c r="G25" s="12"/>
      <c r="H25" s="12"/>
      <c r="I25" s="12"/>
      <c r="J25" s="13"/>
    </row>
    <row r="26" spans="1:10">
      <c r="A26" s="12"/>
      <c r="B26" s="12"/>
      <c r="C26" s="12"/>
      <c r="D26" s="13"/>
      <c r="E26" s="13"/>
      <c r="F26" s="12"/>
      <c r="G26" s="12"/>
      <c r="H26" s="12"/>
      <c r="I26" s="12"/>
      <c r="J26" s="13"/>
    </row>
    <row r="27" spans="1:10">
      <c r="A27" s="12"/>
      <c r="B27" s="12"/>
      <c r="C27" s="12"/>
      <c r="D27" s="13"/>
      <c r="E27" s="13"/>
      <c r="F27" s="12"/>
      <c r="G27" s="12"/>
      <c r="H27" s="12"/>
      <c r="I27" s="12"/>
      <c r="J27" s="13"/>
    </row>
    <row r="28" spans="1:10">
      <c r="A28" s="12"/>
      <c r="B28" s="12"/>
      <c r="C28" s="12"/>
      <c r="D28" s="13"/>
      <c r="E28" s="13"/>
      <c r="F28" s="12"/>
      <c r="G28" s="12"/>
      <c r="H28" s="12"/>
      <c r="I28" s="12"/>
      <c r="J28" s="13"/>
    </row>
    <row r="29" spans="1:10">
      <c r="A29" s="12"/>
      <c r="B29" s="12"/>
      <c r="C29" s="12"/>
      <c r="D29" s="13"/>
      <c r="E29" s="13"/>
      <c r="F29" s="12"/>
      <c r="G29" s="12"/>
      <c r="H29" s="12"/>
      <c r="I29" s="12"/>
      <c r="J29" s="13"/>
    </row>
    <row r="30" spans="1:10">
      <c r="A30" s="12"/>
      <c r="B30" s="12"/>
      <c r="C30" s="12"/>
      <c r="D30" s="13"/>
      <c r="E30" s="13"/>
      <c r="F30" s="12"/>
      <c r="G30" s="12"/>
      <c r="H30" s="12"/>
      <c r="I30" s="12"/>
      <c r="J30" s="13"/>
    </row>
    <row r="31" spans="1:10">
      <c r="A31" s="12"/>
      <c r="B31" s="12"/>
      <c r="C31" s="12"/>
      <c r="D31" s="13"/>
      <c r="E31" s="13"/>
      <c r="F31" s="12"/>
      <c r="G31" s="12"/>
      <c r="H31" s="12"/>
      <c r="I31" s="12"/>
      <c r="J31" s="13"/>
    </row>
    <row r="32" spans="1:10">
      <c r="A32" s="12"/>
      <c r="B32" s="12"/>
      <c r="C32" s="12"/>
      <c r="D32" s="13"/>
      <c r="E32" s="13"/>
      <c r="F32" s="12"/>
      <c r="G32" s="12"/>
      <c r="H32" s="12"/>
      <c r="I32" s="12"/>
      <c r="J32" s="13"/>
    </row>
    <row r="33" spans="1:10">
      <c r="A33" s="12"/>
      <c r="B33" s="12"/>
      <c r="C33" s="12"/>
      <c r="D33" s="13"/>
      <c r="E33" s="13"/>
      <c r="F33" s="12"/>
      <c r="G33" s="12"/>
      <c r="H33" s="12"/>
      <c r="I33" s="12"/>
      <c r="J33" s="13"/>
    </row>
    <row r="34" spans="1:10">
      <c r="A34" s="12"/>
      <c r="B34" s="12"/>
      <c r="C34" s="12"/>
      <c r="D34" s="13"/>
      <c r="E34" s="13"/>
      <c r="F34" s="12"/>
      <c r="G34" s="12"/>
      <c r="H34" s="12"/>
      <c r="I34" s="12"/>
      <c r="J34" s="13"/>
    </row>
    <row r="35" spans="1:10">
      <c r="A35" s="12"/>
      <c r="B35" s="12"/>
      <c r="C35" s="12"/>
      <c r="D35" s="13"/>
      <c r="E35" s="13"/>
      <c r="F35" s="12"/>
      <c r="G35" s="12"/>
      <c r="H35" s="12"/>
      <c r="I35" s="12"/>
      <c r="J35" s="13"/>
    </row>
    <row r="36" spans="1:10">
      <c r="A36" s="12"/>
      <c r="B36" s="12"/>
      <c r="C36" s="12"/>
      <c r="D36" s="13"/>
      <c r="E36" s="13"/>
      <c r="F36" s="12"/>
      <c r="G36" s="12"/>
      <c r="H36" s="12"/>
      <c r="I36" s="12"/>
      <c r="J36" s="13"/>
    </row>
    <row r="37" spans="1:10">
      <c r="A37" s="12"/>
      <c r="B37" s="12"/>
      <c r="C37" s="12"/>
      <c r="D37" s="13"/>
      <c r="E37" s="13"/>
      <c r="F37" s="12"/>
      <c r="G37" s="12"/>
      <c r="H37" s="12"/>
      <c r="I37" s="12"/>
      <c r="J37" s="13"/>
    </row>
    <row r="38" spans="1:10">
      <c r="A38" s="12"/>
      <c r="B38" s="12"/>
      <c r="C38" s="12"/>
      <c r="D38" s="13"/>
      <c r="E38" s="13"/>
      <c r="F38" s="12"/>
      <c r="G38" s="12"/>
      <c r="H38" s="12"/>
      <c r="I38" s="12"/>
      <c r="J38" s="13"/>
    </row>
    <row r="39" spans="1:10">
      <c r="A39" s="12"/>
      <c r="B39" s="12"/>
      <c r="C39" s="12"/>
      <c r="D39" s="13"/>
      <c r="E39" s="13"/>
      <c r="F39" s="12"/>
      <c r="G39" s="12"/>
      <c r="H39" s="12"/>
      <c r="I39" s="12"/>
      <c r="J39" s="13"/>
    </row>
    <row r="40" spans="1:10">
      <c r="A40" s="12"/>
      <c r="B40" s="12"/>
      <c r="C40" s="12"/>
      <c r="D40" s="13"/>
      <c r="E40" s="13"/>
      <c r="F40" s="12"/>
      <c r="G40" s="12"/>
      <c r="H40" s="12"/>
      <c r="I40" s="12"/>
      <c r="J40" s="13"/>
    </row>
    <row r="41" spans="1:10">
      <c r="A41" s="12"/>
      <c r="B41" s="12"/>
      <c r="C41" s="12"/>
      <c r="D41" s="13"/>
      <c r="E41" s="13"/>
      <c r="F41" s="12"/>
      <c r="G41" s="12"/>
      <c r="H41" s="12"/>
      <c r="I41" s="12"/>
      <c r="J41" s="13"/>
    </row>
    <row r="42" spans="1:10">
      <c r="A42" s="12"/>
      <c r="B42" s="12"/>
      <c r="C42" s="12"/>
      <c r="D42" s="13"/>
      <c r="E42" s="13"/>
      <c r="F42" s="12"/>
      <c r="G42" s="12"/>
      <c r="H42" s="12"/>
      <c r="I42" s="12"/>
      <c r="J42" s="13"/>
    </row>
    <row r="43" spans="1:10">
      <c r="A43" s="12"/>
      <c r="B43" s="12"/>
      <c r="C43" s="12"/>
      <c r="D43" s="13"/>
      <c r="E43" s="13"/>
      <c r="F43" s="12"/>
      <c r="G43" s="12"/>
      <c r="H43" s="12"/>
      <c r="I43" s="12"/>
      <c r="J43" s="13"/>
    </row>
    <row r="44" spans="1:10">
      <c r="A44" s="12"/>
      <c r="B44" s="12"/>
      <c r="C44" s="12"/>
      <c r="D44" s="13"/>
      <c r="E44" s="13"/>
      <c r="F44" s="12"/>
      <c r="G44" s="12"/>
      <c r="H44" s="12"/>
      <c r="I44" s="12"/>
      <c r="J44" s="13"/>
    </row>
    <row r="45" spans="1:10">
      <c r="A45" s="12"/>
      <c r="B45" s="12"/>
      <c r="C45" s="12"/>
      <c r="D45" s="13"/>
      <c r="E45" s="13"/>
      <c r="F45" s="12"/>
      <c r="G45" s="12"/>
      <c r="H45" s="12"/>
      <c r="I45" s="12"/>
      <c r="J45" s="13"/>
    </row>
    <row r="46" spans="1:10">
      <c r="A46" s="12"/>
      <c r="B46" s="12"/>
      <c r="C46" s="12"/>
      <c r="D46" s="13"/>
      <c r="E46" s="13"/>
      <c r="F46" s="12"/>
      <c r="G46" s="12"/>
      <c r="H46" s="12"/>
      <c r="I46" s="12"/>
      <c r="J46" s="13"/>
    </row>
    <row r="47" spans="1:10">
      <c r="A47" s="12"/>
      <c r="B47" s="12"/>
      <c r="C47" s="12"/>
      <c r="D47" s="13"/>
      <c r="E47" s="13"/>
      <c r="F47" s="12"/>
      <c r="G47" s="12"/>
      <c r="H47" s="12"/>
      <c r="I47" s="12"/>
      <c r="J47" s="13"/>
    </row>
    <row r="48" spans="1:10">
      <c r="A48" s="12"/>
      <c r="B48" s="12"/>
      <c r="C48" s="12"/>
      <c r="D48" s="13"/>
      <c r="E48" s="13"/>
      <c r="F48" s="12"/>
      <c r="G48" s="12"/>
      <c r="H48" s="12"/>
      <c r="I48" s="12"/>
      <c r="J48" s="13"/>
    </row>
    <row r="49" spans="1:10">
      <c r="A49" s="12"/>
      <c r="B49" s="12"/>
      <c r="C49" s="12"/>
      <c r="D49" s="13"/>
      <c r="E49" s="13"/>
      <c r="F49" s="12"/>
      <c r="G49" s="12"/>
      <c r="H49" s="12"/>
      <c r="I49" s="12"/>
      <c r="J49" s="13"/>
    </row>
    <row r="50" spans="1:10">
      <c r="A50" s="12"/>
      <c r="B50" s="12"/>
      <c r="C50" s="12"/>
      <c r="D50" s="13"/>
      <c r="E50" s="13"/>
      <c r="F50" s="12"/>
      <c r="G50" s="12"/>
      <c r="H50" s="12"/>
      <c r="I50" s="12"/>
      <c r="J50" s="13"/>
    </row>
    <row r="51" spans="1:10">
      <c r="A51" s="12"/>
      <c r="B51" s="12"/>
      <c r="C51" s="12"/>
      <c r="D51" s="13"/>
      <c r="E51" s="13"/>
      <c r="F51" s="12"/>
      <c r="G51" s="12"/>
      <c r="H51" s="12"/>
      <c r="I51" s="12"/>
      <c r="J51" s="13"/>
    </row>
    <row r="52" spans="1:10">
      <c r="A52" s="12"/>
      <c r="B52" s="12"/>
      <c r="C52" s="12"/>
      <c r="D52" s="13"/>
      <c r="E52" s="13"/>
      <c r="F52" s="12"/>
      <c r="G52" s="12"/>
      <c r="H52" s="12"/>
      <c r="I52" s="12"/>
      <c r="J52" s="13"/>
    </row>
    <row r="53" spans="1:10">
      <c r="A53" s="12"/>
      <c r="B53" s="12"/>
      <c r="C53" s="12"/>
      <c r="D53" s="13"/>
      <c r="E53" s="13"/>
      <c r="F53" s="12"/>
      <c r="G53" s="12"/>
      <c r="H53" s="12"/>
      <c r="I53" s="12"/>
      <c r="J53" s="13"/>
    </row>
    <row r="54" spans="1:10">
      <c r="A54" s="12"/>
      <c r="B54" s="12"/>
      <c r="C54" s="12"/>
      <c r="D54" s="13"/>
      <c r="E54" s="13"/>
      <c r="F54" s="12"/>
      <c r="G54" s="12"/>
      <c r="H54" s="12"/>
      <c r="I54" s="12"/>
      <c r="J54" s="13"/>
    </row>
    <row r="55" spans="1:10">
      <c r="A55" s="12"/>
      <c r="B55" s="12"/>
      <c r="C55" s="12"/>
      <c r="D55" s="13"/>
      <c r="E55" s="13"/>
      <c r="F55" s="12"/>
      <c r="G55" s="12"/>
      <c r="H55" s="12"/>
      <c r="I55" s="12"/>
      <c r="J55" s="13"/>
    </row>
    <row r="56" spans="1:10">
      <c r="A56" s="12"/>
      <c r="B56" s="12"/>
      <c r="C56" s="12"/>
      <c r="D56" s="13"/>
      <c r="E56" s="13"/>
      <c r="F56" s="12"/>
      <c r="G56" s="12"/>
      <c r="H56" s="12"/>
      <c r="I56" s="12"/>
      <c r="J56" s="13"/>
    </row>
    <row r="57" spans="1:10">
      <c r="A57" s="12"/>
      <c r="B57" s="12"/>
      <c r="C57" s="12"/>
      <c r="D57" s="13"/>
      <c r="E57" s="13"/>
      <c r="F57" s="12"/>
      <c r="G57" s="12"/>
      <c r="H57" s="12"/>
      <c r="I57" s="12"/>
      <c r="J57" s="13"/>
    </row>
    <row r="58" spans="1:10">
      <c r="A58" s="12"/>
      <c r="B58" s="12"/>
      <c r="C58" s="12"/>
      <c r="D58" s="13"/>
      <c r="E58" s="13"/>
      <c r="F58" s="12"/>
      <c r="G58" s="12"/>
      <c r="H58" s="12"/>
      <c r="I58" s="12"/>
      <c r="J58" s="13"/>
    </row>
    <row r="59" spans="1:10">
      <c r="A59" s="12"/>
      <c r="B59" s="12"/>
      <c r="C59" s="12"/>
      <c r="D59" s="13"/>
      <c r="E59" s="13"/>
      <c r="F59" s="12"/>
      <c r="G59" s="12"/>
      <c r="H59" s="12"/>
      <c r="I59" s="12"/>
      <c r="J59" s="13"/>
    </row>
    <row r="60" spans="1:10">
      <c r="A60" s="12"/>
      <c r="B60" s="12"/>
      <c r="C60" s="12"/>
      <c r="D60" s="13"/>
      <c r="E60" s="13"/>
      <c r="F60" s="12"/>
      <c r="G60" s="12"/>
      <c r="H60" s="12"/>
      <c r="I60" s="12"/>
      <c r="J60" s="13"/>
    </row>
    <row r="61" spans="1:10">
      <c r="A61" s="12"/>
      <c r="B61" s="12"/>
      <c r="C61" s="12"/>
      <c r="D61" s="13"/>
      <c r="E61" s="13"/>
      <c r="F61" s="12"/>
      <c r="G61" s="12"/>
      <c r="H61" s="12"/>
      <c r="I61" s="12"/>
      <c r="J61" s="13"/>
    </row>
    <row r="62" spans="1:10">
      <c r="A62" s="12"/>
      <c r="B62" s="12"/>
      <c r="C62" s="12"/>
      <c r="D62" s="13"/>
      <c r="E62" s="13"/>
      <c r="F62" s="12"/>
      <c r="G62" s="12"/>
      <c r="H62" s="12"/>
      <c r="I62" s="12"/>
      <c r="J62" s="13"/>
    </row>
    <row r="63" spans="1:10">
      <c r="A63" s="12"/>
      <c r="B63" s="12"/>
      <c r="C63" s="12"/>
      <c r="D63" s="13"/>
      <c r="E63" s="13"/>
      <c r="F63" s="12"/>
      <c r="G63" s="12"/>
      <c r="H63" s="12"/>
      <c r="I63" s="12"/>
      <c r="J63" s="13"/>
    </row>
    <row r="64" spans="1:10">
      <c r="A64" s="12"/>
      <c r="B64" s="12"/>
      <c r="C64" s="12"/>
      <c r="D64" s="13"/>
      <c r="E64" s="13"/>
      <c r="F64" s="12"/>
      <c r="G64" s="12"/>
      <c r="H64" s="12"/>
      <c r="I64" s="12"/>
      <c r="J64" s="13"/>
    </row>
    <row r="65" spans="1:10">
      <c r="A65" s="12"/>
      <c r="B65" s="12"/>
      <c r="C65" s="12"/>
      <c r="D65" s="13"/>
      <c r="E65" s="13"/>
      <c r="F65" s="12"/>
      <c r="G65" s="12"/>
      <c r="H65" s="12"/>
      <c r="I65" s="12"/>
      <c r="J65" s="13"/>
    </row>
    <row r="66" spans="1:10">
      <c r="A66" s="12"/>
      <c r="B66" s="12"/>
      <c r="C66" s="12"/>
      <c r="D66" s="13"/>
      <c r="E66" s="13"/>
      <c r="F66" s="12"/>
      <c r="G66" s="12"/>
      <c r="H66" s="12"/>
      <c r="I66" s="12"/>
      <c r="J66" s="13"/>
    </row>
    <row r="67" spans="1:10">
      <c r="A67" s="12"/>
      <c r="B67" s="12"/>
      <c r="C67" s="12"/>
      <c r="D67" s="13"/>
      <c r="E67" s="13"/>
      <c r="F67" s="12"/>
      <c r="G67" s="12"/>
      <c r="H67" s="12"/>
      <c r="I67" s="12"/>
      <c r="J67" s="13"/>
    </row>
    <row r="68" spans="1:10">
      <c r="A68" s="12"/>
      <c r="B68" s="12"/>
      <c r="C68" s="12"/>
      <c r="D68" s="13"/>
      <c r="E68" s="13"/>
      <c r="F68" s="12"/>
      <c r="G68" s="12"/>
      <c r="H68" s="12"/>
      <c r="I68" s="12"/>
      <c r="J68" s="13"/>
    </row>
    <row r="69" spans="1:10">
      <c r="A69" s="12"/>
      <c r="B69" s="12"/>
      <c r="C69" s="12"/>
      <c r="D69" s="13"/>
      <c r="E69" s="13"/>
      <c r="F69" s="12"/>
      <c r="G69" s="12"/>
      <c r="H69" s="12"/>
      <c r="I69" s="12"/>
      <c r="J69" s="13"/>
    </row>
    <row r="70" spans="1:10">
      <c r="A70" s="12"/>
      <c r="B70" s="12"/>
      <c r="C70" s="12"/>
      <c r="D70" s="13"/>
      <c r="E70" s="13"/>
      <c r="F70" s="12"/>
      <c r="G70" s="12"/>
      <c r="H70" s="12"/>
      <c r="I70" s="12"/>
      <c r="J70" s="13"/>
    </row>
    <row r="71" spans="1:10">
      <c r="A71" s="12"/>
      <c r="B71" s="12"/>
      <c r="C71" s="12"/>
      <c r="D71" s="13"/>
      <c r="E71" s="13"/>
      <c r="F71" s="12"/>
      <c r="G71" s="12"/>
      <c r="H71" s="12"/>
      <c r="I71" s="12"/>
      <c r="J71" s="13"/>
    </row>
    <row r="72" spans="1:10">
      <c r="A72" s="12"/>
      <c r="B72" s="12"/>
      <c r="C72" s="12"/>
      <c r="D72" s="13"/>
      <c r="E72" s="13"/>
      <c r="F72" s="12"/>
      <c r="G72" s="12"/>
      <c r="H72" s="12"/>
      <c r="I72" s="12"/>
      <c r="J72" s="13"/>
    </row>
    <row r="73" spans="1:10">
      <c r="A73" s="12"/>
      <c r="B73" s="12"/>
      <c r="C73" s="12"/>
      <c r="D73" s="13"/>
      <c r="E73" s="13"/>
      <c r="F73" s="12"/>
      <c r="G73" s="12"/>
      <c r="H73" s="12"/>
      <c r="I73" s="12"/>
      <c r="J73" s="13"/>
    </row>
    <row r="74" spans="1:10">
      <c r="A74" s="12"/>
      <c r="B74" s="12"/>
      <c r="C74" s="12"/>
      <c r="D74" s="13"/>
      <c r="E74" s="13"/>
      <c r="F74" s="12"/>
      <c r="G74" s="12"/>
      <c r="H74" s="12"/>
      <c r="I74" s="12"/>
      <c r="J74" s="13"/>
    </row>
    <row r="75" spans="1:10">
      <c r="A75" s="12"/>
      <c r="B75" s="12"/>
      <c r="C75" s="12"/>
      <c r="D75" s="13"/>
      <c r="E75" s="13"/>
      <c r="F75" s="12"/>
      <c r="G75" s="12"/>
      <c r="H75" s="12"/>
      <c r="I75" s="12"/>
      <c r="J75" s="13"/>
    </row>
    <row r="76" spans="1:10">
      <c r="A76" s="12"/>
      <c r="B76" s="12"/>
      <c r="C76" s="12"/>
      <c r="D76" s="13"/>
      <c r="E76" s="13"/>
      <c r="F76" s="12"/>
      <c r="G76" s="12"/>
      <c r="H76" s="12"/>
      <c r="I76" s="12"/>
      <c r="J76" s="13"/>
    </row>
    <row r="77" spans="1:10">
      <c r="A77" s="12"/>
      <c r="B77" s="12"/>
      <c r="C77" s="12"/>
      <c r="D77" s="13"/>
      <c r="E77" s="13"/>
      <c r="F77" s="12"/>
      <c r="G77" s="12"/>
      <c r="H77" s="12"/>
      <c r="I77" s="12"/>
      <c r="J77" s="13"/>
    </row>
    <row r="78" spans="1:10">
      <c r="A78" s="12"/>
      <c r="B78" s="12"/>
      <c r="C78" s="12"/>
      <c r="D78" s="13"/>
      <c r="E78" s="13"/>
      <c r="F78" s="12"/>
      <c r="G78" s="12"/>
      <c r="H78" s="12"/>
      <c r="I78" s="12"/>
      <c r="J78" s="13"/>
    </row>
    <row r="79" spans="1:10">
      <c r="A79" s="12"/>
      <c r="B79" s="12"/>
      <c r="C79" s="12"/>
      <c r="D79" s="13"/>
      <c r="E79" s="13"/>
      <c r="F79" s="12"/>
      <c r="G79" s="12"/>
      <c r="H79" s="12"/>
      <c r="I79" s="12"/>
      <c r="J79" s="13"/>
    </row>
    <row r="80" spans="1:10">
      <c r="A80" s="12"/>
      <c r="B80" s="12"/>
      <c r="C80" s="12"/>
      <c r="D80" s="13"/>
      <c r="E80" s="13"/>
      <c r="F80" s="12"/>
      <c r="G80" s="12"/>
      <c r="H80" s="12"/>
      <c r="I80" s="12"/>
      <c r="J80" s="13"/>
    </row>
    <row r="81" spans="1:10">
      <c r="A81" s="12"/>
      <c r="B81" s="12"/>
      <c r="C81" s="12"/>
      <c r="D81" s="13"/>
      <c r="E81" s="13"/>
      <c r="F81" s="12"/>
      <c r="G81" s="12"/>
      <c r="H81" s="12"/>
      <c r="I81" s="12"/>
      <c r="J81" s="13"/>
    </row>
    <row r="82" spans="1:10">
      <c r="A82" s="12"/>
      <c r="B82" s="12"/>
      <c r="C82" s="12"/>
      <c r="D82" s="13"/>
      <c r="E82" s="13"/>
      <c r="F82" s="12"/>
      <c r="G82" s="12"/>
      <c r="H82" s="12"/>
      <c r="I82" s="12"/>
      <c r="J82" s="13"/>
    </row>
    <row r="83" spans="1:10">
      <c r="A83" s="12"/>
      <c r="B83" s="12"/>
      <c r="C83" s="12"/>
      <c r="D83" s="13"/>
      <c r="E83" s="13"/>
      <c r="F83" s="12"/>
      <c r="G83" s="12"/>
      <c r="H83" s="12"/>
      <c r="I83" s="12"/>
      <c r="J83" s="13"/>
    </row>
    <row r="84" spans="1:10">
      <c r="A84" s="12"/>
      <c r="B84" s="12"/>
      <c r="C84" s="12"/>
      <c r="D84" s="13"/>
      <c r="E84" s="13"/>
      <c r="F84" s="12"/>
      <c r="G84" s="12"/>
      <c r="H84" s="12"/>
      <c r="I84" s="12"/>
      <c r="J84" s="13"/>
    </row>
    <row r="85" spans="1:10">
      <c r="A85" s="12"/>
      <c r="B85" s="12"/>
      <c r="C85" s="12"/>
      <c r="D85" s="13"/>
      <c r="E85" s="13"/>
      <c r="F85" s="12"/>
      <c r="G85" s="12"/>
      <c r="H85" s="12"/>
      <c r="I85" s="12"/>
      <c r="J85" s="13"/>
    </row>
    <row r="86" spans="1:10">
      <c r="A86" s="12"/>
      <c r="B86" s="12"/>
      <c r="C86" s="12"/>
      <c r="D86" s="13"/>
      <c r="E86" s="13"/>
      <c r="F86" s="12"/>
      <c r="G86" s="12"/>
      <c r="H86" s="12"/>
      <c r="I86" s="12"/>
      <c r="J86" s="13"/>
    </row>
    <row r="87" spans="1:10">
      <c r="A87" s="12"/>
      <c r="B87" s="12"/>
      <c r="C87" s="12"/>
      <c r="D87" s="13"/>
      <c r="E87" s="13"/>
      <c r="F87" s="12"/>
      <c r="G87" s="12"/>
      <c r="H87" s="12"/>
      <c r="I87" s="12"/>
      <c r="J87" s="13"/>
    </row>
    <row r="88" spans="1:10">
      <c r="A88" s="12"/>
      <c r="B88" s="12"/>
      <c r="C88" s="12"/>
      <c r="D88" s="13"/>
      <c r="E88" s="13"/>
      <c r="F88" s="12"/>
      <c r="G88" s="12"/>
      <c r="H88" s="12"/>
      <c r="I88" s="12"/>
      <c r="J88" s="13"/>
    </row>
    <row r="89" spans="1:10">
      <c r="A89" s="12"/>
      <c r="B89" s="12"/>
      <c r="C89" s="12"/>
      <c r="D89" s="13"/>
      <c r="E89" s="13"/>
      <c r="F89" s="12"/>
      <c r="G89" s="12"/>
      <c r="H89" s="12"/>
      <c r="I89" s="12"/>
      <c r="J89" s="13"/>
    </row>
    <row r="90" spans="1:10">
      <c r="A90" s="12"/>
      <c r="B90" s="12"/>
      <c r="C90" s="12"/>
      <c r="D90" s="13"/>
      <c r="E90" s="13"/>
      <c r="F90" s="12"/>
      <c r="G90" s="12"/>
      <c r="H90" s="12"/>
      <c r="I90" s="12"/>
      <c r="J90" s="13"/>
    </row>
    <row r="91" spans="1:10">
      <c r="A91" s="12"/>
      <c r="B91" s="12"/>
      <c r="C91" s="12"/>
      <c r="D91" s="13"/>
      <c r="E91" s="13"/>
      <c r="F91" s="12"/>
      <c r="G91" s="12"/>
      <c r="H91" s="12"/>
      <c r="I91" s="12"/>
      <c r="J91" s="13"/>
    </row>
    <row r="92" spans="1:10">
      <c r="A92" s="12"/>
      <c r="B92" s="12"/>
      <c r="C92" s="12"/>
      <c r="D92" s="13"/>
      <c r="E92" s="13"/>
      <c r="F92" s="12"/>
      <c r="G92" s="12"/>
      <c r="H92" s="12"/>
      <c r="I92" s="12"/>
      <c r="J92" s="13"/>
    </row>
    <row r="93" spans="1:10">
      <c r="A93" s="12"/>
      <c r="B93" s="12"/>
      <c r="C93" s="12"/>
      <c r="D93" s="13"/>
      <c r="E93" s="13"/>
      <c r="F93" s="12"/>
      <c r="G93" s="12"/>
      <c r="H93" s="12"/>
      <c r="I93" s="12"/>
      <c r="J93" s="13"/>
    </row>
    <row r="94" spans="1:10">
      <c r="A94" s="12"/>
      <c r="B94" s="12"/>
      <c r="C94" s="12"/>
      <c r="D94" s="13"/>
      <c r="E94" s="13"/>
      <c r="F94" s="12"/>
      <c r="G94" s="12"/>
      <c r="H94" s="12"/>
      <c r="I94" s="12"/>
      <c r="J94" s="13"/>
    </row>
    <row r="95" spans="1:10">
      <c r="A95" s="12"/>
      <c r="B95" s="12"/>
      <c r="C95" s="12"/>
      <c r="D95" s="13"/>
      <c r="E95" s="13"/>
      <c r="F95" s="12"/>
      <c r="G95" s="12"/>
      <c r="H95" s="12"/>
      <c r="I95" s="12"/>
      <c r="J95" s="13"/>
    </row>
    <row r="96" spans="1:10">
      <c r="A96" s="12"/>
      <c r="B96" s="12"/>
      <c r="C96" s="12"/>
      <c r="D96" s="13"/>
      <c r="E96" s="13"/>
      <c r="F96" s="12"/>
      <c r="G96" s="12"/>
      <c r="H96" s="12"/>
      <c r="I96" s="12"/>
      <c r="J96" s="13"/>
    </row>
    <row r="97" spans="1:10">
      <c r="A97" s="12"/>
      <c r="B97" s="12"/>
      <c r="C97" s="12"/>
      <c r="D97" s="13"/>
      <c r="E97" s="13"/>
      <c r="F97" s="12"/>
      <c r="G97" s="12"/>
      <c r="H97" s="12"/>
      <c r="I97" s="12"/>
      <c r="J97" s="13"/>
    </row>
    <row r="98" spans="1:10">
      <c r="A98" s="12"/>
      <c r="B98" s="12"/>
      <c r="C98" s="12"/>
      <c r="D98" s="13"/>
      <c r="E98" s="13"/>
      <c r="F98" s="12"/>
      <c r="G98" s="12"/>
      <c r="H98" s="12"/>
      <c r="I98" s="12"/>
      <c r="J98" s="13"/>
    </row>
    <row r="99" spans="1:10">
      <c r="A99" s="12"/>
      <c r="B99" s="12"/>
      <c r="C99" s="12"/>
      <c r="D99" s="13"/>
      <c r="E99" s="13"/>
      <c r="F99" s="12"/>
      <c r="G99" s="12"/>
      <c r="H99" s="12"/>
      <c r="I99" s="12"/>
      <c r="J99" s="13"/>
    </row>
    <row r="100" spans="1:10">
      <c r="A100" s="12"/>
      <c r="B100" s="12"/>
      <c r="C100" s="12"/>
      <c r="D100" s="13"/>
      <c r="E100" s="13"/>
      <c r="F100" s="12"/>
      <c r="G100" s="12"/>
      <c r="H100" s="12"/>
      <c r="I100" s="12"/>
      <c r="J100" s="13"/>
    </row>
    <row r="101" spans="1:10">
      <c r="A101" s="12"/>
      <c r="B101" s="12"/>
      <c r="C101" s="12"/>
      <c r="D101" s="13"/>
      <c r="E101" s="13"/>
      <c r="F101" s="12"/>
      <c r="G101" s="12"/>
      <c r="H101" s="12"/>
      <c r="I101" s="12"/>
      <c r="J101" s="13"/>
    </row>
    <row r="102" spans="1:10">
      <c r="A102" s="12"/>
      <c r="B102" s="12"/>
      <c r="C102" s="12"/>
      <c r="D102" s="13"/>
      <c r="E102" s="13"/>
      <c r="F102" s="12"/>
      <c r="G102" s="12"/>
      <c r="H102" s="12"/>
      <c r="I102" s="12"/>
      <c r="J102" s="13"/>
    </row>
    <row r="103" spans="1:10">
      <c r="A103" s="12"/>
      <c r="B103" s="12"/>
      <c r="C103" s="12"/>
      <c r="D103" s="13"/>
      <c r="E103" s="13"/>
      <c r="F103" s="12"/>
      <c r="G103" s="12"/>
      <c r="H103" s="12"/>
      <c r="I103" s="12"/>
      <c r="J103" s="13"/>
    </row>
    <row r="104" spans="1:10">
      <c r="A104" s="12"/>
      <c r="B104" s="12"/>
      <c r="C104" s="12"/>
      <c r="D104" s="13"/>
      <c r="E104" s="13"/>
      <c r="F104" s="12"/>
      <c r="G104" s="12"/>
      <c r="H104" s="12"/>
      <c r="I104" s="12"/>
      <c r="J104" s="13"/>
    </row>
    <row r="105" spans="1:10">
      <c r="A105" s="12"/>
      <c r="B105" s="12"/>
      <c r="C105" s="12"/>
      <c r="D105" s="13"/>
      <c r="E105" s="13"/>
      <c r="F105" s="12"/>
      <c r="G105" s="12"/>
      <c r="H105" s="12"/>
      <c r="I105" s="12"/>
      <c r="J105" s="13"/>
    </row>
    <row r="106" spans="1:10">
      <c r="A106" s="12"/>
      <c r="B106" s="12"/>
      <c r="C106" s="12"/>
      <c r="D106" s="13"/>
      <c r="E106" s="13"/>
      <c r="F106" s="12"/>
      <c r="G106" s="12"/>
      <c r="H106" s="12"/>
      <c r="I106" s="12"/>
      <c r="J106" s="13"/>
    </row>
    <row r="107" spans="1:10">
      <c r="A107" s="12"/>
      <c r="B107" s="12"/>
      <c r="C107" s="12"/>
      <c r="D107" s="13"/>
      <c r="E107" s="13"/>
      <c r="F107" s="12"/>
      <c r="G107" s="12"/>
      <c r="H107" s="12"/>
      <c r="I107" s="12"/>
      <c r="J107" s="13"/>
    </row>
    <row r="108" spans="1:10">
      <c r="A108" s="12"/>
      <c r="B108" s="12"/>
      <c r="C108" s="12"/>
      <c r="D108" s="13"/>
      <c r="E108" s="13"/>
      <c r="F108" s="12"/>
      <c r="G108" s="12"/>
      <c r="H108" s="12"/>
      <c r="I108" s="12"/>
      <c r="J108" s="13"/>
    </row>
    <row r="109" spans="1:10">
      <c r="A109" s="12"/>
      <c r="B109" s="12"/>
      <c r="C109" s="12"/>
      <c r="D109" s="13"/>
      <c r="E109" s="13"/>
      <c r="F109" s="12"/>
      <c r="G109" s="12"/>
      <c r="H109" s="12"/>
      <c r="I109" s="12"/>
      <c r="J109" s="13"/>
    </row>
    <row r="110" spans="1:10">
      <c r="A110" s="12"/>
      <c r="B110" s="12"/>
      <c r="C110" s="12"/>
      <c r="D110" s="13"/>
      <c r="E110" s="13"/>
      <c r="F110" s="12"/>
      <c r="G110" s="12"/>
      <c r="H110" s="12"/>
      <c r="I110" s="12"/>
      <c r="J110" s="13"/>
    </row>
    <row r="111" spans="1:10">
      <c r="A111" s="12"/>
      <c r="B111" s="12"/>
      <c r="C111" s="12"/>
      <c r="D111" s="13"/>
      <c r="E111" s="13"/>
      <c r="F111" s="12"/>
      <c r="G111" s="12"/>
      <c r="H111" s="12"/>
      <c r="I111" s="12"/>
      <c r="J111" s="13"/>
    </row>
    <row r="112" spans="1:10">
      <c r="A112" s="12"/>
      <c r="B112" s="12"/>
      <c r="C112" s="12"/>
      <c r="D112" s="13"/>
      <c r="E112" s="13"/>
      <c r="F112" s="12"/>
      <c r="G112" s="12"/>
      <c r="H112" s="12"/>
      <c r="I112" s="12"/>
      <c r="J112" s="13"/>
    </row>
    <row r="113" spans="1:10">
      <c r="A113" s="12"/>
      <c r="B113" s="12"/>
      <c r="C113" s="12"/>
      <c r="D113" s="13"/>
      <c r="E113" s="13"/>
      <c r="F113" s="12"/>
      <c r="G113" s="12"/>
      <c r="H113" s="12"/>
      <c r="I113" s="12"/>
      <c r="J113" s="13"/>
    </row>
    <row r="114" spans="1:10">
      <c r="A114" s="12"/>
      <c r="B114" s="12"/>
      <c r="C114" s="12"/>
      <c r="D114" s="13"/>
      <c r="E114" s="13"/>
      <c r="F114" s="12"/>
      <c r="G114" s="12"/>
      <c r="H114" s="12"/>
      <c r="I114" s="12"/>
      <c r="J114" s="13"/>
    </row>
    <row r="115" spans="1:10">
      <c r="A115" s="12"/>
      <c r="B115" s="12"/>
      <c r="C115" s="12"/>
      <c r="D115" s="13"/>
      <c r="E115" s="13"/>
      <c r="F115" s="12"/>
      <c r="G115" s="12"/>
      <c r="H115" s="12"/>
      <c r="I115" s="12"/>
      <c r="J115" s="13"/>
    </row>
    <row r="116" spans="1:10">
      <c r="A116" s="12"/>
      <c r="B116" s="12"/>
      <c r="C116" s="12"/>
      <c r="D116" s="13"/>
      <c r="E116" s="13"/>
      <c r="F116" s="12"/>
      <c r="G116" s="12"/>
      <c r="H116" s="12"/>
      <c r="I116" s="12"/>
      <c r="J116" s="13"/>
    </row>
    <row r="117" spans="1:10">
      <c r="A117" s="12"/>
      <c r="B117" s="12"/>
      <c r="C117" s="12"/>
      <c r="D117" s="13"/>
      <c r="E117" s="13"/>
      <c r="F117" s="12"/>
      <c r="G117" s="12"/>
      <c r="H117" s="12"/>
      <c r="I117" s="12"/>
      <c r="J117" s="13"/>
    </row>
    <row r="118" spans="1:10">
      <c r="A118" s="12"/>
      <c r="B118" s="12"/>
      <c r="C118" s="12"/>
      <c r="D118" s="13"/>
      <c r="E118" s="13"/>
      <c r="F118" s="12"/>
      <c r="G118" s="12"/>
      <c r="H118" s="12"/>
      <c r="I118" s="12"/>
      <c r="J118" s="13"/>
    </row>
    <row r="119" spans="1:10">
      <c r="A119" s="12"/>
      <c r="B119" s="12"/>
      <c r="C119" s="12"/>
      <c r="D119" s="13"/>
      <c r="E119" s="13"/>
      <c r="F119" s="12"/>
      <c r="G119" s="12"/>
      <c r="H119" s="12"/>
      <c r="I119" s="12"/>
      <c r="J119" s="13"/>
    </row>
    <row r="120" spans="1:10">
      <c r="A120" s="12"/>
      <c r="B120" s="12"/>
      <c r="C120" s="12"/>
      <c r="D120" s="13"/>
      <c r="E120" s="13"/>
      <c r="F120" s="12"/>
      <c r="G120" s="12"/>
      <c r="H120" s="12"/>
      <c r="I120" s="12"/>
      <c r="J120" s="13"/>
    </row>
    <row r="121" spans="1:10">
      <c r="A121" s="12"/>
      <c r="B121" s="12"/>
      <c r="C121" s="12"/>
      <c r="D121" s="13"/>
      <c r="E121" s="13"/>
      <c r="F121" s="12"/>
      <c r="G121" s="12"/>
      <c r="H121" s="12"/>
      <c r="I121" s="12"/>
      <c r="J121" s="13"/>
    </row>
    <row r="122" spans="1:10">
      <c r="A122" s="12"/>
      <c r="B122" s="12"/>
      <c r="C122" s="12"/>
      <c r="D122" s="13"/>
      <c r="E122" s="13"/>
      <c r="F122" s="12"/>
      <c r="G122" s="12"/>
      <c r="H122" s="12"/>
      <c r="I122" s="12"/>
      <c r="J122" s="13"/>
    </row>
    <row r="123" spans="1:10">
      <c r="A123" s="12"/>
      <c r="B123" s="12"/>
      <c r="C123" s="12"/>
      <c r="D123" s="13"/>
      <c r="E123" s="13"/>
      <c r="F123" s="12"/>
      <c r="G123" s="12"/>
      <c r="H123" s="12"/>
      <c r="I123" s="12"/>
      <c r="J123" s="13"/>
    </row>
    <row r="124" spans="1:10">
      <c r="A124" s="12"/>
      <c r="B124" s="12"/>
      <c r="C124" s="12"/>
      <c r="D124" s="13"/>
      <c r="E124" s="13"/>
      <c r="F124" s="12"/>
      <c r="G124" s="12"/>
      <c r="H124" s="12"/>
      <c r="I124" s="12"/>
      <c r="J124" s="13"/>
    </row>
    <row r="125" spans="1:10">
      <c r="A125" s="12"/>
      <c r="B125" s="12"/>
      <c r="C125" s="12"/>
      <c r="D125" s="13"/>
      <c r="E125" s="13"/>
      <c r="F125" s="12"/>
      <c r="G125" s="12"/>
      <c r="H125" s="12"/>
      <c r="I125" s="12"/>
      <c r="J125" s="13"/>
    </row>
    <row r="126" spans="1:10">
      <c r="A126" s="12"/>
      <c r="B126" s="12"/>
      <c r="C126" s="12"/>
      <c r="D126" s="13"/>
      <c r="E126" s="13"/>
      <c r="F126" s="12"/>
      <c r="G126" s="12"/>
      <c r="H126" s="12"/>
      <c r="I126" s="12"/>
      <c r="J126" s="13"/>
    </row>
    <row r="127" spans="1:10">
      <c r="A127" s="12"/>
      <c r="B127" s="12"/>
      <c r="C127" s="12"/>
      <c r="D127" s="13"/>
      <c r="E127" s="13"/>
      <c r="F127" s="12"/>
      <c r="G127" s="12"/>
      <c r="H127" s="12"/>
      <c r="I127" s="12"/>
      <c r="J127" s="13"/>
    </row>
    <row r="128" spans="1:10">
      <c r="A128" s="12"/>
      <c r="B128" s="12"/>
      <c r="C128" s="12"/>
      <c r="D128" s="13"/>
      <c r="E128" s="13"/>
      <c r="F128" s="12"/>
      <c r="G128" s="12"/>
      <c r="H128" s="12"/>
      <c r="I128" s="12"/>
      <c r="J128" s="13"/>
    </row>
    <row r="129" spans="1:10">
      <c r="A129" s="12"/>
      <c r="B129" s="12"/>
      <c r="C129" s="12"/>
      <c r="D129" s="13"/>
      <c r="E129" s="13"/>
      <c r="F129" s="12"/>
      <c r="G129" s="12"/>
      <c r="H129" s="12"/>
      <c r="I129" s="12"/>
      <c r="J129" s="13"/>
    </row>
    <row r="130" spans="1:10">
      <c r="A130" s="12"/>
      <c r="B130" s="12"/>
      <c r="C130" s="12"/>
      <c r="D130" s="13"/>
      <c r="E130" s="13"/>
      <c r="F130" s="12"/>
      <c r="G130" s="12"/>
      <c r="H130" s="12"/>
      <c r="I130" s="12"/>
      <c r="J130" s="13"/>
    </row>
    <row r="131" spans="1:10">
      <c r="A131" s="12"/>
      <c r="B131" s="12"/>
      <c r="C131" s="12"/>
      <c r="D131" s="13"/>
      <c r="E131" s="13"/>
      <c r="F131" s="12"/>
      <c r="G131" s="12"/>
      <c r="H131" s="12"/>
      <c r="I131" s="12"/>
      <c r="J131" s="13"/>
    </row>
    <row r="132" spans="1:10">
      <c r="A132" s="12"/>
      <c r="B132" s="12"/>
      <c r="C132" s="12"/>
      <c r="D132" s="13"/>
      <c r="E132" s="13"/>
      <c r="F132" s="12"/>
      <c r="G132" s="12"/>
      <c r="H132" s="12"/>
      <c r="I132" s="12"/>
      <c r="J132" s="13"/>
    </row>
    <row r="133" spans="1:10">
      <c r="A133" s="12"/>
      <c r="B133" s="12"/>
      <c r="C133" s="12"/>
      <c r="D133" s="13"/>
      <c r="E133" s="13"/>
      <c r="F133" s="12"/>
      <c r="G133" s="12"/>
      <c r="H133" s="12"/>
      <c r="I133" s="12"/>
      <c r="J133" s="13"/>
    </row>
    <row r="134" spans="1:10">
      <c r="A134" s="12"/>
      <c r="B134" s="12"/>
      <c r="C134" s="12"/>
      <c r="D134" s="13"/>
      <c r="E134" s="13"/>
      <c r="F134" s="12"/>
      <c r="G134" s="12"/>
      <c r="H134" s="12"/>
      <c r="I134" s="12"/>
      <c r="J134" s="13"/>
    </row>
    <row r="135" spans="1:10">
      <c r="A135" s="12"/>
      <c r="B135" s="12"/>
      <c r="C135" s="12"/>
      <c r="D135" s="13"/>
      <c r="E135" s="13"/>
      <c r="F135" s="12"/>
      <c r="G135" s="12"/>
      <c r="H135" s="12"/>
      <c r="I135" s="12"/>
      <c r="J135" s="13"/>
    </row>
    <row r="136" spans="1:10">
      <c r="A136" s="12"/>
      <c r="B136" s="12"/>
      <c r="C136" s="12"/>
      <c r="D136" s="13"/>
      <c r="E136" s="13"/>
      <c r="F136" s="12"/>
      <c r="G136" s="12"/>
      <c r="H136" s="12"/>
      <c r="I136" s="12"/>
      <c r="J136" s="13"/>
    </row>
    <row r="137" spans="1:10">
      <c r="A137" s="12"/>
      <c r="B137" s="12"/>
      <c r="C137" s="12"/>
      <c r="D137" s="13"/>
      <c r="E137" s="13"/>
      <c r="F137" s="12"/>
      <c r="G137" s="12"/>
      <c r="H137" s="12"/>
      <c r="I137" s="12"/>
      <c r="J137" s="13"/>
    </row>
    <row r="138" spans="1:10">
      <c r="A138" s="12"/>
      <c r="B138" s="12"/>
      <c r="C138" s="12"/>
      <c r="D138" s="13"/>
      <c r="E138" s="13"/>
      <c r="F138" s="12"/>
      <c r="G138" s="12"/>
      <c r="H138" s="12"/>
      <c r="I138" s="12"/>
      <c r="J138" s="13"/>
    </row>
    <row r="139" spans="1:10">
      <c r="A139" s="12"/>
      <c r="B139" s="12"/>
      <c r="C139" s="12"/>
      <c r="D139" s="13"/>
      <c r="E139" s="13"/>
      <c r="F139" s="12"/>
      <c r="G139" s="12"/>
      <c r="H139" s="12"/>
      <c r="I139" s="12"/>
      <c r="J139" s="13"/>
    </row>
    <row r="140" spans="1:10">
      <c r="A140" s="12"/>
      <c r="B140" s="12"/>
      <c r="C140" s="12"/>
      <c r="D140" s="13"/>
      <c r="E140" s="13"/>
      <c r="F140" s="12"/>
      <c r="G140" s="12"/>
      <c r="H140" s="12"/>
      <c r="I140" s="12"/>
      <c r="J140" s="13"/>
    </row>
    <row r="141" spans="1:10">
      <c r="A141" s="12"/>
      <c r="B141" s="12"/>
      <c r="C141" s="12"/>
      <c r="D141" s="13"/>
      <c r="E141" s="13"/>
      <c r="F141" s="12"/>
      <c r="G141" s="12"/>
      <c r="H141" s="12"/>
      <c r="I141" s="12"/>
      <c r="J141" s="13"/>
    </row>
    <row r="142" spans="1:10">
      <c r="A142" s="12"/>
      <c r="B142" s="12"/>
      <c r="C142" s="12"/>
      <c r="D142" s="13"/>
      <c r="E142" s="13"/>
      <c r="F142" s="12"/>
      <c r="G142" s="12"/>
      <c r="H142" s="12"/>
      <c r="I142" s="12"/>
      <c r="J142" s="13"/>
    </row>
    <row r="143" spans="1:10">
      <c r="A143" s="12"/>
      <c r="B143" s="12"/>
      <c r="C143" s="12"/>
      <c r="D143" s="13"/>
      <c r="E143" s="13"/>
      <c r="F143" s="12"/>
      <c r="G143" s="12"/>
      <c r="H143" s="12"/>
      <c r="I143" s="12"/>
      <c r="J143" s="13"/>
    </row>
    <row r="144" spans="1:10">
      <c r="A144" s="12"/>
      <c r="B144" s="12"/>
      <c r="C144" s="12"/>
      <c r="D144" s="13"/>
      <c r="E144" s="13"/>
      <c r="F144" s="12"/>
      <c r="G144" s="12"/>
      <c r="H144" s="12"/>
      <c r="I144" s="12"/>
      <c r="J144" s="13"/>
    </row>
    <row r="145" spans="1:10">
      <c r="A145" s="12"/>
      <c r="B145" s="12"/>
      <c r="C145" s="12"/>
      <c r="D145" s="13"/>
      <c r="E145" s="13"/>
      <c r="F145" s="12"/>
      <c r="G145" s="12"/>
      <c r="H145" s="12"/>
      <c r="I145" s="12"/>
      <c r="J145" s="13"/>
    </row>
    <row r="146" spans="1:10">
      <c r="A146" s="12"/>
      <c r="B146" s="12"/>
      <c r="C146" s="12"/>
      <c r="D146" s="13"/>
      <c r="E146" s="13"/>
      <c r="F146" s="12"/>
      <c r="G146" s="12"/>
      <c r="H146" s="12"/>
      <c r="I146" s="12"/>
      <c r="J146" s="13"/>
    </row>
    <row r="147" spans="1:10">
      <c r="A147" s="12"/>
      <c r="B147" s="12"/>
      <c r="C147" s="12"/>
      <c r="D147" s="13"/>
      <c r="E147" s="13"/>
      <c r="F147" s="12"/>
      <c r="G147" s="12"/>
      <c r="H147" s="12"/>
      <c r="I147" s="12"/>
      <c r="J147" s="13"/>
    </row>
    <row r="148" spans="1:10">
      <c r="A148" s="12"/>
      <c r="B148" s="12"/>
      <c r="C148" s="12"/>
      <c r="D148" s="13"/>
      <c r="E148" s="13"/>
      <c r="F148" s="12"/>
      <c r="G148" s="12"/>
      <c r="H148" s="12"/>
      <c r="I148" s="12"/>
      <c r="J148" s="13"/>
    </row>
    <row r="149" spans="1:10">
      <c r="A149" s="12"/>
      <c r="B149" s="12"/>
      <c r="C149" s="12"/>
      <c r="D149" s="13"/>
      <c r="E149" s="13"/>
      <c r="F149" s="12"/>
      <c r="G149" s="12"/>
      <c r="H149" s="12"/>
      <c r="I149" s="12"/>
      <c r="J149" s="13"/>
    </row>
    <row r="150" spans="1:10">
      <c r="A150" s="12"/>
      <c r="B150" s="12"/>
      <c r="C150" s="12"/>
      <c r="D150" s="13"/>
      <c r="E150" s="13"/>
      <c r="F150" s="12"/>
      <c r="G150" s="12"/>
      <c r="H150" s="12"/>
      <c r="I150" s="12"/>
      <c r="J150" s="13"/>
    </row>
    <row r="151" spans="1:10">
      <c r="A151" s="12"/>
      <c r="B151" s="12"/>
      <c r="C151" s="12"/>
      <c r="D151" s="13"/>
      <c r="E151" s="13"/>
      <c r="F151" s="12"/>
      <c r="G151" s="12"/>
      <c r="H151" s="12"/>
      <c r="I151" s="12"/>
      <c r="J151" s="13"/>
    </row>
    <row r="152" spans="1:10">
      <c r="A152" s="12"/>
      <c r="B152" s="12"/>
      <c r="C152" s="12"/>
      <c r="D152" s="13"/>
      <c r="E152" s="13"/>
      <c r="F152" s="12"/>
      <c r="G152" s="12"/>
      <c r="H152" s="12"/>
      <c r="I152" s="12"/>
      <c r="J152" s="13"/>
    </row>
    <row r="153" spans="1:10">
      <c r="A153" s="12"/>
      <c r="B153" s="12"/>
      <c r="C153" s="12"/>
      <c r="D153" s="13"/>
      <c r="E153" s="13"/>
      <c r="F153" s="12"/>
      <c r="G153" s="12"/>
      <c r="H153" s="12"/>
      <c r="I153" s="12"/>
      <c r="J153" s="13"/>
    </row>
    <row r="154" spans="1:10">
      <c r="A154" s="12"/>
      <c r="B154" s="12"/>
      <c r="C154" s="12"/>
      <c r="D154" s="13"/>
      <c r="E154" s="13"/>
      <c r="F154" s="12"/>
      <c r="G154" s="12"/>
      <c r="H154" s="12"/>
      <c r="I154" s="12"/>
      <c r="J154" s="13"/>
    </row>
    <row r="155" spans="1:10">
      <c r="A155" s="12"/>
      <c r="B155" s="12"/>
      <c r="C155" s="12"/>
      <c r="D155" s="13"/>
      <c r="E155" s="13"/>
      <c r="F155" s="12"/>
      <c r="G155" s="12"/>
      <c r="H155" s="12"/>
      <c r="I155" s="12"/>
      <c r="J155" s="13"/>
    </row>
    <row r="156" spans="1:10">
      <c r="A156" s="12"/>
      <c r="B156" s="12"/>
      <c r="C156" s="12"/>
      <c r="D156" s="13"/>
      <c r="E156" s="13"/>
      <c r="F156" s="12"/>
      <c r="G156" s="12"/>
      <c r="H156" s="12"/>
      <c r="I156" s="12"/>
      <c r="J156" s="13"/>
    </row>
    <row r="157" spans="1:10">
      <c r="A157" s="12"/>
      <c r="B157" s="12"/>
      <c r="C157" s="12"/>
      <c r="D157" s="13"/>
      <c r="E157" s="13"/>
      <c r="F157" s="12"/>
      <c r="G157" s="12"/>
      <c r="H157" s="12"/>
      <c r="I157" s="12"/>
      <c r="J157" s="13"/>
    </row>
    <row r="158" spans="1:10">
      <c r="A158" s="12"/>
      <c r="B158" s="12"/>
      <c r="C158" s="12"/>
      <c r="D158" s="13"/>
      <c r="E158" s="13"/>
      <c r="F158" s="12"/>
      <c r="G158" s="12"/>
      <c r="H158" s="12"/>
      <c r="I158" s="12"/>
      <c r="J158" s="13"/>
    </row>
    <row r="159" spans="1:10">
      <c r="A159" s="12"/>
      <c r="B159" s="12"/>
      <c r="C159" s="12"/>
      <c r="D159" s="13"/>
      <c r="E159" s="13"/>
      <c r="F159" s="12"/>
      <c r="G159" s="12"/>
      <c r="H159" s="12"/>
      <c r="I159" s="12"/>
      <c r="J159" s="13"/>
    </row>
    <row r="160" spans="1:10">
      <c r="A160" s="12"/>
      <c r="B160" s="12"/>
      <c r="C160" s="12"/>
      <c r="D160" s="13"/>
      <c r="E160" s="13"/>
      <c r="F160" s="12"/>
      <c r="G160" s="12"/>
      <c r="H160" s="12"/>
      <c r="I160" s="12"/>
      <c r="J160" s="13"/>
    </row>
    <row r="161" spans="1:10">
      <c r="A161" s="12"/>
      <c r="B161" s="12"/>
      <c r="C161" s="12"/>
      <c r="D161" s="13"/>
      <c r="E161" s="13"/>
      <c r="F161" s="12"/>
      <c r="G161" s="12"/>
      <c r="H161" s="12"/>
      <c r="I161" s="12"/>
      <c r="J161" s="13"/>
    </row>
    <row r="162" spans="1:10">
      <c r="A162" s="12"/>
      <c r="B162" s="12"/>
      <c r="C162" s="12"/>
      <c r="D162" s="13"/>
      <c r="E162" s="13"/>
      <c r="F162" s="12"/>
      <c r="G162" s="12"/>
      <c r="H162" s="12"/>
      <c r="I162" s="12"/>
      <c r="J162" s="13"/>
    </row>
    <row r="163" spans="1:10">
      <c r="A163" s="12"/>
      <c r="B163" s="12"/>
      <c r="C163" s="12"/>
      <c r="D163" s="13"/>
      <c r="E163" s="13"/>
      <c r="F163" s="12"/>
      <c r="G163" s="12"/>
      <c r="H163" s="12"/>
      <c r="I163" s="12"/>
      <c r="J163" s="13"/>
    </row>
    <row r="164" spans="1:10">
      <c r="A164" s="12"/>
      <c r="B164" s="12"/>
      <c r="C164" s="12"/>
      <c r="D164" s="13"/>
      <c r="E164" s="13"/>
      <c r="F164" s="12"/>
      <c r="G164" s="12"/>
      <c r="H164" s="12"/>
      <c r="I164" s="12"/>
      <c r="J164" s="13"/>
    </row>
    <row r="165" spans="1:10">
      <c r="A165" s="12"/>
      <c r="B165" s="12"/>
      <c r="C165" s="12"/>
      <c r="D165" s="13"/>
      <c r="E165" s="13"/>
      <c r="F165" s="12"/>
      <c r="G165" s="12"/>
      <c r="H165" s="12"/>
      <c r="I165" s="12"/>
      <c r="J165" s="13"/>
    </row>
    <row r="166" spans="1:10">
      <c r="A166" s="12"/>
      <c r="B166" s="12"/>
      <c r="C166" s="12"/>
      <c r="D166" s="13"/>
      <c r="E166" s="13"/>
      <c r="F166" s="12"/>
      <c r="G166" s="12"/>
      <c r="H166" s="12"/>
      <c r="I166" s="12"/>
      <c r="J166" s="13"/>
    </row>
    <row r="167" spans="1:10">
      <c r="A167" s="12"/>
      <c r="B167" s="12"/>
      <c r="C167" s="12"/>
      <c r="D167" s="13"/>
      <c r="E167" s="13"/>
      <c r="F167" s="12"/>
      <c r="G167" s="12"/>
      <c r="H167" s="12"/>
      <c r="I167" s="12"/>
      <c r="J167" s="13"/>
    </row>
    <row r="168" spans="1:10">
      <c r="A168" s="12"/>
      <c r="B168" s="12"/>
      <c r="C168" s="12"/>
      <c r="D168" s="13"/>
      <c r="E168" s="13"/>
      <c r="F168" s="12"/>
      <c r="G168" s="12"/>
      <c r="H168" s="12"/>
      <c r="I168" s="12"/>
      <c r="J168" s="13"/>
    </row>
    <row r="169" spans="1:10">
      <c r="A169" s="12"/>
      <c r="B169" s="12"/>
      <c r="C169" s="12"/>
      <c r="D169" s="13"/>
      <c r="E169" s="13"/>
      <c r="F169" s="12"/>
      <c r="G169" s="12"/>
      <c r="H169" s="12"/>
      <c r="I169" s="12"/>
      <c r="J169" s="13"/>
    </row>
    <row r="170" spans="1:10">
      <c r="A170" s="12"/>
      <c r="B170" s="12"/>
      <c r="C170" s="12"/>
      <c r="D170" s="13"/>
      <c r="E170" s="13"/>
      <c r="F170" s="12"/>
      <c r="G170" s="12"/>
      <c r="H170" s="12"/>
      <c r="I170" s="12"/>
      <c r="J170" s="13"/>
    </row>
    <row r="171" spans="1:10">
      <c r="A171" s="12"/>
      <c r="B171" s="12"/>
      <c r="C171" s="12"/>
      <c r="D171" s="13"/>
      <c r="E171" s="13"/>
      <c r="F171" s="12"/>
      <c r="G171" s="12"/>
      <c r="H171" s="12"/>
      <c r="I171" s="12"/>
      <c r="J171" s="13"/>
    </row>
    <row r="172" spans="1:10">
      <c r="A172" s="12"/>
      <c r="B172" s="12"/>
      <c r="C172" s="12"/>
      <c r="D172" s="13"/>
      <c r="E172" s="13"/>
      <c r="F172" s="12"/>
      <c r="G172" s="12"/>
      <c r="H172" s="12"/>
      <c r="I172" s="12"/>
      <c r="J172" s="13"/>
    </row>
    <row r="173" spans="1:10">
      <c r="A173" s="12"/>
      <c r="B173" s="12"/>
      <c r="C173" s="12"/>
      <c r="D173" s="13"/>
      <c r="E173" s="13"/>
      <c r="F173" s="12"/>
      <c r="G173" s="12"/>
      <c r="H173" s="12"/>
      <c r="I173" s="12"/>
      <c r="J173" s="13"/>
    </row>
    <row r="174" spans="1:10">
      <c r="A174" s="12"/>
      <c r="B174" s="12"/>
      <c r="C174" s="12"/>
      <c r="D174" s="13"/>
      <c r="E174" s="13"/>
      <c r="F174" s="12"/>
      <c r="G174" s="12"/>
      <c r="H174" s="12"/>
      <c r="I174" s="12"/>
      <c r="J174" s="13"/>
    </row>
    <row r="175" spans="1:10">
      <c r="A175" s="12"/>
      <c r="B175" s="12"/>
      <c r="C175" s="12"/>
      <c r="D175" s="13"/>
      <c r="E175" s="13"/>
      <c r="F175" s="12"/>
      <c r="G175" s="12"/>
      <c r="H175" s="12"/>
      <c r="I175" s="12"/>
      <c r="J175" s="13"/>
    </row>
    <row r="176" spans="1:10">
      <c r="A176" s="12"/>
      <c r="B176" s="12"/>
      <c r="C176" s="12"/>
      <c r="D176" s="13"/>
      <c r="E176" s="13"/>
      <c r="F176" s="12"/>
      <c r="G176" s="12"/>
      <c r="H176" s="12"/>
      <c r="I176" s="12"/>
      <c r="J176" s="13"/>
    </row>
    <row r="177" spans="1:10">
      <c r="A177" s="12"/>
      <c r="B177" s="12"/>
      <c r="C177" s="12"/>
      <c r="D177" s="13"/>
      <c r="E177" s="13"/>
      <c r="F177" s="12"/>
      <c r="G177" s="12"/>
      <c r="H177" s="12"/>
      <c r="I177" s="12"/>
      <c r="J177" s="13"/>
    </row>
    <row r="178" spans="1:10">
      <c r="A178" s="12"/>
      <c r="B178" s="12"/>
      <c r="C178" s="12"/>
      <c r="D178" s="13"/>
      <c r="E178" s="13"/>
      <c r="F178" s="12"/>
      <c r="G178" s="12"/>
      <c r="H178" s="12"/>
      <c r="I178" s="12"/>
      <c r="J178" s="13"/>
    </row>
    <row r="179" spans="1:10">
      <c r="A179" s="12"/>
      <c r="B179" s="12"/>
      <c r="C179" s="12"/>
      <c r="D179" s="13"/>
      <c r="E179" s="13"/>
      <c r="F179" s="12"/>
      <c r="G179" s="12"/>
      <c r="H179" s="12"/>
      <c r="I179" s="12"/>
      <c r="J179" s="13"/>
    </row>
    <row r="180" spans="1:10">
      <c r="A180" s="12"/>
      <c r="B180" s="12"/>
      <c r="C180" s="12"/>
      <c r="D180" s="13"/>
      <c r="E180" s="13"/>
      <c r="F180" s="12"/>
      <c r="G180" s="12"/>
      <c r="H180" s="12"/>
      <c r="I180" s="12"/>
      <c r="J180" s="13"/>
    </row>
    <row r="181" spans="1:10">
      <c r="A181" s="12"/>
      <c r="B181" s="12"/>
      <c r="C181" s="12"/>
      <c r="D181" s="13"/>
      <c r="E181" s="13"/>
      <c r="F181" s="12"/>
      <c r="G181" s="12"/>
      <c r="H181" s="12"/>
      <c r="I181" s="12"/>
      <c r="J181" s="13"/>
    </row>
    <row r="182" spans="1:10">
      <c r="A182" s="12"/>
      <c r="B182" s="12"/>
      <c r="C182" s="12"/>
      <c r="D182" s="13"/>
      <c r="E182" s="13"/>
      <c r="F182" s="12"/>
      <c r="G182" s="12"/>
      <c r="H182" s="12"/>
      <c r="I182" s="12"/>
      <c r="J182" s="13"/>
    </row>
    <row r="183" spans="1:10">
      <c r="A183" s="12"/>
      <c r="B183" s="12"/>
      <c r="C183" s="12"/>
      <c r="D183" s="13"/>
      <c r="E183" s="13"/>
      <c r="F183" s="12"/>
      <c r="G183" s="12"/>
      <c r="H183" s="12"/>
      <c r="I183" s="12"/>
      <c r="J183" s="13"/>
    </row>
    <row r="184" spans="1:10">
      <c r="A184" s="12"/>
      <c r="B184" s="12"/>
      <c r="C184" s="12"/>
      <c r="D184" s="13"/>
      <c r="E184" s="13"/>
      <c r="F184" s="12"/>
      <c r="G184" s="12"/>
      <c r="H184" s="12"/>
      <c r="I184" s="12"/>
      <c r="J184" s="13"/>
    </row>
    <row r="185" spans="1:10">
      <c r="A185" s="12"/>
      <c r="B185" s="12"/>
      <c r="C185" s="12"/>
      <c r="D185" s="13"/>
      <c r="E185" s="13"/>
      <c r="F185" s="12"/>
      <c r="G185" s="12"/>
      <c r="H185" s="12"/>
      <c r="I185" s="12"/>
      <c r="J185" s="13"/>
    </row>
    <row r="186" spans="1:10">
      <c r="A186" s="12"/>
      <c r="B186" s="12"/>
      <c r="C186" s="12"/>
      <c r="D186" s="13"/>
      <c r="E186" s="13"/>
      <c r="F186" s="12"/>
      <c r="G186" s="12"/>
      <c r="H186" s="12"/>
      <c r="I186" s="12"/>
      <c r="J186" s="13"/>
    </row>
    <row r="187" spans="1:10">
      <c r="A187" s="12"/>
      <c r="B187" s="12"/>
      <c r="C187" s="12"/>
      <c r="D187" s="13"/>
      <c r="E187" s="13"/>
      <c r="F187" s="12"/>
      <c r="G187" s="12"/>
      <c r="H187" s="12"/>
      <c r="I187" s="12"/>
      <c r="J187" s="13"/>
    </row>
    <row r="188" spans="1:10">
      <c r="A188" s="12"/>
      <c r="B188" s="12"/>
      <c r="C188" s="12"/>
      <c r="D188" s="13"/>
      <c r="E188" s="13"/>
      <c r="F188" s="12"/>
      <c r="G188" s="12"/>
      <c r="H188" s="12"/>
      <c r="I188" s="12"/>
      <c r="J188" s="13"/>
    </row>
    <row r="189" spans="1:10">
      <c r="A189" s="12"/>
      <c r="B189" s="12"/>
      <c r="C189" s="12"/>
      <c r="D189" s="13"/>
      <c r="E189" s="13"/>
      <c r="F189" s="12"/>
      <c r="G189" s="12"/>
      <c r="H189" s="12"/>
      <c r="I189" s="12"/>
      <c r="J189" s="13"/>
    </row>
    <row r="190" spans="1:10">
      <c r="A190" s="12"/>
      <c r="B190" s="12"/>
      <c r="C190" s="12"/>
      <c r="D190" s="13"/>
      <c r="E190" s="13"/>
      <c r="F190" s="12"/>
      <c r="G190" s="12"/>
      <c r="H190" s="12"/>
      <c r="I190" s="12"/>
      <c r="J190" s="13"/>
    </row>
    <row r="191" spans="1:10">
      <c r="A191" s="12"/>
      <c r="B191" s="12"/>
      <c r="C191" s="12"/>
      <c r="D191" s="13"/>
      <c r="E191" s="13"/>
      <c r="F191" s="12"/>
      <c r="G191" s="12"/>
      <c r="H191" s="12"/>
      <c r="I191" s="12"/>
      <c r="J191" s="13"/>
    </row>
    <row r="192" spans="1:10">
      <c r="A192" s="12"/>
      <c r="B192" s="12"/>
      <c r="C192" s="12"/>
      <c r="D192" s="13"/>
      <c r="E192" s="13"/>
      <c r="F192" s="12"/>
      <c r="G192" s="12"/>
      <c r="H192" s="12"/>
      <c r="I192" s="12"/>
      <c r="J192" s="13"/>
    </row>
    <row r="193" spans="1:10">
      <c r="A193" s="12"/>
      <c r="B193" s="12"/>
      <c r="C193" s="12"/>
      <c r="D193" s="13"/>
      <c r="E193" s="13"/>
      <c r="F193" s="12"/>
      <c r="G193" s="12"/>
      <c r="H193" s="12"/>
      <c r="I193" s="12"/>
      <c r="J193" s="13"/>
    </row>
    <row r="194" spans="1:10">
      <c r="A194" s="12"/>
      <c r="B194" s="12"/>
      <c r="C194" s="12"/>
      <c r="D194" s="13"/>
      <c r="E194" s="13"/>
      <c r="F194" s="12"/>
      <c r="G194" s="12"/>
      <c r="H194" s="12"/>
      <c r="I194" s="12"/>
      <c r="J194" s="13"/>
    </row>
    <row r="195" spans="1:10">
      <c r="A195" s="12"/>
      <c r="B195" s="12"/>
      <c r="C195" s="12"/>
      <c r="D195" s="13"/>
      <c r="E195" s="13"/>
      <c r="F195" s="12"/>
      <c r="G195" s="12"/>
      <c r="H195" s="12"/>
      <c r="I195" s="12"/>
      <c r="J195" s="13"/>
    </row>
    <row r="196" spans="1:10">
      <c r="A196" s="12"/>
      <c r="B196" s="12"/>
      <c r="C196" s="12"/>
      <c r="D196" s="13"/>
      <c r="E196" s="13"/>
      <c r="F196" s="12"/>
      <c r="G196" s="12"/>
      <c r="H196" s="12"/>
      <c r="I196" s="12"/>
      <c r="J196" s="13"/>
    </row>
    <row r="197" spans="1:10">
      <c r="A197" s="12"/>
      <c r="B197" s="12"/>
      <c r="C197" s="12"/>
      <c r="D197" s="13"/>
      <c r="E197" s="13"/>
      <c r="F197" s="12"/>
      <c r="G197" s="12"/>
      <c r="H197" s="12"/>
      <c r="I197" s="12"/>
      <c r="J197" s="13"/>
    </row>
    <row r="198" spans="1:10">
      <c r="A198" s="12"/>
      <c r="B198" s="12"/>
      <c r="C198" s="12"/>
      <c r="D198" s="13"/>
      <c r="E198" s="13"/>
      <c r="F198" s="12"/>
      <c r="G198" s="12"/>
      <c r="H198" s="12"/>
      <c r="I198" s="12"/>
      <c r="J198" s="13"/>
    </row>
    <row r="199" spans="1:10">
      <c r="A199" s="12"/>
      <c r="B199" s="12"/>
      <c r="C199" s="12"/>
      <c r="D199" s="13"/>
      <c r="E199" s="13"/>
      <c r="F199" s="12"/>
      <c r="G199" s="12"/>
      <c r="H199" s="12"/>
      <c r="I199" s="12"/>
      <c r="J199" s="13"/>
    </row>
    <row r="200" spans="1:10">
      <c r="A200" s="12"/>
      <c r="B200" s="12"/>
      <c r="C200" s="12"/>
      <c r="D200" s="13"/>
      <c r="E200" s="13"/>
      <c r="F200" s="12"/>
      <c r="G200" s="12"/>
      <c r="H200" s="12"/>
      <c r="I200" s="12"/>
      <c r="J200" s="13"/>
    </row>
    <row r="201" spans="1:10">
      <c r="A201" s="12"/>
      <c r="B201" s="12"/>
      <c r="C201" s="12"/>
      <c r="D201" s="13"/>
      <c r="E201" s="13"/>
      <c r="F201" s="12"/>
      <c r="G201" s="12"/>
      <c r="H201" s="12"/>
      <c r="I201" s="12"/>
      <c r="J201" s="13"/>
    </row>
    <row r="202" spans="1:10">
      <c r="A202" s="12"/>
      <c r="B202" s="12"/>
      <c r="C202" s="12"/>
      <c r="D202" s="13"/>
      <c r="E202" s="13"/>
      <c r="F202" s="12"/>
      <c r="G202" s="12"/>
      <c r="H202" s="12"/>
      <c r="I202" s="12"/>
      <c r="J202" s="13"/>
    </row>
    <row r="203" spans="1:10">
      <c r="A203" s="12"/>
      <c r="B203" s="12"/>
      <c r="C203" s="12"/>
      <c r="D203" s="13"/>
      <c r="E203" s="13"/>
      <c r="F203" s="12"/>
      <c r="G203" s="12"/>
      <c r="H203" s="12"/>
      <c r="I203" s="12"/>
      <c r="J203" s="13"/>
    </row>
    <row r="204" spans="1:10">
      <c r="A204" s="12"/>
      <c r="B204" s="12"/>
      <c r="C204" s="12"/>
      <c r="D204" s="13"/>
      <c r="E204" s="13"/>
      <c r="F204" s="12"/>
      <c r="G204" s="12"/>
      <c r="H204" s="12"/>
      <c r="I204" s="12"/>
      <c r="J204" s="13"/>
    </row>
    <row r="205" spans="1:10">
      <c r="A205" s="12"/>
      <c r="B205" s="12"/>
      <c r="C205" s="12"/>
      <c r="D205" s="13"/>
      <c r="E205" s="13"/>
      <c r="F205" s="12"/>
      <c r="G205" s="12"/>
      <c r="H205" s="12"/>
      <c r="I205" s="12"/>
      <c r="J205" s="13"/>
    </row>
    <row r="206" spans="1:10">
      <c r="A206" s="12"/>
      <c r="B206" s="12"/>
      <c r="C206" s="12"/>
      <c r="D206" s="13"/>
      <c r="E206" s="13"/>
      <c r="F206" s="12"/>
      <c r="G206" s="12"/>
      <c r="H206" s="12"/>
      <c r="I206" s="12"/>
      <c r="J206" s="13"/>
    </row>
    <row r="207" spans="1:10">
      <c r="A207" s="12"/>
      <c r="B207" s="12"/>
      <c r="C207" s="12"/>
      <c r="D207" s="13"/>
      <c r="E207" s="13"/>
      <c r="F207" s="12"/>
      <c r="G207" s="12"/>
      <c r="H207" s="12"/>
      <c r="I207" s="12"/>
      <c r="J207" s="13"/>
    </row>
    <row r="208" spans="1:10">
      <c r="A208" s="12"/>
      <c r="B208" s="12"/>
      <c r="C208" s="12"/>
      <c r="D208" s="13"/>
      <c r="E208" s="13"/>
      <c r="F208" s="12"/>
      <c r="G208" s="12"/>
      <c r="H208" s="12"/>
      <c r="I208" s="12"/>
      <c r="J208" s="13"/>
    </row>
    <row r="209" spans="1:10">
      <c r="A209" s="12"/>
      <c r="B209" s="12"/>
      <c r="C209" s="12"/>
      <c r="D209" s="13"/>
      <c r="E209" s="13"/>
      <c r="F209" s="12"/>
      <c r="G209" s="12"/>
      <c r="H209" s="12"/>
      <c r="I209" s="12"/>
      <c r="J209" s="13"/>
    </row>
    <row r="210" spans="1:10">
      <c r="A210" s="12"/>
      <c r="B210" s="12"/>
      <c r="C210" s="12"/>
      <c r="D210" s="13"/>
      <c r="E210" s="13"/>
      <c r="F210" s="12"/>
      <c r="G210" s="12"/>
      <c r="H210" s="12"/>
      <c r="I210" s="12"/>
      <c r="J210" s="13"/>
    </row>
    <row r="211" spans="1:10">
      <c r="A211" s="12"/>
      <c r="B211" s="12"/>
      <c r="C211" s="12"/>
      <c r="D211" s="13"/>
      <c r="E211" s="13"/>
      <c r="F211" s="12"/>
      <c r="G211" s="12"/>
      <c r="H211" s="12"/>
      <c r="I211" s="12"/>
      <c r="J211" s="13"/>
    </row>
    <row r="212" spans="1:10">
      <c r="A212" s="12"/>
      <c r="B212" s="12"/>
      <c r="C212" s="12"/>
      <c r="D212" s="13"/>
      <c r="E212" s="13"/>
      <c r="F212" s="12"/>
      <c r="G212" s="12"/>
      <c r="H212" s="12"/>
      <c r="I212" s="12"/>
      <c r="J212" s="13"/>
    </row>
    <row r="213" spans="1:10">
      <c r="A213" s="12"/>
      <c r="B213" s="12"/>
      <c r="C213" s="12"/>
      <c r="D213" s="13"/>
      <c r="E213" s="13"/>
      <c r="F213" s="12"/>
      <c r="G213" s="12"/>
      <c r="H213" s="12"/>
      <c r="I213" s="12"/>
      <c r="J213" s="13"/>
    </row>
    <row r="214" spans="1:10">
      <c r="A214" s="12"/>
      <c r="B214" s="12"/>
      <c r="C214" s="12"/>
      <c r="D214" s="13"/>
      <c r="E214" s="13"/>
      <c r="F214" s="12"/>
      <c r="G214" s="12"/>
      <c r="H214" s="12"/>
      <c r="I214" s="12"/>
      <c r="J214" s="13"/>
    </row>
    <row r="215" spans="1:10">
      <c r="A215" s="12"/>
      <c r="B215" s="12"/>
      <c r="C215" s="12"/>
      <c r="D215" s="13"/>
      <c r="E215" s="13"/>
      <c r="F215" s="12"/>
      <c r="G215" s="12"/>
      <c r="H215" s="12"/>
      <c r="I215" s="12"/>
      <c r="J215" s="13"/>
    </row>
    <row r="216" spans="1:10">
      <c r="A216" s="12"/>
      <c r="B216" s="12"/>
      <c r="C216" s="12"/>
      <c r="D216" s="13"/>
      <c r="E216" s="13"/>
      <c r="F216" s="12"/>
      <c r="G216" s="12"/>
      <c r="H216" s="12"/>
      <c r="I216" s="12"/>
      <c r="J216" s="13"/>
    </row>
    <row r="217" spans="1:10">
      <c r="A217" s="12"/>
      <c r="B217" s="12"/>
      <c r="C217" s="12"/>
      <c r="D217" s="13"/>
      <c r="E217" s="13"/>
      <c r="F217" s="12"/>
      <c r="G217" s="12"/>
      <c r="H217" s="12"/>
      <c r="I217" s="12"/>
      <c r="J217" s="13"/>
    </row>
    <row r="218" spans="1:10">
      <c r="A218" s="12"/>
      <c r="B218" s="12"/>
      <c r="C218" s="12"/>
      <c r="D218" s="13"/>
      <c r="E218" s="13"/>
      <c r="F218" s="12"/>
      <c r="G218" s="12"/>
      <c r="H218" s="12"/>
      <c r="I218" s="12"/>
      <c r="J218" s="13"/>
    </row>
    <row r="219" spans="1:10">
      <c r="A219" s="12"/>
      <c r="B219" s="12"/>
      <c r="C219" s="12"/>
      <c r="D219" s="13"/>
      <c r="E219" s="13"/>
      <c r="F219" s="12"/>
      <c r="G219" s="12"/>
      <c r="H219" s="12"/>
      <c r="I219" s="12"/>
      <c r="J219" s="13"/>
    </row>
    <row r="220" spans="1:10">
      <c r="A220" s="12"/>
      <c r="B220" s="12"/>
      <c r="C220" s="12"/>
      <c r="D220" s="13"/>
      <c r="E220" s="13"/>
      <c r="F220" s="12"/>
      <c r="G220" s="12"/>
      <c r="H220" s="12"/>
      <c r="I220" s="12"/>
      <c r="J220" s="13"/>
    </row>
    <row r="221" spans="1:10">
      <c r="A221" s="12"/>
      <c r="B221" s="12"/>
      <c r="C221" s="12"/>
      <c r="D221" s="13"/>
      <c r="E221" s="13"/>
      <c r="F221" s="12"/>
      <c r="G221" s="12"/>
      <c r="H221" s="12"/>
      <c r="I221" s="12"/>
      <c r="J221" s="13"/>
    </row>
    <row r="222" spans="1:10">
      <c r="A222" s="12"/>
      <c r="B222" s="12"/>
      <c r="C222" s="12"/>
      <c r="D222" s="13"/>
      <c r="E222" s="13"/>
      <c r="F222" s="12"/>
      <c r="G222" s="12"/>
      <c r="H222" s="12"/>
      <c r="I222" s="12"/>
      <c r="J222" s="13"/>
    </row>
    <row r="223" spans="1:10">
      <c r="A223" s="12"/>
      <c r="B223" s="12"/>
      <c r="C223" s="12"/>
      <c r="D223" s="13"/>
      <c r="E223" s="13"/>
      <c r="F223" s="12"/>
      <c r="G223" s="12"/>
      <c r="H223" s="12"/>
      <c r="I223" s="12"/>
      <c r="J223" s="13"/>
    </row>
    <row r="224" spans="1:10">
      <c r="A224" s="12"/>
      <c r="B224" s="12"/>
      <c r="C224" s="12"/>
      <c r="D224" s="13"/>
      <c r="E224" s="13"/>
      <c r="F224" s="12"/>
      <c r="G224" s="12"/>
      <c r="H224" s="12"/>
      <c r="I224" s="12"/>
      <c r="J224" s="13"/>
    </row>
    <row r="225" spans="1:10">
      <c r="A225" s="12"/>
      <c r="B225" s="12"/>
      <c r="C225" s="12"/>
      <c r="D225" s="13"/>
      <c r="E225" s="13"/>
      <c r="F225" s="12"/>
      <c r="G225" s="12"/>
      <c r="H225" s="12"/>
      <c r="I225" s="12"/>
      <c r="J225" s="13"/>
    </row>
    <row r="226" spans="1:10">
      <c r="A226" s="12"/>
      <c r="B226" s="12"/>
      <c r="C226" s="12"/>
      <c r="D226" s="13"/>
      <c r="E226" s="13"/>
      <c r="F226" s="12"/>
      <c r="G226" s="12"/>
      <c r="H226" s="12"/>
      <c r="I226" s="12"/>
      <c r="J226" s="13"/>
    </row>
    <row r="227" spans="1:10">
      <c r="A227" s="12"/>
      <c r="B227" s="12"/>
      <c r="C227" s="12"/>
      <c r="D227" s="13"/>
      <c r="E227" s="13"/>
      <c r="F227" s="12"/>
      <c r="G227" s="12"/>
      <c r="H227" s="12"/>
      <c r="I227" s="12"/>
      <c r="J227" s="13"/>
    </row>
    <row r="228" spans="1:10">
      <c r="A228" s="12"/>
      <c r="B228" s="12"/>
      <c r="C228" s="12"/>
      <c r="D228" s="13"/>
      <c r="E228" s="13"/>
      <c r="F228" s="12"/>
      <c r="G228" s="12"/>
      <c r="H228" s="12"/>
      <c r="I228" s="12"/>
      <c r="J228" s="13"/>
    </row>
    <row r="229" spans="1:10">
      <c r="A229" s="12"/>
      <c r="B229" s="12"/>
      <c r="C229" s="12"/>
      <c r="D229" s="13"/>
      <c r="E229" s="13"/>
      <c r="F229" s="12"/>
      <c r="G229" s="12"/>
      <c r="H229" s="12"/>
      <c r="I229" s="12"/>
      <c r="J229" s="13"/>
    </row>
    <row r="230" spans="1:10">
      <c r="A230" s="12"/>
      <c r="B230" s="12"/>
      <c r="C230" s="12"/>
      <c r="D230" s="13"/>
      <c r="E230" s="13"/>
      <c r="F230" s="12"/>
      <c r="G230" s="12"/>
      <c r="H230" s="12"/>
      <c r="I230" s="12"/>
      <c r="J230" s="13"/>
    </row>
    <row r="231" spans="1:10">
      <c r="A231" s="12"/>
      <c r="B231" s="12"/>
      <c r="C231" s="12"/>
      <c r="D231" s="13"/>
      <c r="E231" s="13"/>
      <c r="F231" s="12"/>
      <c r="G231" s="12"/>
      <c r="H231" s="12"/>
      <c r="I231" s="12"/>
      <c r="J231" s="13"/>
    </row>
    <row r="232" spans="1:10">
      <c r="A232" s="12"/>
      <c r="B232" s="12"/>
      <c r="C232" s="12"/>
      <c r="D232" s="13"/>
      <c r="E232" s="13"/>
      <c r="F232" s="12"/>
      <c r="G232" s="12"/>
      <c r="H232" s="12"/>
      <c r="I232" s="12"/>
      <c r="J232" s="13"/>
    </row>
    <row r="233" spans="1:10">
      <c r="A233" s="12"/>
      <c r="B233" s="12"/>
      <c r="C233" s="12"/>
      <c r="D233" s="13"/>
      <c r="E233" s="13"/>
      <c r="F233" s="12"/>
      <c r="G233" s="12"/>
      <c r="H233" s="12"/>
      <c r="I233" s="12"/>
      <c r="J233" s="13"/>
    </row>
    <row r="234" spans="1:10">
      <c r="A234" s="12"/>
      <c r="B234" s="12"/>
      <c r="C234" s="12"/>
      <c r="D234" s="13"/>
      <c r="E234" s="13"/>
      <c r="F234" s="12"/>
      <c r="G234" s="12"/>
      <c r="H234" s="12"/>
      <c r="I234" s="12"/>
      <c r="J234" s="13"/>
    </row>
    <row r="235" spans="1:10">
      <c r="A235" s="12"/>
      <c r="B235" s="12"/>
      <c r="C235" s="12"/>
      <c r="D235" s="13"/>
      <c r="E235" s="13"/>
      <c r="F235" s="12"/>
      <c r="G235" s="12"/>
      <c r="H235" s="12"/>
      <c r="I235" s="12"/>
      <c r="J235" s="13"/>
    </row>
    <row r="236" spans="1:10">
      <c r="A236" s="12"/>
      <c r="B236" s="12"/>
      <c r="C236" s="12"/>
      <c r="D236" s="13"/>
      <c r="E236" s="13"/>
      <c r="F236" s="12"/>
      <c r="G236" s="12"/>
      <c r="H236" s="12"/>
      <c r="I236" s="12"/>
      <c r="J236" s="13"/>
    </row>
    <row r="237" spans="1:10">
      <c r="A237" s="12"/>
      <c r="B237" s="12"/>
      <c r="C237" s="12"/>
      <c r="D237" s="13"/>
      <c r="E237" s="13"/>
      <c r="F237" s="12"/>
      <c r="G237" s="12"/>
      <c r="H237" s="12"/>
      <c r="I237" s="12"/>
      <c r="J237" s="13"/>
    </row>
    <row r="238" spans="1:10">
      <c r="A238" s="12"/>
      <c r="B238" s="12"/>
      <c r="C238" s="12"/>
      <c r="D238" s="13"/>
      <c r="E238" s="13"/>
      <c r="F238" s="12"/>
      <c r="G238" s="12"/>
      <c r="H238" s="12"/>
      <c r="I238" s="12"/>
      <c r="J238" s="13"/>
    </row>
    <row r="239" spans="1:10">
      <c r="A239" s="12"/>
      <c r="B239" s="12"/>
      <c r="C239" s="12"/>
      <c r="D239" s="13"/>
      <c r="E239" s="13"/>
      <c r="F239" s="12"/>
      <c r="G239" s="12"/>
      <c r="H239" s="12"/>
      <c r="I239" s="12"/>
      <c r="J239" s="13"/>
    </row>
    <row r="240" spans="1:10">
      <c r="A240" s="12"/>
      <c r="B240" s="12"/>
      <c r="C240" s="12"/>
      <c r="D240" s="13"/>
      <c r="E240" s="13"/>
      <c r="F240" s="12"/>
      <c r="G240" s="12"/>
      <c r="H240" s="12"/>
      <c r="I240" s="12"/>
      <c r="J240" s="13"/>
    </row>
    <row r="241" spans="1:10">
      <c r="A241" s="12"/>
      <c r="B241" s="12"/>
      <c r="C241" s="12"/>
      <c r="D241" s="13"/>
      <c r="E241" s="13"/>
      <c r="F241" s="12"/>
      <c r="G241" s="12"/>
      <c r="H241" s="12"/>
      <c r="I241" s="12"/>
      <c r="J241" s="13"/>
    </row>
    <row r="242" spans="1:10">
      <c r="A242" s="12"/>
      <c r="B242" s="12"/>
      <c r="C242" s="12"/>
      <c r="D242" s="13"/>
      <c r="E242" s="13"/>
      <c r="F242" s="12"/>
      <c r="G242" s="12"/>
      <c r="H242" s="12"/>
      <c r="I242" s="12"/>
      <c r="J242" s="13"/>
    </row>
    <row r="243" spans="1:10">
      <c r="A243" s="12"/>
      <c r="B243" s="12"/>
      <c r="C243" s="12"/>
      <c r="D243" s="13"/>
      <c r="E243" s="13"/>
      <c r="F243" s="12"/>
      <c r="G243" s="12"/>
      <c r="H243" s="12"/>
      <c r="I243" s="12"/>
      <c r="J243" s="13"/>
    </row>
    <row r="244" spans="1:10">
      <c r="A244" s="12"/>
      <c r="B244" s="12"/>
      <c r="C244" s="12"/>
      <c r="D244" s="13"/>
      <c r="E244" s="13"/>
      <c r="F244" s="12"/>
      <c r="G244" s="12"/>
      <c r="H244" s="12"/>
      <c r="I244" s="12"/>
      <c r="J244" s="13"/>
    </row>
    <row r="245" spans="1:10">
      <c r="A245" s="12"/>
      <c r="B245" s="12"/>
      <c r="C245" s="12"/>
      <c r="D245" s="13"/>
      <c r="E245" s="13"/>
      <c r="F245" s="12"/>
      <c r="G245" s="12"/>
      <c r="H245" s="12"/>
      <c r="I245" s="12"/>
      <c r="J245" s="13"/>
    </row>
    <row r="246" spans="1:10">
      <c r="A246" s="12"/>
      <c r="B246" s="12"/>
      <c r="C246" s="12"/>
      <c r="D246" s="13"/>
      <c r="E246" s="13"/>
      <c r="F246" s="12"/>
      <c r="G246" s="12"/>
      <c r="H246" s="12"/>
      <c r="I246" s="12"/>
      <c r="J246" s="13"/>
    </row>
    <row r="247" spans="1:10">
      <c r="A247" s="12"/>
      <c r="B247" s="12"/>
      <c r="C247" s="12"/>
      <c r="D247" s="13"/>
      <c r="E247" s="13"/>
      <c r="F247" s="12"/>
      <c r="G247" s="12"/>
      <c r="H247" s="12"/>
      <c r="I247" s="12"/>
      <c r="J247" s="13"/>
    </row>
    <row r="248" spans="1:10">
      <c r="A248" s="12"/>
      <c r="B248" s="12"/>
      <c r="C248" s="12"/>
      <c r="D248" s="13"/>
      <c r="E248" s="13"/>
      <c r="F248" s="12"/>
      <c r="G248" s="12"/>
      <c r="H248" s="12"/>
      <c r="I248" s="12"/>
      <c r="J248" s="13"/>
    </row>
    <row r="249" spans="1:10">
      <c r="A249" s="12"/>
      <c r="B249" s="12"/>
      <c r="C249" s="12"/>
      <c r="D249" s="13"/>
      <c r="E249" s="13"/>
      <c r="F249" s="12"/>
      <c r="G249" s="12"/>
      <c r="H249" s="12"/>
      <c r="I249" s="12"/>
      <c r="J249" s="13"/>
    </row>
    <row r="250" spans="1:10">
      <c r="A250" s="12"/>
      <c r="B250" s="12"/>
      <c r="C250" s="12"/>
      <c r="D250" s="13"/>
      <c r="E250" s="13"/>
      <c r="F250" s="12"/>
      <c r="G250" s="12"/>
      <c r="H250" s="12"/>
      <c r="I250" s="12"/>
      <c r="J250" s="13"/>
    </row>
    <row r="251" spans="1:10">
      <c r="A251" s="12"/>
      <c r="B251" s="12"/>
      <c r="C251" s="12"/>
      <c r="D251" s="13"/>
      <c r="E251" s="13"/>
      <c r="F251" s="12"/>
      <c r="G251" s="12"/>
      <c r="H251" s="12"/>
      <c r="I251" s="12"/>
      <c r="J251" s="13"/>
    </row>
    <row r="252" spans="1:10">
      <c r="A252" s="12"/>
      <c r="B252" s="12"/>
      <c r="C252" s="12"/>
      <c r="D252" s="13"/>
      <c r="E252" s="13"/>
      <c r="F252" s="12"/>
      <c r="G252" s="12"/>
      <c r="H252" s="12"/>
      <c r="I252" s="12"/>
      <c r="J252" s="13"/>
    </row>
    <row r="253" spans="1:10">
      <c r="A253" s="12"/>
      <c r="B253" s="12"/>
      <c r="C253" s="12"/>
      <c r="D253" s="13"/>
      <c r="E253" s="13"/>
      <c r="F253" s="12"/>
      <c r="G253" s="12"/>
      <c r="H253" s="12"/>
      <c r="I253" s="12"/>
      <c r="J253" s="13"/>
    </row>
  </sheetData>
  <autoFilter ref="A3:J253"/>
  <mergeCells count="2">
    <mergeCell ref="A1:J1"/>
    <mergeCell ref="A2:J2"/>
  </mergeCells>
  <conditionalFormatting sqref="F4:F253">
    <cfRule type="expression" dxfId="0" priority="1">
      <formula>OR(ISNUMBER(SEARCH("approved",F4)),ISNUMBER(SEARCH("complete",F4)),ISNUMBER(SEARCH("delivered",F4)),ISNUMBER(SEARCH("installed",F4)),ISNUMBER(SEARCH("paid",F4)),ISNUMBER(SEARCH("good condition",F4)))</formula>
    </cfRule>
    <cfRule type="expression" dxfId="1" priority="2">
      <formula>OR(ISNUMBER(SEARCH("pending",F4)),ISNUMBER(SEARCH("progress",F4)),ISNUMBER(SEARCH("review",F4)),ISNUMBER(SEARCH("sent",F4)),ISNUMBER(SEARCH("scheduled",F4)),ISNUMBER(SEARCH("waiting",F4)),ISNUMBER(SEARCH("ordered",F4)),ISNUMBER(SEARCH("shipped",F4)))</formula>
    </cfRule>
    <cfRule type="expression" dxfId="2" priority="3">
      <formula>OR(ISNUMBER(SEARCH("overdue",F4)),ISNUMBER(SEARCH("delayed",F4)),ISNUMBER(SEARCH("rejected",F4)),ISNUMBER(SEARCH("damaged",F4)),ISNUMBER(SEARCH("missing",F4)),ISNUMBER(SEARCH("wrong",F4)),ISNUMBER(SEARCH("backordered",F4)))</formula>
    </cfRule>
    <cfRule type="expression" dxfId="3" priority="4">
      <formula>OR(ISNUMBER(SEARCH("cancelled",F4)),ISNUMBER(SEARCH("on hold",F4)),ISNUMBER(SEARCH("returned",F4)))</formula>
    </cfRule>
  </conditionalFormatting>
  <conditionalFormatting sqref="I4:I253">
    <cfRule type="expression" dxfId="0" priority="5">
      <formula>OR(ISNUMBER(SEARCH("approved",I4)),ISNUMBER(SEARCH("complete",I4)),ISNUMBER(SEARCH("delivered",I4)),ISNUMBER(SEARCH("installed",I4)),ISNUMBER(SEARCH("paid",I4)),ISNUMBER(SEARCH("good condition",I4)))</formula>
    </cfRule>
    <cfRule type="expression" dxfId="1" priority="6">
      <formula>OR(ISNUMBER(SEARCH("pending",I4)),ISNUMBER(SEARCH("progress",I4)),ISNUMBER(SEARCH("review",I4)),ISNUMBER(SEARCH("sent",I4)),ISNUMBER(SEARCH("scheduled",I4)),ISNUMBER(SEARCH("waiting",I4)),ISNUMBER(SEARCH("ordered",I4)),ISNUMBER(SEARCH("shipped",I4)))</formula>
    </cfRule>
    <cfRule type="expression" dxfId="2" priority="7">
      <formula>OR(ISNUMBER(SEARCH("overdue",I4)),ISNUMBER(SEARCH("delayed",I4)),ISNUMBER(SEARCH("rejected",I4)),ISNUMBER(SEARCH("damaged",I4)),ISNUMBER(SEARCH("missing",I4)),ISNUMBER(SEARCH("wrong",I4)),ISNUMBER(SEARCH("backordered",I4)))</formula>
    </cfRule>
    <cfRule type="expression" dxfId="3" priority="8">
      <formula>OR(ISNUMBER(SEARCH("cancelled",I4)),ISNUMBER(SEARCH("on hold",I4)),ISNUMBER(SEARCH("returned",I4)))</formula>
    </cfRule>
  </conditionalFormatting>
  <dataValidations count="4">
    <dataValidation type="list" allowBlank="1" showInputMessage="1" showErrorMessage="1" errorTitle="Choose a listed value" error="Please select an option from the dropdown." promptTitle="Room" prompt="Select from the dropdown list." sqref="B4:B253">
      <formula1>RoomNames</formula1>
    </dataValidation>
    <dataValidation type="list" allowBlank="1" showInputMessage="1" showErrorMessage="1" errorTitle="Choose a listed value" error="Please select an option from the dropdown." promptTitle="Approval Type" prompt="Select from the dropdown list." sqref="C4:C253">
      <formula1>ApprovalTypes</formula1>
    </dataValidation>
    <dataValidation type="list" allowBlank="1" showInputMessage="1" showErrorMessage="1" errorTitle="Choose a listed value" error="Please select an option from the dropdown." promptTitle="Status" prompt="Select from the dropdown list." sqref="F4:F253">
      <formula1>ApprovalTrackerStatuses</formula1>
    </dataValidation>
    <dataValidation type="list" allowBlank="1" showInputMessage="1" showErrorMessage="1" errorTitle="Choose a listed value" error="Please select an option from the dropdown." promptTitle="Revision Needed" prompt="Select from the dropdown list." sqref="I4:I253">
      <formula1>YesNo</formula1>
    </dataValidation>
  </dataValidations>
  <pageMargins left="0.25" right="0.25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10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6.7109375" customWidth="1"/>
    <col min="3" max="3" width="18.7109375" customWidth="1"/>
    <col min="4" max="5" width="15.7109375" customWidth="1"/>
    <col min="6" max="6" width="17.7109375" customWidth="1"/>
    <col min="7" max="7" width="18.7109375" customWidth="1"/>
    <col min="8" max="8" width="12.7109375" customWidth="1"/>
    <col min="9" max="9" width="18.7109375" customWidth="1"/>
    <col min="10" max="10" width="28.7109375" customWidth="1"/>
    <col min="11" max="36" width="5.7109375" customWidth="1"/>
  </cols>
  <sheetData>
    <row r="1" spans="1:36" ht="30" customHeight="1">
      <c r="A1" s="1" t="s">
        <v>379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0" customHeight="1">
      <c r="A2" s="2" t="s">
        <v>380</v>
      </c>
      <c r="B2" s="2"/>
      <c r="C2" s="2"/>
      <c r="D2" s="2"/>
      <c r="E2" s="2"/>
      <c r="F2" s="2"/>
      <c r="G2" s="2"/>
      <c r="H2" s="2"/>
      <c r="I2" s="2"/>
      <c r="J2" s="2"/>
      <c r="K2" s="4" t="s">
        <v>415</v>
      </c>
      <c r="L2" s="13">
        <f>TODAY()-WEEKDAY(TODAY(),2)+1</f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2" customHeight="1">
      <c r="A3" s="10" t="s">
        <v>381</v>
      </c>
      <c r="B3" s="10" t="s">
        <v>382</v>
      </c>
      <c r="C3" s="10" t="s">
        <v>383</v>
      </c>
      <c r="D3" s="10" t="s">
        <v>384</v>
      </c>
      <c r="E3" s="10" t="s">
        <v>385</v>
      </c>
      <c r="F3" s="10" t="s">
        <v>386</v>
      </c>
      <c r="G3" s="10" t="s">
        <v>374</v>
      </c>
      <c r="H3" s="10" t="s">
        <v>387</v>
      </c>
      <c r="I3" s="10" t="s">
        <v>388</v>
      </c>
      <c r="J3" s="10" t="s">
        <v>267</v>
      </c>
      <c r="K3" s="20">
        <f>$L$2+0*7</f>
        <v>0</v>
      </c>
      <c r="L3" s="20">
        <f>$L$2+1*7</f>
        <v>0</v>
      </c>
      <c r="M3" s="20">
        <f>$L$2+2*7</f>
        <v>0</v>
      </c>
      <c r="N3" s="20">
        <f>$L$2+3*7</f>
        <v>0</v>
      </c>
      <c r="O3" s="20">
        <f>$L$2+4*7</f>
        <v>0</v>
      </c>
      <c r="P3" s="20">
        <f>$L$2+5*7</f>
        <v>0</v>
      </c>
      <c r="Q3" s="20">
        <f>$L$2+6*7</f>
        <v>0</v>
      </c>
      <c r="R3" s="20">
        <f>$L$2+7*7</f>
        <v>0</v>
      </c>
      <c r="S3" s="20">
        <f>$L$2+8*7</f>
        <v>0</v>
      </c>
      <c r="T3" s="20">
        <f>$L$2+9*7</f>
        <v>0</v>
      </c>
      <c r="U3" s="20">
        <f>$L$2+10*7</f>
        <v>0</v>
      </c>
      <c r="V3" s="20">
        <f>$L$2+11*7</f>
        <v>0</v>
      </c>
      <c r="W3" s="20">
        <f>$L$2+12*7</f>
        <v>0</v>
      </c>
      <c r="X3" s="20">
        <f>$L$2+13*7</f>
        <v>0</v>
      </c>
      <c r="Y3" s="20">
        <f>$L$2+14*7</f>
        <v>0</v>
      </c>
      <c r="Z3" s="20">
        <f>$L$2+15*7</f>
        <v>0</v>
      </c>
      <c r="AA3" s="20">
        <f>$L$2+16*7</f>
        <v>0</v>
      </c>
      <c r="AB3" s="20">
        <f>$L$2+17*7</f>
        <v>0</v>
      </c>
      <c r="AC3" s="20">
        <f>$L$2+18*7</f>
        <v>0</v>
      </c>
      <c r="AD3" s="20">
        <f>$L$2+19*7</f>
        <v>0</v>
      </c>
      <c r="AE3" s="20">
        <f>$L$2+20*7</f>
        <v>0</v>
      </c>
      <c r="AF3" s="20">
        <f>$L$2+21*7</f>
        <v>0</v>
      </c>
      <c r="AG3" s="20">
        <f>$L$2+22*7</f>
        <v>0</v>
      </c>
      <c r="AH3" s="20">
        <f>$L$2+23*7</f>
        <v>0</v>
      </c>
      <c r="AI3" s="20">
        <f>$L$2+24*7</f>
        <v>0</v>
      </c>
      <c r="AJ3" s="20">
        <f>$L$2+25*7</f>
        <v>0</v>
      </c>
    </row>
    <row r="4" spans="1:36">
      <c r="A4" s="12"/>
      <c r="B4" s="12"/>
      <c r="C4" s="12"/>
      <c r="D4" s="13"/>
      <c r="E4" s="13"/>
      <c r="F4" s="13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A5" s="12"/>
      <c r="B5" s="12"/>
      <c r="C5" s="12"/>
      <c r="D5" s="13"/>
      <c r="E5" s="13"/>
      <c r="F5" s="13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A6" s="12"/>
      <c r="B6" s="12"/>
      <c r="C6" s="12"/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A7" s="12"/>
      <c r="B7" s="12"/>
      <c r="C7" s="12"/>
      <c r="D7" s="13"/>
      <c r="E7" s="13"/>
      <c r="F7" s="1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A8" s="12"/>
      <c r="B8" s="12"/>
      <c r="C8" s="12"/>
      <c r="D8" s="13"/>
      <c r="E8" s="13"/>
      <c r="F8" s="13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12"/>
      <c r="B9" s="12"/>
      <c r="C9" s="12"/>
      <c r="D9" s="13"/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A10" s="12"/>
      <c r="B10" s="12"/>
      <c r="C10" s="12"/>
      <c r="D10" s="13"/>
      <c r="E10" s="13"/>
      <c r="F10" s="13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A11" s="12"/>
      <c r="B11" s="12"/>
      <c r="C11" s="12"/>
      <c r="D11" s="13"/>
      <c r="E11" s="13"/>
      <c r="F11" s="13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A12" s="12"/>
      <c r="B12" s="12"/>
      <c r="C12" s="12"/>
      <c r="D12" s="13"/>
      <c r="E12" s="13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A13" s="12"/>
      <c r="B13" s="12"/>
      <c r="C13" s="12"/>
      <c r="D13" s="13"/>
      <c r="E13" s="13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A14" s="12"/>
      <c r="B14" s="12"/>
      <c r="C14" s="12"/>
      <c r="D14" s="13"/>
      <c r="E14" s="13"/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A15" s="12"/>
      <c r="B15" s="12"/>
      <c r="C15" s="12"/>
      <c r="D15" s="13"/>
      <c r="E15" s="13"/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A16" s="12"/>
      <c r="B16" s="12"/>
      <c r="C16" s="12"/>
      <c r="D16" s="13"/>
      <c r="E16" s="13"/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>
      <c r="A17" s="12"/>
      <c r="B17" s="12"/>
      <c r="C17" s="12"/>
      <c r="D17" s="13"/>
      <c r="E17" s="13"/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>
      <c r="A18" s="12"/>
      <c r="B18" s="12"/>
      <c r="C18" s="12"/>
      <c r="D18" s="13"/>
      <c r="E18" s="13"/>
      <c r="F18" s="1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>
      <c r="A19" s="12"/>
      <c r="B19" s="12"/>
      <c r="C19" s="12"/>
      <c r="D19" s="13"/>
      <c r="E19" s="13"/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>
      <c r="A20" s="12"/>
      <c r="B20" s="12"/>
      <c r="C20" s="12"/>
      <c r="D20" s="13"/>
      <c r="E20" s="13"/>
      <c r="F20" s="1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>
      <c r="A21" s="12"/>
      <c r="B21" s="12"/>
      <c r="C21" s="12"/>
      <c r="D21" s="13"/>
      <c r="E21" s="13"/>
      <c r="F21" s="1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>
      <c r="A22" s="12"/>
      <c r="B22" s="12"/>
      <c r="C22" s="12"/>
      <c r="D22" s="13"/>
      <c r="E22" s="13"/>
      <c r="F22" s="13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>
      <c r="A23" s="12"/>
      <c r="B23" s="12"/>
      <c r="C23" s="12"/>
      <c r="D23" s="13"/>
      <c r="E23" s="13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>
      <c r="A24" s="12"/>
      <c r="B24" s="12"/>
      <c r="C24" s="12"/>
      <c r="D24" s="13"/>
      <c r="E24" s="13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>
      <c r="A25" s="12"/>
      <c r="B25" s="12"/>
      <c r="C25" s="12"/>
      <c r="D25" s="13"/>
      <c r="E25" s="13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>
      <c r="A26" s="12"/>
      <c r="B26" s="12"/>
      <c r="C26" s="12"/>
      <c r="D26" s="13"/>
      <c r="E26" s="13"/>
      <c r="F26" s="1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>
      <c r="A27" s="12"/>
      <c r="B27" s="12"/>
      <c r="C27" s="12"/>
      <c r="D27" s="13"/>
      <c r="E27" s="13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>
      <c r="A28" s="12"/>
      <c r="B28" s="12"/>
      <c r="C28" s="12"/>
      <c r="D28" s="13"/>
      <c r="E28" s="13"/>
      <c r="F28" s="1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>
      <c r="A29" s="12"/>
      <c r="B29" s="12"/>
      <c r="C29" s="12"/>
      <c r="D29" s="13"/>
      <c r="E29" s="13"/>
      <c r="F29" s="1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>
      <c r="A30" s="12"/>
      <c r="B30" s="12"/>
      <c r="C30" s="12"/>
      <c r="D30" s="13"/>
      <c r="E30" s="13"/>
      <c r="F30" s="1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>
      <c r="A31" s="12"/>
      <c r="B31" s="12"/>
      <c r="C31" s="12"/>
      <c r="D31" s="13"/>
      <c r="E31" s="13"/>
      <c r="F31" s="1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>
      <c r="A32" s="12"/>
      <c r="B32" s="12"/>
      <c r="C32" s="12"/>
      <c r="D32" s="13"/>
      <c r="E32" s="13"/>
      <c r="F32" s="1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>
      <c r="A33" s="12"/>
      <c r="B33" s="12"/>
      <c r="C33" s="12"/>
      <c r="D33" s="13"/>
      <c r="E33" s="13"/>
      <c r="F33" s="1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>
      <c r="A34" s="12"/>
      <c r="B34" s="12"/>
      <c r="C34" s="12"/>
      <c r="D34" s="13"/>
      <c r="E34" s="13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>
      <c r="A35" s="12"/>
      <c r="B35" s="12"/>
      <c r="C35" s="12"/>
      <c r="D35" s="13"/>
      <c r="E35" s="13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1:36">
      <c r="A36" s="12"/>
      <c r="B36" s="12"/>
      <c r="C36" s="12"/>
      <c r="D36" s="13"/>
      <c r="E36" s="13"/>
      <c r="F36" s="1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>
      <c r="A37" s="12"/>
      <c r="B37" s="12"/>
      <c r="C37" s="12"/>
      <c r="D37" s="13"/>
      <c r="E37" s="13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>
      <c r="A38" s="12"/>
      <c r="B38" s="12"/>
      <c r="C38" s="12"/>
      <c r="D38" s="13"/>
      <c r="E38" s="13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>
      <c r="A39" s="12"/>
      <c r="B39" s="12"/>
      <c r="C39" s="12"/>
      <c r="D39" s="13"/>
      <c r="E39" s="13"/>
      <c r="F39" s="1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>
      <c r="A40" s="12"/>
      <c r="B40" s="12"/>
      <c r="C40" s="12"/>
      <c r="D40" s="13"/>
      <c r="E40" s="13"/>
      <c r="F40" s="1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>
      <c r="A41" s="12"/>
      <c r="B41" s="12"/>
      <c r="C41" s="12"/>
      <c r="D41" s="13"/>
      <c r="E41" s="13"/>
      <c r="F41" s="1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>
      <c r="A42" s="12"/>
      <c r="B42" s="12"/>
      <c r="C42" s="12"/>
      <c r="D42" s="13"/>
      <c r="E42" s="13"/>
      <c r="F42" s="1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>
      <c r="A43" s="12"/>
      <c r="B43" s="12"/>
      <c r="C43" s="12"/>
      <c r="D43" s="13"/>
      <c r="E43" s="13"/>
      <c r="F43" s="1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>
      <c r="A44" s="12"/>
      <c r="B44" s="12"/>
      <c r="C44" s="12"/>
      <c r="D44" s="13"/>
      <c r="E44" s="13"/>
      <c r="F44" s="1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>
      <c r="A45" s="12"/>
      <c r="B45" s="12"/>
      <c r="C45" s="12"/>
      <c r="D45" s="13"/>
      <c r="E45" s="13"/>
      <c r="F45" s="1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1:36">
      <c r="A46" s="12"/>
      <c r="B46" s="12"/>
      <c r="C46" s="12"/>
      <c r="D46" s="13"/>
      <c r="E46" s="13"/>
      <c r="F46" s="1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>
      <c r="A47" s="12"/>
      <c r="B47" s="12"/>
      <c r="C47" s="12"/>
      <c r="D47" s="13"/>
      <c r="E47" s="13"/>
      <c r="F47" s="13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>
      <c r="A48" s="12"/>
      <c r="B48" s="12"/>
      <c r="C48" s="12"/>
      <c r="D48" s="13"/>
      <c r="E48" s="13"/>
      <c r="F48" s="1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36">
      <c r="A49" s="12"/>
      <c r="B49" s="12"/>
      <c r="C49" s="12"/>
      <c r="D49" s="13"/>
      <c r="E49" s="13"/>
      <c r="F49" s="13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36">
      <c r="A50" s="12"/>
      <c r="B50" s="12"/>
      <c r="C50" s="12"/>
      <c r="D50" s="13"/>
      <c r="E50" s="13"/>
      <c r="F50" s="13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1:36">
      <c r="A51" s="12"/>
      <c r="B51" s="12"/>
      <c r="C51" s="12"/>
      <c r="D51" s="13"/>
      <c r="E51" s="13"/>
      <c r="F51" s="1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>
      <c r="A52" s="12"/>
      <c r="B52" s="12"/>
      <c r="C52" s="12"/>
      <c r="D52" s="13"/>
      <c r="E52" s="13"/>
      <c r="F52" s="1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>
      <c r="A53" s="12"/>
      <c r="B53" s="12"/>
      <c r="C53" s="12"/>
      <c r="D53" s="13"/>
      <c r="E53" s="13"/>
      <c r="F53" s="13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1:36">
      <c r="A54" s="12"/>
      <c r="B54" s="12"/>
      <c r="C54" s="12"/>
      <c r="D54" s="13"/>
      <c r="E54" s="13"/>
      <c r="F54" s="13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1:36">
      <c r="A55" s="12"/>
      <c r="B55" s="12"/>
      <c r="C55" s="12"/>
      <c r="D55" s="13"/>
      <c r="E55" s="13"/>
      <c r="F55" s="1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1:36">
      <c r="A56" s="12"/>
      <c r="B56" s="12"/>
      <c r="C56" s="12"/>
      <c r="D56" s="13"/>
      <c r="E56" s="13"/>
      <c r="F56" s="13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1:36">
      <c r="A57" s="12"/>
      <c r="B57" s="12"/>
      <c r="C57" s="12"/>
      <c r="D57" s="13"/>
      <c r="E57" s="13"/>
      <c r="F57" s="13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1:36">
      <c r="A58" s="12"/>
      <c r="B58" s="12"/>
      <c r="C58" s="12"/>
      <c r="D58" s="13"/>
      <c r="E58" s="13"/>
      <c r="F58" s="13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1:36">
      <c r="A59" s="12"/>
      <c r="B59" s="12"/>
      <c r="C59" s="12"/>
      <c r="D59" s="13"/>
      <c r="E59" s="13"/>
      <c r="F59" s="1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1:36">
      <c r="A60" s="12"/>
      <c r="B60" s="12"/>
      <c r="C60" s="12"/>
      <c r="D60" s="13"/>
      <c r="E60" s="13"/>
      <c r="F60" s="1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36">
      <c r="A61" s="12"/>
      <c r="B61" s="12"/>
      <c r="C61" s="12"/>
      <c r="D61" s="13"/>
      <c r="E61" s="13"/>
      <c r="F61" s="1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1:36">
      <c r="A62" s="12"/>
      <c r="B62" s="12"/>
      <c r="C62" s="12"/>
      <c r="D62" s="13"/>
      <c r="E62" s="13"/>
      <c r="F62" s="13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1:36">
      <c r="A63" s="12"/>
      <c r="B63" s="12"/>
      <c r="C63" s="12"/>
      <c r="D63" s="13"/>
      <c r="E63" s="13"/>
      <c r="F63" s="1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1:36">
      <c r="A64" s="12"/>
      <c r="B64" s="12"/>
      <c r="C64" s="12"/>
      <c r="D64" s="13"/>
      <c r="E64" s="13"/>
      <c r="F64" s="13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1:36">
      <c r="A65" s="12"/>
      <c r="B65" s="12"/>
      <c r="C65" s="12"/>
      <c r="D65" s="13"/>
      <c r="E65" s="13"/>
      <c r="F65" s="1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1:36">
      <c r="A66" s="12"/>
      <c r="B66" s="12"/>
      <c r="C66" s="12"/>
      <c r="D66" s="13"/>
      <c r="E66" s="13"/>
      <c r="F66" s="1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>
      <c r="A67" s="12"/>
      <c r="B67" s="12"/>
      <c r="C67" s="12"/>
      <c r="D67" s="13"/>
      <c r="E67" s="13"/>
      <c r="F67" s="13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1:36">
      <c r="A68" s="12"/>
      <c r="B68" s="12"/>
      <c r="C68" s="12"/>
      <c r="D68" s="13"/>
      <c r="E68" s="13"/>
      <c r="F68" s="1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1:36">
      <c r="A69" s="12"/>
      <c r="B69" s="12"/>
      <c r="C69" s="12"/>
      <c r="D69" s="13"/>
      <c r="E69" s="13"/>
      <c r="F69" s="1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1:36">
      <c r="A70" s="12"/>
      <c r="B70" s="12"/>
      <c r="C70" s="12"/>
      <c r="D70" s="13"/>
      <c r="E70" s="13"/>
      <c r="F70" s="1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1:36">
      <c r="A71" s="12"/>
      <c r="B71" s="12"/>
      <c r="C71" s="12"/>
      <c r="D71" s="13"/>
      <c r="E71" s="13"/>
      <c r="F71" s="13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1:36">
      <c r="A72" s="12"/>
      <c r="B72" s="12"/>
      <c r="C72" s="12"/>
      <c r="D72" s="13"/>
      <c r="E72" s="13"/>
      <c r="F72" s="1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1:36">
      <c r="A73" s="12"/>
      <c r="B73" s="12"/>
      <c r="C73" s="12"/>
      <c r="D73" s="13"/>
      <c r="E73" s="13"/>
      <c r="F73" s="1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1:36">
      <c r="A74" s="12"/>
      <c r="B74" s="12"/>
      <c r="C74" s="12"/>
      <c r="D74" s="13"/>
      <c r="E74" s="13"/>
      <c r="F74" s="13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1:36">
      <c r="A75" s="12"/>
      <c r="B75" s="12"/>
      <c r="C75" s="12"/>
      <c r="D75" s="13"/>
      <c r="E75" s="13"/>
      <c r="F75" s="13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1:36">
      <c r="A76" s="12"/>
      <c r="B76" s="12"/>
      <c r="C76" s="12"/>
      <c r="D76" s="13"/>
      <c r="E76" s="13"/>
      <c r="F76" s="13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1:36">
      <c r="A77" s="12"/>
      <c r="B77" s="12"/>
      <c r="C77" s="12"/>
      <c r="D77" s="13"/>
      <c r="E77" s="13"/>
      <c r="F77" s="13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1:36">
      <c r="A78" s="12"/>
      <c r="B78" s="12"/>
      <c r="C78" s="12"/>
      <c r="D78" s="13"/>
      <c r="E78" s="13"/>
      <c r="F78" s="13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1:36">
      <c r="A79" s="12"/>
      <c r="B79" s="12"/>
      <c r="C79" s="12"/>
      <c r="D79" s="13"/>
      <c r="E79" s="13"/>
      <c r="F79" s="13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1:36">
      <c r="A80" s="12"/>
      <c r="B80" s="12"/>
      <c r="C80" s="12"/>
      <c r="D80" s="13"/>
      <c r="E80" s="13"/>
      <c r="F80" s="13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1:36">
      <c r="A81" s="12"/>
      <c r="B81" s="12"/>
      <c r="C81" s="12"/>
      <c r="D81" s="13"/>
      <c r="E81" s="13"/>
      <c r="F81" s="13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1:36">
      <c r="A82" s="12"/>
      <c r="B82" s="12"/>
      <c r="C82" s="12"/>
      <c r="D82" s="13"/>
      <c r="E82" s="13"/>
      <c r="F82" s="13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1:36">
      <c r="A83" s="12"/>
      <c r="B83" s="12"/>
      <c r="C83" s="12"/>
      <c r="D83" s="13"/>
      <c r="E83" s="13"/>
      <c r="F83" s="13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1:36">
      <c r="A84" s="12"/>
      <c r="B84" s="12"/>
      <c r="C84" s="12"/>
      <c r="D84" s="13"/>
      <c r="E84" s="13"/>
      <c r="F84" s="13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1:36">
      <c r="A85" s="12"/>
      <c r="B85" s="12"/>
      <c r="C85" s="12"/>
      <c r="D85" s="13"/>
      <c r="E85" s="13"/>
      <c r="F85" s="13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1:36">
      <c r="A86" s="12"/>
      <c r="B86" s="12"/>
      <c r="C86" s="12"/>
      <c r="D86" s="13"/>
      <c r="E86" s="13"/>
      <c r="F86" s="13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1:36">
      <c r="A87" s="12"/>
      <c r="B87" s="12"/>
      <c r="C87" s="12"/>
      <c r="D87" s="13"/>
      <c r="E87" s="13"/>
      <c r="F87" s="13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1:36">
      <c r="A88" s="12"/>
      <c r="B88" s="12"/>
      <c r="C88" s="12"/>
      <c r="D88" s="13"/>
      <c r="E88" s="13"/>
      <c r="F88" s="13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1:36">
      <c r="A89" s="12"/>
      <c r="B89" s="12"/>
      <c r="C89" s="12"/>
      <c r="D89" s="13"/>
      <c r="E89" s="13"/>
      <c r="F89" s="1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1:36">
      <c r="A90" s="12"/>
      <c r="B90" s="12"/>
      <c r="C90" s="12"/>
      <c r="D90" s="13"/>
      <c r="E90" s="13"/>
      <c r="F90" s="13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1:36">
      <c r="A91" s="12"/>
      <c r="B91" s="12"/>
      <c r="C91" s="12"/>
      <c r="D91" s="13"/>
      <c r="E91" s="13"/>
      <c r="F91" s="13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1:36">
      <c r="A92" s="12"/>
      <c r="B92" s="12"/>
      <c r="C92" s="12"/>
      <c r="D92" s="13"/>
      <c r="E92" s="13"/>
      <c r="F92" s="13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1:36">
      <c r="A93" s="12"/>
      <c r="B93" s="12"/>
      <c r="C93" s="12"/>
      <c r="D93" s="13"/>
      <c r="E93" s="13"/>
      <c r="F93" s="13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1:36">
      <c r="A94" s="12"/>
      <c r="B94" s="12"/>
      <c r="C94" s="12"/>
      <c r="D94" s="13"/>
      <c r="E94" s="13"/>
      <c r="F94" s="13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1:36">
      <c r="A95" s="12"/>
      <c r="B95" s="12"/>
      <c r="C95" s="12"/>
      <c r="D95" s="13"/>
      <c r="E95" s="13"/>
      <c r="F95" s="13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>
      <c r="A96" s="12"/>
      <c r="B96" s="12"/>
      <c r="C96" s="12"/>
      <c r="D96" s="13"/>
      <c r="E96" s="13"/>
      <c r="F96" s="13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>
      <c r="A97" s="12"/>
      <c r="B97" s="12"/>
      <c r="C97" s="12"/>
      <c r="D97" s="13"/>
      <c r="E97" s="13"/>
      <c r="F97" s="13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1:36">
      <c r="A98" s="12"/>
      <c r="B98" s="12"/>
      <c r="C98" s="12"/>
      <c r="D98" s="13"/>
      <c r="E98" s="13"/>
      <c r="F98" s="13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1:36">
      <c r="A99" s="12"/>
      <c r="B99" s="12"/>
      <c r="C99" s="12"/>
      <c r="D99" s="13"/>
      <c r="E99" s="13"/>
      <c r="F99" s="13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1:36">
      <c r="A100" s="12"/>
      <c r="B100" s="12"/>
      <c r="C100" s="12"/>
      <c r="D100" s="13"/>
      <c r="E100" s="13"/>
      <c r="F100" s="13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1:36">
      <c r="A101" s="12"/>
      <c r="B101" s="12"/>
      <c r="C101" s="12"/>
      <c r="D101" s="13"/>
      <c r="E101" s="13"/>
      <c r="F101" s="13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1:36">
      <c r="A102" s="12"/>
      <c r="B102" s="12"/>
      <c r="C102" s="12"/>
      <c r="D102" s="13"/>
      <c r="E102" s="13"/>
      <c r="F102" s="13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1:36">
      <c r="A103" s="12"/>
      <c r="B103" s="12"/>
      <c r="C103" s="12"/>
      <c r="D103" s="13"/>
      <c r="E103" s="13"/>
      <c r="F103" s="13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</sheetData>
  <autoFilter ref="A3:AJ103"/>
  <mergeCells count="2">
    <mergeCell ref="A1:AJ1"/>
    <mergeCell ref="A2:AJ2"/>
  </mergeCells>
  <conditionalFormatting sqref="AA4:AA103">
    <cfRule type="expression" dxfId="5" priority="25">
      <formula>AND(AA$3&gt;=$D4,AA$3&lt;=$E4)</formula>
    </cfRule>
  </conditionalFormatting>
  <conditionalFormatting sqref="AB4:AB103">
    <cfRule type="expression" dxfId="5" priority="26">
      <formula>AND(AB$3&gt;=$D4,AB$3&lt;=$E4)</formula>
    </cfRule>
  </conditionalFormatting>
  <conditionalFormatting sqref="AC4:AC103">
    <cfRule type="expression" dxfId="5" priority="27">
      <formula>AND(AC$3&gt;=$D4,AC$3&lt;=$E4)</formula>
    </cfRule>
  </conditionalFormatting>
  <conditionalFormatting sqref="AD4:AD103">
    <cfRule type="expression" dxfId="5" priority="28">
      <formula>AND(AD$3&gt;=$D4,AD$3&lt;=$E4)</formula>
    </cfRule>
  </conditionalFormatting>
  <conditionalFormatting sqref="AE4:AE103">
    <cfRule type="expression" dxfId="5" priority="29">
      <formula>AND(AE$3&gt;=$D4,AE$3&lt;=$E4)</formula>
    </cfRule>
  </conditionalFormatting>
  <conditionalFormatting sqref="AF4:AF103">
    <cfRule type="expression" dxfId="5" priority="30">
      <formula>AND(AF$3&gt;=$D4,AF$3&lt;=$E4)</formula>
    </cfRule>
  </conditionalFormatting>
  <conditionalFormatting sqref="AG4:AG103">
    <cfRule type="expression" dxfId="5" priority="31">
      <formula>AND(AG$3&gt;=$D4,AG$3&lt;=$E4)</formula>
    </cfRule>
  </conditionalFormatting>
  <conditionalFormatting sqref="AH4:AH103">
    <cfRule type="expression" dxfId="5" priority="32">
      <formula>AND(AH$3&gt;=$D4,AH$3&lt;=$E4)</formula>
    </cfRule>
  </conditionalFormatting>
  <conditionalFormatting sqref="AI4:AI103">
    <cfRule type="expression" dxfId="5" priority="33">
      <formula>AND(AI$3&gt;=$D4,AI$3&lt;=$E4)</formula>
    </cfRule>
  </conditionalFormatting>
  <conditionalFormatting sqref="AJ4:AJ103">
    <cfRule type="expression" dxfId="5" priority="34">
      <formula>AND(AJ$3&gt;=$D4,AJ$3&lt;=$E4)</formula>
    </cfRule>
  </conditionalFormatting>
  <conditionalFormatting sqref="G4:G103">
    <cfRule type="expression" dxfId="0" priority="1">
      <formula>OR(ISNUMBER(SEARCH("approved",G4)),ISNUMBER(SEARCH("complete",G4)),ISNUMBER(SEARCH("delivered",G4)),ISNUMBER(SEARCH("installed",G4)),ISNUMBER(SEARCH("paid",G4)),ISNUMBER(SEARCH("good condition",G4)))</formula>
    </cfRule>
    <cfRule type="expression" dxfId="1" priority="2">
      <formula>OR(ISNUMBER(SEARCH("pending",G4)),ISNUMBER(SEARCH("progress",G4)),ISNUMBER(SEARCH("review",G4)),ISNUMBER(SEARCH("sent",G4)),ISNUMBER(SEARCH("scheduled",G4)),ISNUMBER(SEARCH("waiting",G4)),ISNUMBER(SEARCH("ordered",G4)),ISNUMBER(SEARCH("shipped",G4)))</formula>
    </cfRule>
    <cfRule type="expression" dxfId="2" priority="3">
      <formula>OR(ISNUMBER(SEARCH("overdue",G4)),ISNUMBER(SEARCH("delayed",G4)),ISNUMBER(SEARCH("rejected",G4)),ISNUMBER(SEARCH("damaged",G4)),ISNUMBER(SEARCH("missing",G4)),ISNUMBER(SEARCH("wrong",G4)),ISNUMBER(SEARCH("backordered",G4)))</formula>
    </cfRule>
    <cfRule type="expression" dxfId="3" priority="4">
      <formula>OR(ISNUMBER(SEARCH("cancelled",G4)),ISNUMBER(SEARCH("on hold",G4)),ISNUMBER(SEARCH("returned",G4)))</formula>
    </cfRule>
  </conditionalFormatting>
  <conditionalFormatting sqref="H4:H103">
    <cfRule type="expression" dxfId="0" priority="5">
      <formula>OR(ISNUMBER(SEARCH("approved",H4)),ISNUMBER(SEARCH("complete",H4)),ISNUMBER(SEARCH("delivered",H4)),ISNUMBER(SEARCH("installed",H4)),ISNUMBER(SEARCH("paid",H4)),ISNUMBER(SEARCH("good condition",H4)))</formula>
    </cfRule>
    <cfRule type="expression" dxfId="1" priority="6">
      <formula>OR(ISNUMBER(SEARCH("pending",H4)),ISNUMBER(SEARCH("progress",H4)),ISNUMBER(SEARCH("review",H4)),ISNUMBER(SEARCH("sent",H4)),ISNUMBER(SEARCH("scheduled",H4)),ISNUMBER(SEARCH("waiting",H4)),ISNUMBER(SEARCH("ordered",H4)),ISNUMBER(SEARCH("shipped",H4)))</formula>
    </cfRule>
    <cfRule type="expression" dxfId="2" priority="7">
      <formula>OR(ISNUMBER(SEARCH("overdue",H4)),ISNUMBER(SEARCH("delayed",H4)),ISNUMBER(SEARCH("rejected",H4)),ISNUMBER(SEARCH("damaged",H4)),ISNUMBER(SEARCH("missing",H4)),ISNUMBER(SEARCH("wrong",H4)),ISNUMBER(SEARCH("backordered",H4)))</formula>
    </cfRule>
    <cfRule type="expression" dxfId="3" priority="8">
      <formula>OR(ISNUMBER(SEARCH("cancelled",H4)),ISNUMBER(SEARCH("on hold",H4)),ISNUMBER(SEARCH("returned",H4)))</formula>
    </cfRule>
  </conditionalFormatting>
  <conditionalFormatting sqref="K4:K103">
    <cfRule type="expression" dxfId="5" priority="9">
      <formula>AND(K$3&gt;=$D4,K$3&lt;=$E4)</formula>
    </cfRule>
  </conditionalFormatting>
  <conditionalFormatting sqref="L4:L103">
    <cfRule type="expression" dxfId="5" priority="10">
      <formula>AND(L$3&gt;=$D4,L$3&lt;=$E4)</formula>
    </cfRule>
  </conditionalFormatting>
  <conditionalFormatting sqref="M4:M103">
    <cfRule type="expression" dxfId="5" priority="11">
      <formula>AND(M$3&gt;=$D4,M$3&lt;=$E4)</formula>
    </cfRule>
  </conditionalFormatting>
  <conditionalFormatting sqref="N4:N103">
    <cfRule type="expression" dxfId="5" priority="12">
      <formula>AND(N$3&gt;=$D4,N$3&lt;=$E4)</formula>
    </cfRule>
  </conditionalFormatting>
  <conditionalFormatting sqref="O4:O103">
    <cfRule type="expression" dxfId="5" priority="13">
      <formula>AND(O$3&gt;=$D4,O$3&lt;=$E4)</formula>
    </cfRule>
  </conditionalFormatting>
  <conditionalFormatting sqref="P4:P103">
    <cfRule type="expression" dxfId="5" priority="14">
      <formula>AND(P$3&gt;=$D4,P$3&lt;=$E4)</formula>
    </cfRule>
  </conditionalFormatting>
  <conditionalFormatting sqref="Q4:Q103">
    <cfRule type="expression" dxfId="5" priority="15">
      <formula>AND(Q$3&gt;=$D4,Q$3&lt;=$E4)</formula>
    </cfRule>
  </conditionalFormatting>
  <conditionalFormatting sqref="R4:R103">
    <cfRule type="expression" dxfId="5" priority="16">
      <formula>AND(R$3&gt;=$D4,R$3&lt;=$E4)</formula>
    </cfRule>
  </conditionalFormatting>
  <conditionalFormatting sqref="S4:S103">
    <cfRule type="expression" dxfId="5" priority="17">
      <formula>AND(S$3&gt;=$D4,S$3&lt;=$E4)</formula>
    </cfRule>
  </conditionalFormatting>
  <conditionalFormatting sqref="T4:T103">
    <cfRule type="expression" dxfId="5" priority="18">
      <formula>AND(T$3&gt;=$D4,T$3&lt;=$E4)</formula>
    </cfRule>
  </conditionalFormatting>
  <conditionalFormatting sqref="U4:U103">
    <cfRule type="expression" dxfId="5" priority="19">
      <formula>AND(U$3&gt;=$D4,U$3&lt;=$E4)</formula>
    </cfRule>
  </conditionalFormatting>
  <conditionalFormatting sqref="V4:V103">
    <cfRule type="expression" dxfId="5" priority="20">
      <formula>AND(V$3&gt;=$D4,V$3&lt;=$E4)</formula>
    </cfRule>
  </conditionalFormatting>
  <conditionalFormatting sqref="W4:W103">
    <cfRule type="expression" dxfId="5" priority="21">
      <formula>AND(W$3&gt;=$D4,W$3&lt;=$E4)</formula>
    </cfRule>
  </conditionalFormatting>
  <conditionalFormatting sqref="X4:X103">
    <cfRule type="expression" dxfId="5" priority="22">
      <formula>AND(X$3&gt;=$D4,X$3&lt;=$E4)</formula>
    </cfRule>
  </conditionalFormatting>
  <conditionalFormatting sqref="Y4:Y103">
    <cfRule type="expression" dxfId="5" priority="23">
      <formula>AND(Y$3&gt;=$D4,Y$3&lt;=$E4)</formula>
    </cfRule>
  </conditionalFormatting>
  <conditionalFormatting sqref="Z4:Z103">
    <cfRule type="expression" dxfId="5" priority="24">
      <formula>AND(Z$3&gt;=$D4,Z$3&lt;=$E4)</formula>
    </cfRule>
  </conditionalFormatting>
  <dataValidations count="3">
    <dataValidation type="list" allowBlank="1" showInputMessage="1" showErrorMessage="1" errorTitle="Choose a listed value" error="Please select an option from the dropdown." promptTitle="Phase" prompt="Select from the dropdown list." sqref="A4:A103">
      <formula1>Phases</formula1>
    </dataValidation>
    <dataValidation type="list" allowBlank="1" showInputMessage="1" showErrorMessage="1" errorTitle="Choose a listed value" error="Please select an option from the dropdown." promptTitle="Status" prompt="Select from the dropdown list." sqref="G4:G103">
      <formula1>TaskStatuses</formula1>
    </dataValidation>
    <dataValidation type="list" allowBlank="1" showInputMessage="1" showErrorMessage="1" errorTitle="Choose a listed value" error="Please select an option from the dropdown." promptTitle="Priority" prompt="Select from the dropdown list." sqref="H4:H103">
      <formula1>Priorities</formula1>
    </dataValidation>
  </dataValidations>
  <pageMargins left="0.25" right="0.25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4" width="18.7109375" customWidth="1"/>
    <col min="5" max="5" width="14.7109375" customWidth="1"/>
    <col min="6" max="6" width="16.7109375" customWidth="1"/>
    <col min="7" max="7" width="20.7109375" customWidth="1"/>
    <col min="8" max="8" width="32.7109375" customWidth="1"/>
  </cols>
  <sheetData>
    <row r="1" spans="1:8" ht="30" customHeight="1">
      <c r="A1" s="1" t="s">
        <v>416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256</v>
      </c>
      <c r="B2" s="2"/>
      <c r="C2" s="2"/>
      <c r="D2" s="2"/>
      <c r="E2" s="2"/>
      <c r="F2" s="2"/>
      <c r="G2" s="2"/>
      <c r="H2" s="2"/>
    </row>
    <row r="3" spans="1:8" ht="32" customHeight="1">
      <c r="A3" s="10" t="s">
        <v>382</v>
      </c>
      <c r="B3" s="10" t="s">
        <v>167</v>
      </c>
      <c r="C3" s="10" t="s">
        <v>271</v>
      </c>
      <c r="D3" s="10" t="s">
        <v>383</v>
      </c>
      <c r="E3" s="10" t="s">
        <v>387</v>
      </c>
      <c r="F3" s="10" t="s">
        <v>385</v>
      </c>
      <c r="G3" s="10" t="s">
        <v>374</v>
      </c>
      <c r="H3" s="10" t="s">
        <v>267</v>
      </c>
    </row>
    <row r="4" spans="1:8">
      <c r="A4" s="12"/>
      <c r="B4" s="12"/>
      <c r="C4" s="12"/>
      <c r="D4" s="12"/>
      <c r="E4" s="12"/>
      <c r="F4" s="13"/>
      <c r="G4" s="12"/>
      <c r="H4" s="12"/>
    </row>
    <row r="5" spans="1:8">
      <c r="A5" s="12"/>
      <c r="B5" s="12"/>
      <c r="C5" s="12"/>
      <c r="D5" s="12"/>
      <c r="E5" s="12"/>
      <c r="F5" s="13"/>
      <c r="G5" s="12"/>
      <c r="H5" s="12"/>
    </row>
    <row r="6" spans="1:8">
      <c r="A6" s="12"/>
      <c r="B6" s="12"/>
      <c r="C6" s="12"/>
      <c r="D6" s="12"/>
      <c r="E6" s="12"/>
      <c r="F6" s="13"/>
      <c r="G6" s="12"/>
      <c r="H6" s="12"/>
    </row>
    <row r="7" spans="1:8">
      <c r="A7" s="12"/>
      <c r="B7" s="12"/>
      <c r="C7" s="12"/>
      <c r="D7" s="12"/>
      <c r="E7" s="12"/>
      <c r="F7" s="13"/>
      <c r="G7" s="12"/>
      <c r="H7" s="12"/>
    </row>
    <row r="8" spans="1:8">
      <c r="A8" s="12"/>
      <c r="B8" s="12"/>
      <c r="C8" s="12"/>
      <c r="D8" s="12"/>
      <c r="E8" s="12"/>
      <c r="F8" s="13"/>
      <c r="G8" s="12"/>
      <c r="H8" s="12"/>
    </row>
    <row r="9" spans="1:8">
      <c r="A9" s="12"/>
      <c r="B9" s="12"/>
      <c r="C9" s="12"/>
      <c r="D9" s="12"/>
      <c r="E9" s="12"/>
      <c r="F9" s="13"/>
      <c r="G9" s="12"/>
      <c r="H9" s="12"/>
    </row>
    <row r="10" spans="1:8">
      <c r="A10" s="12"/>
      <c r="B10" s="12"/>
      <c r="C10" s="12"/>
      <c r="D10" s="12"/>
      <c r="E10" s="12"/>
      <c r="F10" s="13"/>
      <c r="G10" s="12"/>
      <c r="H10" s="12"/>
    </row>
    <row r="11" spans="1:8">
      <c r="A11" s="12"/>
      <c r="B11" s="12"/>
      <c r="C11" s="12"/>
      <c r="D11" s="12"/>
      <c r="E11" s="12"/>
      <c r="F11" s="13"/>
      <c r="G11" s="12"/>
      <c r="H11" s="12"/>
    </row>
    <row r="12" spans="1:8">
      <c r="A12" s="12"/>
      <c r="B12" s="12"/>
      <c r="C12" s="12"/>
      <c r="D12" s="12"/>
      <c r="E12" s="12"/>
      <c r="F12" s="13"/>
      <c r="G12" s="12"/>
      <c r="H12" s="12"/>
    </row>
    <row r="13" spans="1:8">
      <c r="A13" s="12"/>
      <c r="B13" s="12"/>
      <c r="C13" s="12"/>
      <c r="D13" s="12"/>
      <c r="E13" s="12"/>
      <c r="F13" s="13"/>
      <c r="G13" s="12"/>
      <c r="H13" s="12"/>
    </row>
    <row r="14" spans="1:8">
      <c r="A14" s="12"/>
      <c r="B14" s="12"/>
      <c r="C14" s="12"/>
      <c r="D14" s="12"/>
      <c r="E14" s="12"/>
      <c r="F14" s="13"/>
      <c r="G14" s="12"/>
      <c r="H14" s="12"/>
    </row>
    <row r="15" spans="1:8">
      <c r="A15" s="12"/>
      <c r="B15" s="12"/>
      <c r="C15" s="12"/>
      <c r="D15" s="12"/>
      <c r="E15" s="12"/>
      <c r="F15" s="13"/>
      <c r="G15" s="12"/>
      <c r="H15" s="12"/>
    </row>
    <row r="16" spans="1:8">
      <c r="A16" s="12"/>
      <c r="B16" s="12"/>
      <c r="C16" s="12"/>
      <c r="D16" s="12"/>
      <c r="E16" s="12"/>
      <c r="F16" s="13"/>
      <c r="G16" s="12"/>
      <c r="H16" s="12"/>
    </row>
    <row r="17" spans="1:8">
      <c r="A17" s="12"/>
      <c r="B17" s="12"/>
      <c r="C17" s="12"/>
      <c r="D17" s="12"/>
      <c r="E17" s="12"/>
      <c r="F17" s="13"/>
      <c r="G17" s="12"/>
      <c r="H17" s="12"/>
    </row>
    <row r="18" spans="1:8">
      <c r="A18" s="12"/>
      <c r="B18" s="12"/>
      <c r="C18" s="12"/>
      <c r="D18" s="12"/>
      <c r="E18" s="12"/>
      <c r="F18" s="13"/>
      <c r="G18" s="12"/>
      <c r="H18" s="12"/>
    </row>
    <row r="19" spans="1:8">
      <c r="A19" s="12"/>
      <c r="B19" s="12"/>
      <c r="C19" s="12"/>
      <c r="D19" s="12"/>
      <c r="E19" s="12"/>
      <c r="F19" s="13"/>
      <c r="G19" s="12"/>
      <c r="H19" s="12"/>
    </row>
    <row r="20" spans="1:8">
      <c r="A20" s="12"/>
      <c r="B20" s="12"/>
      <c r="C20" s="12"/>
      <c r="D20" s="12"/>
      <c r="E20" s="12"/>
      <c r="F20" s="13"/>
      <c r="G20" s="12"/>
      <c r="H20" s="12"/>
    </row>
    <row r="21" spans="1:8">
      <c r="A21" s="12"/>
      <c r="B21" s="12"/>
      <c r="C21" s="12"/>
      <c r="D21" s="12"/>
      <c r="E21" s="12"/>
      <c r="F21" s="13"/>
      <c r="G21" s="12"/>
      <c r="H21" s="12"/>
    </row>
    <row r="22" spans="1:8">
      <c r="A22" s="12"/>
      <c r="B22" s="12"/>
      <c r="C22" s="12"/>
      <c r="D22" s="12"/>
      <c r="E22" s="12"/>
      <c r="F22" s="13"/>
      <c r="G22" s="12"/>
      <c r="H22" s="12"/>
    </row>
    <row r="23" spans="1:8">
      <c r="A23" s="12"/>
      <c r="B23" s="12"/>
      <c r="C23" s="12"/>
      <c r="D23" s="12"/>
      <c r="E23" s="12"/>
      <c r="F23" s="13"/>
      <c r="G23" s="12"/>
      <c r="H23" s="12"/>
    </row>
    <row r="24" spans="1:8">
      <c r="A24" s="12"/>
      <c r="B24" s="12"/>
      <c r="C24" s="12"/>
      <c r="D24" s="12"/>
      <c r="E24" s="12"/>
      <c r="F24" s="13"/>
      <c r="G24" s="12"/>
      <c r="H24" s="12"/>
    </row>
    <row r="25" spans="1:8">
      <c r="A25" s="12"/>
      <c r="B25" s="12"/>
      <c r="C25" s="12"/>
      <c r="D25" s="12"/>
      <c r="E25" s="12"/>
      <c r="F25" s="13"/>
      <c r="G25" s="12"/>
      <c r="H25" s="12"/>
    </row>
    <row r="26" spans="1:8">
      <c r="A26" s="12"/>
      <c r="B26" s="12"/>
      <c r="C26" s="12"/>
      <c r="D26" s="12"/>
      <c r="E26" s="12"/>
      <c r="F26" s="13"/>
      <c r="G26" s="12"/>
      <c r="H26" s="12"/>
    </row>
    <row r="27" spans="1:8">
      <c r="A27" s="12"/>
      <c r="B27" s="12"/>
      <c r="C27" s="12"/>
      <c r="D27" s="12"/>
      <c r="E27" s="12"/>
      <c r="F27" s="13"/>
      <c r="G27" s="12"/>
      <c r="H27" s="12"/>
    </row>
    <row r="28" spans="1:8">
      <c r="A28" s="12"/>
      <c r="B28" s="12"/>
      <c r="C28" s="12"/>
      <c r="D28" s="12"/>
      <c r="E28" s="12"/>
      <c r="F28" s="13"/>
      <c r="G28" s="12"/>
      <c r="H28" s="12"/>
    </row>
    <row r="29" spans="1:8">
      <c r="A29" s="12"/>
      <c r="B29" s="12"/>
      <c r="C29" s="12"/>
      <c r="D29" s="12"/>
      <c r="E29" s="12"/>
      <c r="F29" s="13"/>
      <c r="G29" s="12"/>
      <c r="H29" s="12"/>
    </row>
    <row r="30" spans="1:8">
      <c r="A30" s="12"/>
      <c r="B30" s="12"/>
      <c r="C30" s="12"/>
      <c r="D30" s="12"/>
      <c r="E30" s="12"/>
      <c r="F30" s="13"/>
      <c r="G30" s="12"/>
      <c r="H30" s="12"/>
    </row>
    <row r="31" spans="1:8">
      <c r="A31" s="12"/>
      <c r="B31" s="12"/>
      <c r="C31" s="12"/>
      <c r="D31" s="12"/>
      <c r="E31" s="12"/>
      <c r="F31" s="13"/>
      <c r="G31" s="12"/>
      <c r="H31" s="12"/>
    </row>
    <row r="32" spans="1:8">
      <c r="A32" s="12"/>
      <c r="B32" s="12"/>
      <c r="C32" s="12"/>
      <c r="D32" s="12"/>
      <c r="E32" s="12"/>
      <c r="F32" s="13"/>
      <c r="G32" s="12"/>
      <c r="H32" s="12"/>
    </row>
    <row r="33" spans="1:8">
      <c r="A33" s="12"/>
      <c r="B33" s="12"/>
      <c r="C33" s="12"/>
      <c r="D33" s="12"/>
      <c r="E33" s="12"/>
      <c r="F33" s="13"/>
      <c r="G33" s="12"/>
      <c r="H33" s="12"/>
    </row>
    <row r="34" spans="1:8">
      <c r="A34" s="12"/>
      <c r="B34" s="12"/>
      <c r="C34" s="12"/>
      <c r="D34" s="12"/>
      <c r="E34" s="12"/>
      <c r="F34" s="13"/>
      <c r="G34" s="12"/>
      <c r="H34" s="12"/>
    </row>
    <row r="35" spans="1:8">
      <c r="A35" s="12"/>
      <c r="B35" s="12"/>
      <c r="C35" s="12"/>
      <c r="D35" s="12"/>
      <c r="E35" s="12"/>
      <c r="F35" s="13"/>
      <c r="G35" s="12"/>
      <c r="H35" s="12"/>
    </row>
    <row r="36" spans="1:8">
      <c r="A36" s="12"/>
      <c r="B36" s="12"/>
      <c r="C36" s="12"/>
      <c r="D36" s="12"/>
      <c r="E36" s="12"/>
      <c r="F36" s="13"/>
      <c r="G36" s="12"/>
      <c r="H36" s="12"/>
    </row>
    <row r="37" spans="1:8">
      <c r="A37" s="12"/>
      <c r="B37" s="12"/>
      <c r="C37" s="12"/>
      <c r="D37" s="12"/>
      <c r="E37" s="12"/>
      <c r="F37" s="13"/>
      <c r="G37" s="12"/>
      <c r="H37" s="12"/>
    </row>
    <row r="38" spans="1:8">
      <c r="A38" s="12"/>
      <c r="B38" s="12"/>
      <c r="C38" s="12"/>
      <c r="D38" s="12"/>
      <c r="E38" s="12"/>
      <c r="F38" s="13"/>
      <c r="G38" s="12"/>
      <c r="H38" s="12"/>
    </row>
    <row r="39" spans="1:8">
      <c r="A39" s="12"/>
      <c r="B39" s="12"/>
      <c r="C39" s="12"/>
      <c r="D39" s="12"/>
      <c r="E39" s="12"/>
      <c r="F39" s="13"/>
      <c r="G39" s="12"/>
      <c r="H39" s="12"/>
    </row>
    <row r="40" spans="1:8">
      <c r="A40" s="12"/>
      <c r="B40" s="12"/>
      <c r="C40" s="12"/>
      <c r="D40" s="12"/>
      <c r="E40" s="12"/>
      <c r="F40" s="13"/>
      <c r="G40" s="12"/>
      <c r="H40" s="12"/>
    </row>
    <row r="41" spans="1:8">
      <c r="A41" s="12"/>
      <c r="B41" s="12"/>
      <c r="C41" s="12"/>
      <c r="D41" s="12"/>
      <c r="E41" s="12"/>
      <c r="F41" s="13"/>
      <c r="G41" s="12"/>
      <c r="H41" s="12"/>
    </row>
    <row r="42" spans="1:8">
      <c r="A42" s="12"/>
      <c r="B42" s="12"/>
      <c r="C42" s="12"/>
      <c r="D42" s="12"/>
      <c r="E42" s="12"/>
      <c r="F42" s="13"/>
      <c r="G42" s="12"/>
      <c r="H42" s="12"/>
    </row>
    <row r="43" spans="1:8">
      <c r="A43" s="12"/>
      <c r="B43" s="12"/>
      <c r="C43" s="12"/>
      <c r="D43" s="12"/>
      <c r="E43" s="12"/>
      <c r="F43" s="13"/>
      <c r="G43" s="12"/>
      <c r="H43" s="12"/>
    </row>
    <row r="44" spans="1:8">
      <c r="A44" s="12"/>
      <c r="B44" s="12"/>
      <c r="C44" s="12"/>
      <c r="D44" s="12"/>
      <c r="E44" s="12"/>
      <c r="F44" s="13"/>
      <c r="G44" s="12"/>
      <c r="H44" s="12"/>
    </row>
    <row r="45" spans="1:8">
      <c r="A45" s="12"/>
      <c r="B45" s="12"/>
      <c r="C45" s="12"/>
      <c r="D45" s="12"/>
      <c r="E45" s="12"/>
      <c r="F45" s="13"/>
      <c r="G45" s="12"/>
      <c r="H45" s="12"/>
    </row>
    <row r="46" spans="1:8">
      <c r="A46" s="12"/>
      <c r="B46" s="12"/>
      <c r="C46" s="12"/>
      <c r="D46" s="12"/>
      <c r="E46" s="12"/>
      <c r="F46" s="13"/>
      <c r="G46" s="12"/>
      <c r="H46" s="12"/>
    </row>
    <row r="47" spans="1:8">
      <c r="A47" s="12"/>
      <c r="B47" s="12"/>
      <c r="C47" s="12"/>
      <c r="D47" s="12"/>
      <c r="E47" s="12"/>
      <c r="F47" s="13"/>
      <c r="G47" s="12"/>
      <c r="H47" s="12"/>
    </row>
    <row r="48" spans="1:8">
      <c r="A48" s="12"/>
      <c r="B48" s="12"/>
      <c r="C48" s="12"/>
      <c r="D48" s="12"/>
      <c r="E48" s="12"/>
      <c r="F48" s="13"/>
      <c r="G48" s="12"/>
      <c r="H48" s="12"/>
    </row>
    <row r="49" spans="1:8">
      <c r="A49" s="12"/>
      <c r="B49" s="12"/>
      <c r="C49" s="12"/>
      <c r="D49" s="12"/>
      <c r="E49" s="12"/>
      <c r="F49" s="13"/>
      <c r="G49" s="12"/>
      <c r="H49" s="12"/>
    </row>
    <row r="50" spans="1:8">
      <c r="A50" s="12"/>
      <c r="B50" s="12"/>
      <c r="C50" s="12"/>
      <c r="D50" s="12"/>
      <c r="E50" s="12"/>
      <c r="F50" s="13"/>
      <c r="G50" s="12"/>
      <c r="H50" s="12"/>
    </row>
    <row r="51" spans="1:8">
      <c r="A51" s="12"/>
      <c r="B51" s="12"/>
      <c r="C51" s="12"/>
      <c r="D51" s="12"/>
      <c r="E51" s="12"/>
      <c r="F51" s="13"/>
      <c r="G51" s="12"/>
      <c r="H51" s="12"/>
    </row>
    <row r="52" spans="1:8">
      <c r="A52" s="12"/>
      <c r="B52" s="12"/>
      <c r="C52" s="12"/>
      <c r="D52" s="12"/>
      <c r="E52" s="12"/>
      <c r="F52" s="13"/>
      <c r="G52" s="12"/>
      <c r="H52" s="12"/>
    </row>
    <row r="53" spans="1:8">
      <c r="A53" s="12"/>
      <c r="B53" s="12"/>
      <c r="C53" s="12"/>
      <c r="D53" s="12"/>
      <c r="E53" s="12"/>
      <c r="F53" s="13"/>
      <c r="G53" s="12"/>
      <c r="H53" s="12"/>
    </row>
    <row r="54" spans="1:8">
      <c r="A54" s="12"/>
      <c r="B54" s="12"/>
      <c r="C54" s="12"/>
      <c r="D54" s="12"/>
      <c r="E54" s="12"/>
      <c r="F54" s="13"/>
      <c r="G54" s="12"/>
      <c r="H54" s="12"/>
    </row>
    <row r="55" spans="1:8">
      <c r="A55" s="12"/>
      <c r="B55" s="12"/>
      <c r="C55" s="12"/>
      <c r="D55" s="12"/>
      <c r="E55" s="12"/>
      <c r="F55" s="13"/>
      <c r="G55" s="12"/>
      <c r="H55" s="12"/>
    </row>
    <row r="56" spans="1:8">
      <c r="A56" s="12"/>
      <c r="B56" s="12"/>
      <c r="C56" s="12"/>
      <c r="D56" s="12"/>
      <c r="E56" s="12"/>
      <c r="F56" s="13"/>
      <c r="G56" s="12"/>
      <c r="H56" s="12"/>
    </row>
    <row r="57" spans="1:8">
      <c r="A57" s="12"/>
      <c r="B57" s="12"/>
      <c r="C57" s="12"/>
      <c r="D57" s="12"/>
      <c r="E57" s="12"/>
      <c r="F57" s="13"/>
      <c r="G57" s="12"/>
      <c r="H57" s="12"/>
    </row>
    <row r="58" spans="1:8">
      <c r="A58" s="12"/>
      <c r="B58" s="12"/>
      <c r="C58" s="12"/>
      <c r="D58" s="12"/>
      <c r="E58" s="12"/>
      <c r="F58" s="13"/>
      <c r="G58" s="12"/>
      <c r="H58" s="12"/>
    </row>
    <row r="59" spans="1:8">
      <c r="A59" s="12"/>
      <c r="B59" s="12"/>
      <c r="C59" s="12"/>
      <c r="D59" s="12"/>
      <c r="E59" s="12"/>
      <c r="F59" s="13"/>
      <c r="G59" s="12"/>
      <c r="H59" s="12"/>
    </row>
    <row r="60" spans="1:8">
      <c r="A60" s="12"/>
      <c r="B60" s="12"/>
      <c r="C60" s="12"/>
      <c r="D60" s="12"/>
      <c r="E60" s="12"/>
      <c r="F60" s="13"/>
      <c r="G60" s="12"/>
      <c r="H60" s="12"/>
    </row>
    <row r="61" spans="1:8">
      <c r="A61" s="12"/>
      <c r="B61" s="12"/>
      <c r="C61" s="12"/>
      <c r="D61" s="12"/>
      <c r="E61" s="12"/>
      <c r="F61" s="13"/>
      <c r="G61" s="12"/>
      <c r="H61" s="12"/>
    </row>
    <row r="62" spans="1:8">
      <c r="A62" s="12"/>
      <c r="B62" s="12"/>
      <c r="C62" s="12"/>
      <c r="D62" s="12"/>
      <c r="E62" s="12"/>
      <c r="F62" s="13"/>
      <c r="G62" s="12"/>
      <c r="H62" s="12"/>
    </row>
    <row r="63" spans="1:8">
      <c r="A63" s="12"/>
      <c r="B63" s="12"/>
      <c r="C63" s="12"/>
      <c r="D63" s="12"/>
      <c r="E63" s="12"/>
      <c r="F63" s="13"/>
      <c r="G63" s="12"/>
      <c r="H63" s="12"/>
    </row>
    <row r="64" spans="1:8">
      <c r="A64" s="12"/>
      <c r="B64" s="12"/>
      <c r="C64" s="12"/>
      <c r="D64" s="12"/>
      <c r="E64" s="12"/>
      <c r="F64" s="13"/>
      <c r="G64" s="12"/>
      <c r="H64" s="12"/>
    </row>
    <row r="65" spans="1:8">
      <c r="A65" s="12"/>
      <c r="B65" s="12"/>
      <c r="C65" s="12"/>
      <c r="D65" s="12"/>
      <c r="E65" s="12"/>
      <c r="F65" s="13"/>
      <c r="G65" s="12"/>
      <c r="H65" s="12"/>
    </row>
    <row r="66" spans="1:8">
      <c r="A66" s="12"/>
      <c r="B66" s="12"/>
      <c r="C66" s="12"/>
      <c r="D66" s="12"/>
      <c r="E66" s="12"/>
      <c r="F66" s="13"/>
      <c r="G66" s="12"/>
      <c r="H66" s="12"/>
    </row>
    <row r="67" spans="1:8">
      <c r="A67" s="12"/>
      <c r="B67" s="12"/>
      <c r="C67" s="12"/>
      <c r="D67" s="12"/>
      <c r="E67" s="12"/>
      <c r="F67" s="13"/>
      <c r="G67" s="12"/>
      <c r="H67" s="12"/>
    </row>
    <row r="68" spans="1:8">
      <c r="A68" s="12"/>
      <c r="B68" s="12"/>
      <c r="C68" s="12"/>
      <c r="D68" s="12"/>
      <c r="E68" s="12"/>
      <c r="F68" s="13"/>
      <c r="G68" s="12"/>
      <c r="H68" s="12"/>
    </row>
    <row r="69" spans="1:8">
      <c r="A69" s="12"/>
      <c r="B69" s="12"/>
      <c r="C69" s="12"/>
      <c r="D69" s="12"/>
      <c r="E69" s="12"/>
      <c r="F69" s="13"/>
      <c r="G69" s="12"/>
      <c r="H69" s="12"/>
    </row>
    <row r="70" spans="1:8">
      <c r="A70" s="12"/>
      <c r="B70" s="12"/>
      <c r="C70" s="12"/>
      <c r="D70" s="12"/>
      <c r="E70" s="12"/>
      <c r="F70" s="13"/>
      <c r="G70" s="12"/>
      <c r="H70" s="12"/>
    </row>
    <row r="71" spans="1:8">
      <c r="A71" s="12"/>
      <c r="B71" s="12"/>
      <c r="C71" s="12"/>
      <c r="D71" s="12"/>
      <c r="E71" s="12"/>
      <c r="F71" s="13"/>
      <c r="G71" s="12"/>
      <c r="H71" s="12"/>
    </row>
    <row r="72" spans="1:8">
      <c r="A72" s="12"/>
      <c r="B72" s="12"/>
      <c r="C72" s="12"/>
      <c r="D72" s="12"/>
      <c r="E72" s="12"/>
      <c r="F72" s="13"/>
      <c r="G72" s="12"/>
      <c r="H72" s="12"/>
    </row>
    <row r="73" spans="1:8">
      <c r="A73" s="12"/>
      <c r="B73" s="12"/>
      <c r="C73" s="12"/>
      <c r="D73" s="12"/>
      <c r="E73" s="12"/>
      <c r="F73" s="13"/>
      <c r="G73" s="12"/>
      <c r="H73" s="12"/>
    </row>
    <row r="74" spans="1:8">
      <c r="A74" s="12"/>
      <c r="B74" s="12"/>
      <c r="C74" s="12"/>
      <c r="D74" s="12"/>
      <c r="E74" s="12"/>
      <c r="F74" s="13"/>
      <c r="G74" s="12"/>
      <c r="H74" s="12"/>
    </row>
    <row r="75" spans="1:8">
      <c r="A75" s="12"/>
      <c r="B75" s="12"/>
      <c r="C75" s="12"/>
      <c r="D75" s="12"/>
      <c r="E75" s="12"/>
      <c r="F75" s="13"/>
      <c r="G75" s="12"/>
      <c r="H75" s="12"/>
    </row>
    <row r="76" spans="1:8">
      <c r="A76" s="12"/>
      <c r="B76" s="12"/>
      <c r="C76" s="12"/>
      <c r="D76" s="12"/>
      <c r="E76" s="12"/>
      <c r="F76" s="13"/>
      <c r="G76" s="12"/>
      <c r="H76" s="12"/>
    </row>
    <row r="77" spans="1:8">
      <c r="A77" s="12"/>
      <c r="B77" s="12"/>
      <c r="C77" s="12"/>
      <c r="D77" s="12"/>
      <c r="E77" s="12"/>
      <c r="F77" s="13"/>
      <c r="G77" s="12"/>
      <c r="H77" s="12"/>
    </row>
    <row r="78" spans="1:8">
      <c r="A78" s="12"/>
      <c r="B78" s="12"/>
      <c r="C78" s="12"/>
      <c r="D78" s="12"/>
      <c r="E78" s="12"/>
      <c r="F78" s="13"/>
      <c r="G78" s="12"/>
      <c r="H78" s="12"/>
    </row>
    <row r="79" spans="1:8">
      <c r="A79" s="12"/>
      <c r="B79" s="12"/>
      <c r="C79" s="12"/>
      <c r="D79" s="12"/>
      <c r="E79" s="12"/>
      <c r="F79" s="13"/>
      <c r="G79" s="12"/>
      <c r="H79" s="12"/>
    </row>
    <row r="80" spans="1:8">
      <c r="A80" s="12"/>
      <c r="B80" s="12"/>
      <c r="C80" s="12"/>
      <c r="D80" s="12"/>
      <c r="E80" s="12"/>
      <c r="F80" s="13"/>
      <c r="G80" s="12"/>
      <c r="H80" s="12"/>
    </row>
    <row r="81" spans="1:8">
      <c r="A81" s="12"/>
      <c r="B81" s="12"/>
      <c r="C81" s="12"/>
      <c r="D81" s="12"/>
      <c r="E81" s="12"/>
      <c r="F81" s="13"/>
      <c r="G81" s="12"/>
      <c r="H81" s="12"/>
    </row>
    <row r="82" spans="1:8">
      <c r="A82" s="12"/>
      <c r="B82" s="12"/>
      <c r="C82" s="12"/>
      <c r="D82" s="12"/>
      <c r="E82" s="12"/>
      <c r="F82" s="13"/>
      <c r="G82" s="12"/>
      <c r="H82" s="12"/>
    </row>
    <row r="83" spans="1:8">
      <c r="A83" s="12"/>
      <c r="B83" s="12"/>
      <c r="C83" s="12"/>
      <c r="D83" s="12"/>
      <c r="E83" s="12"/>
      <c r="F83" s="13"/>
      <c r="G83" s="12"/>
      <c r="H83" s="12"/>
    </row>
    <row r="84" spans="1:8">
      <c r="A84" s="12"/>
      <c r="B84" s="12"/>
      <c r="C84" s="12"/>
      <c r="D84" s="12"/>
      <c r="E84" s="12"/>
      <c r="F84" s="13"/>
      <c r="G84" s="12"/>
      <c r="H84" s="12"/>
    </row>
    <row r="85" spans="1:8">
      <c r="A85" s="12"/>
      <c r="B85" s="12"/>
      <c r="C85" s="12"/>
      <c r="D85" s="12"/>
      <c r="E85" s="12"/>
      <c r="F85" s="13"/>
      <c r="G85" s="12"/>
      <c r="H85" s="12"/>
    </row>
    <row r="86" spans="1:8">
      <c r="A86" s="12"/>
      <c r="B86" s="12"/>
      <c r="C86" s="12"/>
      <c r="D86" s="12"/>
      <c r="E86" s="12"/>
      <c r="F86" s="13"/>
      <c r="G86" s="12"/>
      <c r="H86" s="12"/>
    </row>
    <row r="87" spans="1:8">
      <c r="A87" s="12"/>
      <c r="B87" s="12"/>
      <c r="C87" s="12"/>
      <c r="D87" s="12"/>
      <c r="E87" s="12"/>
      <c r="F87" s="13"/>
      <c r="G87" s="12"/>
      <c r="H87" s="12"/>
    </row>
    <row r="88" spans="1:8">
      <c r="A88" s="12"/>
      <c r="B88" s="12"/>
      <c r="C88" s="12"/>
      <c r="D88" s="12"/>
      <c r="E88" s="12"/>
      <c r="F88" s="13"/>
      <c r="G88" s="12"/>
      <c r="H88" s="12"/>
    </row>
    <row r="89" spans="1:8">
      <c r="A89" s="12"/>
      <c r="B89" s="12"/>
      <c r="C89" s="12"/>
      <c r="D89" s="12"/>
      <c r="E89" s="12"/>
      <c r="F89" s="13"/>
      <c r="G89" s="12"/>
      <c r="H89" s="12"/>
    </row>
    <row r="90" spans="1:8">
      <c r="A90" s="12"/>
      <c r="B90" s="12"/>
      <c r="C90" s="12"/>
      <c r="D90" s="12"/>
      <c r="E90" s="12"/>
      <c r="F90" s="13"/>
      <c r="G90" s="12"/>
      <c r="H90" s="12"/>
    </row>
    <row r="91" spans="1:8">
      <c r="A91" s="12"/>
      <c r="B91" s="12"/>
      <c r="C91" s="12"/>
      <c r="D91" s="12"/>
      <c r="E91" s="12"/>
      <c r="F91" s="13"/>
      <c r="G91" s="12"/>
      <c r="H91" s="12"/>
    </row>
    <row r="92" spans="1:8">
      <c r="A92" s="12"/>
      <c r="B92" s="12"/>
      <c r="C92" s="12"/>
      <c r="D92" s="12"/>
      <c r="E92" s="12"/>
      <c r="F92" s="13"/>
      <c r="G92" s="12"/>
      <c r="H92" s="12"/>
    </row>
    <row r="93" spans="1:8">
      <c r="A93" s="12"/>
      <c r="B93" s="12"/>
      <c r="C93" s="12"/>
      <c r="D93" s="12"/>
      <c r="E93" s="12"/>
      <c r="F93" s="13"/>
      <c r="G93" s="12"/>
      <c r="H93" s="12"/>
    </row>
    <row r="94" spans="1:8">
      <c r="A94" s="12"/>
      <c r="B94" s="12"/>
      <c r="C94" s="12"/>
      <c r="D94" s="12"/>
      <c r="E94" s="12"/>
      <c r="F94" s="13"/>
      <c r="G94" s="12"/>
      <c r="H94" s="12"/>
    </row>
    <row r="95" spans="1:8">
      <c r="A95" s="12"/>
      <c r="B95" s="12"/>
      <c r="C95" s="12"/>
      <c r="D95" s="12"/>
      <c r="E95" s="12"/>
      <c r="F95" s="13"/>
      <c r="G95" s="12"/>
      <c r="H95" s="12"/>
    </row>
    <row r="96" spans="1:8">
      <c r="A96" s="12"/>
      <c r="B96" s="12"/>
      <c r="C96" s="12"/>
      <c r="D96" s="12"/>
      <c r="E96" s="12"/>
      <c r="F96" s="13"/>
      <c r="G96" s="12"/>
      <c r="H96" s="12"/>
    </row>
    <row r="97" spans="1:8">
      <c r="A97" s="12"/>
      <c r="B97" s="12"/>
      <c r="C97" s="12"/>
      <c r="D97" s="12"/>
      <c r="E97" s="12"/>
      <c r="F97" s="13"/>
      <c r="G97" s="12"/>
      <c r="H97" s="12"/>
    </row>
    <row r="98" spans="1:8">
      <c r="A98" s="12"/>
      <c r="B98" s="12"/>
      <c r="C98" s="12"/>
      <c r="D98" s="12"/>
      <c r="E98" s="12"/>
      <c r="F98" s="13"/>
      <c r="G98" s="12"/>
      <c r="H98" s="12"/>
    </row>
    <row r="99" spans="1:8">
      <c r="A99" s="12"/>
      <c r="B99" s="12"/>
      <c r="C99" s="12"/>
      <c r="D99" s="12"/>
      <c r="E99" s="12"/>
      <c r="F99" s="13"/>
      <c r="G99" s="12"/>
      <c r="H99" s="12"/>
    </row>
    <row r="100" spans="1:8">
      <c r="A100" s="12"/>
      <c r="B100" s="12"/>
      <c r="C100" s="12"/>
      <c r="D100" s="12"/>
      <c r="E100" s="12"/>
      <c r="F100" s="13"/>
      <c r="G100" s="12"/>
      <c r="H100" s="12"/>
    </row>
    <row r="101" spans="1:8">
      <c r="A101" s="12"/>
      <c r="B101" s="12"/>
      <c r="C101" s="12"/>
      <c r="D101" s="12"/>
      <c r="E101" s="12"/>
      <c r="F101" s="13"/>
      <c r="G101" s="12"/>
      <c r="H101" s="12"/>
    </row>
    <row r="102" spans="1:8">
      <c r="A102" s="12"/>
      <c r="B102" s="12"/>
      <c r="C102" s="12"/>
      <c r="D102" s="12"/>
      <c r="E102" s="12"/>
      <c r="F102" s="13"/>
      <c r="G102" s="12"/>
      <c r="H102" s="12"/>
    </row>
    <row r="103" spans="1:8">
      <c r="A103" s="12"/>
      <c r="B103" s="12"/>
      <c r="C103" s="12"/>
      <c r="D103" s="12"/>
      <c r="E103" s="12"/>
      <c r="F103" s="13"/>
      <c r="G103" s="12"/>
      <c r="H103" s="12"/>
    </row>
    <row r="104" spans="1:8">
      <c r="A104" s="12"/>
      <c r="B104" s="12"/>
      <c r="C104" s="12"/>
      <c r="D104" s="12"/>
      <c r="E104" s="12"/>
      <c r="F104" s="13"/>
      <c r="G104" s="12"/>
      <c r="H104" s="12"/>
    </row>
    <row r="105" spans="1:8">
      <c r="A105" s="12"/>
      <c r="B105" s="12"/>
      <c r="C105" s="12"/>
      <c r="D105" s="12"/>
      <c r="E105" s="12"/>
      <c r="F105" s="13"/>
      <c r="G105" s="12"/>
      <c r="H105" s="12"/>
    </row>
    <row r="106" spans="1:8">
      <c r="A106" s="12"/>
      <c r="B106" s="12"/>
      <c r="C106" s="12"/>
      <c r="D106" s="12"/>
      <c r="E106" s="12"/>
      <c r="F106" s="13"/>
      <c r="G106" s="12"/>
      <c r="H106" s="12"/>
    </row>
    <row r="107" spans="1:8">
      <c r="A107" s="12"/>
      <c r="B107" s="12"/>
      <c r="C107" s="12"/>
      <c r="D107" s="12"/>
      <c r="E107" s="12"/>
      <c r="F107" s="13"/>
      <c r="G107" s="12"/>
      <c r="H107" s="12"/>
    </row>
    <row r="108" spans="1:8">
      <c r="A108" s="12"/>
      <c r="B108" s="12"/>
      <c r="C108" s="12"/>
      <c r="D108" s="12"/>
      <c r="E108" s="12"/>
      <c r="F108" s="13"/>
      <c r="G108" s="12"/>
      <c r="H108" s="12"/>
    </row>
    <row r="109" spans="1:8">
      <c r="A109" s="12"/>
      <c r="B109" s="12"/>
      <c r="C109" s="12"/>
      <c r="D109" s="12"/>
      <c r="E109" s="12"/>
      <c r="F109" s="13"/>
      <c r="G109" s="12"/>
      <c r="H109" s="12"/>
    </row>
    <row r="110" spans="1:8">
      <c r="A110" s="12"/>
      <c r="B110" s="12"/>
      <c r="C110" s="12"/>
      <c r="D110" s="12"/>
      <c r="E110" s="12"/>
      <c r="F110" s="13"/>
      <c r="G110" s="12"/>
      <c r="H110" s="12"/>
    </row>
    <row r="111" spans="1:8">
      <c r="A111" s="12"/>
      <c r="B111" s="12"/>
      <c r="C111" s="12"/>
      <c r="D111" s="12"/>
      <c r="E111" s="12"/>
      <c r="F111" s="13"/>
      <c r="G111" s="12"/>
      <c r="H111" s="12"/>
    </row>
    <row r="112" spans="1:8">
      <c r="A112" s="12"/>
      <c r="B112" s="12"/>
      <c r="C112" s="12"/>
      <c r="D112" s="12"/>
      <c r="E112" s="12"/>
      <c r="F112" s="13"/>
      <c r="G112" s="12"/>
      <c r="H112" s="12"/>
    </row>
    <row r="113" spans="1:8">
      <c r="A113" s="12"/>
      <c r="B113" s="12"/>
      <c r="C113" s="12"/>
      <c r="D113" s="12"/>
      <c r="E113" s="12"/>
      <c r="F113" s="13"/>
      <c r="G113" s="12"/>
      <c r="H113" s="12"/>
    </row>
    <row r="114" spans="1:8">
      <c r="A114" s="12"/>
      <c r="B114" s="12"/>
      <c r="C114" s="12"/>
      <c r="D114" s="12"/>
      <c r="E114" s="12"/>
      <c r="F114" s="13"/>
      <c r="G114" s="12"/>
      <c r="H114" s="12"/>
    </row>
    <row r="115" spans="1:8">
      <c r="A115" s="12"/>
      <c r="B115" s="12"/>
      <c r="C115" s="12"/>
      <c r="D115" s="12"/>
      <c r="E115" s="12"/>
      <c r="F115" s="13"/>
      <c r="G115" s="12"/>
      <c r="H115" s="12"/>
    </row>
    <row r="116" spans="1:8">
      <c r="A116" s="12"/>
      <c r="B116" s="12"/>
      <c r="C116" s="12"/>
      <c r="D116" s="12"/>
      <c r="E116" s="12"/>
      <c r="F116" s="13"/>
      <c r="G116" s="12"/>
      <c r="H116" s="12"/>
    </row>
    <row r="117" spans="1:8">
      <c r="A117" s="12"/>
      <c r="B117" s="12"/>
      <c r="C117" s="12"/>
      <c r="D117" s="12"/>
      <c r="E117" s="12"/>
      <c r="F117" s="13"/>
      <c r="G117" s="12"/>
      <c r="H117" s="12"/>
    </row>
    <row r="118" spans="1:8">
      <c r="A118" s="12"/>
      <c r="B118" s="12"/>
      <c r="C118" s="12"/>
      <c r="D118" s="12"/>
      <c r="E118" s="12"/>
      <c r="F118" s="13"/>
      <c r="G118" s="12"/>
      <c r="H118" s="12"/>
    </row>
    <row r="119" spans="1:8">
      <c r="A119" s="12"/>
      <c r="B119" s="12"/>
      <c r="C119" s="12"/>
      <c r="D119" s="12"/>
      <c r="E119" s="12"/>
      <c r="F119" s="13"/>
      <c r="G119" s="12"/>
      <c r="H119" s="12"/>
    </row>
    <row r="120" spans="1:8">
      <c r="A120" s="12"/>
      <c r="B120" s="12"/>
      <c r="C120" s="12"/>
      <c r="D120" s="12"/>
      <c r="E120" s="12"/>
      <c r="F120" s="13"/>
      <c r="G120" s="12"/>
      <c r="H120" s="12"/>
    </row>
    <row r="121" spans="1:8">
      <c r="A121" s="12"/>
      <c r="B121" s="12"/>
      <c r="C121" s="12"/>
      <c r="D121" s="12"/>
      <c r="E121" s="12"/>
      <c r="F121" s="13"/>
      <c r="G121" s="12"/>
      <c r="H121" s="12"/>
    </row>
    <row r="122" spans="1:8">
      <c r="A122" s="12"/>
      <c r="B122" s="12"/>
      <c r="C122" s="12"/>
      <c r="D122" s="12"/>
      <c r="E122" s="12"/>
      <c r="F122" s="13"/>
      <c r="G122" s="12"/>
      <c r="H122" s="12"/>
    </row>
    <row r="123" spans="1:8">
      <c r="A123" s="12"/>
      <c r="B123" s="12"/>
      <c r="C123" s="12"/>
      <c r="D123" s="12"/>
      <c r="E123" s="12"/>
      <c r="F123" s="13"/>
      <c r="G123" s="12"/>
      <c r="H123" s="12"/>
    </row>
    <row r="124" spans="1:8">
      <c r="A124" s="12"/>
      <c r="B124" s="12"/>
      <c r="C124" s="12"/>
      <c r="D124" s="12"/>
      <c r="E124" s="12"/>
      <c r="F124" s="13"/>
      <c r="G124" s="12"/>
      <c r="H124" s="12"/>
    </row>
    <row r="125" spans="1:8">
      <c r="A125" s="12"/>
      <c r="B125" s="12"/>
      <c r="C125" s="12"/>
      <c r="D125" s="12"/>
      <c r="E125" s="12"/>
      <c r="F125" s="13"/>
      <c r="G125" s="12"/>
      <c r="H125" s="12"/>
    </row>
    <row r="126" spans="1:8">
      <c r="A126" s="12"/>
      <c r="B126" s="12"/>
      <c r="C126" s="12"/>
      <c r="D126" s="12"/>
      <c r="E126" s="12"/>
      <c r="F126" s="13"/>
      <c r="G126" s="12"/>
      <c r="H126" s="12"/>
    </row>
    <row r="127" spans="1:8">
      <c r="A127" s="12"/>
      <c r="B127" s="12"/>
      <c r="C127" s="12"/>
      <c r="D127" s="12"/>
      <c r="E127" s="12"/>
      <c r="F127" s="13"/>
      <c r="G127" s="12"/>
      <c r="H127" s="12"/>
    </row>
    <row r="128" spans="1:8">
      <c r="A128" s="12"/>
      <c r="B128" s="12"/>
      <c r="C128" s="12"/>
      <c r="D128" s="12"/>
      <c r="E128" s="12"/>
      <c r="F128" s="13"/>
      <c r="G128" s="12"/>
      <c r="H128" s="12"/>
    </row>
    <row r="129" spans="1:8">
      <c r="A129" s="12"/>
      <c r="B129" s="12"/>
      <c r="C129" s="12"/>
      <c r="D129" s="12"/>
      <c r="E129" s="12"/>
      <c r="F129" s="13"/>
      <c r="G129" s="12"/>
      <c r="H129" s="12"/>
    </row>
    <row r="130" spans="1:8">
      <c r="A130" s="12"/>
      <c r="B130" s="12"/>
      <c r="C130" s="12"/>
      <c r="D130" s="12"/>
      <c r="E130" s="12"/>
      <c r="F130" s="13"/>
      <c r="G130" s="12"/>
      <c r="H130" s="12"/>
    </row>
    <row r="131" spans="1:8">
      <c r="A131" s="12"/>
      <c r="B131" s="12"/>
      <c r="C131" s="12"/>
      <c r="D131" s="12"/>
      <c r="E131" s="12"/>
      <c r="F131" s="13"/>
      <c r="G131" s="12"/>
      <c r="H131" s="12"/>
    </row>
    <row r="132" spans="1:8">
      <c r="A132" s="12"/>
      <c r="B132" s="12"/>
      <c r="C132" s="12"/>
      <c r="D132" s="12"/>
      <c r="E132" s="12"/>
      <c r="F132" s="13"/>
      <c r="G132" s="12"/>
      <c r="H132" s="12"/>
    </row>
    <row r="133" spans="1:8">
      <c r="A133" s="12"/>
      <c r="B133" s="12"/>
      <c r="C133" s="12"/>
      <c r="D133" s="12"/>
      <c r="E133" s="12"/>
      <c r="F133" s="13"/>
      <c r="G133" s="12"/>
      <c r="H133" s="12"/>
    </row>
    <row r="134" spans="1:8">
      <c r="A134" s="12"/>
      <c r="B134" s="12"/>
      <c r="C134" s="12"/>
      <c r="D134" s="12"/>
      <c r="E134" s="12"/>
      <c r="F134" s="13"/>
      <c r="G134" s="12"/>
      <c r="H134" s="12"/>
    </row>
    <row r="135" spans="1:8">
      <c r="A135" s="12"/>
      <c r="B135" s="12"/>
      <c r="C135" s="12"/>
      <c r="D135" s="12"/>
      <c r="E135" s="12"/>
      <c r="F135" s="13"/>
      <c r="G135" s="12"/>
      <c r="H135" s="12"/>
    </row>
    <row r="136" spans="1:8">
      <c r="A136" s="12"/>
      <c r="B136" s="12"/>
      <c r="C136" s="12"/>
      <c r="D136" s="12"/>
      <c r="E136" s="12"/>
      <c r="F136" s="13"/>
      <c r="G136" s="12"/>
      <c r="H136" s="12"/>
    </row>
    <row r="137" spans="1:8">
      <c r="A137" s="12"/>
      <c r="B137" s="12"/>
      <c r="C137" s="12"/>
      <c r="D137" s="12"/>
      <c r="E137" s="12"/>
      <c r="F137" s="13"/>
      <c r="G137" s="12"/>
      <c r="H137" s="12"/>
    </row>
    <row r="138" spans="1:8">
      <c r="A138" s="12"/>
      <c r="B138" s="12"/>
      <c r="C138" s="12"/>
      <c r="D138" s="12"/>
      <c r="E138" s="12"/>
      <c r="F138" s="13"/>
      <c r="G138" s="12"/>
      <c r="H138" s="12"/>
    </row>
    <row r="139" spans="1:8">
      <c r="A139" s="12"/>
      <c r="B139" s="12"/>
      <c r="C139" s="12"/>
      <c r="D139" s="12"/>
      <c r="E139" s="12"/>
      <c r="F139" s="13"/>
      <c r="G139" s="12"/>
      <c r="H139" s="12"/>
    </row>
    <row r="140" spans="1:8">
      <c r="A140" s="12"/>
      <c r="B140" s="12"/>
      <c r="C140" s="12"/>
      <c r="D140" s="12"/>
      <c r="E140" s="12"/>
      <c r="F140" s="13"/>
      <c r="G140" s="12"/>
      <c r="H140" s="12"/>
    </row>
    <row r="141" spans="1:8">
      <c r="A141" s="12"/>
      <c r="B141" s="12"/>
      <c r="C141" s="12"/>
      <c r="D141" s="12"/>
      <c r="E141" s="12"/>
      <c r="F141" s="13"/>
      <c r="G141" s="12"/>
      <c r="H141" s="12"/>
    </row>
    <row r="142" spans="1:8">
      <c r="A142" s="12"/>
      <c r="B142" s="12"/>
      <c r="C142" s="12"/>
      <c r="D142" s="12"/>
      <c r="E142" s="12"/>
      <c r="F142" s="13"/>
      <c r="G142" s="12"/>
      <c r="H142" s="12"/>
    </row>
    <row r="143" spans="1:8">
      <c r="A143" s="12"/>
      <c r="B143" s="12"/>
      <c r="C143" s="12"/>
      <c r="D143" s="12"/>
      <c r="E143" s="12"/>
      <c r="F143" s="13"/>
      <c r="G143" s="12"/>
      <c r="H143" s="12"/>
    </row>
    <row r="144" spans="1:8">
      <c r="A144" s="12"/>
      <c r="B144" s="12"/>
      <c r="C144" s="12"/>
      <c r="D144" s="12"/>
      <c r="E144" s="12"/>
      <c r="F144" s="13"/>
      <c r="G144" s="12"/>
      <c r="H144" s="12"/>
    </row>
    <row r="145" spans="1:8">
      <c r="A145" s="12"/>
      <c r="B145" s="12"/>
      <c r="C145" s="12"/>
      <c r="D145" s="12"/>
      <c r="E145" s="12"/>
      <c r="F145" s="13"/>
      <c r="G145" s="12"/>
      <c r="H145" s="12"/>
    </row>
    <row r="146" spans="1:8">
      <c r="A146" s="12"/>
      <c r="B146" s="12"/>
      <c r="C146" s="12"/>
      <c r="D146" s="12"/>
      <c r="E146" s="12"/>
      <c r="F146" s="13"/>
      <c r="G146" s="12"/>
      <c r="H146" s="12"/>
    </row>
    <row r="147" spans="1:8">
      <c r="A147" s="12"/>
      <c r="B147" s="12"/>
      <c r="C147" s="12"/>
      <c r="D147" s="12"/>
      <c r="E147" s="12"/>
      <c r="F147" s="13"/>
      <c r="G147" s="12"/>
      <c r="H147" s="12"/>
    </row>
    <row r="148" spans="1:8">
      <c r="A148" s="12"/>
      <c r="B148" s="12"/>
      <c r="C148" s="12"/>
      <c r="D148" s="12"/>
      <c r="E148" s="12"/>
      <c r="F148" s="13"/>
      <c r="G148" s="12"/>
      <c r="H148" s="12"/>
    </row>
    <row r="149" spans="1:8">
      <c r="A149" s="12"/>
      <c r="B149" s="12"/>
      <c r="C149" s="12"/>
      <c r="D149" s="12"/>
      <c r="E149" s="12"/>
      <c r="F149" s="13"/>
      <c r="G149" s="12"/>
      <c r="H149" s="12"/>
    </row>
    <row r="150" spans="1:8">
      <c r="A150" s="12"/>
      <c r="B150" s="12"/>
      <c r="C150" s="12"/>
      <c r="D150" s="12"/>
      <c r="E150" s="12"/>
      <c r="F150" s="13"/>
      <c r="G150" s="12"/>
      <c r="H150" s="12"/>
    </row>
    <row r="151" spans="1:8">
      <c r="A151" s="12"/>
      <c r="B151" s="12"/>
      <c r="C151" s="12"/>
      <c r="D151" s="12"/>
      <c r="E151" s="12"/>
      <c r="F151" s="13"/>
      <c r="G151" s="12"/>
      <c r="H151" s="12"/>
    </row>
    <row r="152" spans="1:8">
      <c r="A152" s="12"/>
      <c r="B152" s="12"/>
      <c r="C152" s="12"/>
      <c r="D152" s="12"/>
      <c r="E152" s="12"/>
      <c r="F152" s="13"/>
      <c r="G152" s="12"/>
      <c r="H152" s="12"/>
    </row>
    <row r="153" spans="1:8">
      <c r="A153" s="12"/>
      <c r="B153" s="12"/>
      <c r="C153" s="12"/>
      <c r="D153" s="12"/>
      <c r="E153" s="12"/>
      <c r="F153" s="13"/>
      <c r="G153" s="12"/>
      <c r="H153" s="12"/>
    </row>
    <row r="154" spans="1:8">
      <c r="A154" s="12"/>
      <c r="B154" s="12"/>
      <c r="C154" s="12"/>
      <c r="D154" s="12"/>
      <c r="E154" s="12"/>
      <c r="F154" s="13"/>
      <c r="G154" s="12"/>
      <c r="H154" s="12"/>
    </row>
    <row r="155" spans="1:8">
      <c r="A155" s="12"/>
      <c r="B155" s="12"/>
      <c r="C155" s="12"/>
      <c r="D155" s="12"/>
      <c r="E155" s="12"/>
      <c r="F155" s="13"/>
      <c r="G155" s="12"/>
      <c r="H155" s="12"/>
    </row>
    <row r="156" spans="1:8">
      <c r="A156" s="12"/>
      <c r="B156" s="12"/>
      <c r="C156" s="12"/>
      <c r="D156" s="12"/>
      <c r="E156" s="12"/>
      <c r="F156" s="13"/>
      <c r="G156" s="12"/>
      <c r="H156" s="12"/>
    </row>
    <row r="157" spans="1:8">
      <c r="A157" s="12"/>
      <c r="B157" s="12"/>
      <c r="C157" s="12"/>
      <c r="D157" s="12"/>
      <c r="E157" s="12"/>
      <c r="F157" s="13"/>
      <c r="G157" s="12"/>
      <c r="H157" s="12"/>
    </row>
    <row r="158" spans="1:8">
      <c r="A158" s="12"/>
      <c r="B158" s="12"/>
      <c r="C158" s="12"/>
      <c r="D158" s="12"/>
      <c r="E158" s="12"/>
      <c r="F158" s="13"/>
      <c r="G158" s="12"/>
      <c r="H158" s="12"/>
    </row>
    <row r="159" spans="1:8">
      <c r="A159" s="12"/>
      <c r="B159" s="12"/>
      <c r="C159" s="12"/>
      <c r="D159" s="12"/>
      <c r="E159" s="12"/>
      <c r="F159" s="13"/>
      <c r="G159" s="12"/>
      <c r="H159" s="12"/>
    </row>
    <row r="160" spans="1:8">
      <c r="A160" s="12"/>
      <c r="B160" s="12"/>
      <c r="C160" s="12"/>
      <c r="D160" s="12"/>
      <c r="E160" s="12"/>
      <c r="F160" s="13"/>
      <c r="G160" s="12"/>
      <c r="H160" s="12"/>
    </row>
    <row r="161" spans="1:8">
      <c r="A161" s="12"/>
      <c r="B161" s="12"/>
      <c r="C161" s="12"/>
      <c r="D161" s="12"/>
      <c r="E161" s="12"/>
      <c r="F161" s="13"/>
      <c r="G161" s="12"/>
      <c r="H161" s="12"/>
    </row>
    <row r="162" spans="1:8">
      <c r="A162" s="12"/>
      <c r="B162" s="12"/>
      <c r="C162" s="12"/>
      <c r="D162" s="12"/>
      <c r="E162" s="12"/>
      <c r="F162" s="13"/>
      <c r="G162" s="12"/>
      <c r="H162" s="12"/>
    </row>
    <row r="163" spans="1:8">
      <c r="A163" s="12"/>
      <c r="B163" s="12"/>
      <c r="C163" s="12"/>
      <c r="D163" s="12"/>
      <c r="E163" s="12"/>
      <c r="F163" s="13"/>
      <c r="G163" s="12"/>
      <c r="H163" s="12"/>
    </row>
    <row r="164" spans="1:8">
      <c r="A164" s="12"/>
      <c r="B164" s="12"/>
      <c r="C164" s="12"/>
      <c r="D164" s="12"/>
      <c r="E164" s="12"/>
      <c r="F164" s="13"/>
      <c r="G164" s="12"/>
      <c r="H164" s="12"/>
    </row>
    <row r="165" spans="1:8">
      <c r="A165" s="12"/>
      <c r="B165" s="12"/>
      <c r="C165" s="12"/>
      <c r="D165" s="12"/>
      <c r="E165" s="12"/>
      <c r="F165" s="13"/>
      <c r="G165" s="12"/>
      <c r="H165" s="12"/>
    </row>
    <row r="166" spans="1:8">
      <c r="A166" s="12"/>
      <c r="B166" s="12"/>
      <c r="C166" s="12"/>
      <c r="D166" s="12"/>
      <c r="E166" s="12"/>
      <c r="F166" s="13"/>
      <c r="G166" s="12"/>
      <c r="H166" s="12"/>
    </row>
    <row r="167" spans="1:8">
      <c r="A167" s="12"/>
      <c r="B167" s="12"/>
      <c r="C167" s="12"/>
      <c r="D167" s="12"/>
      <c r="E167" s="12"/>
      <c r="F167" s="13"/>
      <c r="G167" s="12"/>
      <c r="H167" s="12"/>
    </row>
    <row r="168" spans="1:8">
      <c r="A168" s="12"/>
      <c r="B168" s="12"/>
      <c r="C168" s="12"/>
      <c r="D168" s="12"/>
      <c r="E168" s="12"/>
      <c r="F168" s="13"/>
      <c r="G168" s="12"/>
      <c r="H168" s="12"/>
    </row>
    <row r="169" spans="1:8">
      <c r="A169" s="12"/>
      <c r="B169" s="12"/>
      <c r="C169" s="12"/>
      <c r="D169" s="12"/>
      <c r="E169" s="12"/>
      <c r="F169" s="13"/>
      <c r="G169" s="12"/>
      <c r="H169" s="12"/>
    </row>
    <row r="170" spans="1:8">
      <c r="A170" s="12"/>
      <c r="B170" s="12"/>
      <c r="C170" s="12"/>
      <c r="D170" s="12"/>
      <c r="E170" s="12"/>
      <c r="F170" s="13"/>
      <c r="G170" s="12"/>
      <c r="H170" s="12"/>
    </row>
    <row r="171" spans="1:8">
      <c r="A171" s="12"/>
      <c r="B171" s="12"/>
      <c r="C171" s="12"/>
      <c r="D171" s="12"/>
      <c r="E171" s="12"/>
      <c r="F171" s="13"/>
      <c r="G171" s="12"/>
      <c r="H171" s="12"/>
    </row>
    <row r="172" spans="1:8">
      <c r="A172" s="12"/>
      <c r="B172" s="12"/>
      <c r="C172" s="12"/>
      <c r="D172" s="12"/>
      <c r="E172" s="12"/>
      <c r="F172" s="13"/>
      <c r="G172" s="12"/>
      <c r="H172" s="12"/>
    </row>
    <row r="173" spans="1:8">
      <c r="A173" s="12"/>
      <c r="B173" s="12"/>
      <c r="C173" s="12"/>
      <c r="D173" s="12"/>
      <c r="E173" s="12"/>
      <c r="F173" s="13"/>
      <c r="G173" s="12"/>
      <c r="H173" s="12"/>
    </row>
    <row r="174" spans="1:8">
      <c r="A174" s="12"/>
      <c r="B174" s="12"/>
      <c r="C174" s="12"/>
      <c r="D174" s="12"/>
      <c r="E174" s="12"/>
      <c r="F174" s="13"/>
      <c r="G174" s="12"/>
      <c r="H174" s="12"/>
    </row>
    <row r="175" spans="1:8">
      <c r="A175" s="12"/>
      <c r="B175" s="12"/>
      <c r="C175" s="12"/>
      <c r="D175" s="12"/>
      <c r="E175" s="12"/>
      <c r="F175" s="13"/>
      <c r="G175" s="12"/>
      <c r="H175" s="12"/>
    </row>
    <row r="176" spans="1:8">
      <c r="A176" s="12"/>
      <c r="B176" s="12"/>
      <c r="C176" s="12"/>
      <c r="D176" s="12"/>
      <c r="E176" s="12"/>
      <c r="F176" s="13"/>
      <c r="G176" s="12"/>
      <c r="H176" s="12"/>
    </row>
    <row r="177" spans="1:8">
      <c r="A177" s="12"/>
      <c r="B177" s="12"/>
      <c r="C177" s="12"/>
      <c r="D177" s="12"/>
      <c r="E177" s="12"/>
      <c r="F177" s="13"/>
      <c r="G177" s="12"/>
      <c r="H177" s="12"/>
    </row>
    <row r="178" spans="1:8">
      <c r="A178" s="12"/>
      <c r="B178" s="12"/>
      <c r="C178" s="12"/>
      <c r="D178" s="12"/>
      <c r="E178" s="12"/>
      <c r="F178" s="13"/>
      <c r="G178" s="12"/>
      <c r="H178" s="12"/>
    </row>
    <row r="179" spans="1:8">
      <c r="A179" s="12"/>
      <c r="B179" s="12"/>
      <c r="C179" s="12"/>
      <c r="D179" s="12"/>
      <c r="E179" s="12"/>
      <c r="F179" s="13"/>
      <c r="G179" s="12"/>
      <c r="H179" s="12"/>
    </row>
    <row r="180" spans="1:8">
      <c r="A180" s="12"/>
      <c r="B180" s="12"/>
      <c r="C180" s="12"/>
      <c r="D180" s="12"/>
      <c r="E180" s="12"/>
      <c r="F180" s="13"/>
      <c r="G180" s="12"/>
      <c r="H180" s="12"/>
    </row>
    <row r="181" spans="1:8">
      <c r="A181" s="12"/>
      <c r="B181" s="12"/>
      <c r="C181" s="12"/>
      <c r="D181" s="12"/>
      <c r="E181" s="12"/>
      <c r="F181" s="13"/>
      <c r="G181" s="12"/>
      <c r="H181" s="12"/>
    </row>
    <row r="182" spans="1:8">
      <c r="A182" s="12"/>
      <c r="B182" s="12"/>
      <c r="C182" s="12"/>
      <c r="D182" s="12"/>
      <c r="E182" s="12"/>
      <c r="F182" s="13"/>
      <c r="G182" s="12"/>
      <c r="H182" s="12"/>
    </row>
    <row r="183" spans="1:8">
      <c r="A183" s="12"/>
      <c r="B183" s="12"/>
      <c r="C183" s="12"/>
      <c r="D183" s="12"/>
      <c r="E183" s="12"/>
      <c r="F183" s="13"/>
      <c r="G183" s="12"/>
      <c r="H183" s="12"/>
    </row>
    <row r="184" spans="1:8">
      <c r="A184" s="12"/>
      <c r="B184" s="12"/>
      <c r="C184" s="12"/>
      <c r="D184" s="12"/>
      <c r="E184" s="12"/>
      <c r="F184" s="13"/>
      <c r="G184" s="12"/>
      <c r="H184" s="12"/>
    </row>
    <row r="185" spans="1:8">
      <c r="A185" s="12"/>
      <c r="B185" s="12"/>
      <c r="C185" s="12"/>
      <c r="D185" s="12"/>
      <c r="E185" s="12"/>
      <c r="F185" s="13"/>
      <c r="G185" s="12"/>
      <c r="H185" s="12"/>
    </row>
    <row r="186" spans="1:8">
      <c r="A186" s="12"/>
      <c r="B186" s="12"/>
      <c r="C186" s="12"/>
      <c r="D186" s="12"/>
      <c r="E186" s="12"/>
      <c r="F186" s="13"/>
      <c r="G186" s="12"/>
      <c r="H186" s="12"/>
    </row>
    <row r="187" spans="1:8">
      <c r="A187" s="12"/>
      <c r="B187" s="12"/>
      <c r="C187" s="12"/>
      <c r="D187" s="12"/>
      <c r="E187" s="12"/>
      <c r="F187" s="13"/>
      <c r="G187" s="12"/>
      <c r="H187" s="12"/>
    </row>
    <row r="188" spans="1:8">
      <c r="A188" s="12"/>
      <c r="B188" s="12"/>
      <c r="C188" s="12"/>
      <c r="D188" s="12"/>
      <c r="E188" s="12"/>
      <c r="F188" s="13"/>
      <c r="G188" s="12"/>
      <c r="H188" s="12"/>
    </row>
    <row r="189" spans="1:8">
      <c r="A189" s="12"/>
      <c r="B189" s="12"/>
      <c r="C189" s="12"/>
      <c r="D189" s="12"/>
      <c r="E189" s="12"/>
      <c r="F189" s="13"/>
      <c r="G189" s="12"/>
      <c r="H189" s="12"/>
    </row>
    <row r="190" spans="1:8">
      <c r="A190" s="12"/>
      <c r="B190" s="12"/>
      <c r="C190" s="12"/>
      <c r="D190" s="12"/>
      <c r="E190" s="12"/>
      <c r="F190" s="13"/>
      <c r="G190" s="12"/>
      <c r="H190" s="12"/>
    </row>
    <row r="191" spans="1:8">
      <c r="A191" s="12"/>
      <c r="B191" s="12"/>
      <c r="C191" s="12"/>
      <c r="D191" s="12"/>
      <c r="E191" s="12"/>
      <c r="F191" s="13"/>
      <c r="G191" s="12"/>
      <c r="H191" s="12"/>
    </row>
    <row r="192" spans="1:8">
      <c r="A192" s="12"/>
      <c r="B192" s="12"/>
      <c r="C192" s="12"/>
      <c r="D192" s="12"/>
      <c r="E192" s="12"/>
      <c r="F192" s="13"/>
      <c r="G192" s="12"/>
      <c r="H192" s="12"/>
    </row>
    <row r="193" spans="1:8">
      <c r="A193" s="12"/>
      <c r="B193" s="12"/>
      <c r="C193" s="12"/>
      <c r="D193" s="12"/>
      <c r="E193" s="12"/>
      <c r="F193" s="13"/>
      <c r="G193" s="12"/>
      <c r="H193" s="12"/>
    </row>
    <row r="194" spans="1:8">
      <c r="A194" s="12"/>
      <c r="B194" s="12"/>
      <c r="C194" s="12"/>
      <c r="D194" s="12"/>
      <c r="E194" s="12"/>
      <c r="F194" s="13"/>
      <c r="G194" s="12"/>
      <c r="H194" s="12"/>
    </row>
    <row r="195" spans="1:8">
      <c r="A195" s="12"/>
      <c r="B195" s="12"/>
      <c r="C195" s="12"/>
      <c r="D195" s="12"/>
      <c r="E195" s="12"/>
      <c r="F195" s="13"/>
      <c r="G195" s="12"/>
      <c r="H195" s="12"/>
    </row>
    <row r="196" spans="1:8">
      <c r="A196" s="12"/>
      <c r="B196" s="12"/>
      <c r="C196" s="12"/>
      <c r="D196" s="12"/>
      <c r="E196" s="12"/>
      <c r="F196" s="13"/>
      <c r="G196" s="12"/>
      <c r="H196" s="12"/>
    </row>
    <row r="197" spans="1:8">
      <c r="A197" s="12"/>
      <c r="B197" s="12"/>
      <c r="C197" s="12"/>
      <c r="D197" s="12"/>
      <c r="E197" s="12"/>
      <c r="F197" s="13"/>
      <c r="G197" s="12"/>
      <c r="H197" s="12"/>
    </row>
    <row r="198" spans="1:8">
      <c r="A198" s="12"/>
      <c r="B198" s="12"/>
      <c r="C198" s="12"/>
      <c r="D198" s="12"/>
      <c r="E198" s="12"/>
      <c r="F198" s="13"/>
      <c r="G198" s="12"/>
      <c r="H198" s="12"/>
    </row>
    <row r="199" spans="1:8">
      <c r="A199" s="12"/>
      <c r="B199" s="12"/>
      <c r="C199" s="12"/>
      <c r="D199" s="12"/>
      <c r="E199" s="12"/>
      <c r="F199" s="13"/>
      <c r="G199" s="12"/>
      <c r="H199" s="12"/>
    </row>
    <row r="200" spans="1:8">
      <c r="A200" s="12"/>
      <c r="B200" s="12"/>
      <c r="C200" s="12"/>
      <c r="D200" s="12"/>
      <c r="E200" s="12"/>
      <c r="F200" s="13"/>
      <c r="G200" s="12"/>
      <c r="H200" s="12"/>
    </row>
    <row r="201" spans="1:8">
      <c r="A201" s="12"/>
      <c r="B201" s="12"/>
      <c r="C201" s="12"/>
      <c r="D201" s="12"/>
      <c r="E201" s="12"/>
      <c r="F201" s="13"/>
      <c r="G201" s="12"/>
      <c r="H201" s="12"/>
    </row>
    <row r="202" spans="1:8">
      <c r="A202" s="12"/>
      <c r="B202" s="12"/>
      <c r="C202" s="12"/>
      <c r="D202" s="12"/>
      <c r="E202" s="12"/>
      <c r="F202" s="13"/>
      <c r="G202" s="12"/>
      <c r="H202" s="12"/>
    </row>
    <row r="203" spans="1:8">
      <c r="A203" s="12"/>
      <c r="B203" s="12"/>
      <c r="C203" s="12"/>
      <c r="D203" s="12"/>
      <c r="E203" s="12"/>
      <c r="F203" s="13"/>
      <c r="G203" s="12"/>
      <c r="H203" s="12"/>
    </row>
    <row r="204" spans="1:8">
      <c r="A204" s="12"/>
      <c r="B204" s="12"/>
      <c r="C204" s="12"/>
      <c r="D204" s="12"/>
      <c r="E204" s="12"/>
      <c r="F204" s="13"/>
      <c r="G204" s="12"/>
      <c r="H204" s="12"/>
    </row>
    <row r="205" spans="1:8">
      <c r="A205" s="12"/>
      <c r="B205" s="12"/>
      <c r="C205" s="12"/>
      <c r="D205" s="12"/>
      <c r="E205" s="12"/>
      <c r="F205" s="13"/>
      <c r="G205" s="12"/>
      <c r="H205" s="12"/>
    </row>
    <row r="206" spans="1:8">
      <c r="A206" s="12"/>
      <c r="B206" s="12"/>
      <c r="C206" s="12"/>
      <c r="D206" s="12"/>
      <c r="E206" s="12"/>
      <c r="F206" s="13"/>
      <c r="G206" s="12"/>
      <c r="H206" s="12"/>
    </row>
    <row r="207" spans="1:8">
      <c r="A207" s="12"/>
      <c r="B207" s="12"/>
      <c r="C207" s="12"/>
      <c r="D207" s="12"/>
      <c r="E207" s="12"/>
      <c r="F207" s="13"/>
      <c r="G207" s="12"/>
      <c r="H207" s="12"/>
    </row>
    <row r="208" spans="1:8">
      <c r="A208" s="12"/>
      <c r="B208" s="12"/>
      <c r="C208" s="12"/>
      <c r="D208" s="12"/>
      <c r="E208" s="12"/>
      <c r="F208" s="13"/>
      <c r="G208" s="12"/>
      <c r="H208" s="12"/>
    </row>
    <row r="209" spans="1:8">
      <c r="A209" s="12"/>
      <c r="B209" s="12"/>
      <c r="C209" s="12"/>
      <c r="D209" s="12"/>
      <c r="E209" s="12"/>
      <c r="F209" s="13"/>
      <c r="G209" s="12"/>
      <c r="H209" s="12"/>
    </row>
    <row r="210" spans="1:8">
      <c r="A210" s="12"/>
      <c r="B210" s="12"/>
      <c r="C210" s="12"/>
      <c r="D210" s="12"/>
      <c r="E210" s="12"/>
      <c r="F210" s="13"/>
      <c r="G210" s="12"/>
      <c r="H210" s="12"/>
    </row>
    <row r="211" spans="1:8">
      <c r="A211" s="12"/>
      <c r="B211" s="12"/>
      <c r="C211" s="12"/>
      <c r="D211" s="12"/>
      <c r="E211" s="12"/>
      <c r="F211" s="13"/>
      <c r="G211" s="12"/>
      <c r="H211" s="12"/>
    </row>
    <row r="212" spans="1:8">
      <c r="A212" s="12"/>
      <c r="B212" s="12"/>
      <c r="C212" s="12"/>
      <c r="D212" s="12"/>
      <c r="E212" s="12"/>
      <c r="F212" s="13"/>
      <c r="G212" s="12"/>
      <c r="H212" s="12"/>
    </row>
    <row r="213" spans="1:8">
      <c r="A213" s="12"/>
      <c r="B213" s="12"/>
      <c r="C213" s="12"/>
      <c r="D213" s="12"/>
      <c r="E213" s="12"/>
      <c r="F213" s="13"/>
      <c r="G213" s="12"/>
      <c r="H213" s="12"/>
    </row>
    <row r="214" spans="1:8">
      <c r="A214" s="12"/>
      <c r="B214" s="12"/>
      <c r="C214" s="12"/>
      <c r="D214" s="12"/>
      <c r="E214" s="12"/>
      <c r="F214" s="13"/>
      <c r="G214" s="12"/>
      <c r="H214" s="12"/>
    </row>
    <row r="215" spans="1:8">
      <c r="A215" s="12"/>
      <c r="B215" s="12"/>
      <c r="C215" s="12"/>
      <c r="D215" s="12"/>
      <c r="E215" s="12"/>
      <c r="F215" s="13"/>
      <c r="G215" s="12"/>
      <c r="H215" s="12"/>
    </row>
    <row r="216" spans="1:8">
      <c r="A216" s="12"/>
      <c r="B216" s="12"/>
      <c r="C216" s="12"/>
      <c r="D216" s="12"/>
      <c r="E216" s="12"/>
      <c r="F216" s="13"/>
      <c r="G216" s="12"/>
      <c r="H216" s="12"/>
    </row>
    <row r="217" spans="1:8">
      <c r="A217" s="12"/>
      <c r="B217" s="12"/>
      <c r="C217" s="12"/>
      <c r="D217" s="12"/>
      <c r="E217" s="12"/>
      <c r="F217" s="13"/>
      <c r="G217" s="12"/>
      <c r="H217" s="12"/>
    </row>
    <row r="218" spans="1:8">
      <c r="A218" s="12"/>
      <c r="B218" s="12"/>
      <c r="C218" s="12"/>
      <c r="D218" s="12"/>
      <c r="E218" s="12"/>
      <c r="F218" s="13"/>
      <c r="G218" s="12"/>
      <c r="H218" s="12"/>
    </row>
    <row r="219" spans="1:8">
      <c r="A219" s="12"/>
      <c r="B219" s="12"/>
      <c r="C219" s="12"/>
      <c r="D219" s="12"/>
      <c r="E219" s="12"/>
      <c r="F219" s="13"/>
      <c r="G219" s="12"/>
      <c r="H219" s="12"/>
    </row>
    <row r="220" spans="1:8">
      <c r="A220" s="12"/>
      <c r="B220" s="12"/>
      <c r="C220" s="12"/>
      <c r="D220" s="12"/>
      <c r="E220" s="12"/>
      <c r="F220" s="13"/>
      <c r="G220" s="12"/>
      <c r="H220" s="12"/>
    </row>
    <row r="221" spans="1:8">
      <c r="A221" s="12"/>
      <c r="B221" s="12"/>
      <c r="C221" s="12"/>
      <c r="D221" s="12"/>
      <c r="E221" s="12"/>
      <c r="F221" s="13"/>
      <c r="G221" s="12"/>
      <c r="H221" s="12"/>
    </row>
    <row r="222" spans="1:8">
      <c r="A222" s="12"/>
      <c r="B222" s="12"/>
      <c r="C222" s="12"/>
      <c r="D222" s="12"/>
      <c r="E222" s="12"/>
      <c r="F222" s="13"/>
      <c r="G222" s="12"/>
      <c r="H222" s="12"/>
    </row>
    <row r="223" spans="1:8">
      <c r="A223" s="12"/>
      <c r="B223" s="12"/>
      <c r="C223" s="12"/>
      <c r="D223" s="12"/>
      <c r="E223" s="12"/>
      <c r="F223" s="13"/>
      <c r="G223" s="12"/>
      <c r="H223" s="12"/>
    </row>
    <row r="224" spans="1:8">
      <c r="A224" s="12"/>
      <c r="B224" s="12"/>
      <c r="C224" s="12"/>
      <c r="D224" s="12"/>
      <c r="E224" s="12"/>
      <c r="F224" s="13"/>
      <c r="G224" s="12"/>
      <c r="H224" s="12"/>
    </row>
    <row r="225" spans="1:8">
      <c r="A225" s="12"/>
      <c r="B225" s="12"/>
      <c r="C225" s="12"/>
      <c r="D225" s="12"/>
      <c r="E225" s="12"/>
      <c r="F225" s="13"/>
      <c r="G225" s="12"/>
      <c r="H225" s="12"/>
    </row>
    <row r="226" spans="1:8">
      <c r="A226" s="12"/>
      <c r="B226" s="12"/>
      <c r="C226" s="12"/>
      <c r="D226" s="12"/>
      <c r="E226" s="12"/>
      <c r="F226" s="13"/>
      <c r="G226" s="12"/>
      <c r="H226" s="12"/>
    </row>
    <row r="227" spans="1:8">
      <c r="A227" s="12"/>
      <c r="B227" s="12"/>
      <c r="C227" s="12"/>
      <c r="D227" s="12"/>
      <c r="E227" s="12"/>
      <c r="F227" s="13"/>
      <c r="G227" s="12"/>
      <c r="H227" s="12"/>
    </row>
    <row r="228" spans="1:8">
      <c r="A228" s="12"/>
      <c r="B228" s="12"/>
      <c r="C228" s="12"/>
      <c r="D228" s="12"/>
      <c r="E228" s="12"/>
      <c r="F228" s="13"/>
      <c r="G228" s="12"/>
      <c r="H228" s="12"/>
    </row>
    <row r="229" spans="1:8">
      <c r="A229" s="12"/>
      <c r="B229" s="12"/>
      <c r="C229" s="12"/>
      <c r="D229" s="12"/>
      <c r="E229" s="12"/>
      <c r="F229" s="13"/>
      <c r="G229" s="12"/>
      <c r="H229" s="12"/>
    </row>
    <row r="230" spans="1:8">
      <c r="A230" s="12"/>
      <c r="B230" s="12"/>
      <c r="C230" s="12"/>
      <c r="D230" s="12"/>
      <c r="E230" s="12"/>
      <c r="F230" s="13"/>
      <c r="G230" s="12"/>
      <c r="H230" s="12"/>
    </row>
    <row r="231" spans="1:8">
      <c r="A231" s="12"/>
      <c r="B231" s="12"/>
      <c r="C231" s="12"/>
      <c r="D231" s="12"/>
      <c r="E231" s="12"/>
      <c r="F231" s="13"/>
      <c r="G231" s="12"/>
      <c r="H231" s="12"/>
    </row>
    <row r="232" spans="1:8">
      <c r="A232" s="12"/>
      <c r="B232" s="12"/>
      <c r="C232" s="12"/>
      <c r="D232" s="12"/>
      <c r="E232" s="12"/>
      <c r="F232" s="13"/>
      <c r="G232" s="12"/>
      <c r="H232" s="12"/>
    </row>
    <row r="233" spans="1:8">
      <c r="A233" s="12"/>
      <c r="B233" s="12"/>
      <c r="C233" s="12"/>
      <c r="D233" s="12"/>
      <c r="E233" s="12"/>
      <c r="F233" s="13"/>
      <c r="G233" s="12"/>
      <c r="H233" s="12"/>
    </row>
    <row r="234" spans="1:8">
      <c r="A234" s="12"/>
      <c r="B234" s="12"/>
      <c r="C234" s="12"/>
      <c r="D234" s="12"/>
      <c r="E234" s="12"/>
      <c r="F234" s="13"/>
      <c r="G234" s="12"/>
      <c r="H234" s="12"/>
    </row>
    <row r="235" spans="1:8">
      <c r="A235" s="12"/>
      <c r="B235" s="12"/>
      <c r="C235" s="12"/>
      <c r="D235" s="12"/>
      <c r="E235" s="12"/>
      <c r="F235" s="13"/>
      <c r="G235" s="12"/>
      <c r="H235" s="12"/>
    </row>
    <row r="236" spans="1:8">
      <c r="A236" s="12"/>
      <c r="B236" s="12"/>
      <c r="C236" s="12"/>
      <c r="D236" s="12"/>
      <c r="E236" s="12"/>
      <c r="F236" s="13"/>
      <c r="G236" s="12"/>
      <c r="H236" s="12"/>
    </row>
    <row r="237" spans="1:8">
      <c r="A237" s="12"/>
      <c r="B237" s="12"/>
      <c r="C237" s="12"/>
      <c r="D237" s="12"/>
      <c r="E237" s="12"/>
      <c r="F237" s="13"/>
      <c r="G237" s="12"/>
      <c r="H237" s="12"/>
    </row>
    <row r="238" spans="1:8">
      <c r="A238" s="12"/>
      <c r="B238" s="12"/>
      <c r="C238" s="12"/>
      <c r="D238" s="12"/>
      <c r="E238" s="12"/>
      <c r="F238" s="13"/>
      <c r="G238" s="12"/>
      <c r="H238" s="12"/>
    </row>
    <row r="239" spans="1:8">
      <c r="A239" s="12"/>
      <c r="B239" s="12"/>
      <c r="C239" s="12"/>
      <c r="D239" s="12"/>
      <c r="E239" s="12"/>
      <c r="F239" s="13"/>
      <c r="G239" s="12"/>
      <c r="H239" s="12"/>
    </row>
    <row r="240" spans="1:8">
      <c r="A240" s="12"/>
      <c r="B240" s="12"/>
      <c r="C240" s="12"/>
      <c r="D240" s="12"/>
      <c r="E240" s="12"/>
      <c r="F240" s="13"/>
      <c r="G240" s="12"/>
      <c r="H240" s="12"/>
    </row>
    <row r="241" spans="1:8">
      <c r="A241" s="12"/>
      <c r="B241" s="12"/>
      <c r="C241" s="12"/>
      <c r="D241" s="12"/>
      <c r="E241" s="12"/>
      <c r="F241" s="13"/>
      <c r="G241" s="12"/>
      <c r="H241" s="12"/>
    </row>
    <row r="242" spans="1:8">
      <c r="A242" s="12"/>
      <c r="B242" s="12"/>
      <c r="C242" s="12"/>
      <c r="D242" s="12"/>
      <c r="E242" s="12"/>
      <c r="F242" s="13"/>
      <c r="G242" s="12"/>
      <c r="H242" s="12"/>
    </row>
    <row r="243" spans="1:8">
      <c r="A243" s="12"/>
      <c r="B243" s="12"/>
      <c r="C243" s="12"/>
      <c r="D243" s="12"/>
      <c r="E243" s="12"/>
      <c r="F243" s="13"/>
      <c r="G243" s="12"/>
      <c r="H243" s="12"/>
    </row>
    <row r="244" spans="1:8">
      <c r="A244" s="12"/>
      <c r="B244" s="12"/>
      <c r="C244" s="12"/>
      <c r="D244" s="12"/>
      <c r="E244" s="12"/>
      <c r="F244" s="13"/>
      <c r="G244" s="12"/>
      <c r="H244" s="12"/>
    </row>
    <row r="245" spans="1:8">
      <c r="A245" s="12"/>
      <c r="B245" s="12"/>
      <c r="C245" s="12"/>
      <c r="D245" s="12"/>
      <c r="E245" s="12"/>
      <c r="F245" s="13"/>
      <c r="G245" s="12"/>
      <c r="H245" s="12"/>
    </row>
    <row r="246" spans="1:8">
      <c r="A246" s="12"/>
      <c r="B246" s="12"/>
      <c r="C246" s="12"/>
      <c r="D246" s="12"/>
      <c r="E246" s="12"/>
      <c r="F246" s="13"/>
      <c r="G246" s="12"/>
      <c r="H246" s="12"/>
    </row>
    <row r="247" spans="1:8">
      <c r="A247" s="12"/>
      <c r="B247" s="12"/>
      <c r="C247" s="12"/>
      <c r="D247" s="12"/>
      <c r="E247" s="12"/>
      <c r="F247" s="13"/>
      <c r="G247" s="12"/>
      <c r="H247" s="12"/>
    </row>
    <row r="248" spans="1:8">
      <c r="A248" s="12"/>
      <c r="B248" s="12"/>
      <c r="C248" s="12"/>
      <c r="D248" s="12"/>
      <c r="E248" s="12"/>
      <c r="F248" s="13"/>
      <c r="G248" s="12"/>
      <c r="H248" s="12"/>
    </row>
    <row r="249" spans="1:8">
      <c r="A249" s="12"/>
      <c r="B249" s="12"/>
      <c r="C249" s="12"/>
      <c r="D249" s="12"/>
      <c r="E249" s="12"/>
      <c r="F249" s="13"/>
      <c r="G249" s="12"/>
      <c r="H249" s="12"/>
    </row>
    <row r="250" spans="1:8">
      <c r="A250" s="12"/>
      <c r="B250" s="12"/>
      <c r="C250" s="12"/>
      <c r="D250" s="12"/>
      <c r="E250" s="12"/>
      <c r="F250" s="13"/>
      <c r="G250" s="12"/>
      <c r="H250" s="12"/>
    </row>
    <row r="251" spans="1:8">
      <c r="A251" s="12"/>
      <c r="B251" s="12"/>
      <c r="C251" s="12"/>
      <c r="D251" s="12"/>
      <c r="E251" s="12"/>
      <c r="F251" s="13"/>
      <c r="G251" s="12"/>
      <c r="H251" s="12"/>
    </row>
    <row r="252" spans="1:8">
      <c r="A252" s="12"/>
      <c r="B252" s="12"/>
      <c r="C252" s="12"/>
      <c r="D252" s="12"/>
      <c r="E252" s="12"/>
      <c r="F252" s="13"/>
      <c r="G252" s="12"/>
      <c r="H252" s="12"/>
    </row>
    <row r="253" spans="1:8">
      <c r="A253" s="12"/>
      <c r="B253" s="12"/>
      <c r="C253" s="12"/>
      <c r="D253" s="12"/>
      <c r="E253" s="12"/>
      <c r="F253" s="13"/>
      <c r="G253" s="12"/>
      <c r="H253" s="12"/>
    </row>
  </sheetData>
  <autoFilter ref="A3:H253"/>
  <mergeCells count="2">
    <mergeCell ref="A1:H1"/>
    <mergeCell ref="A2:H2"/>
  </mergeCells>
  <conditionalFormatting sqref="E4:E253">
    <cfRule type="expression" dxfId="0" priority="1">
      <formula>OR(ISNUMBER(SEARCH("approved",E4)),ISNUMBER(SEARCH("complete",E4)),ISNUMBER(SEARCH("delivered",E4)),ISNUMBER(SEARCH("installed",E4)),ISNUMBER(SEARCH("paid",E4)),ISNUMBER(SEARCH("good condition",E4)))</formula>
    </cfRule>
    <cfRule type="expression" dxfId="1" priority="2">
      <formula>OR(ISNUMBER(SEARCH("pending",E4)),ISNUMBER(SEARCH("progress",E4)),ISNUMBER(SEARCH("review",E4)),ISNUMBER(SEARCH("sent",E4)),ISNUMBER(SEARCH("scheduled",E4)),ISNUMBER(SEARCH("waiting",E4)),ISNUMBER(SEARCH("ordered",E4)),ISNUMBER(SEARCH("shipped",E4)))</formula>
    </cfRule>
    <cfRule type="expression" dxfId="2" priority="3">
      <formula>OR(ISNUMBER(SEARCH("overdue",E4)),ISNUMBER(SEARCH("delayed",E4)),ISNUMBER(SEARCH("rejected",E4)),ISNUMBER(SEARCH("damaged",E4)),ISNUMBER(SEARCH("missing",E4)),ISNUMBER(SEARCH("wrong",E4)),ISNUMBER(SEARCH("backordered",E4)))</formula>
    </cfRule>
    <cfRule type="expression" dxfId="3" priority="4">
      <formula>OR(ISNUMBER(SEARCH("cancelled",E4)),ISNUMBER(SEARCH("on hold",E4)),ISNUMBER(SEARCH("returned",E4)))</formula>
    </cfRule>
  </conditionalFormatting>
  <conditionalFormatting sqref="G4:G253">
    <cfRule type="expression" dxfId="0" priority="5">
      <formula>OR(ISNUMBER(SEARCH("approved",G4)),ISNUMBER(SEARCH("complete",G4)),ISNUMBER(SEARCH("delivered",G4)),ISNUMBER(SEARCH("installed",G4)),ISNUMBER(SEARCH("paid",G4)),ISNUMBER(SEARCH("good condition",G4)))</formula>
    </cfRule>
    <cfRule type="expression" dxfId="1" priority="6">
      <formula>OR(ISNUMBER(SEARCH("pending",G4)),ISNUMBER(SEARCH("progress",G4)),ISNUMBER(SEARCH("review",G4)),ISNUMBER(SEARCH("sent",G4)),ISNUMBER(SEARCH("scheduled",G4)),ISNUMBER(SEARCH("waiting",G4)),ISNUMBER(SEARCH("ordered",G4)),ISNUMBER(SEARCH("shipped",G4)))</formula>
    </cfRule>
    <cfRule type="expression" dxfId="2" priority="7">
      <formula>OR(ISNUMBER(SEARCH("overdue",G4)),ISNUMBER(SEARCH("delayed",G4)),ISNUMBER(SEARCH("rejected",G4)),ISNUMBER(SEARCH("damaged",G4)),ISNUMBER(SEARCH("missing",G4)),ISNUMBER(SEARCH("wrong",G4)),ISNUMBER(SEARCH("backordered",G4)))</formula>
    </cfRule>
    <cfRule type="expression" dxfId="3" priority="8">
      <formula>OR(ISNUMBER(SEARCH("cancelled",G4)),ISNUMBER(SEARCH("on hold",G4)),ISNUMBER(SEARCH("returned",G4)))</formula>
    </cfRule>
  </conditionalFormatting>
  <dataValidations count="4">
    <dataValidation type="list" allowBlank="1" showInputMessage="1" showErrorMessage="1" errorTitle="Choose a listed value" error="Please select an option from the dropdown." promptTitle="Room" prompt="Select from the dropdown list." sqref="B4:B253">
      <formula1>RoomNames</formula1>
    </dataValidation>
    <dataValidation type="list" allowBlank="1" showInputMessage="1" showErrorMessage="1" errorTitle="Choose a listed value" error="Please select an option from the dropdown." promptTitle="Category" prompt="Select from the dropdown list." sqref="C4:C253">
      <formula1>Categories</formula1>
    </dataValidation>
    <dataValidation type="list" allowBlank="1" showInputMessage="1" showErrorMessage="1" errorTitle="Choose a listed value" error="Please select an option from the dropdown." promptTitle="Priority" prompt="Select from the dropdown list." sqref="E4:E253">
      <formula1>Priorities</formula1>
    </dataValidation>
    <dataValidation type="list" allowBlank="1" showInputMessage="1" showErrorMessage="1" errorTitle="Choose a listed value" error="Please select an option from the dropdown." promptTitle="Status" prompt="Select from the dropdown list." sqref="G4:G253">
      <formula1>TaskStatuses</formula1>
    </dataValidation>
  </dataValidations>
  <pageMargins left="0.25" right="0.25" top="0.5" bottom="0.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6" width="12.7109375" customWidth="1"/>
    <col min="7" max="7" width="16.7109375" customWidth="1"/>
    <col min="8" max="9" width="18.7109375" customWidth="1"/>
    <col min="10" max="10" width="14.7109375" customWidth="1"/>
    <col min="11" max="11" width="30.7109375" customWidth="1"/>
  </cols>
  <sheetData>
    <row r="1" spans="1:11" ht="30" customHeight="1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2" customHeight="1">
      <c r="A3" s="10" t="s">
        <v>167</v>
      </c>
      <c r="B3" s="10" t="s">
        <v>418</v>
      </c>
      <c r="C3" s="10" t="s">
        <v>419</v>
      </c>
      <c r="D3" s="10" t="s">
        <v>420</v>
      </c>
      <c r="E3" s="10" t="s">
        <v>421</v>
      </c>
      <c r="F3" s="10" t="s">
        <v>422</v>
      </c>
      <c r="G3" s="10" t="s">
        <v>423</v>
      </c>
      <c r="H3" s="10" t="s">
        <v>424</v>
      </c>
      <c r="I3" s="10" t="s">
        <v>425</v>
      </c>
      <c r="J3" s="10" t="s">
        <v>426</v>
      </c>
      <c r="K3" s="10" t="s">
        <v>267</v>
      </c>
    </row>
    <row r="4" spans="1:11">
      <c r="A4" s="12"/>
      <c r="B4" s="12"/>
      <c r="C4" s="15"/>
      <c r="D4" s="15"/>
      <c r="E4" s="15"/>
      <c r="F4" s="15"/>
      <c r="G4" s="15"/>
      <c r="H4" s="12"/>
      <c r="I4" s="12"/>
      <c r="J4" s="15"/>
      <c r="K4" s="12"/>
    </row>
    <row r="5" spans="1:11">
      <c r="A5" s="12"/>
      <c r="B5" s="12"/>
      <c r="C5" s="15"/>
      <c r="D5" s="15"/>
      <c r="E5" s="15"/>
      <c r="F5" s="15"/>
      <c r="G5" s="15"/>
      <c r="H5" s="12"/>
      <c r="I5" s="12"/>
      <c r="J5" s="15"/>
      <c r="K5" s="12"/>
    </row>
    <row r="6" spans="1:11">
      <c r="A6" s="12"/>
      <c r="B6" s="12"/>
      <c r="C6" s="15"/>
      <c r="D6" s="15"/>
      <c r="E6" s="15"/>
      <c r="F6" s="15"/>
      <c r="G6" s="15"/>
      <c r="H6" s="12"/>
      <c r="I6" s="12"/>
      <c r="J6" s="15"/>
      <c r="K6" s="12"/>
    </row>
    <row r="7" spans="1:11">
      <c r="A7" s="12"/>
      <c r="B7" s="12"/>
      <c r="C7" s="15"/>
      <c r="D7" s="15"/>
      <c r="E7" s="15"/>
      <c r="F7" s="15"/>
      <c r="G7" s="15"/>
      <c r="H7" s="12"/>
      <c r="I7" s="12"/>
      <c r="J7" s="15"/>
      <c r="K7" s="12"/>
    </row>
    <row r="8" spans="1:11">
      <c r="A8" s="12"/>
      <c r="B8" s="12"/>
      <c r="C8" s="15"/>
      <c r="D8" s="15"/>
      <c r="E8" s="15"/>
      <c r="F8" s="15"/>
      <c r="G8" s="15"/>
      <c r="H8" s="12"/>
      <c r="I8" s="12"/>
      <c r="J8" s="15"/>
      <c r="K8" s="12"/>
    </row>
    <row r="9" spans="1:11">
      <c r="A9" s="12"/>
      <c r="B9" s="12"/>
      <c r="C9" s="15"/>
      <c r="D9" s="15"/>
      <c r="E9" s="15"/>
      <c r="F9" s="15"/>
      <c r="G9" s="15"/>
      <c r="H9" s="12"/>
      <c r="I9" s="12"/>
      <c r="J9" s="15"/>
      <c r="K9" s="12"/>
    </row>
    <row r="10" spans="1:11">
      <c r="A10" s="12"/>
      <c r="B10" s="12"/>
      <c r="C10" s="15"/>
      <c r="D10" s="15"/>
      <c r="E10" s="15"/>
      <c r="F10" s="15"/>
      <c r="G10" s="15"/>
      <c r="H10" s="12"/>
      <c r="I10" s="12"/>
      <c r="J10" s="15"/>
      <c r="K10" s="12"/>
    </row>
    <row r="11" spans="1:11">
      <c r="A11" s="12"/>
      <c r="B11" s="12"/>
      <c r="C11" s="15"/>
      <c r="D11" s="15"/>
      <c r="E11" s="15"/>
      <c r="F11" s="15"/>
      <c r="G11" s="15"/>
      <c r="H11" s="12"/>
      <c r="I11" s="12"/>
      <c r="J11" s="15"/>
      <c r="K11" s="12"/>
    </row>
    <row r="12" spans="1:11">
      <c r="A12" s="12"/>
      <c r="B12" s="12"/>
      <c r="C12" s="15"/>
      <c r="D12" s="15"/>
      <c r="E12" s="15"/>
      <c r="F12" s="15"/>
      <c r="G12" s="15"/>
      <c r="H12" s="12"/>
      <c r="I12" s="12"/>
      <c r="J12" s="15"/>
      <c r="K12" s="12"/>
    </row>
    <row r="13" spans="1:11">
      <c r="A13" s="12"/>
      <c r="B13" s="12"/>
      <c r="C13" s="15"/>
      <c r="D13" s="15"/>
      <c r="E13" s="15"/>
      <c r="F13" s="15"/>
      <c r="G13" s="15"/>
      <c r="H13" s="12"/>
      <c r="I13" s="12"/>
      <c r="J13" s="15"/>
      <c r="K13" s="12"/>
    </row>
    <row r="14" spans="1:11">
      <c r="A14" s="12"/>
      <c r="B14" s="12"/>
      <c r="C14" s="15"/>
      <c r="D14" s="15"/>
      <c r="E14" s="15"/>
      <c r="F14" s="15"/>
      <c r="G14" s="15"/>
      <c r="H14" s="12"/>
      <c r="I14" s="12"/>
      <c r="J14" s="15"/>
      <c r="K14" s="12"/>
    </row>
    <row r="15" spans="1:11">
      <c r="A15" s="12"/>
      <c r="B15" s="12"/>
      <c r="C15" s="15"/>
      <c r="D15" s="15"/>
      <c r="E15" s="15"/>
      <c r="F15" s="15"/>
      <c r="G15" s="15"/>
      <c r="H15" s="12"/>
      <c r="I15" s="12"/>
      <c r="J15" s="15"/>
      <c r="K15" s="12"/>
    </row>
    <row r="16" spans="1:11">
      <c r="A16" s="12"/>
      <c r="B16" s="12"/>
      <c r="C16" s="15"/>
      <c r="D16" s="15"/>
      <c r="E16" s="15"/>
      <c r="F16" s="15"/>
      <c r="G16" s="15"/>
      <c r="H16" s="12"/>
      <c r="I16" s="12"/>
      <c r="J16" s="15"/>
      <c r="K16" s="12"/>
    </row>
    <row r="17" spans="1:11">
      <c r="A17" s="12"/>
      <c r="B17" s="12"/>
      <c r="C17" s="15"/>
      <c r="D17" s="15"/>
      <c r="E17" s="15"/>
      <c r="F17" s="15"/>
      <c r="G17" s="15"/>
      <c r="H17" s="12"/>
      <c r="I17" s="12"/>
      <c r="J17" s="15"/>
      <c r="K17" s="12"/>
    </row>
    <row r="18" spans="1:11">
      <c r="A18" s="12"/>
      <c r="B18" s="12"/>
      <c r="C18" s="15"/>
      <c r="D18" s="15"/>
      <c r="E18" s="15"/>
      <c r="F18" s="15"/>
      <c r="G18" s="15"/>
      <c r="H18" s="12"/>
      <c r="I18" s="12"/>
      <c r="J18" s="15"/>
      <c r="K18" s="12"/>
    </row>
    <row r="19" spans="1:11">
      <c r="A19" s="12"/>
      <c r="B19" s="12"/>
      <c r="C19" s="15"/>
      <c r="D19" s="15"/>
      <c r="E19" s="15"/>
      <c r="F19" s="15"/>
      <c r="G19" s="15"/>
      <c r="H19" s="12"/>
      <c r="I19" s="12"/>
      <c r="J19" s="15"/>
      <c r="K19" s="12"/>
    </row>
    <row r="20" spans="1:11">
      <c r="A20" s="12"/>
      <c r="B20" s="12"/>
      <c r="C20" s="15"/>
      <c r="D20" s="15"/>
      <c r="E20" s="15"/>
      <c r="F20" s="15"/>
      <c r="G20" s="15"/>
      <c r="H20" s="12"/>
      <c r="I20" s="12"/>
      <c r="J20" s="15"/>
      <c r="K20" s="12"/>
    </row>
    <row r="21" spans="1:11">
      <c r="A21" s="12"/>
      <c r="B21" s="12"/>
      <c r="C21" s="15"/>
      <c r="D21" s="15"/>
      <c r="E21" s="15"/>
      <c r="F21" s="15"/>
      <c r="G21" s="15"/>
      <c r="H21" s="12"/>
      <c r="I21" s="12"/>
      <c r="J21" s="15"/>
      <c r="K21" s="12"/>
    </row>
    <row r="22" spans="1:11">
      <c r="A22" s="12"/>
      <c r="B22" s="12"/>
      <c r="C22" s="15"/>
      <c r="D22" s="15"/>
      <c r="E22" s="15"/>
      <c r="F22" s="15"/>
      <c r="G22" s="15"/>
      <c r="H22" s="12"/>
      <c r="I22" s="12"/>
      <c r="J22" s="15"/>
      <c r="K22" s="12"/>
    </row>
    <row r="23" spans="1:11">
      <c r="A23" s="12"/>
      <c r="B23" s="12"/>
      <c r="C23" s="15"/>
      <c r="D23" s="15"/>
      <c r="E23" s="15"/>
      <c r="F23" s="15"/>
      <c r="G23" s="15"/>
      <c r="H23" s="12"/>
      <c r="I23" s="12"/>
      <c r="J23" s="15"/>
      <c r="K23" s="12"/>
    </row>
    <row r="24" spans="1:11">
      <c r="A24" s="12"/>
      <c r="B24" s="12"/>
      <c r="C24" s="15"/>
      <c r="D24" s="15"/>
      <c r="E24" s="15"/>
      <c r="F24" s="15"/>
      <c r="G24" s="15"/>
      <c r="H24" s="12"/>
      <c r="I24" s="12"/>
      <c r="J24" s="15"/>
      <c r="K24" s="12"/>
    </row>
    <row r="25" spans="1:11">
      <c r="A25" s="12"/>
      <c r="B25" s="12"/>
      <c r="C25" s="15"/>
      <c r="D25" s="15"/>
      <c r="E25" s="15"/>
      <c r="F25" s="15"/>
      <c r="G25" s="15"/>
      <c r="H25" s="12"/>
      <c r="I25" s="12"/>
      <c r="J25" s="15"/>
      <c r="K25" s="12"/>
    </row>
    <row r="26" spans="1:11">
      <c r="A26" s="12"/>
      <c r="B26" s="12"/>
      <c r="C26" s="15"/>
      <c r="D26" s="15"/>
      <c r="E26" s="15"/>
      <c r="F26" s="15"/>
      <c r="G26" s="15"/>
      <c r="H26" s="12"/>
      <c r="I26" s="12"/>
      <c r="J26" s="15"/>
      <c r="K26" s="12"/>
    </row>
    <row r="27" spans="1:11">
      <c r="A27" s="12"/>
      <c r="B27" s="12"/>
      <c r="C27" s="15"/>
      <c r="D27" s="15"/>
      <c r="E27" s="15"/>
      <c r="F27" s="15"/>
      <c r="G27" s="15"/>
      <c r="H27" s="12"/>
      <c r="I27" s="12"/>
      <c r="J27" s="15"/>
      <c r="K27" s="12"/>
    </row>
    <row r="28" spans="1:11">
      <c r="A28" s="12"/>
      <c r="B28" s="12"/>
      <c r="C28" s="15"/>
      <c r="D28" s="15"/>
      <c r="E28" s="15"/>
      <c r="F28" s="15"/>
      <c r="G28" s="15"/>
      <c r="H28" s="12"/>
      <c r="I28" s="12"/>
      <c r="J28" s="15"/>
      <c r="K28" s="12"/>
    </row>
    <row r="29" spans="1:11">
      <c r="A29" s="12"/>
      <c r="B29" s="12"/>
      <c r="C29" s="15"/>
      <c r="D29" s="15"/>
      <c r="E29" s="15"/>
      <c r="F29" s="15"/>
      <c r="G29" s="15"/>
      <c r="H29" s="12"/>
      <c r="I29" s="12"/>
      <c r="J29" s="15"/>
      <c r="K29" s="12"/>
    </row>
    <row r="30" spans="1:11">
      <c r="A30" s="12"/>
      <c r="B30" s="12"/>
      <c r="C30" s="15"/>
      <c r="D30" s="15"/>
      <c r="E30" s="15"/>
      <c r="F30" s="15"/>
      <c r="G30" s="15"/>
      <c r="H30" s="12"/>
      <c r="I30" s="12"/>
      <c r="J30" s="15"/>
      <c r="K30" s="12"/>
    </row>
    <row r="31" spans="1:11">
      <c r="A31" s="12"/>
      <c r="B31" s="12"/>
      <c r="C31" s="15"/>
      <c r="D31" s="15"/>
      <c r="E31" s="15"/>
      <c r="F31" s="15"/>
      <c r="G31" s="15"/>
      <c r="H31" s="12"/>
      <c r="I31" s="12"/>
      <c r="J31" s="15"/>
      <c r="K31" s="12"/>
    </row>
    <row r="32" spans="1:11">
      <c r="A32" s="12"/>
      <c r="B32" s="12"/>
      <c r="C32" s="15"/>
      <c r="D32" s="15"/>
      <c r="E32" s="15"/>
      <c r="F32" s="15"/>
      <c r="G32" s="15"/>
      <c r="H32" s="12"/>
      <c r="I32" s="12"/>
      <c r="J32" s="15"/>
      <c r="K32" s="12"/>
    </row>
    <row r="33" spans="1:11">
      <c r="A33" s="12"/>
      <c r="B33" s="12"/>
      <c r="C33" s="15"/>
      <c r="D33" s="15"/>
      <c r="E33" s="15"/>
      <c r="F33" s="15"/>
      <c r="G33" s="15"/>
      <c r="H33" s="12"/>
      <c r="I33" s="12"/>
      <c r="J33" s="15"/>
      <c r="K33" s="12"/>
    </row>
    <row r="34" spans="1:11">
      <c r="A34" s="12"/>
      <c r="B34" s="12"/>
      <c r="C34" s="15"/>
      <c r="D34" s="15"/>
      <c r="E34" s="15"/>
      <c r="F34" s="15"/>
      <c r="G34" s="15"/>
      <c r="H34" s="12"/>
      <c r="I34" s="12"/>
      <c r="J34" s="15"/>
      <c r="K34" s="12"/>
    </row>
    <row r="35" spans="1:11">
      <c r="A35" s="12"/>
      <c r="B35" s="12"/>
      <c r="C35" s="15"/>
      <c r="D35" s="15"/>
      <c r="E35" s="15"/>
      <c r="F35" s="15"/>
      <c r="G35" s="15"/>
      <c r="H35" s="12"/>
      <c r="I35" s="12"/>
      <c r="J35" s="15"/>
      <c r="K35" s="12"/>
    </row>
    <row r="36" spans="1:11">
      <c r="A36" s="12"/>
      <c r="B36" s="12"/>
      <c r="C36" s="15"/>
      <c r="D36" s="15"/>
      <c r="E36" s="15"/>
      <c r="F36" s="15"/>
      <c r="G36" s="15"/>
      <c r="H36" s="12"/>
      <c r="I36" s="12"/>
      <c r="J36" s="15"/>
      <c r="K36" s="12"/>
    </row>
    <row r="37" spans="1:11">
      <c r="A37" s="12"/>
      <c r="B37" s="12"/>
      <c r="C37" s="15"/>
      <c r="D37" s="15"/>
      <c r="E37" s="15"/>
      <c r="F37" s="15"/>
      <c r="G37" s="15"/>
      <c r="H37" s="12"/>
      <c r="I37" s="12"/>
      <c r="J37" s="15"/>
      <c r="K37" s="12"/>
    </row>
    <row r="38" spans="1:11">
      <c r="A38" s="12"/>
      <c r="B38" s="12"/>
      <c r="C38" s="15"/>
      <c r="D38" s="15"/>
      <c r="E38" s="15"/>
      <c r="F38" s="15"/>
      <c r="G38" s="15"/>
      <c r="H38" s="12"/>
      <c r="I38" s="12"/>
      <c r="J38" s="15"/>
      <c r="K38" s="12"/>
    </row>
    <row r="39" spans="1:11">
      <c r="A39" s="12"/>
      <c r="B39" s="12"/>
      <c r="C39" s="15"/>
      <c r="D39" s="15"/>
      <c r="E39" s="15"/>
      <c r="F39" s="15"/>
      <c r="G39" s="15"/>
      <c r="H39" s="12"/>
      <c r="I39" s="12"/>
      <c r="J39" s="15"/>
      <c r="K39" s="12"/>
    </row>
    <row r="40" spans="1:11">
      <c r="A40" s="12"/>
      <c r="B40" s="12"/>
      <c r="C40" s="15"/>
      <c r="D40" s="15"/>
      <c r="E40" s="15"/>
      <c r="F40" s="15"/>
      <c r="G40" s="15"/>
      <c r="H40" s="12"/>
      <c r="I40" s="12"/>
      <c r="J40" s="15"/>
      <c r="K40" s="12"/>
    </row>
    <row r="41" spans="1:11">
      <c r="A41" s="12"/>
      <c r="B41" s="12"/>
      <c r="C41" s="15"/>
      <c r="D41" s="15"/>
      <c r="E41" s="15"/>
      <c r="F41" s="15"/>
      <c r="G41" s="15"/>
      <c r="H41" s="12"/>
      <c r="I41" s="12"/>
      <c r="J41" s="15"/>
      <c r="K41" s="12"/>
    </row>
    <row r="42" spans="1:11">
      <c r="A42" s="12"/>
      <c r="B42" s="12"/>
      <c r="C42" s="15"/>
      <c r="D42" s="15"/>
      <c r="E42" s="15"/>
      <c r="F42" s="15"/>
      <c r="G42" s="15"/>
      <c r="H42" s="12"/>
      <c r="I42" s="12"/>
      <c r="J42" s="15"/>
      <c r="K42" s="12"/>
    </row>
    <row r="43" spans="1:11">
      <c r="A43" s="12"/>
      <c r="B43" s="12"/>
      <c r="C43" s="15"/>
      <c r="D43" s="15"/>
      <c r="E43" s="15"/>
      <c r="F43" s="15"/>
      <c r="G43" s="15"/>
      <c r="H43" s="12"/>
      <c r="I43" s="12"/>
      <c r="J43" s="15"/>
      <c r="K43" s="12"/>
    </row>
    <row r="44" spans="1:11">
      <c r="A44" s="12"/>
      <c r="B44" s="12"/>
      <c r="C44" s="15"/>
      <c r="D44" s="15"/>
      <c r="E44" s="15"/>
      <c r="F44" s="15"/>
      <c r="G44" s="15"/>
      <c r="H44" s="12"/>
      <c r="I44" s="12"/>
      <c r="J44" s="15"/>
      <c r="K44" s="12"/>
    </row>
    <row r="45" spans="1:11">
      <c r="A45" s="12"/>
      <c r="B45" s="12"/>
      <c r="C45" s="15"/>
      <c r="D45" s="15"/>
      <c r="E45" s="15"/>
      <c r="F45" s="15"/>
      <c r="G45" s="15"/>
      <c r="H45" s="12"/>
      <c r="I45" s="12"/>
      <c r="J45" s="15"/>
      <c r="K45" s="12"/>
    </row>
    <row r="46" spans="1:11">
      <c r="A46" s="12"/>
      <c r="B46" s="12"/>
      <c r="C46" s="15"/>
      <c r="D46" s="15"/>
      <c r="E46" s="15"/>
      <c r="F46" s="15"/>
      <c r="G46" s="15"/>
      <c r="H46" s="12"/>
      <c r="I46" s="12"/>
      <c r="J46" s="15"/>
      <c r="K46" s="12"/>
    </row>
    <row r="47" spans="1:11">
      <c r="A47" s="12"/>
      <c r="B47" s="12"/>
      <c r="C47" s="15"/>
      <c r="D47" s="15"/>
      <c r="E47" s="15"/>
      <c r="F47" s="15"/>
      <c r="G47" s="15"/>
      <c r="H47" s="12"/>
      <c r="I47" s="12"/>
      <c r="J47" s="15"/>
      <c r="K47" s="12"/>
    </row>
    <row r="48" spans="1:11">
      <c r="A48" s="12"/>
      <c r="B48" s="12"/>
      <c r="C48" s="15"/>
      <c r="D48" s="15"/>
      <c r="E48" s="15"/>
      <c r="F48" s="15"/>
      <c r="G48" s="15"/>
      <c r="H48" s="12"/>
      <c r="I48" s="12"/>
      <c r="J48" s="15"/>
      <c r="K48" s="12"/>
    </row>
    <row r="49" spans="1:11">
      <c r="A49" s="12"/>
      <c r="B49" s="12"/>
      <c r="C49" s="15"/>
      <c r="D49" s="15"/>
      <c r="E49" s="15"/>
      <c r="F49" s="15"/>
      <c r="G49" s="15"/>
      <c r="H49" s="12"/>
      <c r="I49" s="12"/>
      <c r="J49" s="15"/>
      <c r="K49" s="12"/>
    </row>
    <row r="50" spans="1:11">
      <c r="A50" s="12"/>
      <c r="B50" s="12"/>
      <c r="C50" s="15"/>
      <c r="D50" s="15"/>
      <c r="E50" s="15"/>
      <c r="F50" s="15"/>
      <c r="G50" s="15"/>
      <c r="H50" s="12"/>
      <c r="I50" s="12"/>
      <c r="J50" s="15"/>
      <c r="K50" s="12"/>
    </row>
    <row r="51" spans="1:11">
      <c r="A51" s="12"/>
      <c r="B51" s="12"/>
      <c r="C51" s="15"/>
      <c r="D51" s="15"/>
      <c r="E51" s="15"/>
      <c r="F51" s="15"/>
      <c r="G51" s="15"/>
      <c r="H51" s="12"/>
      <c r="I51" s="12"/>
      <c r="J51" s="15"/>
      <c r="K51" s="12"/>
    </row>
    <row r="52" spans="1:11">
      <c r="A52" s="12"/>
      <c r="B52" s="12"/>
      <c r="C52" s="15"/>
      <c r="D52" s="15"/>
      <c r="E52" s="15"/>
      <c r="F52" s="15"/>
      <c r="G52" s="15"/>
      <c r="H52" s="12"/>
      <c r="I52" s="12"/>
      <c r="J52" s="15"/>
      <c r="K52" s="12"/>
    </row>
    <row r="53" spans="1:11">
      <c r="A53" s="12"/>
      <c r="B53" s="12"/>
      <c r="C53" s="15"/>
      <c r="D53" s="15"/>
      <c r="E53" s="15"/>
      <c r="F53" s="15"/>
      <c r="G53" s="15"/>
      <c r="H53" s="12"/>
      <c r="I53" s="12"/>
      <c r="J53" s="15"/>
      <c r="K53" s="12"/>
    </row>
    <row r="54" spans="1:11">
      <c r="A54" s="12"/>
      <c r="B54" s="12"/>
      <c r="C54" s="15"/>
      <c r="D54" s="15"/>
      <c r="E54" s="15"/>
      <c r="F54" s="15"/>
      <c r="G54" s="15"/>
      <c r="H54" s="12"/>
      <c r="I54" s="12"/>
      <c r="J54" s="15"/>
      <c r="K54" s="12"/>
    </row>
    <row r="55" spans="1:11">
      <c r="A55" s="12"/>
      <c r="B55" s="12"/>
      <c r="C55" s="15"/>
      <c r="D55" s="15"/>
      <c r="E55" s="15"/>
      <c r="F55" s="15"/>
      <c r="G55" s="15"/>
      <c r="H55" s="12"/>
      <c r="I55" s="12"/>
      <c r="J55" s="15"/>
      <c r="K55" s="12"/>
    </row>
    <row r="56" spans="1:11">
      <c r="A56" s="12"/>
      <c r="B56" s="12"/>
      <c r="C56" s="15"/>
      <c r="D56" s="15"/>
      <c r="E56" s="15"/>
      <c r="F56" s="15"/>
      <c r="G56" s="15"/>
      <c r="H56" s="12"/>
      <c r="I56" s="12"/>
      <c r="J56" s="15"/>
      <c r="K56" s="12"/>
    </row>
    <row r="57" spans="1:11">
      <c r="A57" s="12"/>
      <c r="B57" s="12"/>
      <c r="C57" s="15"/>
      <c r="D57" s="15"/>
      <c r="E57" s="15"/>
      <c r="F57" s="15"/>
      <c r="G57" s="15"/>
      <c r="H57" s="12"/>
      <c r="I57" s="12"/>
      <c r="J57" s="15"/>
      <c r="K57" s="12"/>
    </row>
    <row r="58" spans="1:11">
      <c r="A58" s="12"/>
      <c r="B58" s="12"/>
      <c r="C58" s="15"/>
      <c r="D58" s="15"/>
      <c r="E58" s="15"/>
      <c r="F58" s="15"/>
      <c r="G58" s="15"/>
      <c r="H58" s="12"/>
      <c r="I58" s="12"/>
      <c r="J58" s="15"/>
      <c r="K58" s="12"/>
    </row>
    <row r="59" spans="1:11">
      <c r="A59" s="12"/>
      <c r="B59" s="12"/>
      <c r="C59" s="15"/>
      <c r="D59" s="15"/>
      <c r="E59" s="15"/>
      <c r="F59" s="15"/>
      <c r="G59" s="15"/>
      <c r="H59" s="12"/>
      <c r="I59" s="12"/>
      <c r="J59" s="15"/>
      <c r="K59" s="12"/>
    </row>
    <row r="60" spans="1:11">
      <c r="A60" s="12"/>
      <c r="B60" s="12"/>
      <c r="C60" s="15"/>
      <c r="D60" s="15"/>
      <c r="E60" s="15"/>
      <c r="F60" s="15"/>
      <c r="G60" s="15"/>
      <c r="H60" s="12"/>
      <c r="I60" s="12"/>
      <c r="J60" s="15"/>
      <c r="K60" s="12"/>
    </row>
    <row r="61" spans="1:11">
      <c r="A61" s="12"/>
      <c r="B61" s="12"/>
      <c r="C61" s="15"/>
      <c r="D61" s="15"/>
      <c r="E61" s="15"/>
      <c r="F61" s="15"/>
      <c r="G61" s="15"/>
      <c r="H61" s="12"/>
      <c r="I61" s="12"/>
      <c r="J61" s="15"/>
      <c r="K61" s="12"/>
    </row>
    <row r="62" spans="1:11">
      <c r="A62" s="12"/>
      <c r="B62" s="12"/>
      <c r="C62" s="15"/>
      <c r="D62" s="15"/>
      <c r="E62" s="15"/>
      <c r="F62" s="15"/>
      <c r="G62" s="15"/>
      <c r="H62" s="12"/>
      <c r="I62" s="12"/>
      <c r="J62" s="15"/>
      <c r="K62" s="12"/>
    </row>
    <row r="63" spans="1:11">
      <c r="A63" s="12"/>
      <c r="B63" s="12"/>
      <c r="C63" s="15"/>
      <c r="D63" s="15"/>
      <c r="E63" s="15"/>
      <c r="F63" s="15"/>
      <c r="G63" s="15"/>
      <c r="H63" s="12"/>
      <c r="I63" s="12"/>
      <c r="J63" s="15"/>
      <c r="K63" s="12"/>
    </row>
    <row r="64" spans="1:11">
      <c r="A64" s="12"/>
      <c r="B64" s="12"/>
      <c r="C64" s="15"/>
      <c r="D64" s="15"/>
      <c r="E64" s="15"/>
      <c r="F64" s="15"/>
      <c r="G64" s="15"/>
      <c r="H64" s="12"/>
      <c r="I64" s="12"/>
      <c r="J64" s="15"/>
      <c r="K64" s="12"/>
    </row>
    <row r="65" spans="1:11">
      <c r="A65" s="12"/>
      <c r="B65" s="12"/>
      <c r="C65" s="15"/>
      <c r="D65" s="15"/>
      <c r="E65" s="15"/>
      <c r="F65" s="15"/>
      <c r="G65" s="15"/>
      <c r="H65" s="12"/>
      <c r="I65" s="12"/>
      <c r="J65" s="15"/>
      <c r="K65" s="12"/>
    </row>
    <row r="66" spans="1:11">
      <c r="A66" s="12"/>
      <c r="B66" s="12"/>
      <c r="C66" s="15"/>
      <c r="D66" s="15"/>
      <c r="E66" s="15"/>
      <c r="F66" s="15"/>
      <c r="G66" s="15"/>
      <c r="H66" s="12"/>
      <c r="I66" s="12"/>
      <c r="J66" s="15"/>
      <c r="K66" s="12"/>
    </row>
    <row r="67" spans="1:11">
      <c r="A67" s="12"/>
      <c r="B67" s="12"/>
      <c r="C67" s="15"/>
      <c r="D67" s="15"/>
      <c r="E67" s="15"/>
      <c r="F67" s="15"/>
      <c r="G67" s="15"/>
      <c r="H67" s="12"/>
      <c r="I67" s="12"/>
      <c r="J67" s="15"/>
      <c r="K67" s="12"/>
    </row>
    <row r="68" spans="1:11">
      <c r="A68" s="12"/>
      <c r="B68" s="12"/>
      <c r="C68" s="15"/>
      <c r="D68" s="15"/>
      <c r="E68" s="15"/>
      <c r="F68" s="15"/>
      <c r="G68" s="15"/>
      <c r="H68" s="12"/>
      <c r="I68" s="12"/>
      <c r="J68" s="15"/>
      <c r="K68" s="12"/>
    </row>
    <row r="69" spans="1:11">
      <c r="A69" s="12"/>
      <c r="B69" s="12"/>
      <c r="C69" s="15"/>
      <c r="D69" s="15"/>
      <c r="E69" s="15"/>
      <c r="F69" s="15"/>
      <c r="G69" s="15"/>
      <c r="H69" s="12"/>
      <c r="I69" s="12"/>
      <c r="J69" s="15"/>
      <c r="K69" s="12"/>
    </row>
    <row r="70" spans="1:11">
      <c r="A70" s="12"/>
      <c r="B70" s="12"/>
      <c r="C70" s="15"/>
      <c r="D70" s="15"/>
      <c r="E70" s="15"/>
      <c r="F70" s="15"/>
      <c r="G70" s="15"/>
      <c r="H70" s="12"/>
      <c r="I70" s="12"/>
      <c r="J70" s="15"/>
      <c r="K70" s="12"/>
    </row>
    <row r="71" spans="1:11">
      <c r="A71" s="12"/>
      <c r="B71" s="12"/>
      <c r="C71" s="15"/>
      <c r="D71" s="15"/>
      <c r="E71" s="15"/>
      <c r="F71" s="15"/>
      <c r="G71" s="15"/>
      <c r="H71" s="12"/>
      <c r="I71" s="12"/>
      <c r="J71" s="15"/>
      <c r="K71" s="12"/>
    </row>
    <row r="72" spans="1:11">
      <c r="A72" s="12"/>
      <c r="B72" s="12"/>
      <c r="C72" s="15"/>
      <c r="D72" s="15"/>
      <c r="E72" s="15"/>
      <c r="F72" s="15"/>
      <c r="G72" s="15"/>
      <c r="H72" s="12"/>
      <c r="I72" s="12"/>
      <c r="J72" s="15"/>
      <c r="K72" s="12"/>
    </row>
    <row r="73" spans="1:11">
      <c r="A73" s="12"/>
      <c r="B73" s="12"/>
      <c r="C73" s="15"/>
      <c r="D73" s="15"/>
      <c r="E73" s="15"/>
      <c r="F73" s="15"/>
      <c r="G73" s="15"/>
      <c r="H73" s="12"/>
      <c r="I73" s="12"/>
      <c r="J73" s="15"/>
      <c r="K73" s="12"/>
    </row>
    <row r="74" spans="1:11">
      <c r="A74" s="12"/>
      <c r="B74" s="12"/>
      <c r="C74" s="15"/>
      <c r="D74" s="15"/>
      <c r="E74" s="15"/>
      <c r="F74" s="15"/>
      <c r="G74" s="15"/>
      <c r="H74" s="12"/>
      <c r="I74" s="12"/>
      <c r="J74" s="15"/>
      <c r="K74" s="12"/>
    </row>
    <row r="75" spans="1:11">
      <c r="A75" s="12"/>
      <c r="B75" s="12"/>
      <c r="C75" s="15"/>
      <c r="D75" s="15"/>
      <c r="E75" s="15"/>
      <c r="F75" s="15"/>
      <c r="G75" s="15"/>
      <c r="H75" s="12"/>
      <c r="I75" s="12"/>
      <c r="J75" s="15"/>
      <c r="K75" s="12"/>
    </row>
    <row r="76" spans="1:11">
      <c r="A76" s="12"/>
      <c r="B76" s="12"/>
      <c r="C76" s="15"/>
      <c r="D76" s="15"/>
      <c r="E76" s="15"/>
      <c r="F76" s="15"/>
      <c r="G76" s="15"/>
      <c r="H76" s="12"/>
      <c r="I76" s="12"/>
      <c r="J76" s="15"/>
      <c r="K76" s="12"/>
    </row>
    <row r="77" spans="1:11">
      <c r="A77" s="12"/>
      <c r="B77" s="12"/>
      <c r="C77" s="15"/>
      <c r="D77" s="15"/>
      <c r="E77" s="15"/>
      <c r="F77" s="15"/>
      <c r="G77" s="15"/>
      <c r="H77" s="12"/>
      <c r="I77" s="12"/>
      <c r="J77" s="15"/>
      <c r="K77" s="12"/>
    </row>
    <row r="78" spans="1:11">
      <c r="A78" s="12"/>
      <c r="B78" s="12"/>
      <c r="C78" s="15"/>
      <c r="D78" s="15"/>
      <c r="E78" s="15"/>
      <c r="F78" s="15"/>
      <c r="G78" s="15"/>
      <c r="H78" s="12"/>
      <c r="I78" s="12"/>
      <c r="J78" s="15"/>
      <c r="K78" s="12"/>
    </row>
    <row r="79" spans="1:11">
      <c r="A79" s="12"/>
      <c r="B79" s="12"/>
      <c r="C79" s="15"/>
      <c r="D79" s="15"/>
      <c r="E79" s="15"/>
      <c r="F79" s="15"/>
      <c r="G79" s="15"/>
      <c r="H79" s="12"/>
      <c r="I79" s="12"/>
      <c r="J79" s="15"/>
      <c r="K79" s="12"/>
    </row>
    <row r="80" spans="1:11">
      <c r="A80" s="12"/>
      <c r="B80" s="12"/>
      <c r="C80" s="15"/>
      <c r="D80" s="15"/>
      <c r="E80" s="15"/>
      <c r="F80" s="15"/>
      <c r="G80" s="15"/>
      <c r="H80" s="12"/>
      <c r="I80" s="12"/>
      <c r="J80" s="15"/>
      <c r="K80" s="12"/>
    </row>
    <row r="81" spans="1:11">
      <c r="A81" s="12"/>
      <c r="B81" s="12"/>
      <c r="C81" s="15"/>
      <c r="D81" s="15"/>
      <c r="E81" s="15"/>
      <c r="F81" s="15"/>
      <c r="G81" s="15"/>
      <c r="H81" s="12"/>
      <c r="I81" s="12"/>
      <c r="J81" s="15"/>
      <c r="K81" s="12"/>
    </row>
    <row r="82" spans="1:11">
      <c r="A82" s="12"/>
      <c r="B82" s="12"/>
      <c r="C82" s="15"/>
      <c r="D82" s="15"/>
      <c r="E82" s="15"/>
      <c r="F82" s="15"/>
      <c r="G82" s="15"/>
      <c r="H82" s="12"/>
      <c r="I82" s="12"/>
      <c r="J82" s="15"/>
      <c r="K82" s="12"/>
    </row>
    <row r="83" spans="1:11">
      <c r="A83" s="12"/>
      <c r="B83" s="12"/>
      <c r="C83" s="15"/>
      <c r="D83" s="15"/>
      <c r="E83" s="15"/>
      <c r="F83" s="15"/>
      <c r="G83" s="15"/>
      <c r="H83" s="12"/>
      <c r="I83" s="12"/>
      <c r="J83" s="15"/>
      <c r="K83" s="12"/>
    </row>
    <row r="84" spans="1:11">
      <c r="A84" s="12"/>
      <c r="B84" s="12"/>
      <c r="C84" s="15"/>
      <c r="D84" s="15"/>
      <c r="E84" s="15"/>
      <c r="F84" s="15"/>
      <c r="G84" s="15"/>
      <c r="H84" s="12"/>
      <c r="I84" s="12"/>
      <c r="J84" s="15"/>
      <c r="K84" s="12"/>
    </row>
    <row r="85" spans="1:11">
      <c r="A85" s="12"/>
      <c r="B85" s="12"/>
      <c r="C85" s="15"/>
      <c r="D85" s="15"/>
      <c r="E85" s="15"/>
      <c r="F85" s="15"/>
      <c r="G85" s="15"/>
      <c r="H85" s="12"/>
      <c r="I85" s="12"/>
      <c r="J85" s="15"/>
      <c r="K85" s="12"/>
    </row>
    <row r="86" spans="1:11">
      <c r="A86" s="12"/>
      <c r="B86" s="12"/>
      <c r="C86" s="15"/>
      <c r="D86" s="15"/>
      <c r="E86" s="15"/>
      <c r="F86" s="15"/>
      <c r="G86" s="15"/>
      <c r="H86" s="12"/>
      <c r="I86" s="12"/>
      <c r="J86" s="15"/>
      <c r="K86" s="12"/>
    </row>
    <row r="87" spans="1:11">
      <c r="A87" s="12"/>
      <c r="B87" s="12"/>
      <c r="C87" s="15"/>
      <c r="D87" s="15"/>
      <c r="E87" s="15"/>
      <c r="F87" s="15"/>
      <c r="G87" s="15"/>
      <c r="H87" s="12"/>
      <c r="I87" s="12"/>
      <c r="J87" s="15"/>
      <c r="K87" s="12"/>
    </row>
    <row r="88" spans="1:11">
      <c r="A88" s="12"/>
      <c r="B88" s="12"/>
      <c r="C88" s="15"/>
      <c r="D88" s="15"/>
      <c r="E88" s="15"/>
      <c r="F88" s="15"/>
      <c r="G88" s="15"/>
      <c r="H88" s="12"/>
      <c r="I88" s="12"/>
      <c r="J88" s="15"/>
      <c r="K88" s="12"/>
    </row>
    <row r="89" spans="1:11">
      <c r="A89" s="12"/>
      <c r="B89" s="12"/>
      <c r="C89" s="15"/>
      <c r="D89" s="15"/>
      <c r="E89" s="15"/>
      <c r="F89" s="15"/>
      <c r="G89" s="15"/>
      <c r="H89" s="12"/>
      <c r="I89" s="12"/>
      <c r="J89" s="15"/>
      <c r="K89" s="12"/>
    </row>
    <row r="90" spans="1:11">
      <c r="A90" s="12"/>
      <c r="B90" s="12"/>
      <c r="C90" s="15"/>
      <c r="D90" s="15"/>
      <c r="E90" s="15"/>
      <c r="F90" s="15"/>
      <c r="G90" s="15"/>
      <c r="H90" s="12"/>
      <c r="I90" s="12"/>
      <c r="J90" s="15"/>
      <c r="K90" s="12"/>
    </row>
    <row r="91" spans="1:11">
      <c r="A91" s="12"/>
      <c r="B91" s="12"/>
      <c r="C91" s="15"/>
      <c r="D91" s="15"/>
      <c r="E91" s="15"/>
      <c r="F91" s="15"/>
      <c r="G91" s="15"/>
      <c r="H91" s="12"/>
      <c r="I91" s="12"/>
      <c r="J91" s="15"/>
      <c r="K91" s="12"/>
    </row>
    <row r="92" spans="1:11">
      <c r="A92" s="12"/>
      <c r="B92" s="12"/>
      <c r="C92" s="15"/>
      <c r="D92" s="15"/>
      <c r="E92" s="15"/>
      <c r="F92" s="15"/>
      <c r="G92" s="15"/>
      <c r="H92" s="12"/>
      <c r="I92" s="12"/>
      <c r="J92" s="15"/>
      <c r="K92" s="12"/>
    </row>
    <row r="93" spans="1:11">
      <c r="A93" s="12"/>
      <c r="B93" s="12"/>
      <c r="C93" s="15"/>
      <c r="D93" s="15"/>
      <c r="E93" s="15"/>
      <c r="F93" s="15"/>
      <c r="G93" s="15"/>
      <c r="H93" s="12"/>
      <c r="I93" s="12"/>
      <c r="J93" s="15"/>
      <c r="K93" s="12"/>
    </row>
    <row r="94" spans="1:11">
      <c r="A94" s="12"/>
      <c r="B94" s="12"/>
      <c r="C94" s="15"/>
      <c r="D94" s="15"/>
      <c r="E94" s="15"/>
      <c r="F94" s="15"/>
      <c r="G94" s="15"/>
      <c r="H94" s="12"/>
      <c r="I94" s="12"/>
      <c r="J94" s="15"/>
      <c r="K94" s="12"/>
    </row>
    <row r="95" spans="1:11">
      <c r="A95" s="12"/>
      <c r="B95" s="12"/>
      <c r="C95" s="15"/>
      <c r="D95" s="15"/>
      <c r="E95" s="15"/>
      <c r="F95" s="15"/>
      <c r="G95" s="15"/>
      <c r="H95" s="12"/>
      <c r="I95" s="12"/>
      <c r="J95" s="15"/>
      <c r="K95" s="12"/>
    </row>
    <row r="96" spans="1:11">
      <c r="A96" s="12"/>
      <c r="B96" s="12"/>
      <c r="C96" s="15"/>
      <c r="D96" s="15"/>
      <c r="E96" s="15"/>
      <c r="F96" s="15"/>
      <c r="G96" s="15"/>
      <c r="H96" s="12"/>
      <c r="I96" s="12"/>
      <c r="J96" s="15"/>
      <c r="K96" s="12"/>
    </row>
    <row r="97" spans="1:11">
      <c r="A97" s="12"/>
      <c r="B97" s="12"/>
      <c r="C97" s="15"/>
      <c r="D97" s="15"/>
      <c r="E97" s="15"/>
      <c r="F97" s="15"/>
      <c r="G97" s="15"/>
      <c r="H97" s="12"/>
      <c r="I97" s="12"/>
      <c r="J97" s="15"/>
      <c r="K97" s="12"/>
    </row>
    <row r="98" spans="1:11">
      <c r="A98" s="12"/>
      <c r="B98" s="12"/>
      <c r="C98" s="15"/>
      <c r="D98" s="15"/>
      <c r="E98" s="15"/>
      <c r="F98" s="15"/>
      <c r="G98" s="15"/>
      <c r="H98" s="12"/>
      <c r="I98" s="12"/>
      <c r="J98" s="15"/>
      <c r="K98" s="12"/>
    </row>
    <row r="99" spans="1:11">
      <c r="A99" s="12"/>
      <c r="B99" s="12"/>
      <c r="C99" s="15"/>
      <c r="D99" s="15"/>
      <c r="E99" s="15"/>
      <c r="F99" s="15"/>
      <c r="G99" s="15"/>
      <c r="H99" s="12"/>
      <c r="I99" s="12"/>
      <c r="J99" s="15"/>
      <c r="K99" s="12"/>
    </row>
    <row r="100" spans="1:11">
      <c r="A100" s="12"/>
      <c r="B100" s="12"/>
      <c r="C100" s="15"/>
      <c r="D100" s="15"/>
      <c r="E100" s="15"/>
      <c r="F100" s="15"/>
      <c r="G100" s="15"/>
      <c r="H100" s="12"/>
      <c r="I100" s="12"/>
      <c r="J100" s="15"/>
      <c r="K100" s="12"/>
    </row>
    <row r="101" spans="1:11">
      <c r="A101" s="12"/>
      <c r="B101" s="12"/>
      <c r="C101" s="15"/>
      <c r="D101" s="15"/>
      <c r="E101" s="15"/>
      <c r="F101" s="15"/>
      <c r="G101" s="15"/>
      <c r="H101" s="12"/>
      <c r="I101" s="12"/>
      <c r="J101" s="15"/>
      <c r="K101" s="12"/>
    </row>
    <row r="102" spans="1:11">
      <c r="A102" s="12"/>
      <c r="B102" s="12"/>
      <c r="C102" s="15"/>
      <c r="D102" s="15"/>
      <c r="E102" s="15"/>
      <c r="F102" s="15"/>
      <c r="G102" s="15"/>
      <c r="H102" s="12"/>
      <c r="I102" s="12"/>
      <c r="J102" s="15"/>
      <c r="K102" s="12"/>
    </row>
    <row r="103" spans="1:11">
      <c r="A103" s="12"/>
      <c r="B103" s="12"/>
      <c r="C103" s="15"/>
      <c r="D103" s="15"/>
      <c r="E103" s="15"/>
      <c r="F103" s="15"/>
      <c r="G103" s="15"/>
      <c r="H103" s="12"/>
      <c r="I103" s="12"/>
      <c r="J103" s="15"/>
      <c r="K103" s="12"/>
    </row>
    <row r="104" spans="1:11">
      <c r="A104" s="12"/>
      <c r="B104" s="12"/>
      <c r="C104" s="15"/>
      <c r="D104" s="15"/>
      <c r="E104" s="15"/>
      <c r="F104" s="15"/>
      <c r="G104" s="15"/>
      <c r="H104" s="12"/>
      <c r="I104" s="12"/>
      <c r="J104" s="15"/>
      <c r="K104" s="12"/>
    </row>
    <row r="105" spans="1:11">
      <c r="A105" s="12"/>
      <c r="B105" s="12"/>
      <c r="C105" s="15"/>
      <c r="D105" s="15"/>
      <c r="E105" s="15"/>
      <c r="F105" s="15"/>
      <c r="G105" s="15"/>
      <c r="H105" s="12"/>
      <c r="I105" s="12"/>
      <c r="J105" s="15"/>
      <c r="K105" s="12"/>
    </row>
    <row r="106" spans="1:11">
      <c r="A106" s="12"/>
      <c r="B106" s="12"/>
      <c r="C106" s="15"/>
      <c r="D106" s="15"/>
      <c r="E106" s="15"/>
      <c r="F106" s="15"/>
      <c r="G106" s="15"/>
      <c r="H106" s="12"/>
      <c r="I106" s="12"/>
      <c r="J106" s="15"/>
      <c r="K106" s="12"/>
    </row>
    <row r="107" spans="1:11">
      <c r="A107" s="12"/>
      <c r="B107" s="12"/>
      <c r="C107" s="15"/>
      <c r="D107" s="15"/>
      <c r="E107" s="15"/>
      <c r="F107" s="15"/>
      <c r="G107" s="15"/>
      <c r="H107" s="12"/>
      <c r="I107" s="12"/>
      <c r="J107" s="15"/>
      <c r="K107" s="12"/>
    </row>
    <row r="108" spans="1:11">
      <c r="A108" s="12"/>
      <c r="B108" s="12"/>
      <c r="C108" s="15"/>
      <c r="D108" s="15"/>
      <c r="E108" s="15"/>
      <c r="F108" s="15"/>
      <c r="G108" s="15"/>
      <c r="H108" s="12"/>
      <c r="I108" s="12"/>
      <c r="J108" s="15"/>
      <c r="K108" s="12"/>
    </row>
    <row r="109" spans="1:11">
      <c r="A109" s="12"/>
      <c r="B109" s="12"/>
      <c r="C109" s="15"/>
      <c r="D109" s="15"/>
      <c r="E109" s="15"/>
      <c r="F109" s="15"/>
      <c r="G109" s="15"/>
      <c r="H109" s="12"/>
      <c r="I109" s="12"/>
      <c r="J109" s="15"/>
      <c r="K109" s="12"/>
    </row>
    <row r="110" spans="1:11">
      <c r="A110" s="12"/>
      <c r="B110" s="12"/>
      <c r="C110" s="15"/>
      <c r="D110" s="15"/>
      <c r="E110" s="15"/>
      <c r="F110" s="15"/>
      <c r="G110" s="15"/>
      <c r="H110" s="12"/>
      <c r="I110" s="12"/>
      <c r="J110" s="15"/>
      <c r="K110" s="12"/>
    </row>
    <row r="111" spans="1:11">
      <c r="A111" s="12"/>
      <c r="B111" s="12"/>
      <c r="C111" s="15"/>
      <c r="D111" s="15"/>
      <c r="E111" s="15"/>
      <c r="F111" s="15"/>
      <c r="G111" s="15"/>
      <c r="H111" s="12"/>
      <c r="I111" s="12"/>
      <c r="J111" s="15"/>
      <c r="K111" s="12"/>
    </row>
    <row r="112" spans="1:11">
      <c r="A112" s="12"/>
      <c r="B112" s="12"/>
      <c r="C112" s="15"/>
      <c r="D112" s="15"/>
      <c r="E112" s="15"/>
      <c r="F112" s="15"/>
      <c r="G112" s="15"/>
      <c r="H112" s="12"/>
      <c r="I112" s="12"/>
      <c r="J112" s="15"/>
      <c r="K112" s="12"/>
    </row>
    <row r="113" spans="1:11">
      <c r="A113" s="12"/>
      <c r="B113" s="12"/>
      <c r="C113" s="15"/>
      <c r="D113" s="15"/>
      <c r="E113" s="15"/>
      <c r="F113" s="15"/>
      <c r="G113" s="15"/>
      <c r="H113" s="12"/>
      <c r="I113" s="12"/>
      <c r="J113" s="15"/>
      <c r="K113" s="12"/>
    </row>
    <row r="114" spans="1:11">
      <c r="A114" s="12"/>
      <c r="B114" s="12"/>
      <c r="C114" s="15"/>
      <c r="D114" s="15"/>
      <c r="E114" s="15"/>
      <c r="F114" s="15"/>
      <c r="G114" s="15"/>
      <c r="H114" s="12"/>
      <c r="I114" s="12"/>
      <c r="J114" s="15"/>
      <c r="K114" s="12"/>
    </row>
    <row r="115" spans="1:11">
      <c r="A115" s="12"/>
      <c r="B115" s="12"/>
      <c r="C115" s="15"/>
      <c r="D115" s="15"/>
      <c r="E115" s="15"/>
      <c r="F115" s="15"/>
      <c r="G115" s="15"/>
      <c r="H115" s="12"/>
      <c r="I115" s="12"/>
      <c r="J115" s="15"/>
      <c r="K115" s="12"/>
    </row>
    <row r="116" spans="1:11">
      <c r="A116" s="12"/>
      <c r="B116" s="12"/>
      <c r="C116" s="15"/>
      <c r="D116" s="15"/>
      <c r="E116" s="15"/>
      <c r="F116" s="15"/>
      <c r="G116" s="15"/>
      <c r="H116" s="12"/>
      <c r="I116" s="12"/>
      <c r="J116" s="15"/>
      <c r="K116" s="12"/>
    </row>
    <row r="117" spans="1:11">
      <c r="A117" s="12"/>
      <c r="B117" s="12"/>
      <c r="C117" s="15"/>
      <c r="D117" s="15"/>
      <c r="E117" s="15"/>
      <c r="F117" s="15"/>
      <c r="G117" s="15"/>
      <c r="H117" s="12"/>
      <c r="I117" s="12"/>
      <c r="J117" s="15"/>
      <c r="K117" s="12"/>
    </row>
    <row r="118" spans="1:11">
      <c r="A118" s="12"/>
      <c r="B118" s="12"/>
      <c r="C118" s="15"/>
      <c r="D118" s="15"/>
      <c r="E118" s="15"/>
      <c r="F118" s="15"/>
      <c r="G118" s="15"/>
      <c r="H118" s="12"/>
      <c r="I118" s="12"/>
      <c r="J118" s="15"/>
      <c r="K118" s="12"/>
    </row>
    <row r="119" spans="1:11">
      <c r="A119" s="12"/>
      <c r="B119" s="12"/>
      <c r="C119" s="15"/>
      <c r="D119" s="15"/>
      <c r="E119" s="15"/>
      <c r="F119" s="15"/>
      <c r="G119" s="15"/>
      <c r="H119" s="12"/>
      <c r="I119" s="12"/>
      <c r="J119" s="15"/>
      <c r="K119" s="12"/>
    </row>
    <row r="120" spans="1:11">
      <c r="A120" s="12"/>
      <c r="B120" s="12"/>
      <c r="C120" s="15"/>
      <c r="D120" s="15"/>
      <c r="E120" s="15"/>
      <c r="F120" s="15"/>
      <c r="G120" s="15"/>
      <c r="H120" s="12"/>
      <c r="I120" s="12"/>
      <c r="J120" s="15"/>
      <c r="K120" s="12"/>
    </row>
    <row r="121" spans="1:11">
      <c r="A121" s="12"/>
      <c r="B121" s="12"/>
      <c r="C121" s="15"/>
      <c r="D121" s="15"/>
      <c r="E121" s="15"/>
      <c r="F121" s="15"/>
      <c r="G121" s="15"/>
      <c r="H121" s="12"/>
      <c r="I121" s="12"/>
      <c r="J121" s="15"/>
      <c r="K121" s="12"/>
    </row>
    <row r="122" spans="1:11">
      <c r="A122" s="12"/>
      <c r="B122" s="12"/>
      <c r="C122" s="15"/>
      <c r="D122" s="15"/>
      <c r="E122" s="15"/>
      <c r="F122" s="15"/>
      <c r="G122" s="15"/>
      <c r="H122" s="12"/>
      <c r="I122" s="12"/>
      <c r="J122" s="15"/>
      <c r="K122" s="12"/>
    </row>
    <row r="123" spans="1:11">
      <c r="A123" s="12"/>
      <c r="B123" s="12"/>
      <c r="C123" s="15"/>
      <c r="D123" s="15"/>
      <c r="E123" s="15"/>
      <c r="F123" s="15"/>
      <c r="G123" s="15"/>
      <c r="H123" s="12"/>
      <c r="I123" s="12"/>
      <c r="J123" s="15"/>
      <c r="K123" s="12"/>
    </row>
    <row r="124" spans="1:11">
      <c r="A124" s="12"/>
      <c r="B124" s="12"/>
      <c r="C124" s="15"/>
      <c r="D124" s="15"/>
      <c r="E124" s="15"/>
      <c r="F124" s="15"/>
      <c r="G124" s="15"/>
      <c r="H124" s="12"/>
      <c r="I124" s="12"/>
      <c r="J124" s="15"/>
      <c r="K124" s="12"/>
    </row>
    <row r="125" spans="1:11">
      <c r="A125" s="12"/>
      <c r="B125" s="12"/>
      <c r="C125" s="15"/>
      <c r="D125" s="15"/>
      <c r="E125" s="15"/>
      <c r="F125" s="15"/>
      <c r="G125" s="15"/>
      <c r="H125" s="12"/>
      <c r="I125" s="12"/>
      <c r="J125" s="15"/>
      <c r="K125" s="12"/>
    </row>
    <row r="126" spans="1:11">
      <c r="A126" s="12"/>
      <c r="B126" s="12"/>
      <c r="C126" s="15"/>
      <c r="D126" s="15"/>
      <c r="E126" s="15"/>
      <c r="F126" s="15"/>
      <c r="G126" s="15"/>
      <c r="H126" s="12"/>
      <c r="I126" s="12"/>
      <c r="J126" s="15"/>
      <c r="K126" s="12"/>
    </row>
    <row r="127" spans="1:11">
      <c r="A127" s="12"/>
      <c r="B127" s="12"/>
      <c r="C127" s="15"/>
      <c r="D127" s="15"/>
      <c r="E127" s="15"/>
      <c r="F127" s="15"/>
      <c r="G127" s="15"/>
      <c r="H127" s="12"/>
      <c r="I127" s="12"/>
      <c r="J127" s="15"/>
      <c r="K127" s="12"/>
    </row>
    <row r="128" spans="1:11">
      <c r="A128" s="12"/>
      <c r="B128" s="12"/>
      <c r="C128" s="15"/>
      <c r="D128" s="15"/>
      <c r="E128" s="15"/>
      <c r="F128" s="15"/>
      <c r="G128" s="15"/>
      <c r="H128" s="12"/>
      <c r="I128" s="12"/>
      <c r="J128" s="15"/>
      <c r="K128" s="12"/>
    </row>
    <row r="129" spans="1:11">
      <c r="A129" s="12"/>
      <c r="B129" s="12"/>
      <c r="C129" s="15"/>
      <c r="D129" s="15"/>
      <c r="E129" s="15"/>
      <c r="F129" s="15"/>
      <c r="G129" s="15"/>
      <c r="H129" s="12"/>
      <c r="I129" s="12"/>
      <c r="J129" s="15"/>
      <c r="K129" s="12"/>
    </row>
    <row r="130" spans="1:11">
      <c r="A130" s="12"/>
      <c r="B130" s="12"/>
      <c r="C130" s="15"/>
      <c r="D130" s="15"/>
      <c r="E130" s="15"/>
      <c r="F130" s="15"/>
      <c r="G130" s="15"/>
      <c r="H130" s="12"/>
      <c r="I130" s="12"/>
      <c r="J130" s="15"/>
      <c r="K130" s="12"/>
    </row>
    <row r="131" spans="1:11">
      <c r="A131" s="12"/>
      <c r="B131" s="12"/>
      <c r="C131" s="15"/>
      <c r="D131" s="15"/>
      <c r="E131" s="15"/>
      <c r="F131" s="15"/>
      <c r="G131" s="15"/>
      <c r="H131" s="12"/>
      <c r="I131" s="12"/>
      <c r="J131" s="15"/>
      <c r="K131" s="12"/>
    </row>
    <row r="132" spans="1:11">
      <c r="A132" s="12"/>
      <c r="B132" s="12"/>
      <c r="C132" s="15"/>
      <c r="D132" s="15"/>
      <c r="E132" s="15"/>
      <c r="F132" s="15"/>
      <c r="G132" s="15"/>
      <c r="H132" s="12"/>
      <c r="I132" s="12"/>
      <c r="J132" s="15"/>
      <c r="K132" s="12"/>
    </row>
    <row r="133" spans="1:11">
      <c r="A133" s="12"/>
      <c r="B133" s="12"/>
      <c r="C133" s="15"/>
      <c r="D133" s="15"/>
      <c r="E133" s="15"/>
      <c r="F133" s="15"/>
      <c r="G133" s="15"/>
      <c r="H133" s="12"/>
      <c r="I133" s="12"/>
      <c r="J133" s="15"/>
      <c r="K133" s="12"/>
    </row>
    <row r="134" spans="1:11">
      <c r="A134" s="12"/>
      <c r="B134" s="12"/>
      <c r="C134" s="15"/>
      <c r="D134" s="15"/>
      <c r="E134" s="15"/>
      <c r="F134" s="15"/>
      <c r="G134" s="15"/>
      <c r="H134" s="12"/>
      <c r="I134" s="12"/>
      <c r="J134" s="15"/>
      <c r="K134" s="12"/>
    </row>
    <row r="135" spans="1:11">
      <c r="A135" s="12"/>
      <c r="B135" s="12"/>
      <c r="C135" s="15"/>
      <c r="D135" s="15"/>
      <c r="E135" s="15"/>
      <c r="F135" s="15"/>
      <c r="G135" s="15"/>
      <c r="H135" s="12"/>
      <c r="I135" s="12"/>
      <c r="J135" s="15"/>
      <c r="K135" s="12"/>
    </row>
    <row r="136" spans="1:11">
      <c r="A136" s="12"/>
      <c r="B136" s="12"/>
      <c r="C136" s="15"/>
      <c r="D136" s="15"/>
      <c r="E136" s="15"/>
      <c r="F136" s="15"/>
      <c r="G136" s="15"/>
      <c r="H136" s="12"/>
      <c r="I136" s="12"/>
      <c r="J136" s="15"/>
      <c r="K136" s="12"/>
    </row>
    <row r="137" spans="1:11">
      <c r="A137" s="12"/>
      <c r="B137" s="12"/>
      <c r="C137" s="15"/>
      <c r="D137" s="15"/>
      <c r="E137" s="15"/>
      <c r="F137" s="15"/>
      <c r="G137" s="15"/>
      <c r="H137" s="12"/>
      <c r="I137" s="12"/>
      <c r="J137" s="15"/>
      <c r="K137" s="12"/>
    </row>
    <row r="138" spans="1:11">
      <c r="A138" s="12"/>
      <c r="B138" s="12"/>
      <c r="C138" s="15"/>
      <c r="D138" s="15"/>
      <c r="E138" s="15"/>
      <c r="F138" s="15"/>
      <c r="G138" s="15"/>
      <c r="H138" s="12"/>
      <c r="I138" s="12"/>
      <c r="J138" s="15"/>
      <c r="K138" s="12"/>
    </row>
    <row r="139" spans="1:11">
      <c r="A139" s="12"/>
      <c r="B139" s="12"/>
      <c r="C139" s="15"/>
      <c r="D139" s="15"/>
      <c r="E139" s="15"/>
      <c r="F139" s="15"/>
      <c r="G139" s="15"/>
      <c r="H139" s="12"/>
      <c r="I139" s="12"/>
      <c r="J139" s="15"/>
      <c r="K139" s="12"/>
    </row>
    <row r="140" spans="1:11">
      <c r="A140" s="12"/>
      <c r="B140" s="12"/>
      <c r="C140" s="15"/>
      <c r="D140" s="15"/>
      <c r="E140" s="15"/>
      <c r="F140" s="15"/>
      <c r="G140" s="15"/>
      <c r="H140" s="12"/>
      <c r="I140" s="12"/>
      <c r="J140" s="15"/>
      <c r="K140" s="12"/>
    </row>
    <row r="141" spans="1:11">
      <c r="A141" s="12"/>
      <c r="B141" s="12"/>
      <c r="C141" s="15"/>
      <c r="D141" s="15"/>
      <c r="E141" s="15"/>
      <c r="F141" s="15"/>
      <c r="G141" s="15"/>
      <c r="H141" s="12"/>
      <c r="I141" s="12"/>
      <c r="J141" s="15"/>
      <c r="K141" s="12"/>
    </row>
    <row r="142" spans="1:11">
      <c r="A142" s="12"/>
      <c r="B142" s="12"/>
      <c r="C142" s="15"/>
      <c r="D142" s="15"/>
      <c r="E142" s="15"/>
      <c r="F142" s="15"/>
      <c r="G142" s="15"/>
      <c r="H142" s="12"/>
      <c r="I142" s="12"/>
      <c r="J142" s="15"/>
      <c r="K142" s="12"/>
    </row>
    <row r="143" spans="1:11">
      <c r="A143" s="12"/>
      <c r="B143" s="12"/>
      <c r="C143" s="15"/>
      <c r="D143" s="15"/>
      <c r="E143" s="15"/>
      <c r="F143" s="15"/>
      <c r="G143" s="15"/>
      <c r="H143" s="12"/>
      <c r="I143" s="12"/>
      <c r="J143" s="15"/>
      <c r="K143" s="12"/>
    </row>
    <row r="144" spans="1:11">
      <c r="A144" s="12"/>
      <c r="B144" s="12"/>
      <c r="C144" s="15"/>
      <c r="D144" s="15"/>
      <c r="E144" s="15"/>
      <c r="F144" s="15"/>
      <c r="G144" s="15"/>
      <c r="H144" s="12"/>
      <c r="I144" s="12"/>
      <c r="J144" s="15"/>
      <c r="K144" s="12"/>
    </row>
    <row r="145" spans="1:11">
      <c r="A145" s="12"/>
      <c r="B145" s="12"/>
      <c r="C145" s="15"/>
      <c r="D145" s="15"/>
      <c r="E145" s="15"/>
      <c r="F145" s="15"/>
      <c r="G145" s="15"/>
      <c r="H145" s="12"/>
      <c r="I145" s="12"/>
      <c r="J145" s="15"/>
      <c r="K145" s="12"/>
    </row>
    <row r="146" spans="1:11">
      <c r="A146" s="12"/>
      <c r="B146" s="12"/>
      <c r="C146" s="15"/>
      <c r="D146" s="15"/>
      <c r="E146" s="15"/>
      <c r="F146" s="15"/>
      <c r="G146" s="15"/>
      <c r="H146" s="12"/>
      <c r="I146" s="12"/>
      <c r="J146" s="15"/>
      <c r="K146" s="12"/>
    </row>
    <row r="147" spans="1:11">
      <c r="A147" s="12"/>
      <c r="B147" s="12"/>
      <c r="C147" s="15"/>
      <c r="D147" s="15"/>
      <c r="E147" s="15"/>
      <c r="F147" s="15"/>
      <c r="G147" s="15"/>
      <c r="H147" s="12"/>
      <c r="I147" s="12"/>
      <c r="J147" s="15"/>
      <c r="K147" s="12"/>
    </row>
    <row r="148" spans="1:11">
      <c r="A148" s="12"/>
      <c r="B148" s="12"/>
      <c r="C148" s="15"/>
      <c r="D148" s="15"/>
      <c r="E148" s="15"/>
      <c r="F148" s="15"/>
      <c r="G148" s="15"/>
      <c r="H148" s="12"/>
      <c r="I148" s="12"/>
      <c r="J148" s="15"/>
      <c r="K148" s="12"/>
    </row>
    <row r="149" spans="1:11">
      <c r="A149" s="12"/>
      <c r="B149" s="12"/>
      <c r="C149" s="15"/>
      <c r="D149" s="15"/>
      <c r="E149" s="15"/>
      <c r="F149" s="15"/>
      <c r="G149" s="15"/>
      <c r="H149" s="12"/>
      <c r="I149" s="12"/>
      <c r="J149" s="15"/>
      <c r="K149" s="12"/>
    </row>
    <row r="150" spans="1:11">
      <c r="A150" s="12"/>
      <c r="B150" s="12"/>
      <c r="C150" s="15"/>
      <c r="D150" s="15"/>
      <c r="E150" s="15"/>
      <c r="F150" s="15"/>
      <c r="G150" s="15"/>
      <c r="H150" s="12"/>
      <c r="I150" s="12"/>
      <c r="J150" s="15"/>
      <c r="K150" s="12"/>
    </row>
    <row r="151" spans="1:11">
      <c r="A151" s="12"/>
      <c r="B151" s="12"/>
      <c r="C151" s="15"/>
      <c r="D151" s="15"/>
      <c r="E151" s="15"/>
      <c r="F151" s="15"/>
      <c r="G151" s="15"/>
      <c r="H151" s="12"/>
      <c r="I151" s="12"/>
      <c r="J151" s="15"/>
      <c r="K151" s="12"/>
    </row>
    <row r="152" spans="1:11">
      <c r="A152" s="12"/>
      <c r="B152" s="12"/>
      <c r="C152" s="15"/>
      <c r="D152" s="15"/>
      <c r="E152" s="15"/>
      <c r="F152" s="15"/>
      <c r="G152" s="15"/>
      <c r="H152" s="12"/>
      <c r="I152" s="12"/>
      <c r="J152" s="15"/>
      <c r="K152" s="12"/>
    </row>
    <row r="153" spans="1:11">
      <c r="A153" s="12"/>
      <c r="B153" s="12"/>
      <c r="C153" s="15"/>
      <c r="D153" s="15"/>
      <c r="E153" s="15"/>
      <c r="F153" s="15"/>
      <c r="G153" s="15"/>
      <c r="H153" s="12"/>
      <c r="I153" s="12"/>
      <c r="J153" s="15"/>
      <c r="K153" s="12"/>
    </row>
    <row r="154" spans="1:11">
      <c r="A154" s="12"/>
      <c r="B154" s="12"/>
      <c r="C154" s="15"/>
      <c r="D154" s="15"/>
      <c r="E154" s="15"/>
      <c r="F154" s="15"/>
      <c r="G154" s="15"/>
      <c r="H154" s="12"/>
      <c r="I154" s="12"/>
      <c r="J154" s="15"/>
      <c r="K154" s="12"/>
    </row>
    <row r="155" spans="1:11">
      <c r="A155" s="12"/>
      <c r="B155" s="12"/>
      <c r="C155" s="15"/>
      <c r="D155" s="15"/>
      <c r="E155" s="15"/>
      <c r="F155" s="15"/>
      <c r="G155" s="15"/>
      <c r="H155" s="12"/>
      <c r="I155" s="12"/>
      <c r="J155" s="15"/>
      <c r="K155" s="12"/>
    </row>
    <row r="156" spans="1:11">
      <c r="A156" s="12"/>
      <c r="B156" s="12"/>
      <c r="C156" s="15"/>
      <c r="D156" s="15"/>
      <c r="E156" s="15"/>
      <c r="F156" s="15"/>
      <c r="G156" s="15"/>
      <c r="H156" s="12"/>
      <c r="I156" s="12"/>
      <c r="J156" s="15"/>
      <c r="K156" s="12"/>
    </row>
    <row r="157" spans="1:11">
      <c r="A157" s="12"/>
      <c r="B157" s="12"/>
      <c r="C157" s="15"/>
      <c r="D157" s="15"/>
      <c r="E157" s="15"/>
      <c r="F157" s="15"/>
      <c r="G157" s="15"/>
      <c r="H157" s="12"/>
      <c r="I157" s="12"/>
      <c r="J157" s="15"/>
      <c r="K157" s="12"/>
    </row>
    <row r="158" spans="1:11">
      <c r="A158" s="12"/>
      <c r="B158" s="12"/>
      <c r="C158" s="15"/>
      <c r="D158" s="15"/>
      <c r="E158" s="15"/>
      <c r="F158" s="15"/>
      <c r="G158" s="15"/>
      <c r="H158" s="12"/>
      <c r="I158" s="12"/>
      <c r="J158" s="15"/>
      <c r="K158" s="12"/>
    </row>
    <row r="159" spans="1:11">
      <c r="A159" s="12"/>
      <c r="B159" s="12"/>
      <c r="C159" s="15"/>
      <c r="D159" s="15"/>
      <c r="E159" s="15"/>
      <c r="F159" s="15"/>
      <c r="G159" s="15"/>
      <c r="H159" s="12"/>
      <c r="I159" s="12"/>
      <c r="J159" s="15"/>
      <c r="K159" s="12"/>
    </row>
    <row r="160" spans="1:11">
      <c r="A160" s="12"/>
      <c r="B160" s="12"/>
      <c r="C160" s="15"/>
      <c r="D160" s="15"/>
      <c r="E160" s="15"/>
      <c r="F160" s="15"/>
      <c r="G160" s="15"/>
      <c r="H160" s="12"/>
      <c r="I160" s="12"/>
      <c r="J160" s="15"/>
      <c r="K160" s="12"/>
    </row>
    <row r="161" spans="1:11">
      <c r="A161" s="12"/>
      <c r="B161" s="12"/>
      <c r="C161" s="15"/>
      <c r="D161" s="15"/>
      <c r="E161" s="15"/>
      <c r="F161" s="15"/>
      <c r="G161" s="15"/>
      <c r="H161" s="12"/>
      <c r="I161" s="12"/>
      <c r="J161" s="15"/>
      <c r="K161" s="12"/>
    </row>
    <row r="162" spans="1:11">
      <c r="A162" s="12"/>
      <c r="B162" s="12"/>
      <c r="C162" s="15"/>
      <c r="D162" s="15"/>
      <c r="E162" s="15"/>
      <c r="F162" s="15"/>
      <c r="G162" s="15"/>
      <c r="H162" s="12"/>
      <c r="I162" s="12"/>
      <c r="J162" s="15"/>
      <c r="K162" s="12"/>
    </row>
    <row r="163" spans="1:11">
      <c r="A163" s="12"/>
      <c r="B163" s="12"/>
      <c r="C163" s="15"/>
      <c r="D163" s="15"/>
      <c r="E163" s="15"/>
      <c r="F163" s="15"/>
      <c r="G163" s="15"/>
      <c r="H163" s="12"/>
      <c r="I163" s="12"/>
      <c r="J163" s="15"/>
      <c r="K163" s="12"/>
    </row>
    <row r="164" spans="1:11">
      <c r="A164" s="12"/>
      <c r="B164" s="12"/>
      <c r="C164" s="15"/>
      <c r="D164" s="15"/>
      <c r="E164" s="15"/>
      <c r="F164" s="15"/>
      <c r="G164" s="15"/>
      <c r="H164" s="12"/>
      <c r="I164" s="12"/>
      <c r="J164" s="15"/>
      <c r="K164" s="12"/>
    </row>
    <row r="165" spans="1:11">
      <c r="A165" s="12"/>
      <c r="B165" s="12"/>
      <c r="C165" s="15"/>
      <c r="D165" s="15"/>
      <c r="E165" s="15"/>
      <c r="F165" s="15"/>
      <c r="G165" s="15"/>
      <c r="H165" s="12"/>
      <c r="I165" s="12"/>
      <c r="J165" s="15"/>
      <c r="K165" s="12"/>
    </row>
    <row r="166" spans="1:11">
      <c r="A166" s="12"/>
      <c r="B166" s="12"/>
      <c r="C166" s="15"/>
      <c r="D166" s="15"/>
      <c r="E166" s="15"/>
      <c r="F166" s="15"/>
      <c r="G166" s="15"/>
      <c r="H166" s="12"/>
      <c r="I166" s="12"/>
      <c r="J166" s="15"/>
      <c r="K166" s="12"/>
    </row>
    <row r="167" spans="1:11">
      <c r="A167" s="12"/>
      <c r="B167" s="12"/>
      <c r="C167" s="15"/>
      <c r="D167" s="15"/>
      <c r="E167" s="15"/>
      <c r="F167" s="15"/>
      <c r="G167" s="15"/>
      <c r="H167" s="12"/>
      <c r="I167" s="12"/>
      <c r="J167" s="15"/>
      <c r="K167" s="12"/>
    </row>
    <row r="168" spans="1:11">
      <c r="A168" s="12"/>
      <c r="B168" s="12"/>
      <c r="C168" s="15"/>
      <c r="D168" s="15"/>
      <c r="E168" s="15"/>
      <c r="F168" s="15"/>
      <c r="G168" s="15"/>
      <c r="H168" s="12"/>
      <c r="I168" s="12"/>
      <c r="J168" s="15"/>
      <c r="K168" s="12"/>
    </row>
    <row r="169" spans="1:11">
      <c r="A169" s="12"/>
      <c r="B169" s="12"/>
      <c r="C169" s="15"/>
      <c r="D169" s="15"/>
      <c r="E169" s="15"/>
      <c r="F169" s="15"/>
      <c r="G169" s="15"/>
      <c r="H169" s="12"/>
      <c r="I169" s="12"/>
      <c r="J169" s="15"/>
      <c r="K169" s="12"/>
    </row>
    <row r="170" spans="1:11">
      <c r="A170" s="12"/>
      <c r="B170" s="12"/>
      <c r="C170" s="15"/>
      <c r="D170" s="15"/>
      <c r="E170" s="15"/>
      <c r="F170" s="15"/>
      <c r="G170" s="15"/>
      <c r="H170" s="12"/>
      <c r="I170" s="12"/>
      <c r="J170" s="15"/>
      <c r="K170" s="12"/>
    </row>
    <row r="171" spans="1:11">
      <c r="A171" s="12"/>
      <c r="B171" s="12"/>
      <c r="C171" s="15"/>
      <c r="D171" s="15"/>
      <c r="E171" s="15"/>
      <c r="F171" s="15"/>
      <c r="G171" s="15"/>
      <c r="H171" s="12"/>
      <c r="I171" s="12"/>
      <c r="J171" s="15"/>
      <c r="K171" s="12"/>
    </row>
    <row r="172" spans="1:11">
      <c r="A172" s="12"/>
      <c r="B172" s="12"/>
      <c r="C172" s="15"/>
      <c r="D172" s="15"/>
      <c r="E172" s="15"/>
      <c r="F172" s="15"/>
      <c r="G172" s="15"/>
      <c r="H172" s="12"/>
      <c r="I172" s="12"/>
      <c r="J172" s="15"/>
      <c r="K172" s="12"/>
    </row>
    <row r="173" spans="1:11">
      <c r="A173" s="12"/>
      <c r="B173" s="12"/>
      <c r="C173" s="15"/>
      <c r="D173" s="15"/>
      <c r="E173" s="15"/>
      <c r="F173" s="15"/>
      <c r="G173" s="15"/>
      <c r="H173" s="12"/>
      <c r="I173" s="12"/>
      <c r="J173" s="15"/>
      <c r="K173" s="12"/>
    </row>
    <row r="174" spans="1:11">
      <c r="A174" s="12"/>
      <c r="B174" s="12"/>
      <c r="C174" s="15"/>
      <c r="D174" s="15"/>
      <c r="E174" s="15"/>
      <c r="F174" s="15"/>
      <c r="G174" s="15"/>
      <c r="H174" s="12"/>
      <c r="I174" s="12"/>
      <c r="J174" s="15"/>
      <c r="K174" s="12"/>
    </row>
    <row r="175" spans="1:11">
      <c r="A175" s="12"/>
      <c r="B175" s="12"/>
      <c r="C175" s="15"/>
      <c r="D175" s="15"/>
      <c r="E175" s="15"/>
      <c r="F175" s="15"/>
      <c r="G175" s="15"/>
      <c r="H175" s="12"/>
      <c r="I175" s="12"/>
      <c r="J175" s="15"/>
      <c r="K175" s="12"/>
    </row>
    <row r="176" spans="1:11">
      <c r="A176" s="12"/>
      <c r="B176" s="12"/>
      <c r="C176" s="15"/>
      <c r="D176" s="15"/>
      <c r="E176" s="15"/>
      <c r="F176" s="15"/>
      <c r="G176" s="15"/>
      <c r="H176" s="12"/>
      <c r="I176" s="12"/>
      <c r="J176" s="15"/>
      <c r="K176" s="12"/>
    </row>
    <row r="177" spans="1:11">
      <c r="A177" s="12"/>
      <c r="B177" s="12"/>
      <c r="C177" s="15"/>
      <c r="D177" s="15"/>
      <c r="E177" s="15"/>
      <c r="F177" s="15"/>
      <c r="G177" s="15"/>
      <c r="H177" s="12"/>
      <c r="I177" s="12"/>
      <c r="J177" s="15"/>
      <c r="K177" s="12"/>
    </row>
    <row r="178" spans="1:11">
      <c r="A178" s="12"/>
      <c r="B178" s="12"/>
      <c r="C178" s="15"/>
      <c r="D178" s="15"/>
      <c r="E178" s="15"/>
      <c r="F178" s="15"/>
      <c r="G178" s="15"/>
      <c r="H178" s="12"/>
      <c r="I178" s="12"/>
      <c r="J178" s="15"/>
      <c r="K178" s="12"/>
    </row>
    <row r="179" spans="1:11">
      <c r="A179" s="12"/>
      <c r="B179" s="12"/>
      <c r="C179" s="15"/>
      <c r="D179" s="15"/>
      <c r="E179" s="15"/>
      <c r="F179" s="15"/>
      <c r="G179" s="15"/>
      <c r="H179" s="12"/>
      <c r="I179" s="12"/>
      <c r="J179" s="15"/>
      <c r="K179" s="12"/>
    </row>
    <row r="180" spans="1:11">
      <c r="A180" s="12"/>
      <c r="B180" s="12"/>
      <c r="C180" s="15"/>
      <c r="D180" s="15"/>
      <c r="E180" s="15"/>
      <c r="F180" s="15"/>
      <c r="G180" s="15"/>
      <c r="H180" s="12"/>
      <c r="I180" s="12"/>
      <c r="J180" s="15"/>
      <c r="K180" s="12"/>
    </row>
    <row r="181" spans="1:11">
      <c r="A181" s="12"/>
      <c r="B181" s="12"/>
      <c r="C181" s="15"/>
      <c r="D181" s="15"/>
      <c r="E181" s="15"/>
      <c r="F181" s="15"/>
      <c r="G181" s="15"/>
      <c r="H181" s="12"/>
      <c r="I181" s="12"/>
      <c r="J181" s="15"/>
      <c r="K181" s="12"/>
    </row>
    <row r="182" spans="1:11">
      <c r="A182" s="12"/>
      <c r="B182" s="12"/>
      <c r="C182" s="15"/>
      <c r="D182" s="15"/>
      <c r="E182" s="15"/>
      <c r="F182" s="15"/>
      <c r="G182" s="15"/>
      <c r="H182" s="12"/>
      <c r="I182" s="12"/>
      <c r="J182" s="15"/>
      <c r="K182" s="12"/>
    </row>
    <row r="183" spans="1:11">
      <c r="A183" s="12"/>
      <c r="B183" s="12"/>
      <c r="C183" s="15"/>
      <c r="D183" s="15"/>
      <c r="E183" s="15"/>
      <c r="F183" s="15"/>
      <c r="G183" s="15"/>
      <c r="H183" s="12"/>
      <c r="I183" s="12"/>
      <c r="J183" s="15"/>
      <c r="K183" s="12"/>
    </row>
    <row r="184" spans="1:11">
      <c r="A184" s="12"/>
      <c r="B184" s="12"/>
      <c r="C184" s="15"/>
      <c r="D184" s="15"/>
      <c r="E184" s="15"/>
      <c r="F184" s="15"/>
      <c r="G184" s="15"/>
      <c r="H184" s="12"/>
      <c r="I184" s="12"/>
      <c r="J184" s="15"/>
      <c r="K184" s="12"/>
    </row>
    <row r="185" spans="1:11">
      <c r="A185" s="12"/>
      <c r="B185" s="12"/>
      <c r="C185" s="15"/>
      <c r="D185" s="15"/>
      <c r="E185" s="15"/>
      <c r="F185" s="15"/>
      <c r="G185" s="15"/>
      <c r="H185" s="12"/>
      <c r="I185" s="12"/>
      <c r="J185" s="15"/>
      <c r="K185" s="12"/>
    </row>
    <row r="186" spans="1:11">
      <c r="A186" s="12"/>
      <c r="B186" s="12"/>
      <c r="C186" s="15"/>
      <c r="D186" s="15"/>
      <c r="E186" s="15"/>
      <c r="F186" s="15"/>
      <c r="G186" s="15"/>
      <c r="H186" s="12"/>
      <c r="I186" s="12"/>
      <c r="J186" s="15"/>
      <c r="K186" s="12"/>
    </row>
    <row r="187" spans="1:11">
      <c r="A187" s="12"/>
      <c r="B187" s="12"/>
      <c r="C187" s="15"/>
      <c r="D187" s="15"/>
      <c r="E187" s="15"/>
      <c r="F187" s="15"/>
      <c r="G187" s="15"/>
      <c r="H187" s="12"/>
      <c r="I187" s="12"/>
      <c r="J187" s="15"/>
      <c r="K187" s="12"/>
    </row>
    <row r="188" spans="1:11">
      <c r="A188" s="12"/>
      <c r="B188" s="12"/>
      <c r="C188" s="15"/>
      <c r="D188" s="15"/>
      <c r="E188" s="15"/>
      <c r="F188" s="15"/>
      <c r="G188" s="15"/>
      <c r="H188" s="12"/>
      <c r="I188" s="12"/>
      <c r="J188" s="15"/>
      <c r="K188" s="12"/>
    </row>
    <row r="189" spans="1:11">
      <c r="A189" s="12"/>
      <c r="B189" s="12"/>
      <c r="C189" s="15"/>
      <c r="D189" s="15"/>
      <c r="E189" s="15"/>
      <c r="F189" s="15"/>
      <c r="G189" s="15"/>
      <c r="H189" s="12"/>
      <c r="I189" s="12"/>
      <c r="J189" s="15"/>
      <c r="K189" s="12"/>
    </row>
    <row r="190" spans="1:11">
      <c r="A190" s="12"/>
      <c r="B190" s="12"/>
      <c r="C190" s="15"/>
      <c r="D190" s="15"/>
      <c r="E190" s="15"/>
      <c r="F190" s="15"/>
      <c r="G190" s="15"/>
      <c r="H190" s="12"/>
      <c r="I190" s="12"/>
      <c r="J190" s="15"/>
      <c r="K190" s="12"/>
    </row>
    <row r="191" spans="1:11">
      <c r="A191" s="12"/>
      <c r="B191" s="12"/>
      <c r="C191" s="15"/>
      <c r="D191" s="15"/>
      <c r="E191" s="15"/>
      <c r="F191" s="15"/>
      <c r="G191" s="15"/>
      <c r="H191" s="12"/>
      <c r="I191" s="12"/>
      <c r="J191" s="15"/>
      <c r="K191" s="12"/>
    </row>
    <row r="192" spans="1:11">
      <c r="A192" s="12"/>
      <c r="B192" s="12"/>
      <c r="C192" s="15"/>
      <c r="D192" s="15"/>
      <c r="E192" s="15"/>
      <c r="F192" s="15"/>
      <c r="G192" s="15"/>
      <c r="H192" s="12"/>
      <c r="I192" s="12"/>
      <c r="J192" s="15"/>
      <c r="K192" s="12"/>
    </row>
    <row r="193" spans="1:11">
      <c r="A193" s="12"/>
      <c r="B193" s="12"/>
      <c r="C193" s="15"/>
      <c r="D193" s="15"/>
      <c r="E193" s="15"/>
      <c r="F193" s="15"/>
      <c r="G193" s="15"/>
      <c r="H193" s="12"/>
      <c r="I193" s="12"/>
      <c r="J193" s="15"/>
      <c r="K193" s="12"/>
    </row>
    <row r="194" spans="1:11">
      <c r="A194" s="12"/>
      <c r="B194" s="12"/>
      <c r="C194" s="15"/>
      <c r="D194" s="15"/>
      <c r="E194" s="15"/>
      <c r="F194" s="15"/>
      <c r="G194" s="15"/>
      <c r="H194" s="12"/>
      <c r="I194" s="12"/>
      <c r="J194" s="15"/>
      <c r="K194" s="12"/>
    </row>
    <row r="195" spans="1:11">
      <c r="A195" s="12"/>
      <c r="B195" s="12"/>
      <c r="C195" s="15"/>
      <c r="D195" s="15"/>
      <c r="E195" s="15"/>
      <c r="F195" s="15"/>
      <c r="G195" s="15"/>
      <c r="H195" s="12"/>
      <c r="I195" s="12"/>
      <c r="J195" s="15"/>
      <c r="K195" s="12"/>
    </row>
    <row r="196" spans="1:11">
      <c r="A196" s="12"/>
      <c r="B196" s="12"/>
      <c r="C196" s="15"/>
      <c r="D196" s="15"/>
      <c r="E196" s="15"/>
      <c r="F196" s="15"/>
      <c r="G196" s="15"/>
      <c r="H196" s="12"/>
      <c r="I196" s="12"/>
      <c r="J196" s="15"/>
      <c r="K196" s="12"/>
    </row>
    <row r="197" spans="1:11">
      <c r="A197" s="12"/>
      <c r="B197" s="12"/>
      <c r="C197" s="15"/>
      <c r="D197" s="15"/>
      <c r="E197" s="15"/>
      <c r="F197" s="15"/>
      <c r="G197" s="15"/>
      <c r="H197" s="12"/>
      <c r="I197" s="12"/>
      <c r="J197" s="15"/>
      <c r="K197" s="12"/>
    </row>
    <row r="198" spans="1:11">
      <c r="A198" s="12"/>
      <c r="B198" s="12"/>
      <c r="C198" s="15"/>
      <c r="D198" s="15"/>
      <c r="E198" s="15"/>
      <c r="F198" s="15"/>
      <c r="G198" s="15"/>
      <c r="H198" s="12"/>
      <c r="I198" s="12"/>
      <c r="J198" s="15"/>
      <c r="K198" s="12"/>
    </row>
    <row r="199" spans="1:11">
      <c r="A199" s="12"/>
      <c r="B199" s="12"/>
      <c r="C199" s="15"/>
      <c r="D199" s="15"/>
      <c r="E199" s="15"/>
      <c r="F199" s="15"/>
      <c r="G199" s="15"/>
      <c r="H199" s="12"/>
      <c r="I199" s="12"/>
      <c r="J199" s="15"/>
      <c r="K199" s="12"/>
    </row>
    <row r="200" spans="1:11">
      <c r="A200" s="12"/>
      <c r="B200" s="12"/>
      <c r="C200" s="15"/>
      <c r="D200" s="15"/>
      <c r="E200" s="15"/>
      <c r="F200" s="15"/>
      <c r="G200" s="15"/>
      <c r="H200" s="12"/>
      <c r="I200" s="12"/>
      <c r="J200" s="15"/>
      <c r="K200" s="12"/>
    </row>
    <row r="201" spans="1:11">
      <c r="A201" s="12"/>
      <c r="B201" s="12"/>
      <c r="C201" s="15"/>
      <c r="D201" s="15"/>
      <c r="E201" s="15"/>
      <c r="F201" s="15"/>
      <c r="G201" s="15"/>
      <c r="H201" s="12"/>
      <c r="I201" s="12"/>
      <c r="J201" s="15"/>
      <c r="K201" s="12"/>
    </row>
    <row r="202" spans="1:11">
      <c r="A202" s="12"/>
      <c r="B202" s="12"/>
      <c r="C202" s="15"/>
      <c r="D202" s="15"/>
      <c r="E202" s="15"/>
      <c r="F202" s="15"/>
      <c r="G202" s="15"/>
      <c r="H202" s="12"/>
      <c r="I202" s="12"/>
      <c r="J202" s="15"/>
      <c r="K202" s="12"/>
    </row>
    <row r="203" spans="1:11">
      <c r="A203" s="12"/>
      <c r="B203" s="12"/>
      <c r="C203" s="15"/>
      <c r="D203" s="15"/>
      <c r="E203" s="15"/>
      <c r="F203" s="15"/>
      <c r="G203" s="15"/>
      <c r="H203" s="12"/>
      <c r="I203" s="12"/>
      <c r="J203" s="15"/>
      <c r="K203" s="12"/>
    </row>
    <row r="204" spans="1:11">
      <c r="A204" s="12"/>
      <c r="B204" s="12"/>
      <c r="C204" s="15"/>
      <c r="D204" s="15"/>
      <c r="E204" s="15"/>
      <c r="F204" s="15"/>
      <c r="G204" s="15"/>
      <c r="H204" s="12"/>
      <c r="I204" s="12"/>
      <c r="J204" s="15"/>
      <c r="K204" s="12"/>
    </row>
    <row r="205" spans="1:11">
      <c r="A205" s="12"/>
      <c r="B205" s="12"/>
      <c r="C205" s="15"/>
      <c r="D205" s="15"/>
      <c r="E205" s="15"/>
      <c r="F205" s="15"/>
      <c r="G205" s="15"/>
      <c r="H205" s="12"/>
      <c r="I205" s="12"/>
      <c r="J205" s="15"/>
      <c r="K205" s="12"/>
    </row>
    <row r="206" spans="1:11">
      <c r="A206" s="12"/>
      <c r="B206" s="12"/>
      <c r="C206" s="15"/>
      <c r="D206" s="15"/>
      <c r="E206" s="15"/>
      <c r="F206" s="15"/>
      <c r="G206" s="15"/>
      <c r="H206" s="12"/>
      <c r="I206" s="12"/>
      <c r="J206" s="15"/>
      <c r="K206" s="12"/>
    </row>
    <row r="207" spans="1:11">
      <c r="A207" s="12"/>
      <c r="B207" s="12"/>
      <c r="C207" s="15"/>
      <c r="D207" s="15"/>
      <c r="E207" s="15"/>
      <c r="F207" s="15"/>
      <c r="G207" s="15"/>
      <c r="H207" s="12"/>
      <c r="I207" s="12"/>
      <c r="J207" s="15"/>
      <c r="K207" s="12"/>
    </row>
    <row r="208" spans="1:11">
      <c r="A208" s="12"/>
      <c r="B208" s="12"/>
      <c r="C208" s="15"/>
      <c r="D208" s="15"/>
      <c r="E208" s="15"/>
      <c r="F208" s="15"/>
      <c r="G208" s="15"/>
      <c r="H208" s="12"/>
      <c r="I208" s="12"/>
      <c r="J208" s="15"/>
      <c r="K208" s="12"/>
    </row>
    <row r="209" spans="1:11">
      <c r="A209" s="12"/>
      <c r="B209" s="12"/>
      <c r="C209" s="15"/>
      <c r="D209" s="15"/>
      <c r="E209" s="15"/>
      <c r="F209" s="15"/>
      <c r="G209" s="15"/>
      <c r="H209" s="12"/>
      <c r="I209" s="12"/>
      <c r="J209" s="15"/>
      <c r="K209" s="12"/>
    </row>
    <row r="210" spans="1:11">
      <c r="A210" s="12"/>
      <c r="B210" s="12"/>
      <c r="C210" s="15"/>
      <c r="D210" s="15"/>
      <c r="E210" s="15"/>
      <c r="F210" s="15"/>
      <c r="G210" s="15"/>
      <c r="H210" s="12"/>
      <c r="I210" s="12"/>
      <c r="J210" s="15"/>
      <c r="K210" s="12"/>
    </row>
    <row r="211" spans="1:11">
      <c r="A211" s="12"/>
      <c r="B211" s="12"/>
      <c r="C211" s="15"/>
      <c r="D211" s="15"/>
      <c r="E211" s="15"/>
      <c r="F211" s="15"/>
      <c r="G211" s="15"/>
      <c r="H211" s="12"/>
      <c r="I211" s="12"/>
      <c r="J211" s="15"/>
      <c r="K211" s="12"/>
    </row>
    <row r="212" spans="1:11">
      <c r="A212" s="12"/>
      <c r="B212" s="12"/>
      <c r="C212" s="15"/>
      <c r="D212" s="15"/>
      <c r="E212" s="15"/>
      <c r="F212" s="15"/>
      <c r="G212" s="15"/>
      <c r="H212" s="12"/>
      <c r="I212" s="12"/>
      <c r="J212" s="15"/>
      <c r="K212" s="12"/>
    </row>
    <row r="213" spans="1:11">
      <c r="A213" s="12"/>
      <c r="B213" s="12"/>
      <c r="C213" s="15"/>
      <c r="D213" s="15"/>
      <c r="E213" s="15"/>
      <c r="F213" s="15"/>
      <c r="G213" s="15"/>
      <c r="H213" s="12"/>
      <c r="I213" s="12"/>
      <c r="J213" s="15"/>
      <c r="K213" s="12"/>
    </row>
    <row r="214" spans="1:11">
      <c r="A214" s="12"/>
      <c r="B214" s="12"/>
      <c r="C214" s="15"/>
      <c r="D214" s="15"/>
      <c r="E214" s="15"/>
      <c r="F214" s="15"/>
      <c r="G214" s="15"/>
      <c r="H214" s="12"/>
      <c r="I214" s="12"/>
      <c r="J214" s="15"/>
      <c r="K214" s="12"/>
    </row>
    <row r="215" spans="1:11">
      <c r="A215" s="12"/>
      <c r="B215" s="12"/>
      <c r="C215" s="15"/>
      <c r="D215" s="15"/>
      <c r="E215" s="15"/>
      <c r="F215" s="15"/>
      <c r="G215" s="15"/>
      <c r="H215" s="12"/>
      <c r="I215" s="12"/>
      <c r="J215" s="15"/>
      <c r="K215" s="12"/>
    </row>
    <row r="216" spans="1:11">
      <c r="A216" s="12"/>
      <c r="B216" s="12"/>
      <c r="C216" s="15"/>
      <c r="D216" s="15"/>
      <c r="E216" s="15"/>
      <c r="F216" s="15"/>
      <c r="G216" s="15"/>
      <c r="H216" s="12"/>
      <c r="I216" s="12"/>
      <c r="J216" s="15"/>
      <c r="K216" s="12"/>
    </row>
    <row r="217" spans="1:11">
      <c r="A217" s="12"/>
      <c r="B217" s="12"/>
      <c r="C217" s="15"/>
      <c r="D217" s="15"/>
      <c r="E217" s="15"/>
      <c r="F217" s="15"/>
      <c r="G217" s="15"/>
      <c r="H217" s="12"/>
      <c r="I217" s="12"/>
      <c r="J217" s="15"/>
      <c r="K217" s="12"/>
    </row>
    <row r="218" spans="1:11">
      <c r="A218" s="12"/>
      <c r="B218" s="12"/>
      <c r="C218" s="15"/>
      <c r="D218" s="15"/>
      <c r="E218" s="15"/>
      <c r="F218" s="15"/>
      <c r="G218" s="15"/>
      <c r="H218" s="12"/>
      <c r="I218" s="12"/>
      <c r="J218" s="15"/>
      <c r="K218" s="12"/>
    </row>
    <row r="219" spans="1:11">
      <c r="A219" s="12"/>
      <c r="B219" s="12"/>
      <c r="C219" s="15"/>
      <c r="D219" s="15"/>
      <c r="E219" s="15"/>
      <c r="F219" s="15"/>
      <c r="G219" s="15"/>
      <c r="H219" s="12"/>
      <c r="I219" s="12"/>
      <c r="J219" s="15"/>
      <c r="K219" s="12"/>
    </row>
    <row r="220" spans="1:11">
      <c r="A220" s="12"/>
      <c r="B220" s="12"/>
      <c r="C220" s="15"/>
      <c r="D220" s="15"/>
      <c r="E220" s="15"/>
      <c r="F220" s="15"/>
      <c r="G220" s="15"/>
      <c r="H220" s="12"/>
      <c r="I220" s="12"/>
      <c r="J220" s="15"/>
      <c r="K220" s="12"/>
    </row>
    <row r="221" spans="1:11">
      <c r="A221" s="12"/>
      <c r="B221" s="12"/>
      <c r="C221" s="15"/>
      <c r="D221" s="15"/>
      <c r="E221" s="15"/>
      <c r="F221" s="15"/>
      <c r="G221" s="15"/>
      <c r="H221" s="12"/>
      <c r="I221" s="12"/>
      <c r="J221" s="15"/>
      <c r="K221" s="12"/>
    </row>
    <row r="222" spans="1:11">
      <c r="A222" s="12"/>
      <c r="B222" s="12"/>
      <c r="C222" s="15"/>
      <c r="D222" s="15"/>
      <c r="E222" s="15"/>
      <c r="F222" s="15"/>
      <c r="G222" s="15"/>
      <c r="H222" s="12"/>
      <c r="I222" s="12"/>
      <c r="J222" s="15"/>
      <c r="K222" s="12"/>
    </row>
    <row r="223" spans="1:11">
      <c r="A223" s="12"/>
      <c r="B223" s="12"/>
      <c r="C223" s="15"/>
      <c r="D223" s="15"/>
      <c r="E223" s="15"/>
      <c r="F223" s="15"/>
      <c r="G223" s="15"/>
      <c r="H223" s="12"/>
      <c r="I223" s="12"/>
      <c r="J223" s="15"/>
      <c r="K223" s="12"/>
    </row>
    <row r="224" spans="1:11">
      <c r="A224" s="12"/>
      <c r="B224" s="12"/>
      <c r="C224" s="15"/>
      <c r="D224" s="15"/>
      <c r="E224" s="15"/>
      <c r="F224" s="15"/>
      <c r="G224" s="15"/>
      <c r="H224" s="12"/>
      <c r="I224" s="12"/>
      <c r="J224" s="15"/>
      <c r="K224" s="12"/>
    </row>
    <row r="225" spans="1:11">
      <c r="A225" s="12"/>
      <c r="B225" s="12"/>
      <c r="C225" s="15"/>
      <c r="D225" s="15"/>
      <c r="E225" s="15"/>
      <c r="F225" s="15"/>
      <c r="G225" s="15"/>
      <c r="H225" s="12"/>
      <c r="I225" s="12"/>
      <c r="J225" s="15"/>
      <c r="K225" s="12"/>
    </row>
    <row r="226" spans="1:11">
      <c r="A226" s="12"/>
      <c r="B226" s="12"/>
      <c r="C226" s="15"/>
      <c r="D226" s="15"/>
      <c r="E226" s="15"/>
      <c r="F226" s="15"/>
      <c r="G226" s="15"/>
      <c r="H226" s="12"/>
      <c r="I226" s="12"/>
      <c r="J226" s="15"/>
      <c r="K226" s="12"/>
    </row>
    <row r="227" spans="1:11">
      <c r="A227" s="12"/>
      <c r="B227" s="12"/>
      <c r="C227" s="15"/>
      <c r="D227" s="15"/>
      <c r="E227" s="15"/>
      <c r="F227" s="15"/>
      <c r="G227" s="15"/>
      <c r="H227" s="12"/>
      <c r="I227" s="12"/>
      <c r="J227" s="15"/>
      <c r="K227" s="12"/>
    </row>
    <row r="228" spans="1:11">
      <c r="A228" s="12"/>
      <c r="B228" s="12"/>
      <c r="C228" s="15"/>
      <c r="D228" s="15"/>
      <c r="E228" s="15"/>
      <c r="F228" s="15"/>
      <c r="G228" s="15"/>
      <c r="H228" s="12"/>
      <c r="I228" s="12"/>
      <c r="J228" s="15"/>
      <c r="K228" s="12"/>
    </row>
    <row r="229" spans="1:11">
      <c r="A229" s="12"/>
      <c r="B229" s="12"/>
      <c r="C229" s="15"/>
      <c r="D229" s="15"/>
      <c r="E229" s="15"/>
      <c r="F229" s="15"/>
      <c r="G229" s="15"/>
      <c r="H229" s="12"/>
      <c r="I229" s="12"/>
      <c r="J229" s="15"/>
      <c r="K229" s="12"/>
    </row>
    <row r="230" spans="1:11">
      <c r="A230" s="12"/>
      <c r="B230" s="12"/>
      <c r="C230" s="15"/>
      <c r="D230" s="15"/>
      <c r="E230" s="15"/>
      <c r="F230" s="15"/>
      <c r="G230" s="15"/>
      <c r="H230" s="12"/>
      <c r="I230" s="12"/>
      <c r="J230" s="15"/>
      <c r="K230" s="12"/>
    </row>
    <row r="231" spans="1:11">
      <c r="A231" s="12"/>
      <c r="B231" s="12"/>
      <c r="C231" s="15"/>
      <c r="D231" s="15"/>
      <c r="E231" s="15"/>
      <c r="F231" s="15"/>
      <c r="G231" s="15"/>
      <c r="H231" s="12"/>
      <c r="I231" s="12"/>
      <c r="J231" s="15"/>
      <c r="K231" s="12"/>
    </row>
    <row r="232" spans="1:11">
      <c r="A232" s="12"/>
      <c r="B232" s="12"/>
      <c r="C232" s="15"/>
      <c r="D232" s="15"/>
      <c r="E232" s="15"/>
      <c r="F232" s="15"/>
      <c r="G232" s="15"/>
      <c r="H232" s="12"/>
      <c r="I232" s="12"/>
      <c r="J232" s="15"/>
      <c r="K232" s="12"/>
    </row>
    <row r="233" spans="1:11">
      <c r="A233" s="12"/>
      <c r="B233" s="12"/>
      <c r="C233" s="15"/>
      <c r="D233" s="15"/>
      <c r="E233" s="15"/>
      <c r="F233" s="15"/>
      <c r="G233" s="15"/>
      <c r="H233" s="12"/>
      <c r="I233" s="12"/>
      <c r="J233" s="15"/>
      <c r="K233" s="12"/>
    </row>
    <row r="234" spans="1:11">
      <c r="A234" s="12"/>
      <c r="B234" s="12"/>
      <c r="C234" s="15"/>
      <c r="D234" s="15"/>
      <c r="E234" s="15"/>
      <c r="F234" s="15"/>
      <c r="G234" s="15"/>
      <c r="H234" s="12"/>
      <c r="I234" s="12"/>
      <c r="J234" s="15"/>
      <c r="K234" s="12"/>
    </row>
    <row r="235" spans="1:11">
      <c r="A235" s="12"/>
      <c r="B235" s="12"/>
      <c r="C235" s="15"/>
      <c r="D235" s="15"/>
      <c r="E235" s="15"/>
      <c r="F235" s="15"/>
      <c r="G235" s="15"/>
      <c r="H235" s="12"/>
      <c r="I235" s="12"/>
      <c r="J235" s="15"/>
      <c r="K235" s="12"/>
    </row>
    <row r="236" spans="1:11">
      <c r="A236" s="12"/>
      <c r="B236" s="12"/>
      <c r="C236" s="15"/>
      <c r="D236" s="15"/>
      <c r="E236" s="15"/>
      <c r="F236" s="15"/>
      <c r="G236" s="15"/>
      <c r="H236" s="12"/>
      <c r="I236" s="12"/>
      <c r="J236" s="15"/>
      <c r="K236" s="12"/>
    </row>
    <row r="237" spans="1:11">
      <c r="A237" s="12"/>
      <c r="B237" s="12"/>
      <c r="C237" s="15"/>
      <c r="D237" s="15"/>
      <c r="E237" s="15"/>
      <c r="F237" s="15"/>
      <c r="G237" s="15"/>
      <c r="H237" s="12"/>
      <c r="I237" s="12"/>
      <c r="J237" s="15"/>
      <c r="K237" s="12"/>
    </row>
    <row r="238" spans="1:11">
      <c r="A238" s="12"/>
      <c r="B238" s="12"/>
      <c r="C238" s="15"/>
      <c r="D238" s="15"/>
      <c r="E238" s="15"/>
      <c r="F238" s="15"/>
      <c r="G238" s="15"/>
      <c r="H238" s="12"/>
      <c r="I238" s="12"/>
      <c r="J238" s="15"/>
      <c r="K238" s="12"/>
    </row>
    <row r="239" spans="1:11">
      <c r="A239" s="12"/>
      <c r="B239" s="12"/>
      <c r="C239" s="15"/>
      <c r="D239" s="15"/>
      <c r="E239" s="15"/>
      <c r="F239" s="15"/>
      <c r="G239" s="15"/>
      <c r="H239" s="12"/>
      <c r="I239" s="12"/>
      <c r="J239" s="15"/>
      <c r="K239" s="12"/>
    </row>
    <row r="240" spans="1:11">
      <c r="A240" s="12"/>
      <c r="B240" s="12"/>
      <c r="C240" s="15"/>
      <c r="D240" s="15"/>
      <c r="E240" s="15"/>
      <c r="F240" s="15"/>
      <c r="G240" s="15"/>
      <c r="H240" s="12"/>
      <c r="I240" s="12"/>
      <c r="J240" s="15"/>
      <c r="K240" s="12"/>
    </row>
    <row r="241" spans="1:11">
      <c r="A241" s="12"/>
      <c r="B241" s="12"/>
      <c r="C241" s="15"/>
      <c r="D241" s="15"/>
      <c r="E241" s="15"/>
      <c r="F241" s="15"/>
      <c r="G241" s="15"/>
      <c r="H241" s="12"/>
      <c r="I241" s="12"/>
      <c r="J241" s="15"/>
      <c r="K241" s="12"/>
    </row>
    <row r="242" spans="1:11">
      <c r="A242" s="12"/>
      <c r="B242" s="12"/>
      <c r="C242" s="15"/>
      <c r="D242" s="15"/>
      <c r="E242" s="15"/>
      <c r="F242" s="15"/>
      <c r="G242" s="15"/>
      <c r="H242" s="12"/>
      <c r="I242" s="12"/>
      <c r="J242" s="15"/>
      <c r="K242" s="12"/>
    </row>
    <row r="243" spans="1:11">
      <c r="A243" s="12"/>
      <c r="B243" s="12"/>
      <c r="C243" s="15"/>
      <c r="D243" s="15"/>
      <c r="E243" s="15"/>
      <c r="F243" s="15"/>
      <c r="G243" s="15"/>
      <c r="H243" s="12"/>
      <c r="I243" s="12"/>
      <c r="J243" s="15"/>
      <c r="K243" s="12"/>
    </row>
    <row r="244" spans="1:11">
      <c r="A244" s="12"/>
      <c r="B244" s="12"/>
      <c r="C244" s="15"/>
      <c r="D244" s="15"/>
      <c r="E244" s="15"/>
      <c r="F244" s="15"/>
      <c r="G244" s="15"/>
      <c r="H244" s="12"/>
      <c r="I244" s="12"/>
      <c r="J244" s="15"/>
      <c r="K244" s="12"/>
    </row>
    <row r="245" spans="1:11">
      <c r="A245" s="12"/>
      <c r="B245" s="12"/>
      <c r="C245" s="15"/>
      <c r="D245" s="15"/>
      <c r="E245" s="15"/>
      <c r="F245" s="15"/>
      <c r="G245" s="15"/>
      <c r="H245" s="12"/>
      <c r="I245" s="12"/>
      <c r="J245" s="15"/>
      <c r="K245" s="12"/>
    </row>
    <row r="246" spans="1:11">
      <c r="A246" s="12"/>
      <c r="B246" s="12"/>
      <c r="C246" s="15"/>
      <c r="D246" s="15"/>
      <c r="E246" s="15"/>
      <c r="F246" s="15"/>
      <c r="G246" s="15"/>
      <c r="H246" s="12"/>
      <c r="I246" s="12"/>
      <c r="J246" s="15"/>
      <c r="K246" s="12"/>
    </row>
    <row r="247" spans="1:11">
      <c r="A247" s="12"/>
      <c r="B247" s="12"/>
      <c r="C247" s="15"/>
      <c r="D247" s="15"/>
      <c r="E247" s="15"/>
      <c r="F247" s="15"/>
      <c r="G247" s="15"/>
      <c r="H247" s="12"/>
      <c r="I247" s="12"/>
      <c r="J247" s="15"/>
      <c r="K247" s="12"/>
    </row>
    <row r="248" spans="1:11">
      <c r="A248" s="12"/>
      <c r="B248" s="12"/>
      <c r="C248" s="15"/>
      <c r="D248" s="15"/>
      <c r="E248" s="15"/>
      <c r="F248" s="15"/>
      <c r="G248" s="15"/>
      <c r="H248" s="12"/>
      <c r="I248" s="12"/>
      <c r="J248" s="15"/>
      <c r="K248" s="12"/>
    </row>
    <row r="249" spans="1:11">
      <c r="A249" s="12"/>
      <c r="B249" s="12"/>
      <c r="C249" s="15"/>
      <c r="D249" s="15"/>
      <c r="E249" s="15"/>
      <c r="F249" s="15"/>
      <c r="G249" s="15"/>
      <c r="H249" s="12"/>
      <c r="I249" s="12"/>
      <c r="J249" s="15"/>
      <c r="K249" s="12"/>
    </row>
    <row r="250" spans="1:11">
      <c r="A250" s="12"/>
      <c r="B250" s="12"/>
      <c r="C250" s="15"/>
      <c r="D250" s="15"/>
      <c r="E250" s="15"/>
      <c r="F250" s="15"/>
      <c r="G250" s="15"/>
      <c r="H250" s="12"/>
      <c r="I250" s="12"/>
      <c r="J250" s="15"/>
      <c r="K250" s="12"/>
    </row>
    <row r="251" spans="1:11">
      <c r="A251" s="12"/>
      <c r="B251" s="12"/>
      <c r="C251" s="15"/>
      <c r="D251" s="15"/>
      <c r="E251" s="15"/>
      <c r="F251" s="15"/>
      <c r="G251" s="15"/>
      <c r="H251" s="12"/>
      <c r="I251" s="12"/>
      <c r="J251" s="15"/>
      <c r="K251" s="12"/>
    </row>
    <row r="252" spans="1:11">
      <c r="A252" s="12"/>
      <c r="B252" s="12"/>
      <c r="C252" s="15"/>
      <c r="D252" s="15"/>
      <c r="E252" s="15"/>
      <c r="F252" s="15"/>
      <c r="G252" s="15"/>
      <c r="H252" s="12"/>
      <c r="I252" s="12"/>
      <c r="J252" s="15"/>
      <c r="K252" s="12"/>
    </row>
    <row r="253" spans="1:11">
      <c r="A253" s="12"/>
      <c r="B253" s="12"/>
      <c r="C253" s="15"/>
      <c r="D253" s="15"/>
      <c r="E253" s="15"/>
      <c r="F253" s="15"/>
      <c r="G253" s="15"/>
      <c r="H253" s="12"/>
      <c r="I253" s="12"/>
      <c r="J253" s="15"/>
      <c r="K253" s="12"/>
    </row>
  </sheetData>
  <autoFilter ref="A3:K253"/>
  <mergeCells count="2">
    <mergeCell ref="A1:K1"/>
    <mergeCell ref="A2:K2"/>
  </mergeCells>
  <dataValidations count="2">
    <dataValidation type="list" allowBlank="1" showInputMessage="1" showErrorMessage="1" errorTitle="Choose a listed value" error="Please select an option from the dropdown." promptTitle="Room" prompt="Select from the dropdown list." sqref="A4:A253">
      <formula1>RoomNames</formula1>
    </dataValidation>
    <dataValidation type="list" allowBlank="1" showInputMessage="1" showErrorMessage="1" errorTitle="Choose a listed value" error="Please select an option from the dropdown." promptTitle="Measurement Type" prompt="Select from the dropdown list." sqref="B4:B253">
      <formula1>MeasurementTypes</formula1>
    </dataValidation>
  </dataValidations>
  <pageMargins left="0.25" right="0.25" top="0.5" bottom="0.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20.7109375" customWidth="1"/>
    <col min="4" max="4" width="30.7109375" customWidth="1"/>
    <col min="5" max="5" width="16.7109375" customWidth="1"/>
    <col min="6" max="7" width="15.7109375" customWidth="1"/>
    <col min="8" max="9" width="18.7109375" customWidth="1"/>
    <col min="10" max="10" width="16.7109375" customWidth="1"/>
    <col min="11" max="11" width="30.7109375" customWidth="1"/>
  </cols>
  <sheetData>
    <row r="1" spans="1:11" ht="30" customHeight="1">
      <c r="A1" s="1" t="s">
        <v>427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2" customHeight="1">
      <c r="A3" s="10" t="s">
        <v>428</v>
      </c>
      <c r="B3" s="10" t="s">
        <v>429</v>
      </c>
      <c r="C3" s="10" t="s">
        <v>430</v>
      </c>
      <c r="D3" s="10" t="s">
        <v>431</v>
      </c>
      <c r="E3" s="10" t="s">
        <v>432</v>
      </c>
      <c r="F3" s="10" t="s">
        <v>384</v>
      </c>
      <c r="G3" s="10" t="s">
        <v>433</v>
      </c>
      <c r="H3" s="10" t="s">
        <v>347</v>
      </c>
      <c r="I3" s="10" t="s">
        <v>434</v>
      </c>
      <c r="J3" s="10" t="s">
        <v>435</v>
      </c>
      <c r="K3" s="10" t="s">
        <v>267</v>
      </c>
    </row>
    <row r="4" spans="1:11">
      <c r="A4" s="12"/>
      <c r="B4" s="12"/>
      <c r="C4" s="12"/>
      <c r="D4" s="12"/>
      <c r="E4" s="14"/>
      <c r="F4" s="13"/>
      <c r="G4" s="13"/>
      <c r="H4" s="12"/>
      <c r="I4" s="12"/>
      <c r="J4" s="12"/>
      <c r="K4" s="12"/>
    </row>
    <row r="5" spans="1:11">
      <c r="A5" s="12"/>
      <c r="B5" s="12"/>
      <c r="C5" s="12"/>
      <c r="D5" s="12"/>
      <c r="E5" s="14"/>
      <c r="F5" s="13"/>
      <c r="G5" s="13"/>
      <c r="H5" s="12"/>
      <c r="I5" s="12"/>
      <c r="J5" s="12"/>
      <c r="K5" s="12"/>
    </row>
    <row r="6" spans="1:11">
      <c r="A6" s="12"/>
      <c r="B6" s="12"/>
      <c r="C6" s="12"/>
      <c r="D6" s="12"/>
      <c r="E6" s="14"/>
      <c r="F6" s="13"/>
      <c r="G6" s="13"/>
      <c r="H6" s="12"/>
      <c r="I6" s="12"/>
      <c r="J6" s="12"/>
      <c r="K6" s="12"/>
    </row>
    <row r="7" spans="1:11">
      <c r="A7" s="12"/>
      <c r="B7" s="12"/>
      <c r="C7" s="12"/>
      <c r="D7" s="12"/>
      <c r="E7" s="14"/>
      <c r="F7" s="13"/>
      <c r="G7" s="13"/>
      <c r="H7" s="12"/>
      <c r="I7" s="12"/>
      <c r="J7" s="12"/>
      <c r="K7" s="12"/>
    </row>
    <row r="8" spans="1:11">
      <c r="A8" s="12"/>
      <c r="B8" s="12"/>
      <c r="C8" s="12"/>
      <c r="D8" s="12"/>
      <c r="E8" s="14"/>
      <c r="F8" s="13"/>
      <c r="G8" s="13"/>
      <c r="H8" s="12"/>
      <c r="I8" s="12"/>
      <c r="J8" s="12"/>
      <c r="K8" s="12"/>
    </row>
    <row r="9" spans="1:11">
      <c r="A9" s="12"/>
      <c r="B9" s="12"/>
      <c r="C9" s="12"/>
      <c r="D9" s="12"/>
      <c r="E9" s="14"/>
      <c r="F9" s="13"/>
      <c r="G9" s="13"/>
      <c r="H9" s="12"/>
      <c r="I9" s="12"/>
      <c r="J9" s="12"/>
      <c r="K9" s="12"/>
    </row>
    <row r="10" spans="1:11">
      <c r="A10" s="12"/>
      <c r="B10" s="12"/>
      <c r="C10" s="12"/>
      <c r="D10" s="12"/>
      <c r="E10" s="14"/>
      <c r="F10" s="13"/>
      <c r="G10" s="13"/>
      <c r="H10" s="12"/>
      <c r="I10" s="12"/>
      <c r="J10" s="12"/>
      <c r="K10" s="12"/>
    </row>
    <row r="11" spans="1:11">
      <c r="A11" s="12"/>
      <c r="B11" s="12"/>
      <c r="C11" s="12"/>
      <c r="D11" s="12"/>
      <c r="E11" s="14"/>
      <c r="F11" s="13"/>
      <c r="G11" s="13"/>
      <c r="H11" s="12"/>
      <c r="I11" s="12"/>
      <c r="J11" s="12"/>
      <c r="K11" s="12"/>
    </row>
    <row r="12" spans="1:11">
      <c r="A12" s="12"/>
      <c r="B12" s="12"/>
      <c r="C12" s="12"/>
      <c r="D12" s="12"/>
      <c r="E12" s="14"/>
      <c r="F12" s="13"/>
      <c r="G12" s="13"/>
      <c r="H12" s="12"/>
      <c r="I12" s="12"/>
      <c r="J12" s="12"/>
      <c r="K12" s="12"/>
    </row>
    <row r="13" spans="1:11">
      <c r="A13" s="12"/>
      <c r="B13" s="12"/>
      <c r="C13" s="12"/>
      <c r="D13" s="12"/>
      <c r="E13" s="14"/>
      <c r="F13" s="13"/>
      <c r="G13" s="13"/>
      <c r="H13" s="12"/>
      <c r="I13" s="12"/>
      <c r="J13" s="12"/>
      <c r="K13" s="12"/>
    </row>
    <row r="14" spans="1:11">
      <c r="A14" s="12"/>
      <c r="B14" s="12"/>
      <c r="C14" s="12"/>
      <c r="D14" s="12"/>
      <c r="E14" s="14"/>
      <c r="F14" s="13"/>
      <c r="G14" s="13"/>
      <c r="H14" s="12"/>
      <c r="I14" s="12"/>
      <c r="J14" s="12"/>
      <c r="K14" s="12"/>
    </row>
    <row r="15" spans="1:11">
      <c r="A15" s="12"/>
      <c r="B15" s="12"/>
      <c r="C15" s="12"/>
      <c r="D15" s="12"/>
      <c r="E15" s="14"/>
      <c r="F15" s="13"/>
      <c r="G15" s="13"/>
      <c r="H15" s="12"/>
      <c r="I15" s="12"/>
      <c r="J15" s="12"/>
      <c r="K15" s="12"/>
    </row>
    <row r="16" spans="1:11">
      <c r="A16" s="12"/>
      <c r="B16" s="12"/>
      <c r="C16" s="12"/>
      <c r="D16" s="12"/>
      <c r="E16" s="14"/>
      <c r="F16" s="13"/>
      <c r="G16" s="13"/>
      <c r="H16" s="12"/>
      <c r="I16" s="12"/>
      <c r="J16" s="12"/>
      <c r="K16" s="12"/>
    </row>
    <row r="17" spans="1:11">
      <c r="A17" s="12"/>
      <c r="B17" s="12"/>
      <c r="C17" s="12"/>
      <c r="D17" s="12"/>
      <c r="E17" s="14"/>
      <c r="F17" s="13"/>
      <c r="G17" s="13"/>
      <c r="H17" s="12"/>
      <c r="I17" s="12"/>
      <c r="J17" s="12"/>
      <c r="K17" s="12"/>
    </row>
    <row r="18" spans="1:11">
      <c r="A18" s="12"/>
      <c r="B18" s="12"/>
      <c r="C18" s="12"/>
      <c r="D18" s="12"/>
      <c r="E18" s="14"/>
      <c r="F18" s="13"/>
      <c r="G18" s="13"/>
      <c r="H18" s="12"/>
      <c r="I18" s="12"/>
      <c r="J18" s="12"/>
      <c r="K18" s="12"/>
    </row>
    <row r="19" spans="1:11">
      <c r="A19" s="12"/>
      <c r="B19" s="12"/>
      <c r="C19" s="12"/>
      <c r="D19" s="12"/>
      <c r="E19" s="14"/>
      <c r="F19" s="13"/>
      <c r="G19" s="13"/>
      <c r="H19" s="12"/>
      <c r="I19" s="12"/>
      <c r="J19" s="12"/>
      <c r="K19" s="12"/>
    </row>
    <row r="20" spans="1:11">
      <c r="A20" s="12"/>
      <c r="B20" s="12"/>
      <c r="C20" s="12"/>
      <c r="D20" s="12"/>
      <c r="E20" s="14"/>
      <c r="F20" s="13"/>
      <c r="G20" s="13"/>
      <c r="H20" s="12"/>
      <c r="I20" s="12"/>
      <c r="J20" s="12"/>
      <c r="K20" s="12"/>
    </row>
    <row r="21" spans="1:11">
      <c r="A21" s="12"/>
      <c r="B21" s="12"/>
      <c r="C21" s="12"/>
      <c r="D21" s="12"/>
      <c r="E21" s="14"/>
      <c r="F21" s="13"/>
      <c r="G21" s="13"/>
      <c r="H21" s="12"/>
      <c r="I21" s="12"/>
      <c r="J21" s="12"/>
      <c r="K21" s="12"/>
    </row>
    <row r="22" spans="1:11">
      <c r="A22" s="12"/>
      <c r="B22" s="12"/>
      <c r="C22" s="12"/>
      <c r="D22" s="12"/>
      <c r="E22" s="14"/>
      <c r="F22" s="13"/>
      <c r="G22" s="13"/>
      <c r="H22" s="12"/>
      <c r="I22" s="12"/>
      <c r="J22" s="12"/>
      <c r="K22" s="12"/>
    </row>
    <row r="23" spans="1:11">
      <c r="A23" s="12"/>
      <c r="B23" s="12"/>
      <c r="C23" s="12"/>
      <c r="D23" s="12"/>
      <c r="E23" s="14"/>
      <c r="F23" s="13"/>
      <c r="G23" s="13"/>
      <c r="H23" s="12"/>
      <c r="I23" s="12"/>
      <c r="J23" s="12"/>
      <c r="K23" s="12"/>
    </row>
    <row r="24" spans="1:11">
      <c r="A24" s="12"/>
      <c r="B24" s="12"/>
      <c r="C24" s="12"/>
      <c r="D24" s="12"/>
      <c r="E24" s="14"/>
      <c r="F24" s="13"/>
      <c r="G24" s="13"/>
      <c r="H24" s="12"/>
      <c r="I24" s="12"/>
      <c r="J24" s="12"/>
      <c r="K24" s="12"/>
    </row>
    <row r="25" spans="1:11">
      <c r="A25" s="12"/>
      <c r="B25" s="12"/>
      <c r="C25" s="12"/>
      <c r="D25" s="12"/>
      <c r="E25" s="14"/>
      <c r="F25" s="13"/>
      <c r="G25" s="13"/>
      <c r="H25" s="12"/>
      <c r="I25" s="12"/>
      <c r="J25" s="12"/>
      <c r="K25" s="12"/>
    </row>
    <row r="26" spans="1:11">
      <c r="A26" s="12"/>
      <c r="B26" s="12"/>
      <c r="C26" s="12"/>
      <c r="D26" s="12"/>
      <c r="E26" s="14"/>
      <c r="F26" s="13"/>
      <c r="G26" s="13"/>
      <c r="H26" s="12"/>
      <c r="I26" s="12"/>
      <c r="J26" s="12"/>
      <c r="K26" s="12"/>
    </row>
    <row r="27" spans="1:11">
      <c r="A27" s="12"/>
      <c r="B27" s="12"/>
      <c r="C27" s="12"/>
      <c r="D27" s="12"/>
      <c r="E27" s="14"/>
      <c r="F27" s="13"/>
      <c r="G27" s="13"/>
      <c r="H27" s="12"/>
      <c r="I27" s="12"/>
      <c r="J27" s="12"/>
      <c r="K27" s="12"/>
    </row>
    <row r="28" spans="1:11">
      <c r="A28" s="12"/>
      <c r="B28" s="12"/>
      <c r="C28" s="12"/>
      <c r="D28" s="12"/>
      <c r="E28" s="14"/>
      <c r="F28" s="13"/>
      <c r="G28" s="13"/>
      <c r="H28" s="12"/>
      <c r="I28" s="12"/>
      <c r="J28" s="12"/>
      <c r="K28" s="12"/>
    </row>
    <row r="29" spans="1:11">
      <c r="A29" s="12"/>
      <c r="B29" s="12"/>
      <c r="C29" s="12"/>
      <c r="D29" s="12"/>
      <c r="E29" s="14"/>
      <c r="F29" s="13"/>
      <c r="G29" s="13"/>
      <c r="H29" s="12"/>
      <c r="I29" s="12"/>
      <c r="J29" s="12"/>
      <c r="K29" s="12"/>
    </row>
    <row r="30" spans="1:11">
      <c r="A30" s="12"/>
      <c r="B30" s="12"/>
      <c r="C30" s="12"/>
      <c r="D30" s="12"/>
      <c r="E30" s="14"/>
      <c r="F30" s="13"/>
      <c r="G30" s="13"/>
      <c r="H30" s="12"/>
      <c r="I30" s="12"/>
      <c r="J30" s="12"/>
      <c r="K30" s="12"/>
    </row>
    <row r="31" spans="1:11">
      <c r="A31" s="12"/>
      <c r="B31" s="12"/>
      <c r="C31" s="12"/>
      <c r="D31" s="12"/>
      <c r="E31" s="14"/>
      <c r="F31" s="13"/>
      <c r="G31" s="13"/>
      <c r="H31" s="12"/>
      <c r="I31" s="12"/>
      <c r="J31" s="12"/>
      <c r="K31" s="12"/>
    </row>
    <row r="32" spans="1:11">
      <c r="A32" s="12"/>
      <c r="B32" s="12"/>
      <c r="C32" s="12"/>
      <c r="D32" s="12"/>
      <c r="E32" s="14"/>
      <c r="F32" s="13"/>
      <c r="G32" s="13"/>
      <c r="H32" s="12"/>
      <c r="I32" s="12"/>
      <c r="J32" s="12"/>
      <c r="K32" s="12"/>
    </row>
    <row r="33" spans="1:11">
      <c r="A33" s="12"/>
      <c r="B33" s="12"/>
      <c r="C33" s="12"/>
      <c r="D33" s="12"/>
      <c r="E33" s="14"/>
      <c r="F33" s="13"/>
      <c r="G33" s="13"/>
      <c r="H33" s="12"/>
      <c r="I33" s="12"/>
      <c r="J33" s="12"/>
      <c r="K33" s="12"/>
    </row>
    <row r="34" spans="1:11">
      <c r="A34" s="12"/>
      <c r="B34" s="12"/>
      <c r="C34" s="12"/>
      <c r="D34" s="12"/>
      <c r="E34" s="14"/>
      <c r="F34" s="13"/>
      <c r="G34" s="13"/>
      <c r="H34" s="12"/>
      <c r="I34" s="12"/>
      <c r="J34" s="12"/>
      <c r="K34" s="12"/>
    </row>
    <row r="35" spans="1:11">
      <c r="A35" s="12"/>
      <c r="B35" s="12"/>
      <c r="C35" s="12"/>
      <c r="D35" s="12"/>
      <c r="E35" s="14"/>
      <c r="F35" s="13"/>
      <c r="G35" s="13"/>
      <c r="H35" s="12"/>
      <c r="I35" s="12"/>
      <c r="J35" s="12"/>
      <c r="K35" s="12"/>
    </row>
    <row r="36" spans="1:11">
      <c r="A36" s="12"/>
      <c r="B36" s="12"/>
      <c r="C36" s="12"/>
      <c r="D36" s="12"/>
      <c r="E36" s="14"/>
      <c r="F36" s="13"/>
      <c r="G36" s="13"/>
      <c r="H36" s="12"/>
      <c r="I36" s="12"/>
      <c r="J36" s="12"/>
      <c r="K36" s="12"/>
    </row>
    <row r="37" spans="1:11">
      <c r="A37" s="12"/>
      <c r="B37" s="12"/>
      <c r="C37" s="12"/>
      <c r="D37" s="12"/>
      <c r="E37" s="14"/>
      <c r="F37" s="13"/>
      <c r="G37" s="13"/>
      <c r="H37" s="12"/>
      <c r="I37" s="12"/>
      <c r="J37" s="12"/>
      <c r="K37" s="12"/>
    </row>
    <row r="38" spans="1:11">
      <c r="A38" s="12"/>
      <c r="B38" s="12"/>
      <c r="C38" s="12"/>
      <c r="D38" s="12"/>
      <c r="E38" s="14"/>
      <c r="F38" s="13"/>
      <c r="G38" s="13"/>
      <c r="H38" s="12"/>
      <c r="I38" s="12"/>
      <c r="J38" s="12"/>
      <c r="K38" s="12"/>
    </row>
    <row r="39" spans="1:11">
      <c r="A39" s="12"/>
      <c r="B39" s="12"/>
      <c r="C39" s="12"/>
      <c r="D39" s="12"/>
      <c r="E39" s="14"/>
      <c r="F39" s="13"/>
      <c r="G39" s="13"/>
      <c r="H39" s="12"/>
      <c r="I39" s="12"/>
      <c r="J39" s="12"/>
      <c r="K39" s="12"/>
    </row>
    <row r="40" spans="1:11">
      <c r="A40" s="12"/>
      <c r="B40" s="12"/>
      <c r="C40" s="12"/>
      <c r="D40" s="12"/>
      <c r="E40" s="14"/>
      <c r="F40" s="13"/>
      <c r="G40" s="13"/>
      <c r="H40" s="12"/>
      <c r="I40" s="12"/>
      <c r="J40" s="12"/>
      <c r="K40" s="12"/>
    </row>
    <row r="41" spans="1:11">
      <c r="A41" s="12"/>
      <c r="B41" s="12"/>
      <c r="C41" s="12"/>
      <c r="D41" s="12"/>
      <c r="E41" s="14"/>
      <c r="F41" s="13"/>
      <c r="G41" s="13"/>
      <c r="H41" s="12"/>
      <c r="I41" s="12"/>
      <c r="J41" s="12"/>
      <c r="K41" s="12"/>
    </row>
    <row r="42" spans="1:11">
      <c r="A42" s="12"/>
      <c r="B42" s="12"/>
      <c r="C42" s="12"/>
      <c r="D42" s="12"/>
      <c r="E42" s="14"/>
      <c r="F42" s="13"/>
      <c r="G42" s="13"/>
      <c r="H42" s="12"/>
      <c r="I42" s="12"/>
      <c r="J42" s="12"/>
      <c r="K42" s="12"/>
    </row>
    <row r="43" spans="1:11">
      <c r="A43" s="12"/>
      <c r="B43" s="12"/>
      <c r="C43" s="12"/>
      <c r="D43" s="12"/>
      <c r="E43" s="14"/>
      <c r="F43" s="13"/>
      <c r="G43" s="13"/>
      <c r="H43" s="12"/>
      <c r="I43" s="12"/>
      <c r="J43" s="12"/>
      <c r="K43" s="12"/>
    </row>
    <row r="44" spans="1:11">
      <c r="A44" s="12"/>
      <c r="B44" s="12"/>
      <c r="C44" s="12"/>
      <c r="D44" s="12"/>
      <c r="E44" s="14"/>
      <c r="F44" s="13"/>
      <c r="G44" s="13"/>
      <c r="H44" s="12"/>
      <c r="I44" s="12"/>
      <c r="J44" s="12"/>
      <c r="K44" s="12"/>
    </row>
    <row r="45" spans="1:11">
      <c r="A45" s="12"/>
      <c r="B45" s="12"/>
      <c r="C45" s="12"/>
      <c r="D45" s="12"/>
      <c r="E45" s="14"/>
      <c r="F45" s="13"/>
      <c r="G45" s="13"/>
      <c r="H45" s="12"/>
      <c r="I45" s="12"/>
      <c r="J45" s="12"/>
      <c r="K45" s="12"/>
    </row>
    <row r="46" spans="1:11">
      <c r="A46" s="12"/>
      <c r="B46" s="12"/>
      <c r="C46" s="12"/>
      <c r="D46" s="12"/>
      <c r="E46" s="14"/>
      <c r="F46" s="13"/>
      <c r="G46" s="13"/>
      <c r="H46" s="12"/>
      <c r="I46" s="12"/>
      <c r="J46" s="12"/>
      <c r="K46" s="12"/>
    </row>
    <row r="47" spans="1:11">
      <c r="A47" s="12"/>
      <c r="B47" s="12"/>
      <c r="C47" s="12"/>
      <c r="D47" s="12"/>
      <c r="E47" s="14"/>
      <c r="F47" s="13"/>
      <c r="G47" s="13"/>
      <c r="H47" s="12"/>
      <c r="I47" s="12"/>
      <c r="J47" s="12"/>
      <c r="K47" s="12"/>
    </row>
    <row r="48" spans="1:11">
      <c r="A48" s="12"/>
      <c r="B48" s="12"/>
      <c r="C48" s="12"/>
      <c r="D48" s="12"/>
      <c r="E48" s="14"/>
      <c r="F48" s="13"/>
      <c r="G48" s="13"/>
      <c r="H48" s="12"/>
      <c r="I48" s="12"/>
      <c r="J48" s="12"/>
      <c r="K48" s="12"/>
    </row>
    <row r="49" spans="1:11">
      <c r="A49" s="12"/>
      <c r="B49" s="12"/>
      <c r="C49" s="12"/>
      <c r="D49" s="12"/>
      <c r="E49" s="14"/>
      <c r="F49" s="13"/>
      <c r="G49" s="13"/>
      <c r="H49" s="12"/>
      <c r="I49" s="12"/>
      <c r="J49" s="12"/>
      <c r="K49" s="12"/>
    </row>
    <row r="50" spans="1:11">
      <c r="A50" s="12"/>
      <c r="B50" s="12"/>
      <c r="C50" s="12"/>
      <c r="D50" s="12"/>
      <c r="E50" s="14"/>
      <c r="F50" s="13"/>
      <c r="G50" s="13"/>
      <c r="H50" s="12"/>
      <c r="I50" s="12"/>
      <c r="J50" s="12"/>
      <c r="K50" s="12"/>
    </row>
    <row r="51" spans="1:11">
      <c r="A51" s="12"/>
      <c r="B51" s="12"/>
      <c r="C51" s="12"/>
      <c r="D51" s="12"/>
      <c r="E51" s="14"/>
      <c r="F51" s="13"/>
      <c r="G51" s="13"/>
      <c r="H51" s="12"/>
      <c r="I51" s="12"/>
      <c r="J51" s="12"/>
      <c r="K51" s="12"/>
    </row>
    <row r="52" spans="1:11">
      <c r="A52" s="12"/>
      <c r="B52" s="12"/>
      <c r="C52" s="12"/>
      <c r="D52" s="12"/>
      <c r="E52" s="14"/>
      <c r="F52" s="13"/>
      <c r="G52" s="13"/>
      <c r="H52" s="12"/>
      <c r="I52" s="12"/>
      <c r="J52" s="12"/>
      <c r="K52" s="12"/>
    </row>
    <row r="53" spans="1:11">
      <c r="A53" s="12"/>
      <c r="B53" s="12"/>
      <c r="C53" s="12"/>
      <c r="D53" s="12"/>
      <c r="E53" s="14"/>
      <c r="F53" s="13"/>
      <c r="G53" s="13"/>
      <c r="H53" s="12"/>
      <c r="I53" s="12"/>
      <c r="J53" s="12"/>
      <c r="K53" s="12"/>
    </row>
    <row r="54" spans="1:11">
      <c r="A54" s="12"/>
      <c r="B54" s="12"/>
      <c r="C54" s="12"/>
      <c r="D54" s="12"/>
      <c r="E54" s="14"/>
      <c r="F54" s="13"/>
      <c r="G54" s="13"/>
      <c r="H54" s="12"/>
      <c r="I54" s="12"/>
      <c r="J54" s="12"/>
      <c r="K54" s="12"/>
    </row>
    <row r="55" spans="1:11">
      <c r="A55" s="12"/>
      <c r="B55" s="12"/>
      <c r="C55" s="12"/>
      <c r="D55" s="12"/>
      <c r="E55" s="14"/>
      <c r="F55" s="13"/>
      <c r="G55" s="13"/>
      <c r="H55" s="12"/>
      <c r="I55" s="12"/>
      <c r="J55" s="12"/>
      <c r="K55" s="12"/>
    </row>
    <row r="56" spans="1:11">
      <c r="A56" s="12"/>
      <c r="B56" s="12"/>
      <c r="C56" s="12"/>
      <c r="D56" s="12"/>
      <c r="E56" s="14"/>
      <c r="F56" s="13"/>
      <c r="G56" s="13"/>
      <c r="H56" s="12"/>
      <c r="I56" s="12"/>
      <c r="J56" s="12"/>
      <c r="K56" s="12"/>
    </row>
    <row r="57" spans="1:11">
      <c r="A57" s="12"/>
      <c r="B57" s="12"/>
      <c r="C57" s="12"/>
      <c r="D57" s="12"/>
      <c r="E57" s="14"/>
      <c r="F57" s="13"/>
      <c r="G57" s="13"/>
      <c r="H57" s="12"/>
      <c r="I57" s="12"/>
      <c r="J57" s="12"/>
      <c r="K57" s="12"/>
    </row>
    <row r="58" spans="1:11">
      <c r="A58" s="12"/>
      <c r="B58" s="12"/>
      <c r="C58" s="12"/>
      <c r="D58" s="12"/>
      <c r="E58" s="14"/>
      <c r="F58" s="13"/>
      <c r="G58" s="13"/>
      <c r="H58" s="12"/>
      <c r="I58" s="12"/>
      <c r="J58" s="12"/>
      <c r="K58" s="12"/>
    </row>
    <row r="59" spans="1:11">
      <c r="A59" s="12"/>
      <c r="B59" s="12"/>
      <c r="C59" s="12"/>
      <c r="D59" s="12"/>
      <c r="E59" s="14"/>
      <c r="F59" s="13"/>
      <c r="G59" s="13"/>
      <c r="H59" s="12"/>
      <c r="I59" s="12"/>
      <c r="J59" s="12"/>
      <c r="K59" s="12"/>
    </row>
    <row r="60" spans="1:11">
      <c r="A60" s="12"/>
      <c r="B60" s="12"/>
      <c r="C60" s="12"/>
      <c r="D60" s="12"/>
      <c r="E60" s="14"/>
      <c r="F60" s="13"/>
      <c r="G60" s="13"/>
      <c r="H60" s="12"/>
      <c r="I60" s="12"/>
      <c r="J60" s="12"/>
      <c r="K60" s="12"/>
    </row>
    <row r="61" spans="1:11">
      <c r="A61" s="12"/>
      <c r="B61" s="12"/>
      <c r="C61" s="12"/>
      <c r="D61" s="12"/>
      <c r="E61" s="14"/>
      <c r="F61" s="13"/>
      <c r="G61" s="13"/>
      <c r="H61" s="12"/>
      <c r="I61" s="12"/>
      <c r="J61" s="12"/>
      <c r="K61" s="12"/>
    </row>
    <row r="62" spans="1:11">
      <c r="A62" s="12"/>
      <c r="B62" s="12"/>
      <c r="C62" s="12"/>
      <c r="D62" s="12"/>
      <c r="E62" s="14"/>
      <c r="F62" s="13"/>
      <c r="G62" s="13"/>
      <c r="H62" s="12"/>
      <c r="I62" s="12"/>
      <c r="J62" s="12"/>
      <c r="K62" s="12"/>
    </row>
    <row r="63" spans="1:11">
      <c r="A63" s="12"/>
      <c r="B63" s="12"/>
      <c r="C63" s="12"/>
      <c r="D63" s="12"/>
      <c r="E63" s="14"/>
      <c r="F63" s="13"/>
      <c r="G63" s="13"/>
      <c r="H63" s="12"/>
      <c r="I63" s="12"/>
      <c r="J63" s="12"/>
      <c r="K63" s="12"/>
    </row>
    <row r="64" spans="1:11">
      <c r="A64" s="12"/>
      <c r="B64" s="12"/>
      <c r="C64" s="12"/>
      <c r="D64" s="12"/>
      <c r="E64" s="14"/>
      <c r="F64" s="13"/>
      <c r="G64" s="13"/>
      <c r="H64" s="12"/>
      <c r="I64" s="12"/>
      <c r="J64" s="12"/>
      <c r="K64" s="12"/>
    </row>
    <row r="65" spans="1:11">
      <c r="A65" s="12"/>
      <c r="B65" s="12"/>
      <c r="C65" s="12"/>
      <c r="D65" s="12"/>
      <c r="E65" s="14"/>
      <c r="F65" s="13"/>
      <c r="G65" s="13"/>
      <c r="H65" s="12"/>
      <c r="I65" s="12"/>
      <c r="J65" s="12"/>
      <c r="K65" s="12"/>
    </row>
    <row r="66" spans="1:11">
      <c r="A66" s="12"/>
      <c r="B66" s="12"/>
      <c r="C66" s="12"/>
      <c r="D66" s="12"/>
      <c r="E66" s="14"/>
      <c r="F66" s="13"/>
      <c r="G66" s="13"/>
      <c r="H66" s="12"/>
      <c r="I66" s="12"/>
      <c r="J66" s="12"/>
      <c r="K66" s="12"/>
    </row>
    <row r="67" spans="1:11">
      <c r="A67" s="12"/>
      <c r="B67" s="12"/>
      <c r="C67" s="12"/>
      <c r="D67" s="12"/>
      <c r="E67" s="14"/>
      <c r="F67" s="13"/>
      <c r="G67" s="13"/>
      <c r="H67" s="12"/>
      <c r="I67" s="12"/>
      <c r="J67" s="12"/>
      <c r="K67" s="12"/>
    </row>
    <row r="68" spans="1:11">
      <c r="A68" s="12"/>
      <c r="B68" s="12"/>
      <c r="C68" s="12"/>
      <c r="D68" s="12"/>
      <c r="E68" s="14"/>
      <c r="F68" s="13"/>
      <c r="G68" s="13"/>
      <c r="H68" s="12"/>
      <c r="I68" s="12"/>
      <c r="J68" s="12"/>
      <c r="K68" s="12"/>
    </row>
    <row r="69" spans="1:11">
      <c r="A69" s="12"/>
      <c r="B69" s="12"/>
      <c r="C69" s="12"/>
      <c r="D69" s="12"/>
      <c r="E69" s="14"/>
      <c r="F69" s="13"/>
      <c r="G69" s="13"/>
      <c r="H69" s="12"/>
      <c r="I69" s="12"/>
      <c r="J69" s="12"/>
      <c r="K69" s="12"/>
    </row>
    <row r="70" spans="1:11">
      <c r="A70" s="12"/>
      <c r="B70" s="12"/>
      <c r="C70" s="12"/>
      <c r="D70" s="12"/>
      <c r="E70" s="14"/>
      <c r="F70" s="13"/>
      <c r="G70" s="13"/>
      <c r="H70" s="12"/>
      <c r="I70" s="12"/>
      <c r="J70" s="12"/>
      <c r="K70" s="12"/>
    </row>
    <row r="71" spans="1:11">
      <c r="A71" s="12"/>
      <c r="B71" s="12"/>
      <c r="C71" s="12"/>
      <c r="D71" s="12"/>
      <c r="E71" s="14"/>
      <c r="F71" s="13"/>
      <c r="G71" s="13"/>
      <c r="H71" s="12"/>
      <c r="I71" s="12"/>
      <c r="J71" s="12"/>
      <c r="K71" s="12"/>
    </row>
    <row r="72" spans="1:11">
      <c r="A72" s="12"/>
      <c r="B72" s="12"/>
      <c r="C72" s="12"/>
      <c r="D72" s="12"/>
      <c r="E72" s="14"/>
      <c r="F72" s="13"/>
      <c r="G72" s="13"/>
      <c r="H72" s="12"/>
      <c r="I72" s="12"/>
      <c r="J72" s="12"/>
      <c r="K72" s="12"/>
    </row>
    <row r="73" spans="1:11">
      <c r="A73" s="12"/>
      <c r="B73" s="12"/>
      <c r="C73" s="12"/>
      <c r="D73" s="12"/>
      <c r="E73" s="14"/>
      <c r="F73" s="13"/>
      <c r="G73" s="13"/>
      <c r="H73" s="12"/>
      <c r="I73" s="12"/>
      <c r="J73" s="12"/>
      <c r="K73" s="12"/>
    </row>
    <row r="74" spans="1:11">
      <c r="A74" s="12"/>
      <c r="B74" s="12"/>
      <c r="C74" s="12"/>
      <c r="D74" s="12"/>
      <c r="E74" s="14"/>
      <c r="F74" s="13"/>
      <c r="G74" s="13"/>
      <c r="H74" s="12"/>
      <c r="I74" s="12"/>
      <c r="J74" s="12"/>
      <c r="K74" s="12"/>
    </row>
    <row r="75" spans="1:11">
      <c r="A75" s="12"/>
      <c r="B75" s="12"/>
      <c r="C75" s="12"/>
      <c r="D75" s="12"/>
      <c r="E75" s="14"/>
      <c r="F75" s="13"/>
      <c r="G75" s="13"/>
      <c r="H75" s="12"/>
      <c r="I75" s="12"/>
      <c r="J75" s="12"/>
      <c r="K75" s="12"/>
    </row>
    <row r="76" spans="1:11">
      <c r="A76" s="12"/>
      <c r="B76" s="12"/>
      <c r="C76" s="12"/>
      <c r="D76" s="12"/>
      <c r="E76" s="14"/>
      <c r="F76" s="13"/>
      <c r="G76" s="13"/>
      <c r="H76" s="12"/>
      <c r="I76" s="12"/>
      <c r="J76" s="12"/>
      <c r="K76" s="12"/>
    </row>
    <row r="77" spans="1:11">
      <c r="A77" s="12"/>
      <c r="B77" s="12"/>
      <c r="C77" s="12"/>
      <c r="D77" s="12"/>
      <c r="E77" s="14"/>
      <c r="F77" s="13"/>
      <c r="G77" s="13"/>
      <c r="H77" s="12"/>
      <c r="I77" s="12"/>
      <c r="J77" s="12"/>
      <c r="K77" s="12"/>
    </row>
    <row r="78" spans="1:11">
      <c r="A78" s="12"/>
      <c r="B78" s="12"/>
      <c r="C78" s="12"/>
      <c r="D78" s="12"/>
      <c r="E78" s="14"/>
      <c r="F78" s="13"/>
      <c r="G78" s="13"/>
      <c r="H78" s="12"/>
      <c r="I78" s="12"/>
      <c r="J78" s="12"/>
      <c r="K78" s="12"/>
    </row>
    <row r="79" spans="1:11">
      <c r="A79" s="12"/>
      <c r="B79" s="12"/>
      <c r="C79" s="12"/>
      <c r="D79" s="12"/>
      <c r="E79" s="14"/>
      <c r="F79" s="13"/>
      <c r="G79" s="13"/>
      <c r="H79" s="12"/>
      <c r="I79" s="12"/>
      <c r="J79" s="12"/>
      <c r="K79" s="12"/>
    </row>
    <row r="80" spans="1:11">
      <c r="A80" s="12"/>
      <c r="B80" s="12"/>
      <c r="C80" s="12"/>
      <c r="D80" s="12"/>
      <c r="E80" s="14"/>
      <c r="F80" s="13"/>
      <c r="G80" s="13"/>
      <c r="H80" s="12"/>
      <c r="I80" s="12"/>
      <c r="J80" s="12"/>
      <c r="K80" s="12"/>
    </row>
    <row r="81" spans="1:11">
      <c r="A81" s="12"/>
      <c r="B81" s="12"/>
      <c r="C81" s="12"/>
      <c r="D81" s="12"/>
      <c r="E81" s="14"/>
      <c r="F81" s="13"/>
      <c r="G81" s="13"/>
      <c r="H81" s="12"/>
      <c r="I81" s="12"/>
      <c r="J81" s="12"/>
      <c r="K81" s="12"/>
    </row>
    <row r="82" spans="1:11">
      <c r="A82" s="12"/>
      <c r="B82" s="12"/>
      <c r="C82" s="12"/>
      <c r="D82" s="12"/>
      <c r="E82" s="14"/>
      <c r="F82" s="13"/>
      <c r="G82" s="13"/>
      <c r="H82" s="12"/>
      <c r="I82" s="12"/>
      <c r="J82" s="12"/>
      <c r="K82" s="12"/>
    </row>
    <row r="83" spans="1:11">
      <c r="A83" s="12"/>
      <c r="B83" s="12"/>
      <c r="C83" s="12"/>
      <c r="D83" s="12"/>
      <c r="E83" s="14"/>
      <c r="F83" s="13"/>
      <c r="G83" s="13"/>
      <c r="H83" s="12"/>
      <c r="I83" s="12"/>
      <c r="J83" s="12"/>
      <c r="K83" s="12"/>
    </row>
    <row r="84" spans="1:11">
      <c r="A84" s="12"/>
      <c r="B84" s="12"/>
      <c r="C84" s="12"/>
      <c r="D84" s="12"/>
      <c r="E84" s="14"/>
      <c r="F84" s="13"/>
      <c r="G84" s="13"/>
      <c r="H84" s="12"/>
      <c r="I84" s="12"/>
      <c r="J84" s="12"/>
      <c r="K84" s="12"/>
    </row>
    <row r="85" spans="1:11">
      <c r="A85" s="12"/>
      <c r="B85" s="12"/>
      <c r="C85" s="12"/>
      <c r="D85" s="12"/>
      <c r="E85" s="14"/>
      <c r="F85" s="13"/>
      <c r="G85" s="13"/>
      <c r="H85" s="12"/>
      <c r="I85" s="12"/>
      <c r="J85" s="12"/>
      <c r="K85" s="12"/>
    </row>
    <row r="86" spans="1:11">
      <c r="A86" s="12"/>
      <c r="B86" s="12"/>
      <c r="C86" s="12"/>
      <c r="D86" s="12"/>
      <c r="E86" s="14"/>
      <c r="F86" s="13"/>
      <c r="G86" s="13"/>
      <c r="H86" s="12"/>
      <c r="I86" s="12"/>
      <c r="J86" s="12"/>
      <c r="K86" s="12"/>
    </row>
    <row r="87" spans="1:11">
      <c r="A87" s="12"/>
      <c r="B87" s="12"/>
      <c r="C87" s="12"/>
      <c r="D87" s="12"/>
      <c r="E87" s="14"/>
      <c r="F87" s="13"/>
      <c r="G87" s="13"/>
      <c r="H87" s="12"/>
      <c r="I87" s="12"/>
      <c r="J87" s="12"/>
      <c r="K87" s="12"/>
    </row>
    <row r="88" spans="1:11">
      <c r="A88" s="12"/>
      <c r="B88" s="12"/>
      <c r="C88" s="12"/>
      <c r="D88" s="12"/>
      <c r="E88" s="14"/>
      <c r="F88" s="13"/>
      <c r="G88" s="13"/>
      <c r="H88" s="12"/>
      <c r="I88" s="12"/>
      <c r="J88" s="12"/>
      <c r="K88" s="12"/>
    </row>
    <row r="89" spans="1:11">
      <c r="A89" s="12"/>
      <c r="B89" s="12"/>
      <c r="C89" s="12"/>
      <c r="D89" s="12"/>
      <c r="E89" s="14"/>
      <c r="F89" s="13"/>
      <c r="G89" s="13"/>
      <c r="H89" s="12"/>
      <c r="I89" s="12"/>
      <c r="J89" s="12"/>
      <c r="K89" s="12"/>
    </row>
    <row r="90" spans="1:11">
      <c r="A90" s="12"/>
      <c r="B90" s="12"/>
      <c r="C90" s="12"/>
      <c r="D90" s="12"/>
      <c r="E90" s="14"/>
      <c r="F90" s="13"/>
      <c r="G90" s="13"/>
      <c r="H90" s="12"/>
      <c r="I90" s="12"/>
      <c r="J90" s="12"/>
      <c r="K90" s="12"/>
    </row>
    <row r="91" spans="1:11">
      <c r="A91" s="12"/>
      <c r="B91" s="12"/>
      <c r="C91" s="12"/>
      <c r="D91" s="12"/>
      <c r="E91" s="14"/>
      <c r="F91" s="13"/>
      <c r="G91" s="13"/>
      <c r="H91" s="12"/>
      <c r="I91" s="12"/>
      <c r="J91" s="12"/>
      <c r="K91" s="12"/>
    </row>
    <row r="92" spans="1:11">
      <c r="A92" s="12"/>
      <c r="B92" s="12"/>
      <c r="C92" s="12"/>
      <c r="D92" s="12"/>
      <c r="E92" s="14"/>
      <c r="F92" s="13"/>
      <c r="G92" s="13"/>
      <c r="H92" s="12"/>
      <c r="I92" s="12"/>
      <c r="J92" s="12"/>
      <c r="K92" s="12"/>
    </row>
    <row r="93" spans="1:11">
      <c r="A93" s="12"/>
      <c r="B93" s="12"/>
      <c r="C93" s="12"/>
      <c r="D93" s="12"/>
      <c r="E93" s="14"/>
      <c r="F93" s="13"/>
      <c r="G93" s="13"/>
      <c r="H93" s="12"/>
      <c r="I93" s="12"/>
      <c r="J93" s="12"/>
      <c r="K93" s="12"/>
    </row>
    <row r="94" spans="1:11">
      <c r="A94" s="12"/>
      <c r="B94" s="12"/>
      <c r="C94" s="12"/>
      <c r="D94" s="12"/>
      <c r="E94" s="14"/>
      <c r="F94" s="13"/>
      <c r="G94" s="13"/>
      <c r="H94" s="12"/>
      <c r="I94" s="12"/>
      <c r="J94" s="12"/>
      <c r="K94" s="12"/>
    </row>
    <row r="95" spans="1:11">
      <c r="A95" s="12"/>
      <c r="B95" s="12"/>
      <c r="C95" s="12"/>
      <c r="D95" s="12"/>
      <c r="E95" s="14"/>
      <c r="F95" s="13"/>
      <c r="G95" s="13"/>
      <c r="H95" s="12"/>
      <c r="I95" s="12"/>
      <c r="J95" s="12"/>
      <c r="K95" s="12"/>
    </row>
    <row r="96" spans="1:11">
      <c r="A96" s="12"/>
      <c r="B96" s="12"/>
      <c r="C96" s="12"/>
      <c r="D96" s="12"/>
      <c r="E96" s="14"/>
      <c r="F96" s="13"/>
      <c r="G96" s="13"/>
      <c r="H96" s="12"/>
      <c r="I96" s="12"/>
      <c r="J96" s="12"/>
      <c r="K96" s="12"/>
    </row>
    <row r="97" spans="1:11">
      <c r="A97" s="12"/>
      <c r="B97" s="12"/>
      <c r="C97" s="12"/>
      <c r="D97" s="12"/>
      <c r="E97" s="14"/>
      <c r="F97" s="13"/>
      <c r="G97" s="13"/>
      <c r="H97" s="12"/>
      <c r="I97" s="12"/>
      <c r="J97" s="12"/>
      <c r="K97" s="12"/>
    </row>
    <row r="98" spans="1:11">
      <c r="A98" s="12"/>
      <c r="B98" s="12"/>
      <c r="C98" s="12"/>
      <c r="D98" s="12"/>
      <c r="E98" s="14"/>
      <c r="F98" s="13"/>
      <c r="G98" s="13"/>
      <c r="H98" s="12"/>
      <c r="I98" s="12"/>
      <c r="J98" s="12"/>
      <c r="K98" s="12"/>
    </row>
    <row r="99" spans="1:11">
      <c r="A99" s="12"/>
      <c r="B99" s="12"/>
      <c r="C99" s="12"/>
      <c r="D99" s="12"/>
      <c r="E99" s="14"/>
      <c r="F99" s="13"/>
      <c r="G99" s="13"/>
      <c r="H99" s="12"/>
      <c r="I99" s="12"/>
      <c r="J99" s="12"/>
      <c r="K99" s="12"/>
    </row>
    <row r="100" spans="1:11">
      <c r="A100" s="12"/>
      <c r="B100" s="12"/>
      <c r="C100" s="12"/>
      <c r="D100" s="12"/>
      <c r="E100" s="14"/>
      <c r="F100" s="13"/>
      <c r="G100" s="13"/>
      <c r="H100" s="12"/>
      <c r="I100" s="12"/>
      <c r="J100" s="12"/>
      <c r="K100" s="12"/>
    </row>
    <row r="101" spans="1:11">
      <c r="A101" s="12"/>
      <c r="B101" s="12"/>
      <c r="C101" s="12"/>
      <c r="D101" s="12"/>
      <c r="E101" s="14"/>
      <c r="F101" s="13"/>
      <c r="G101" s="13"/>
      <c r="H101" s="12"/>
      <c r="I101" s="12"/>
      <c r="J101" s="12"/>
      <c r="K101" s="12"/>
    </row>
    <row r="102" spans="1:11">
      <c r="A102" s="12"/>
      <c r="B102" s="12"/>
      <c r="C102" s="12"/>
      <c r="D102" s="12"/>
      <c r="E102" s="14"/>
      <c r="F102" s="13"/>
      <c r="G102" s="13"/>
      <c r="H102" s="12"/>
      <c r="I102" s="12"/>
      <c r="J102" s="12"/>
      <c r="K102" s="12"/>
    </row>
    <row r="103" spans="1:11">
      <c r="A103" s="12"/>
      <c r="B103" s="12"/>
      <c r="C103" s="12"/>
      <c r="D103" s="12"/>
      <c r="E103" s="14"/>
      <c r="F103" s="13"/>
      <c r="G103" s="13"/>
      <c r="H103" s="12"/>
      <c r="I103" s="12"/>
      <c r="J103" s="12"/>
      <c r="K103" s="12"/>
    </row>
    <row r="104" spans="1:11">
      <c r="A104" s="12"/>
      <c r="B104" s="12"/>
      <c r="C104" s="12"/>
      <c r="D104" s="12"/>
      <c r="E104" s="14"/>
      <c r="F104" s="13"/>
      <c r="G104" s="13"/>
      <c r="H104" s="12"/>
      <c r="I104" s="12"/>
      <c r="J104" s="12"/>
      <c r="K104" s="12"/>
    </row>
    <row r="105" spans="1:11">
      <c r="A105" s="12"/>
      <c r="B105" s="12"/>
      <c r="C105" s="12"/>
      <c r="D105" s="12"/>
      <c r="E105" s="14"/>
      <c r="F105" s="13"/>
      <c r="G105" s="13"/>
      <c r="H105" s="12"/>
      <c r="I105" s="12"/>
      <c r="J105" s="12"/>
      <c r="K105" s="12"/>
    </row>
    <row r="106" spans="1:11">
      <c r="A106" s="12"/>
      <c r="B106" s="12"/>
      <c r="C106" s="12"/>
      <c r="D106" s="12"/>
      <c r="E106" s="14"/>
      <c r="F106" s="13"/>
      <c r="G106" s="13"/>
      <c r="H106" s="12"/>
      <c r="I106" s="12"/>
      <c r="J106" s="12"/>
      <c r="K106" s="12"/>
    </row>
    <row r="107" spans="1:11">
      <c r="A107" s="12"/>
      <c r="B107" s="12"/>
      <c r="C107" s="12"/>
      <c r="D107" s="12"/>
      <c r="E107" s="14"/>
      <c r="F107" s="13"/>
      <c r="G107" s="13"/>
      <c r="H107" s="12"/>
      <c r="I107" s="12"/>
      <c r="J107" s="12"/>
      <c r="K107" s="12"/>
    </row>
    <row r="108" spans="1:11">
      <c r="A108" s="12"/>
      <c r="B108" s="12"/>
      <c r="C108" s="12"/>
      <c r="D108" s="12"/>
      <c r="E108" s="14"/>
      <c r="F108" s="13"/>
      <c r="G108" s="13"/>
      <c r="H108" s="12"/>
      <c r="I108" s="12"/>
      <c r="J108" s="12"/>
      <c r="K108" s="12"/>
    </row>
    <row r="109" spans="1:11">
      <c r="A109" s="12"/>
      <c r="B109" s="12"/>
      <c r="C109" s="12"/>
      <c r="D109" s="12"/>
      <c r="E109" s="14"/>
      <c r="F109" s="13"/>
      <c r="G109" s="13"/>
      <c r="H109" s="12"/>
      <c r="I109" s="12"/>
      <c r="J109" s="12"/>
      <c r="K109" s="12"/>
    </row>
    <row r="110" spans="1:11">
      <c r="A110" s="12"/>
      <c r="B110" s="12"/>
      <c r="C110" s="12"/>
      <c r="D110" s="12"/>
      <c r="E110" s="14"/>
      <c r="F110" s="13"/>
      <c r="G110" s="13"/>
      <c r="H110" s="12"/>
      <c r="I110" s="12"/>
      <c r="J110" s="12"/>
      <c r="K110" s="12"/>
    </row>
    <row r="111" spans="1:11">
      <c r="A111" s="12"/>
      <c r="B111" s="12"/>
      <c r="C111" s="12"/>
      <c r="D111" s="12"/>
      <c r="E111" s="14"/>
      <c r="F111" s="13"/>
      <c r="G111" s="13"/>
      <c r="H111" s="12"/>
      <c r="I111" s="12"/>
      <c r="J111" s="12"/>
      <c r="K111" s="12"/>
    </row>
    <row r="112" spans="1:11">
      <c r="A112" s="12"/>
      <c r="B112" s="12"/>
      <c r="C112" s="12"/>
      <c r="D112" s="12"/>
      <c r="E112" s="14"/>
      <c r="F112" s="13"/>
      <c r="G112" s="13"/>
      <c r="H112" s="12"/>
      <c r="I112" s="12"/>
      <c r="J112" s="12"/>
      <c r="K112" s="12"/>
    </row>
    <row r="113" spans="1:11">
      <c r="A113" s="12"/>
      <c r="B113" s="12"/>
      <c r="C113" s="12"/>
      <c r="D113" s="12"/>
      <c r="E113" s="14"/>
      <c r="F113" s="13"/>
      <c r="G113" s="13"/>
      <c r="H113" s="12"/>
      <c r="I113" s="12"/>
      <c r="J113" s="12"/>
      <c r="K113" s="12"/>
    </row>
    <row r="114" spans="1:11">
      <c r="A114" s="12"/>
      <c r="B114" s="12"/>
      <c r="C114" s="12"/>
      <c r="D114" s="12"/>
      <c r="E114" s="14"/>
      <c r="F114" s="13"/>
      <c r="G114" s="13"/>
      <c r="H114" s="12"/>
      <c r="I114" s="12"/>
      <c r="J114" s="12"/>
      <c r="K114" s="12"/>
    </row>
    <row r="115" spans="1:11">
      <c r="A115" s="12"/>
      <c r="B115" s="12"/>
      <c r="C115" s="12"/>
      <c r="D115" s="12"/>
      <c r="E115" s="14"/>
      <c r="F115" s="13"/>
      <c r="G115" s="13"/>
      <c r="H115" s="12"/>
      <c r="I115" s="12"/>
      <c r="J115" s="12"/>
      <c r="K115" s="12"/>
    </row>
    <row r="116" spans="1:11">
      <c r="A116" s="12"/>
      <c r="B116" s="12"/>
      <c r="C116" s="12"/>
      <c r="D116" s="12"/>
      <c r="E116" s="14"/>
      <c r="F116" s="13"/>
      <c r="G116" s="13"/>
      <c r="H116" s="12"/>
      <c r="I116" s="12"/>
      <c r="J116" s="12"/>
      <c r="K116" s="12"/>
    </row>
    <row r="117" spans="1:11">
      <c r="A117" s="12"/>
      <c r="B117" s="12"/>
      <c r="C117" s="12"/>
      <c r="D117" s="12"/>
      <c r="E117" s="14"/>
      <c r="F117" s="13"/>
      <c r="G117" s="13"/>
      <c r="H117" s="12"/>
      <c r="I117" s="12"/>
      <c r="J117" s="12"/>
      <c r="K117" s="12"/>
    </row>
    <row r="118" spans="1:11">
      <c r="A118" s="12"/>
      <c r="B118" s="12"/>
      <c r="C118" s="12"/>
      <c r="D118" s="12"/>
      <c r="E118" s="14"/>
      <c r="F118" s="13"/>
      <c r="G118" s="13"/>
      <c r="H118" s="12"/>
      <c r="I118" s="12"/>
      <c r="J118" s="12"/>
      <c r="K118" s="12"/>
    </row>
    <row r="119" spans="1:11">
      <c r="A119" s="12"/>
      <c r="B119" s="12"/>
      <c r="C119" s="12"/>
      <c r="D119" s="12"/>
      <c r="E119" s="14"/>
      <c r="F119" s="13"/>
      <c r="G119" s="13"/>
      <c r="H119" s="12"/>
      <c r="I119" s="12"/>
      <c r="J119" s="12"/>
      <c r="K119" s="12"/>
    </row>
    <row r="120" spans="1:11">
      <c r="A120" s="12"/>
      <c r="B120" s="12"/>
      <c r="C120" s="12"/>
      <c r="D120" s="12"/>
      <c r="E120" s="14"/>
      <c r="F120" s="13"/>
      <c r="G120" s="13"/>
      <c r="H120" s="12"/>
      <c r="I120" s="12"/>
      <c r="J120" s="12"/>
      <c r="K120" s="12"/>
    </row>
    <row r="121" spans="1:11">
      <c r="A121" s="12"/>
      <c r="B121" s="12"/>
      <c r="C121" s="12"/>
      <c r="D121" s="12"/>
      <c r="E121" s="14"/>
      <c r="F121" s="13"/>
      <c r="G121" s="13"/>
      <c r="H121" s="12"/>
      <c r="I121" s="12"/>
      <c r="J121" s="12"/>
      <c r="K121" s="12"/>
    </row>
    <row r="122" spans="1:11">
      <c r="A122" s="12"/>
      <c r="B122" s="12"/>
      <c r="C122" s="12"/>
      <c r="D122" s="12"/>
      <c r="E122" s="14"/>
      <c r="F122" s="13"/>
      <c r="G122" s="13"/>
      <c r="H122" s="12"/>
      <c r="I122" s="12"/>
      <c r="J122" s="12"/>
      <c r="K122" s="12"/>
    </row>
    <row r="123" spans="1:11">
      <c r="A123" s="12"/>
      <c r="B123" s="12"/>
      <c r="C123" s="12"/>
      <c r="D123" s="12"/>
      <c r="E123" s="14"/>
      <c r="F123" s="13"/>
      <c r="G123" s="13"/>
      <c r="H123" s="12"/>
      <c r="I123" s="12"/>
      <c r="J123" s="12"/>
      <c r="K123" s="12"/>
    </row>
    <row r="124" spans="1:11">
      <c r="A124" s="12"/>
      <c r="B124" s="12"/>
      <c r="C124" s="12"/>
      <c r="D124" s="12"/>
      <c r="E124" s="14"/>
      <c r="F124" s="13"/>
      <c r="G124" s="13"/>
      <c r="H124" s="12"/>
      <c r="I124" s="12"/>
      <c r="J124" s="12"/>
      <c r="K124" s="12"/>
    </row>
    <row r="125" spans="1:11">
      <c r="A125" s="12"/>
      <c r="B125" s="12"/>
      <c r="C125" s="12"/>
      <c r="D125" s="12"/>
      <c r="E125" s="14"/>
      <c r="F125" s="13"/>
      <c r="G125" s="13"/>
      <c r="H125" s="12"/>
      <c r="I125" s="12"/>
      <c r="J125" s="12"/>
      <c r="K125" s="12"/>
    </row>
    <row r="126" spans="1:11">
      <c r="A126" s="12"/>
      <c r="B126" s="12"/>
      <c r="C126" s="12"/>
      <c r="D126" s="12"/>
      <c r="E126" s="14"/>
      <c r="F126" s="13"/>
      <c r="G126" s="13"/>
      <c r="H126" s="12"/>
      <c r="I126" s="12"/>
      <c r="J126" s="12"/>
      <c r="K126" s="12"/>
    </row>
    <row r="127" spans="1:11">
      <c r="A127" s="12"/>
      <c r="B127" s="12"/>
      <c r="C127" s="12"/>
      <c r="D127" s="12"/>
      <c r="E127" s="14"/>
      <c r="F127" s="13"/>
      <c r="G127" s="13"/>
      <c r="H127" s="12"/>
      <c r="I127" s="12"/>
      <c r="J127" s="12"/>
      <c r="K127" s="12"/>
    </row>
    <row r="128" spans="1:11">
      <c r="A128" s="12"/>
      <c r="B128" s="12"/>
      <c r="C128" s="12"/>
      <c r="D128" s="12"/>
      <c r="E128" s="14"/>
      <c r="F128" s="13"/>
      <c r="G128" s="13"/>
      <c r="H128" s="12"/>
      <c r="I128" s="12"/>
      <c r="J128" s="12"/>
      <c r="K128" s="12"/>
    </row>
    <row r="129" spans="1:11">
      <c r="A129" s="12"/>
      <c r="B129" s="12"/>
      <c r="C129" s="12"/>
      <c r="D129" s="12"/>
      <c r="E129" s="14"/>
      <c r="F129" s="13"/>
      <c r="G129" s="13"/>
      <c r="H129" s="12"/>
      <c r="I129" s="12"/>
      <c r="J129" s="12"/>
      <c r="K129" s="12"/>
    </row>
    <row r="130" spans="1:11">
      <c r="A130" s="12"/>
      <c r="B130" s="12"/>
      <c r="C130" s="12"/>
      <c r="D130" s="12"/>
      <c r="E130" s="14"/>
      <c r="F130" s="13"/>
      <c r="G130" s="13"/>
      <c r="H130" s="12"/>
      <c r="I130" s="12"/>
      <c r="J130" s="12"/>
      <c r="K130" s="12"/>
    </row>
    <row r="131" spans="1:11">
      <c r="A131" s="12"/>
      <c r="B131" s="12"/>
      <c r="C131" s="12"/>
      <c r="D131" s="12"/>
      <c r="E131" s="14"/>
      <c r="F131" s="13"/>
      <c r="G131" s="13"/>
      <c r="H131" s="12"/>
      <c r="I131" s="12"/>
      <c r="J131" s="12"/>
      <c r="K131" s="12"/>
    </row>
    <row r="132" spans="1:11">
      <c r="A132" s="12"/>
      <c r="B132" s="12"/>
      <c r="C132" s="12"/>
      <c r="D132" s="12"/>
      <c r="E132" s="14"/>
      <c r="F132" s="13"/>
      <c r="G132" s="13"/>
      <c r="H132" s="12"/>
      <c r="I132" s="12"/>
      <c r="J132" s="12"/>
      <c r="K132" s="12"/>
    </row>
    <row r="133" spans="1:11">
      <c r="A133" s="12"/>
      <c r="B133" s="12"/>
      <c r="C133" s="12"/>
      <c r="D133" s="12"/>
      <c r="E133" s="14"/>
      <c r="F133" s="13"/>
      <c r="G133" s="13"/>
      <c r="H133" s="12"/>
      <c r="I133" s="12"/>
      <c r="J133" s="12"/>
      <c r="K133" s="12"/>
    </row>
    <row r="134" spans="1:11">
      <c r="A134" s="12"/>
      <c r="B134" s="12"/>
      <c r="C134" s="12"/>
      <c r="D134" s="12"/>
      <c r="E134" s="14"/>
      <c r="F134" s="13"/>
      <c r="G134" s="13"/>
      <c r="H134" s="12"/>
      <c r="I134" s="12"/>
      <c r="J134" s="12"/>
      <c r="K134" s="12"/>
    </row>
    <row r="135" spans="1:11">
      <c r="A135" s="12"/>
      <c r="B135" s="12"/>
      <c r="C135" s="12"/>
      <c r="D135" s="12"/>
      <c r="E135" s="14"/>
      <c r="F135" s="13"/>
      <c r="G135" s="13"/>
      <c r="H135" s="12"/>
      <c r="I135" s="12"/>
      <c r="J135" s="12"/>
      <c r="K135" s="12"/>
    </row>
    <row r="136" spans="1:11">
      <c r="A136" s="12"/>
      <c r="B136" s="12"/>
      <c r="C136" s="12"/>
      <c r="D136" s="12"/>
      <c r="E136" s="14"/>
      <c r="F136" s="13"/>
      <c r="G136" s="13"/>
      <c r="H136" s="12"/>
      <c r="I136" s="12"/>
      <c r="J136" s="12"/>
      <c r="K136" s="12"/>
    </row>
    <row r="137" spans="1:11">
      <c r="A137" s="12"/>
      <c r="B137" s="12"/>
      <c r="C137" s="12"/>
      <c r="D137" s="12"/>
      <c r="E137" s="14"/>
      <c r="F137" s="13"/>
      <c r="G137" s="13"/>
      <c r="H137" s="12"/>
      <c r="I137" s="12"/>
      <c r="J137" s="12"/>
      <c r="K137" s="12"/>
    </row>
    <row r="138" spans="1:11">
      <c r="A138" s="12"/>
      <c r="B138" s="12"/>
      <c r="C138" s="12"/>
      <c r="D138" s="12"/>
      <c r="E138" s="14"/>
      <c r="F138" s="13"/>
      <c r="G138" s="13"/>
      <c r="H138" s="12"/>
      <c r="I138" s="12"/>
      <c r="J138" s="12"/>
      <c r="K138" s="12"/>
    </row>
    <row r="139" spans="1:11">
      <c r="A139" s="12"/>
      <c r="B139" s="12"/>
      <c r="C139" s="12"/>
      <c r="D139" s="12"/>
      <c r="E139" s="14"/>
      <c r="F139" s="13"/>
      <c r="G139" s="13"/>
      <c r="H139" s="12"/>
      <c r="I139" s="12"/>
      <c r="J139" s="12"/>
      <c r="K139" s="12"/>
    </row>
    <row r="140" spans="1:11">
      <c r="A140" s="12"/>
      <c r="B140" s="12"/>
      <c r="C140" s="12"/>
      <c r="D140" s="12"/>
      <c r="E140" s="14"/>
      <c r="F140" s="13"/>
      <c r="G140" s="13"/>
      <c r="H140" s="12"/>
      <c r="I140" s="12"/>
      <c r="J140" s="12"/>
      <c r="K140" s="12"/>
    </row>
    <row r="141" spans="1:11">
      <c r="A141" s="12"/>
      <c r="B141" s="12"/>
      <c r="C141" s="12"/>
      <c r="D141" s="12"/>
      <c r="E141" s="14"/>
      <c r="F141" s="13"/>
      <c r="G141" s="13"/>
      <c r="H141" s="12"/>
      <c r="I141" s="12"/>
      <c r="J141" s="12"/>
      <c r="K141" s="12"/>
    </row>
    <row r="142" spans="1:11">
      <c r="A142" s="12"/>
      <c r="B142" s="12"/>
      <c r="C142" s="12"/>
      <c r="D142" s="12"/>
      <c r="E142" s="14"/>
      <c r="F142" s="13"/>
      <c r="G142" s="13"/>
      <c r="H142" s="12"/>
      <c r="I142" s="12"/>
      <c r="J142" s="12"/>
      <c r="K142" s="12"/>
    </row>
    <row r="143" spans="1:11">
      <c r="A143" s="12"/>
      <c r="B143" s="12"/>
      <c r="C143" s="12"/>
      <c r="D143" s="12"/>
      <c r="E143" s="14"/>
      <c r="F143" s="13"/>
      <c r="G143" s="13"/>
      <c r="H143" s="12"/>
      <c r="I143" s="12"/>
      <c r="J143" s="12"/>
      <c r="K143" s="12"/>
    </row>
    <row r="144" spans="1:11">
      <c r="A144" s="12"/>
      <c r="B144" s="12"/>
      <c r="C144" s="12"/>
      <c r="D144" s="12"/>
      <c r="E144" s="14"/>
      <c r="F144" s="13"/>
      <c r="G144" s="13"/>
      <c r="H144" s="12"/>
      <c r="I144" s="12"/>
      <c r="J144" s="12"/>
      <c r="K144" s="12"/>
    </row>
    <row r="145" spans="1:11">
      <c r="A145" s="12"/>
      <c r="B145" s="12"/>
      <c r="C145" s="12"/>
      <c r="D145" s="12"/>
      <c r="E145" s="14"/>
      <c r="F145" s="13"/>
      <c r="G145" s="13"/>
      <c r="H145" s="12"/>
      <c r="I145" s="12"/>
      <c r="J145" s="12"/>
      <c r="K145" s="12"/>
    </row>
    <row r="146" spans="1:11">
      <c r="A146" s="12"/>
      <c r="B146" s="12"/>
      <c r="C146" s="12"/>
      <c r="D146" s="12"/>
      <c r="E146" s="14"/>
      <c r="F146" s="13"/>
      <c r="G146" s="13"/>
      <c r="H146" s="12"/>
      <c r="I146" s="12"/>
      <c r="J146" s="12"/>
      <c r="K146" s="12"/>
    </row>
    <row r="147" spans="1:11">
      <c r="A147" s="12"/>
      <c r="B147" s="12"/>
      <c r="C147" s="12"/>
      <c r="D147" s="12"/>
      <c r="E147" s="14"/>
      <c r="F147" s="13"/>
      <c r="G147" s="13"/>
      <c r="H147" s="12"/>
      <c r="I147" s="12"/>
      <c r="J147" s="12"/>
      <c r="K147" s="12"/>
    </row>
    <row r="148" spans="1:11">
      <c r="A148" s="12"/>
      <c r="B148" s="12"/>
      <c r="C148" s="12"/>
      <c r="D148" s="12"/>
      <c r="E148" s="14"/>
      <c r="F148" s="13"/>
      <c r="G148" s="13"/>
      <c r="H148" s="12"/>
      <c r="I148" s="12"/>
      <c r="J148" s="12"/>
      <c r="K148" s="12"/>
    </row>
    <row r="149" spans="1:11">
      <c r="A149" s="12"/>
      <c r="B149" s="12"/>
      <c r="C149" s="12"/>
      <c r="D149" s="12"/>
      <c r="E149" s="14"/>
      <c r="F149" s="13"/>
      <c r="G149" s="13"/>
      <c r="H149" s="12"/>
      <c r="I149" s="12"/>
      <c r="J149" s="12"/>
      <c r="K149" s="12"/>
    </row>
    <row r="150" spans="1:11">
      <c r="A150" s="12"/>
      <c r="B150" s="12"/>
      <c r="C150" s="12"/>
      <c r="D150" s="12"/>
      <c r="E150" s="14"/>
      <c r="F150" s="13"/>
      <c r="G150" s="13"/>
      <c r="H150" s="12"/>
      <c r="I150" s="12"/>
      <c r="J150" s="12"/>
      <c r="K150" s="12"/>
    </row>
    <row r="151" spans="1:11">
      <c r="A151" s="12"/>
      <c r="B151" s="12"/>
      <c r="C151" s="12"/>
      <c r="D151" s="12"/>
      <c r="E151" s="14"/>
      <c r="F151" s="13"/>
      <c r="G151" s="13"/>
      <c r="H151" s="12"/>
      <c r="I151" s="12"/>
      <c r="J151" s="12"/>
      <c r="K151" s="12"/>
    </row>
    <row r="152" spans="1:11">
      <c r="A152" s="12"/>
      <c r="B152" s="12"/>
      <c r="C152" s="12"/>
      <c r="D152" s="12"/>
      <c r="E152" s="14"/>
      <c r="F152" s="13"/>
      <c r="G152" s="13"/>
      <c r="H152" s="12"/>
      <c r="I152" s="12"/>
      <c r="J152" s="12"/>
      <c r="K152" s="12"/>
    </row>
    <row r="153" spans="1:11">
      <c r="A153" s="12"/>
      <c r="B153" s="12"/>
      <c r="C153" s="12"/>
      <c r="D153" s="12"/>
      <c r="E153" s="14"/>
      <c r="F153" s="13"/>
      <c r="G153" s="13"/>
      <c r="H153" s="12"/>
      <c r="I153" s="12"/>
      <c r="J153" s="12"/>
      <c r="K153" s="12"/>
    </row>
    <row r="154" spans="1:11">
      <c r="A154" s="12"/>
      <c r="B154" s="12"/>
      <c r="C154" s="12"/>
      <c r="D154" s="12"/>
      <c r="E154" s="14"/>
      <c r="F154" s="13"/>
      <c r="G154" s="13"/>
      <c r="H154" s="12"/>
      <c r="I154" s="12"/>
      <c r="J154" s="12"/>
      <c r="K154" s="12"/>
    </row>
    <row r="155" spans="1:11">
      <c r="A155" s="12"/>
      <c r="B155" s="12"/>
      <c r="C155" s="12"/>
      <c r="D155" s="12"/>
      <c r="E155" s="14"/>
      <c r="F155" s="13"/>
      <c r="G155" s="13"/>
      <c r="H155" s="12"/>
      <c r="I155" s="12"/>
      <c r="J155" s="12"/>
      <c r="K155" s="12"/>
    </row>
    <row r="156" spans="1:11">
      <c r="A156" s="12"/>
      <c r="B156" s="12"/>
      <c r="C156" s="12"/>
      <c r="D156" s="12"/>
      <c r="E156" s="14"/>
      <c r="F156" s="13"/>
      <c r="G156" s="13"/>
      <c r="H156" s="12"/>
      <c r="I156" s="12"/>
      <c r="J156" s="12"/>
      <c r="K156" s="12"/>
    </row>
    <row r="157" spans="1:11">
      <c r="A157" s="12"/>
      <c r="B157" s="12"/>
      <c r="C157" s="12"/>
      <c r="D157" s="12"/>
      <c r="E157" s="14"/>
      <c r="F157" s="13"/>
      <c r="G157" s="13"/>
      <c r="H157" s="12"/>
      <c r="I157" s="12"/>
      <c r="J157" s="12"/>
      <c r="K157" s="12"/>
    </row>
    <row r="158" spans="1:11">
      <c r="A158" s="12"/>
      <c r="B158" s="12"/>
      <c r="C158" s="12"/>
      <c r="D158" s="12"/>
      <c r="E158" s="14"/>
      <c r="F158" s="13"/>
      <c r="G158" s="13"/>
      <c r="H158" s="12"/>
      <c r="I158" s="12"/>
      <c r="J158" s="12"/>
      <c r="K158" s="12"/>
    </row>
    <row r="159" spans="1:11">
      <c r="A159" s="12"/>
      <c r="B159" s="12"/>
      <c r="C159" s="12"/>
      <c r="D159" s="12"/>
      <c r="E159" s="14"/>
      <c r="F159" s="13"/>
      <c r="G159" s="13"/>
      <c r="H159" s="12"/>
      <c r="I159" s="12"/>
      <c r="J159" s="12"/>
      <c r="K159" s="12"/>
    </row>
    <row r="160" spans="1:11">
      <c r="A160" s="12"/>
      <c r="B160" s="12"/>
      <c r="C160" s="12"/>
      <c r="D160" s="12"/>
      <c r="E160" s="14"/>
      <c r="F160" s="13"/>
      <c r="G160" s="13"/>
      <c r="H160" s="12"/>
      <c r="I160" s="12"/>
      <c r="J160" s="12"/>
      <c r="K160" s="12"/>
    </row>
    <row r="161" spans="1:11">
      <c r="A161" s="12"/>
      <c r="B161" s="12"/>
      <c r="C161" s="12"/>
      <c r="D161" s="12"/>
      <c r="E161" s="14"/>
      <c r="F161" s="13"/>
      <c r="G161" s="13"/>
      <c r="H161" s="12"/>
      <c r="I161" s="12"/>
      <c r="J161" s="12"/>
      <c r="K161" s="12"/>
    </row>
    <row r="162" spans="1:11">
      <c r="A162" s="12"/>
      <c r="B162" s="12"/>
      <c r="C162" s="12"/>
      <c r="D162" s="12"/>
      <c r="E162" s="14"/>
      <c r="F162" s="13"/>
      <c r="G162" s="13"/>
      <c r="H162" s="12"/>
      <c r="I162" s="12"/>
      <c r="J162" s="12"/>
      <c r="K162" s="12"/>
    </row>
    <row r="163" spans="1:11">
      <c r="A163" s="12"/>
      <c r="B163" s="12"/>
      <c r="C163" s="12"/>
      <c r="D163" s="12"/>
      <c r="E163" s="14"/>
      <c r="F163" s="13"/>
      <c r="G163" s="13"/>
      <c r="H163" s="12"/>
      <c r="I163" s="12"/>
      <c r="J163" s="12"/>
      <c r="K163" s="12"/>
    </row>
    <row r="164" spans="1:11">
      <c r="A164" s="12"/>
      <c r="B164" s="12"/>
      <c r="C164" s="12"/>
      <c r="D164" s="12"/>
      <c r="E164" s="14"/>
      <c r="F164" s="13"/>
      <c r="G164" s="13"/>
      <c r="H164" s="12"/>
      <c r="I164" s="12"/>
      <c r="J164" s="12"/>
      <c r="K164" s="12"/>
    </row>
    <row r="165" spans="1:11">
      <c r="A165" s="12"/>
      <c r="B165" s="12"/>
      <c r="C165" s="12"/>
      <c r="D165" s="12"/>
      <c r="E165" s="14"/>
      <c r="F165" s="13"/>
      <c r="G165" s="13"/>
      <c r="H165" s="12"/>
      <c r="I165" s="12"/>
      <c r="J165" s="12"/>
      <c r="K165" s="12"/>
    </row>
    <row r="166" spans="1:11">
      <c r="A166" s="12"/>
      <c r="B166" s="12"/>
      <c r="C166" s="12"/>
      <c r="D166" s="12"/>
      <c r="E166" s="14"/>
      <c r="F166" s="13"/>
      <c r="G166" s="13"/>
      <c r="H166" s="12"/>
      <c r="I166" s="12"/>
      <c r="J166" s="12"/>
      <c r="K166" s="12"/>
    </row>
    <row r="167" spans="1:11">
      <c r="A167" s="12"/>
      <c r="B167" s="12"/>
      <c r="C167" s="12"/>
      <c r="D167" s="12"/>
      <c r="E167" s="14"/>
      <c r="F167" s="13"/>
      <c r="G167" s="13"/>
      <c r="H167" s="12"/>
      <c r="I167" s="12"/>
      <c r="J167" s="12"/>
      <c r="K167" s="12"/>
    </row>
    <row r="168" spans="1:11">
      <c r="A168" s="12"/>
      <c r="B168" s="12"/>
      <c r="C168" s="12"/>
      <c r="D168" s="12"/>
      <c r="E168" s="14"/>
      <c r="F168" s="13"/>
      <c r="G168" s="13"/>
      <c r="H168" s="12"/>
      <c r="I168" s="12"/>
      <c r="J168" s="12"/>
      <c r="K168" s="12"/>
    </row>
    <row r="169" spans="1:11">
      <c r="A169" s="12"/>
      <c r="B169" s="12"/>
      <c r="C169" s="12"/>
      <c r="D169" s="12"/>
      <c r="E169" s="14"/>
      <c r="F169" s="13"/>
      <c r="G169" s="13"/>
      <c r="H169" s="12"/>
      <c r="I169" s="12"/>
      <c r="J169" s="12"/>
      <c r="K169" s="12"/>
    </row>
    <row r="170" spans="1:11">
      <c r="A170" s="12"/>
      <c r="B170" s="12"/>
      <c r="C170" s="12"/>
      <c r="D170" s="12"/>
      <c r="E170" s="14"/>
      <c r="F170" s="13"/>
      <c r="G170" s="13"/>
      <c r="H170" s="12"/>
      <c r="I170" s="12"/>
      <c r="J170" s="12"/>
      <c r="K170" s="12"/>
    </row>
    <row r="171" spans="1:11">
      <c r="A171" s="12"/>
      <c r="B171" s="12"/>
      <c r="C171" s="12"/>
      <c r="D171" s="12"/>
      <c r="E171" s="14"/>
      <c r="F171" s="13"/>
      <c r="G171" s="13"/>
      <c r="H171" s="12"/>
      <c r="I171" s="12"/>
      <c r="J171" s="12"/>
      <c r="K171" s="12"/>
    </row>
    <row r="172" spans="1:11">
      <c r="A172" s="12"/>
      <c r="B172" s="12"/>
      <c r="C172" s="12"/>
      <c r="D172" s="12"/>
      <c r="E172" s="14"/>
      <c r="F172" s="13"/>
      <c r="G172" s="13"/>
      <c r="H172" s="12"/>
      <c r="I172" s="12"/>
      <c r="J172" s="12"/>
      <c r="K172" s="12"/>
    </row>
    <row r="173" spans="1:11">
      <c r="A173" s="12"/>
      <c r="B173" s="12"/>
      <c r="C173" s="12"/>
      <c r="D173" s="12"/>
      <c r="E173" s="14"/>
      <c r="F173" s="13"/>
      <c r="G173" s="13"/>
      <c r="H173" s="12"/>
      <c r="I173" s="12"/>
      <c r="J173" s="12"/>
      <c r="K173" s="12"/>
    </row>
    <row r="174" spans="1:11">
      <c r="A174" s="12"/>
      <c r="B174" s="12"/>
      <c r="C174" s="12"/>
      <c r="D174" s="12"/>
      <c r="E174" s="14"/>
      <c r="F174" s="13"/>
      <c r="G174" s="13"/>
      <c r="H174" s="12"/>
      <c r="I174" s="12"/>
      <c r="J174" s="12"/>
      <c r="K174" s="12"/>
    </row>
    <row r="175" spans="1:11">
      <c r="A175" s="12"/>
      <c r="B175" s="12"/>
      <c r="C175" s="12"/>
      <c r="D175" s="12"/>
      <c r="E175" s="14"/>
      <c r="F175" s="13"/>
      <c r="G175" s="13"/>
      <c r="H175" s="12"/>
      <c r="I175" s="12"/>
      <c r="J175" s="12"/>
      <c r="K175" s="12"/>
    </row>
    <row r="176" spans="1:11">
      <c r="A176" s="12"/>
      <c r="B176" s="12"/>
      <c r="C176" s="12"/>
      <c r="D176" s="12"/>
      <c r="E176" s="14"/>
      <c r="F176" s="13"/>
      <c r="G176" s="13"/>
      <c r="H176" s="12"/>
      <c r="I176" s="12"/>
      <c r="J176" s="12"/>
      <c r="K176" s="12"/>
    </row>
    <row r="177" spans="1:11">
      <c r="A177" s="12"/>
      <c r="B177" s="12"/>
      <c r="C177" s="12"/>
      <c r="D177" s="12"/>
      <c r="E177" s="14"/>
      <c r="F177" s="13"/>
      <c r="G177" s="13"/>
      <c r="H177" s="12"/>
      <c r="I177" s="12"/>
      <c r="J177" s="12"/>
      <c r="K177" s="12"/>
    </row>
    <row r="178" spans="1:11">
      <c r="A178" s="12"/>
      <c r="B178" s="12"/>
      <c r="C178" s="12"/>
      <c r="D178" s="12"/>
      <c r="E178" s="14"/>
      <c r="F178" s="13"/>
      <c r="G178" s="13"/>
      <c r="H178" s="12"/>
      <c r="I178" s="12"/>
      <c r="J178" s="12"/>
      <c r="K178" s="12"/>
    </row>
    <row r="179" spans="1:11">
      <c r="A179" s="12"/>
      <c r="B179" s="12"/>
      <c r="C179" s="12"/>
      <c r="D179" s="12"/>
      <c r="E179" s="14"/>
      <c r="F179" s="13"/>
      <c r="G179" s="13"/>
      <c r="H179" s="12"/>
      <c r="I179" s="12"/>
      <c r="J179" s="12"/>
      <c r="K179" s="12"/>
    </row>
    <row r="180" spans="1:11">
      <c r="A180" s="12"/>
      <c r="B180" s="12"/>
      <c r="C180" s="12"/>
      <c r="D180" s="12"/>
      <c r="E180" s="14"/>
      <c r="F180" s="13"/>
      <c r="G180" s="13"/>
      <c r="H180" s="12"/>
      <c r="I180" s="12"/>
      <c r="J180" s="12"/>
      <c r="K180" s="12"/>
    </row>
    <row r="181" spans="1:11">
      <c r="A181" s="12"/>
      <c r="B181" s="12"/>
      <c r="C181" s="12"/>
      <c r="D181" s="12"/>
      <c r="E181" s="14"/>
      <c r="F181" s="13"/>
      <c r="G181" s="13"/>
      <c r="H181" s="12"/>
      <c r="I181" s="12"/>
      <c r="J181" s="12"/>
      <c r="K181" s="12"/>
    </row>
    <row r="182" spans="1:11">
      <c r="A182" s="12"/>
      <c r="B182" s="12"/>
      <c r="C182" s="12"/>
      <c r="D182" s="12"/>
      <c r="E182" s="14"/>
      <c r="F182" s="13"/>
      <c r="G182" s="13"/>
      <c r="H182" s="12"/>
      <c r="I182" s="12"/>
      <c r="J182" s="12"/>
      <c r="K182" s="12"/>
    </row>
    <row r="183" spans="1:11">
      <c r="A183" s="12"/>
      <c r="B183" s="12"/>
      <c r="C183" s="12"/>
      <c r="D183" s="12"/>
      <c r="E183" s="14"/>
      <c r="F183" s="13"/>
      <c r="G183" s="13"/>
      <c r="H183" s="12"/>
      <c r="I183" s="12"/>
      <c r="J183" s="12"/>
      <c r="K183" s="12"/>
    </row>
    <row r="184" spans="1:11">
      <c r="A184" s="12"/>
      <c r="B184" s="12"/>
      <c r="C184" s="12"/>
      <c r="D184" s="12"/>
      <c r="E184" s="14"/>
      <c r="F184" s="13"/>
      <c r="G184" s="13"/>
      <c r="H184" s="12"/>
      <c r="I184" s="12"/>
      <c r="J184" s="12"/>
      <c r="K184" s="12"/>
    </row>
    <row r="185" spans="1:11">
      <c r="A185" s="12"/>
      <c r="B185" s="12"/>
      <c r="C185" s="12"/>
      <c r="D185" s="12"/>
      <c r="E185" s="14"/>
      <c r="F185" s="13"/>
      <c r="G185" s="13"/>
      <c r="H185" s="12"/>
      <c r="I185" s="12"/>
      <c r="J185" s="12"/>
      <c r="K185" s="12"/>
    </row>
    <row r="186" spans="1:11">
      <c r="A186" s="12"/>
      <c r="B186" s="12"/>
      <c r="C186" s="12"/>
      <c r="D186" s="12"/>
      <c r="E186" s="14"/>
      <c r="F186" s="13"/>
      <c r="G186" s="13"/>
      <c r="H186" s="12"/>
      <c r="I186" s="12"/>
      <c r="J186" s="12"/>
      <c r="K186" s="12"/>
    </row>
    <row r="187" spans="1:11">
      <c r="A187" s="12"/>
      <c r="B187" s="12"/>
      <c r="C187" s="12"/>
      <c r="D187" s="12"/>
      <c r="E187" s="14"/>
      <c r="F187" s="13"/>
      <c r="G187" s="13"/>
      <c r="H187" s="12"/>
      <c r="I187" s="12"/>
      <c r="J187" s="12"/>
      <c r="K187" s="12"/>
    </row>
    <row r="188" spans="1:11">
      <c r="A188" s="12"/>
      <c r="B188" s="12"/>
      <c r="C188" s="12"/>
      <c r="D188" s="12"/>
      <c r="E188" s="14"/>
      <c r="F188" s="13"/>
      <c r="G188" s="13"/>
      <c r="H188" s="12"/>
      <c r="I188" s="12"/>
      <c r="J188" s="12"/>
      <c r="K188" s="12"/>
    </row>
    <row r="189" spans="1:11">
      <c r="A189" s="12"/>
      <c r="B189" s="12"/>
      <c r="C189" s="12"/>
      <c r="D189" s="12"/>
      <c r="E189" s="14"/>
      <c r="F189" s="13"/>
      <c r="G189" s="13"/>
      <c r="H189" s="12"/>
      <c r="I189" s="12"/>
      <c r="J189" s="12"/>
      <c r="K189" s="12"/>
    </row>
    <row r="190" spans="1:11">
      <c r="A190" s="12"/>
      <c r="B190" s="12"/>
      <c r="C190" s="12"/>
      <c r="D190" s="12"/>
      <c r="E190" s="14"/>
      <c r="F190" s="13"/>
      <c r="G190" s="13"/>
      <c r="H190" s="12"/>
      <c r="I190" s="12"/>
      <c r="J190" s="12"/>
      <c r="K190" s="12"/>
    </row>
    <row r="191" spans="1:11">
      <c r="A191" s="12"/>
      <c r="B191" s="12"/>
      <c r="C191" s="12"/>
      <c r="D191" s="12"/>
      <c r="E191" s="14"/>
      <c r="F191" s="13"/>
      <c r="G191" s="13"/>
      <c r="H191" s="12"/>
      <c r="I191" s="12"/>
      <c r="J191" s="12"/>
      <c r="K191" s="12"/>
    </row>
    <row r="192" spans="1:11">
      <c r="A192" s="12"/>
      <c r="B192" s="12"/>
      <c r="C192" s="12"/>
      <c r="D192" s="12"/>
      <c r="E192" s="14"/>
      <c r="F192" s="13"/>
      <c r="G192" s="13"/>
      <c r="H192" s="12"/>
      <c r="I192" s="12"/>
      <c r="J192" s="12"/>
      <c r="K192" s="12"/>
    </row>
    <row r="193" spans="1:11">
      <c r="A193" s="12"/>
      <c r="B193" s="12"/>
      <c r="C193" s="12"/>
      <c r="D193" s="12"/>
      <c r="E193" s="14"/>
      <c r="F193" s="13"/>
      <c r="G193" s="13"/>
      <c r="H193" s="12"/>
      <c r="I193" s="12"/>
      <c r="J193" s="12"/>
      <c r="K193" s="12"/>
    </row>
    <row r="194" spans="1:11">
      <c r="A194" s="12"/>
      <c r="B194" s="12"/>
      <c r="C194" s="12"/>
      <c r="D194" s="12"/>
      <c r="E194" s="14"/>
      <c r="F194" s="13"/>
      <c r="G194" s="13"/>
      <c r="H194" s="12"/>
      <c r="I194" s="12"/>
      <c r="J194" s="12"/>
      <c r="K194" s="12"/>
    </row>
    <row r="195" spans="1:11">
      <c r="A195" s="12"/>
      <c r="B195" s="12"/>
      <c r="C195" s="12"/>
      <c r="D195" s="12"/>
      <c r="E195" s="14"/>
      <c r="F195" s="13"/>
      <c r="G195" s="13"/>
      <c r="H195" s="12"/>
      <c r="I195" s="12"/>
      <c r="J195" s="12"/>
      <c r="K195" s="12"/>
    </row>
    <row r="196" spans="1:11">
      <c r="A196" s="12"/>
      <c r="B196" s="12"/>
      <c r="C196" s="12"/>
      <c r="D196" s="12"/>
      <c r="E196" s="14"/>
      <c r="F196" s="13"/>
      <c r="G196" s="13"/>
      <c r="H196" s="12"/>
      <c r="I196" s="12"/>
      <c r="J196" s="12"/>
      <c r="K196" s="12"/>
    </row>
    <row r="197" spans="1:11">
      <c r="A197" s="12"/>
      <c r="B197" s="12"/>
      <c r="C197" s="12"/>
      <c r="D197" s="12"/>
      <c r="E197" s="14"/>
      <c r="F197" s="13"/>
      <c r="G197" s="13"/>
      <c r="H197" s="12"/>
      <c r="I197" s="12"/>
      <c r="J197" s="12"/>
      <c r="K197" s="12"/>
    </row>
    <row r="198" spans="1:11">
      <c r="A198" s="12"/>
      <c r="B198" s="12"/>
      <c r="C198" s="12"/>
      <c r="D198" s="12"/>
      <c r="E198" s="14"/>
      <c r="F198" s="13"/>
      <c r="G198" s="13"/>
      <c r="H198" s="12"/>
      <c r="I198" s="12"/>
      <c r="J198" s="12"/>
      <c r="K198" s="12"/>
    </row>
    <row r="199" spans="1:11">
      <c r="A199" s="12"/>
      <c r="B199" s="12"/>
      <c r="C199" s="12"/>
      <c r="D199" s="12"/>
      <c r="E199" s="14"/>
      <c r="F199" s="13"/>
      <c r="G199" s="13"/>
      <c r="H199" s="12"/>
      <c r="I199" s="12"/>
      <c r="J199" s="12"/>
      <c r="K199" s="12"/>
    </row>
    <row r="200" spans="1:11">
      <c r="A200" s="12"/>
      <c r="B200" s="12"/>
      <c r="C200" s="12"/>
      <c r="D200" s="12"/>
      <c r="E200" s="14"/>
      <c r="F200" s="13"/>
      <c r="G200" s="13"/>
      <c r="H200" s="12"/>
      <c r="I200" s="12"/>
      <c r="J200" s="12"/>
      <c r="K200" s="12"/>
    </row>
    <row r="201" spans="1:11">
      <c r="A201" s="12"/>
      <c r="B201" s="12"/>
      <c r="C201" s="12"/>
      <c r="D201" s="12"/>
      <c r="E201" s="14"/>
      <c r="F201" s="13"/>
      <c r="G201" s="13"/>
      <c r="H201" s="12"/>
      <c r="I201" s="12"/>
      <c r="J201" s="12"/>
      <c r="K201" s="12"/>
    </row>
    <row r="202" spans="1:11">
      <c r="A202" s="12"/>
      <c r="B202" s="12"/>
      <c r="C202" s="12"/>
      <c r="D202" s="12"/>
      <c r="E202" s="14"/>
      <c r="F202" s="13"/>
      <c r="G202" s="13"/>
      <c r="H202" s="12"/>
      <c r="I202" s="12"/>
      <c r="J202" s="12"/>
      <c r="K202" s="12"/>
    </row>
    <row r="203" spans="1:11">
      <c r="A203" s="12"/>
      <c r="B203" s="12"/>
      <c r="C203" s="12"/>
      <c r="D203" s="12"/>
      <c r="E203" s="14"/>
      <c r="F203" s="13"/>
      <c r="G203" s="13"/>
      <c r="H203" s="12"/>
      <c r="I203" s="12"/>
      <c r="J203" s="12"/>
      <c r="K203" s="12"/>
    </row>
    <row r="204" spans="1:11">
      <c r="A204" s="12"/>
      <c r="B204" s="12"/>
      <c r="C204" s="12"/>
      <c r="D204" s="12"/>
      <c r="E204" s="14"/>
      <c r="F204" s="13"/>
      <c r="G204" s="13"/>
      <c r="H204" s="12"/>
      <c r="I204" s="12"/>
      <c r="J204" s="12"/>
      <c r="K204" s="12"/>
    </row>
    <row r="205" spans="1:11">
      <c r="A205" s="12"/>
      <c r="B205" s="12"/>
      <c r="C205" s="12"/>
      <c r="D205" s="12"/>
      <c r="E205" s="14"/>
      <c r="F205" s="13"/>
      <c r="G205" s="13"/>
      <c r="H205" s="12"/>
      <c r="I205" s="12"/>
      <c r="J205" s="12"/>
      <c r="K205" s="12"/>
    </row>
    <row r="206" spans="1:11">
      <c r="A206" s="12"/>
      <c r="B206" s="12"/>
      <c r="C206" s="12"/>
      <c r="D206" s="12"/>
      <c r="E206" s="14"/>
      <c r="F206" s="13"/>
      <c r="G206" s="13"/>
      <c r="H206" s="12"/>
      <c r="I206" s="12"/>
      <c r="J206" s="12"/>
      <c r="K206" s="12"/>
    </row>
    <row r="207" spans="1:11">
      <c r="A207" s="12"/>
      <c r="B207" s="12"/>
      <c r="C207" s="12"/>
      <c r="D207" s="12"/>
      <c r="E207" s="14"/>
      <c r="F207" s="13"/>
      <c r="G207" s="13"/>
      <c r="H207" s="12"/>
      <c r="I207" s="12"/>
      <c r="J207" s="12"/>
      <c r="K207" s="12"/>
    </row>
    <row r="208" spans="1:11">
      <c r="A208" s="12"/>
      <c r="B208" s="12"/>
      <c r="C208" s="12"/>
      <c r="D208" s="12"/>
      <c r="E208" s="14"/>
      <c r="F208" s="13"/>
      <c r="G208" s="13"/>
      <c r="H208" s="12"/>
      <c r="I208" s="12"/>
      <c r="J208" s="12"/>
      <c r="K208" s="12"/>
    </row>
    <row r="209" spans="1:11">
      <c r="A209" s="12"/>
      <c r="B209" s="12"/>
      <c r="C209" s="12"/>
      <c r="D209" s="12"/>
      <c r="E209" s="14"/>
      <c r="F209" s="13"/>
      <c r="G209" s="13"/>
      <c r="H209" s="12"/>
      <c r="I209" s="12"/>
      <c r="J209" s="12"/>
      <c r="K209" s="12"/>
    </row>
    <row r="210" spans="1:11">
      <c r="A210" s="12"/>
      <c r="B210" s="12"/>
      <c r="C210" s="12"/>
      <c r="D210" s="12"/>
      <c r="E210" s="14"/>
      <c r="F210" s="13"/>
      <c r="G210" s="13"/>
      <c r="H210" s="12"/>
      <c r="I210" s="12"/>
      <c r="J210" s="12"/>
      <c r="K210" s="12"/>
    </row>
    <row r="211" spans="1:11">
      <c r="A211" s="12"/>
      <c r="B211" s="12"/>
      <c r="C211" s="12"/>
      <c r="D211" s="12"/>
      <c r="E211" s="14"/>
      <c r="F211" s="13"/>
      <c r="G211" s="13"/>
      <c r="H211" s="12"/>
      <c r="I211" s="12"/>
      <c r="J211" s="12"/>
      <c r="K211" s="12"/>
    </row>
    <row r="212" spans="1:11">
      <c r="A212" s="12"/>
      <c r="B212" s="12"/>
      <c r="C212" s="12"/>
      <c r="D212" s="12"/>
      <c r="E212" s="14"/>
      <c r="F212" s="13"/>
      <c r="G212" s="13"/>
      <c r="H212" s="12"/>
      <c r="I212" s="12"/>
      <c r="J212" s="12"/>
      <c r="K212" s="12"/>
    </row>
    <row r="213" spans="1:11">
      <c r="A213" s="12"/>
      <c r="B213" s="12"/>
      <c r="C213" s="12"/>
      <c r="D213" s="12"/>
      <c r="E213" s="14"/>
      <c r="F213" s="13"/>
      <c r="G213" s="13"/>
      <c r="H213" s="12"/>
      <c r="I213" s="12"/>
      <c r="J213" s="12"/>
      <c r="K213" s="12"/>
    </row>
    <row r="214" spans="1:11">
      <c r="A214" s="12"/>
      <c r="B214" s="12"/>
      <c r="C214" s="12"/>
      <c r="D214" s="12"/>
      <c r="E214" s="14"/>
      <c r="F214" s="13"/>
      <c r="G214" s="13"/>
      <c r="H214" s="12"/>
      <c r="I214" s="12"/>
      <c r="J214" s="12"/>
      <c r="K214" s="12"/>
    </row>
    <row r="215" spans="1:11">
      <c r="A215" s="12"/>
      <c r="B215" s="12"/>
      <c r="C215" s="12"/>
      <c r="D215" s="12"/>
      <c r="E215" s="14"/>
      <c r="F215" s="13"/>
      <c r="G215" s="13"/>
      <c r="H215" s="12"/>
      <c r="I215" s="12"/>
      <c r="J215" s="12"/>
      <c r="K215" s="12"/>
    </row>
    <row r="216" spans="1:11">
      <c r="A216" s="12"/>
      <c r="B216" s="12"/>
      <c r="C216" s="12"/>
      <c r="D216" s="12"/>
      <c r="E216" s="14"/>
      <c r="F216" s="13"/>
      <c r="G216" s="13"/>
      <c r="H216" s="12"/>
      <c r="I216" s="12"/>
      <c r="J216" s="12"/>
      <c r="K216" s="12"/>
    </row>
    <row r="217" spans="1:11">
      <c r="A217" s="12"/>
      <c r="B217" s="12"/>
      <c r="C217" s="12"/>
      <c r="D217" s="12"/>
      <c r="E217" s="14"/>
      <c r="F217" s="13"/>
      <c r="G217" s="13"/>
      <c r="H217" s="12"/>
      <c r="I217" s="12"/>
      <c r="J217" s="12"/>
      <c r="K217" s="12"/>
    </row>
    <row r="218" spans="1:11">
      <c r="A218" s="12"/>
      <c r="B218" s="12"/>
      <c r="C218" s="12"/>
      <c r="D218" s="12"/>
      <c r="E218" s="14"/>
      <c r="F218" s="13"/>
      <c r="G218" s="13"/>
      <c r="H218" s="12"/>
      <c r="I218" s="12"/>
      <c r="J218" s="12"/>
      <c r="K218" s="12"/>
    </row>
    <row r="219" spans="1:11">
      <c r="A219" s="12"/>
      <c r="B219" s="12"/>
      <c r="C219" s="12"/>
      <c r="D219" s="12"/>
      <c r="E219" s="14"/>
      <c r="F219" s="13"/>
      <c r="G219" s="13"/>
      <c r="H219" s="12"/>
      <c r="I219" s="12"/>
      <c r="J219" s="12"/>
      <c r="K219" s="12"/>
    </row>
    <row r="220" spans="1:11">
      <c r="A220" s="12"/>
      <c r="B220" s="12"/>
      <c r="C220" s="12"/>
      <c r="D220" s="12"/>
      <c r="E220" s="14"/>
      <c r="F220" s="13"/>
      <c r="G220" s="13"/>
      <c r="H220" s="12"/>
      <c r="I220" s="12"/>
      <c r="J220" s="12"/>
      <c r="K220" s="12"/>
    </row>
    <row r="221" spans="1:11">
      <c r="A221" s="12"/>
      <c r="B221" s="12"/>
      <c r="C221" s="12"/>
      <c r="D221" s="12"/>
      <c r="E221" s="14"/>
      <c r="F221" s="13"/>
      <c r="G221" s="13"/>
      <c r="H221" s="12"/>
      <c r="I221" s="12"/>
      <c r="J221" s="12"/>
      <c r="K221" s="12"/>
    </row>
    <row r="222" spans="1:11">
      <c r="A222" s="12"/>
      <c r="B222" s="12"/>
      <c r="C222" s="12"/>
      <c r="D222" s="12"/>
      <c r="E222" s="14"/>
      <c r="F222" s="13"/>
      <c r="G222" s="13"/>
      <c r="H222" s="12"/>
      <c r="I222" s="12"/>
      <c r="J222" s="12"/>
      <c r="K222" s="12"/>
    </row>
    <row r="223" spans="1:11">
      <c r="A223" s="12"/>
      <c r="B223" s="12"/>
      <c r="C223" s="12"/>
      <c r="D223" s="12"/>
      <c r="E223" s="14"/>
      <c r="F223" s="13"/>
      <c r="G223" s="13"/>
      <c r="H223" s="12"/>
      <c r="I223" s="12"/>
      <c r="J223" s="12"/>
      <c r="K223" s="12"/>
    </row>
    <row r="224" spans="1:11">
      <c r="A224" s="12"/>
      <c r="B224" s="12"/>
      <c r="C224" s="12"/>
      <c r="D224" s="12"/>
      <c r="E224" s="14"/>
      <c r="F224" s="13"/>
      <c r="G224" s="13"/>
      <c r="H224" s="12"/>
      <c r="I224" s="12"/>
      <c r="J224" s="12"/>
      <c r="K224" s="12"/>
    </row>
    <row r="225" spans="1:11">
      <c r="A225" s="12"/>
      <c r="B225" s="12"/>
      <c r="C225" s="12"/>
      <c r="D225" s="12"/>
      <c r="E225" s="14"/>
      <c r="F225" s="13"/>
      <c r="G225" s="13"/>
      <c r="H225" s="12"/>
      <c r="I225" s="12"/>
      <c r="J225" s="12"/>
      <c r="K225" s="12"/>
    </row>
    <row r="226" spans="1:11">
      <c r="A226" s="12"/>
      <c r="B226" s="12"/>
      <c r="C226" s="12"/>
      <c r="D226" s="12"/>
      <c r="E226" s="14"/>
      <c r="F226" s="13"/>
      <c r="G226" s="13"/>
      <c r="H226" s="12"/>
      <c r="I226" s="12"/>
      <c r="J226" s="12"/>
      <c r="K226" s="12"/>
    </row>
    <row r="227" spans="1:11">
      <c r="A227" s="12"/>
      <c r="B227" s="12"/>
      <c r="C227" s="12"/>
      <c r="D227" s="12"/>
      <c r="E227" s="14"/>
      <c r="F227" s="13"/>
      <c r="G227" s="13"/>
      <c r="H227" s="12"/>
      <c r="I227" s="12"/>
      <c r="J227" s="12"/>
      <c r="K227" s="12"/>
    </row>
    <row r="228" spans="1:11">
      <c r="A228" s="12"/>
      <c r="B228" s="12"/>
      <c r="C228" s="12"/>
      <c r="D228" s="12"/>
      <c r="E228" s="14"/>
      <c r="F228" s="13"/>
      <c r="G228" s="13"/>
      <c r="H228" s="12"/>
      <c r="I228" s="12"/>
      <c r="J228" s="12"/>
      <c r="K228" s="12"/>
    </row>
    <row r="229" spans="1:11">
      <c r="A229" s="12"/>
      <c r="B229" s="12"/>
      <c r="C229" s="12"/>
      <c r="D229" s="12"/>
      <c r="E229" s="14"/>
      <c r="F229" s="13"/>
      <c r="G229" s="13"/>
      <c r="H229" s="12"/>
      <c r="I229" s="12"/>
      <c r="J229" s="12"/>
      <c r="K229" s="12"/>
    </row>
    <row r="230" spans="1:11">
      <c r="A230" s="12"/>
      <c r="B230" s="12"/>
      <c r="C230" s="12"/>
      <c r="D230" s="12"/>
      <c r="E230" s="14"/>
      <c r="F230" s="13"/>
      <c r="G230" s="13"/>
      <c r="H230" s="12"/>
      <c r="I230" s="12"/>
      <c r="J230" s="12"/>
      <c r="K230" s="12"/>
    </row>
    <row r="231" spans="1:11">
      <c r="A231" s="12"/>
      <c r="B231" s="12"/>
      <c r="C231" s="12"/>
      <c r="D231" s="12"/>
      <c r="E231" s="14"/>
      <c r="F231" s="13"/>
      <c r="G231" s="13"/>
      <c r="H231" s="12"/>
      <c r="I231" s="12"/>
      <c r="J231" s="12"/>
      <c r="K231" s="12"/>
    </row>
    <row r="232" spans="1:11">
      <c r="A232" s="12"/>
      <c r="B232" s="12"/>
      <c r="C232" s="12"/>
      <c r="D232" s="12"/>
      <c r="E232" s="14"/>
      <c r="F232" s="13"/>
      <c r="G232" s="13"/>
      <c r="H232" s="12"/>
      <c r="I232" s="12"/>
      <c r="J232" s="12"/>
      <c r="K232" s="12"/>
    </row>
    <row r="233" spans="1:11">
      <c r="A233" s="12"/>
      <c r="B233" s="12"/>
      <c r="C233" s="12"/>
      <c r="D233" s="12"/>
      <c r="E233" s="14"/>
      <c r="F233" s="13"/>
      <c r="G233" s="13"/>
      <c r="H233" s="12"/>
      <c r="I233" s="12"/>
      <c r="J233" s="12"/>
      <c r="K233" s="12"/>
    </row>
    <row r="234" spans="1:11">
      <c r="A234" s="12"/>
      <c r="B234" s="12"/>
      <c r="C234" s="12"/>
      <c r="D234" s="12"/>
      <c r="E234" s="14"/>
      <c r="F234" s="13"/>
      <c r="G234" s="13"/>
      <c r="H234" s="12"/>
      <c r="I234" s="12"/>
      <c r="J234" s="12"/>
      <c r="K234" s="12"/>
    </row>
    <row r="235" spans="1:11">
      <c r="A235" s="12"/>
      <c r="B235" s="12"/>
      <c r="C235" s="12"/>
      <c r="D235" s="12"/>
      <c r="E235" s="14"/>
      <c r="F235" s="13"/>
      <c r="G235" s="13"/>
      <c r="H235" s="12"/>
      <c r="I235" s="12"/>
      <c r="J235" s="12"/>
      <c r="K235" s="12"/>
    </row>
    <row r="236" spans="1:11">
      <c r="A236" s="12"/>
      <c r="B236" s="12"/>
      <c r="C236" s="12"/>
      <c r="D236" s="12"/>
      <c r="E236" s="14"/>
      <c r="F236" s="13"/>
      <c r="G236" s="13"/>
      <c r="H236" s="12"/>
      <c r="I236" s="12"/>
      <c r="J236" s="12"/>
      <c r="K236" s="12"/>
    </row>
    <row r="237" spans="1:11">
      <c r="A237" s="12"/>
      <c r="B237" s="12"/>
      <c r="C237" s="12"/>
      <c r="D237" s="12"/>
      <c r="E237" s="14"/>
      <c r="F237" s="13"/>
      <c r="G237" s="13"/>
      <c r="H237" s="12"/>
      <c r="I237" s="12"/>
      <c r="J237" s="12"/>
      <c r="K237" s="12"/>
    </row>
    <row r="238" spans="1:11">
      <c r="A238" s="12"/>
      <c r="B238" s="12"/>
      <c r="C238" s="12"/>
      <c r="D238" s="12"/>
      <c r="E238" s="14"/>
      <c r="F238" s="13"/>
      <c r="G238" s="13"/>
      <c r="H238" s="12"/>
      <c r="I238" s="12"/>
      <c r="J238" s="12"/>
      <c r="K238" s="12"/>
    </row>
    <row r="239" spans="1:11">
      <c r="A239" s="12"/>
      <c r="B239" s="12"/>
      <c r="C239" s="12"/>
      <c r="D239" s="12"/>
      <c r="E239" s="14"/>
      <c r="F239" s="13"/>
      <c r="G239" s="13"/>
      <c r="H239" s="12"/>
      <c r="I239" s="12"/>
      <c r="J239" s="12"/>
      <c r="K239" s="12"/>
    </row>
    <row r="240" spans="1:11">
      <c r="A240" s="12"/>
      <c r="B240" s="12"/>
      <c r="C240" s="12"/>
      <c r="D240" s="12"/>
      <c r="E240" s="14"/>
      <c r="F240" s="13"/>
      <c r="G240" s="13"/>
      <c r="H240" s="12"/>
      <c r="I240" s="12"/>
      <c r="J240" s="12"/>
      <c r="K240" s="12"/>
    </row>
    <row r="241" spans="1:11">
      <c r="A241" s="12"/>
      <c r="B241" s="12"/>
      <c r="C241" s="12"/>
      <c r="D241" s="12"/>
      <c r="E241" s="14"/>
      <c r="F241" s="13"/>
      <c r="G241" s="13"/>
      <c r="H241" s="12"/>
      <c r="I241" s="12"/>
      <c r="J241" s="12"/>
      <c r="K241" s="12"/>
    </row>
    <row r="242" spans="1:11">
      <c r="A242" s="12"/>
      <c r="B242" s="12"/>
      <c r="C242" s="12"/>
      <c r="D242" s="12"/>
      <c r="E242" s="14"/>
      <c r="F242" s="13"/>
      <c r="G242" s="13"/>
      <c r="H242" s="12"/>
      <c r="I242" s="12"/>
      <c r="J242" s="12"/>
      <c r="K242" s="12"/>
    </row>
    <row r="243" spans="1:11">
      <c r="A243" s="12"/>
      <c r="B243" s="12"/>
      <c r="C243" s="12"/>
      <c r="D243" s="12"/>
      <c r="E243" s="14"/>
      <c r="F243" s="13"/>
      <c r="G243" s="13"/>
      <c r="H243" s="12"/>
      <c r="I243" s="12"/>
      <c r="J243" s="12"/>
      <c r="K243" s="12"/>
    </row>
    <row r="244" spans="1:11">
      <c r="A244" s="12"/>
      <c r="B244" s="12"/>
      <c r="C244" s="12"/>
      <c r="D244" s="12"/>
      <c r="E244" s="14"/>
      <c r="F244" s="13"/>
      <c r="G244" s="13"/>
      <c r="H244" s="12"/>
      <c r="I244" s="12"/>
      <c r="J244" s="12"/>
      <c r="K244" s="12"/>
    </row>
    <row r="245" spans="1:11">
      <c r="A245" s="12"/>
      <c r="B245" s="12"/>
      <c r="C245" s="12"/>
      <c r="D245" s="12"/>
      <c r="E245" s="14"/>
      <c r="F245" s="13"/>
      <c r="G245" s="13"/>
      <c r="H245" s="12"/>
      <c r="I245" s="12"/>
      <c r="J245" s="12"/>
      <c r="K245" s="12"/>
    </row>
    <row r="246" spans="1:11">
      <c r="A246" s="12"/>
      <c r="B246" s="12"/>
      <c r="C246" s="12"/>
      <c r="D246" s="12"/>
      <c r="E246" s="14"/>
      <c r="F246" s="13"/>
      <c r="G246" s="13"/>
      <c r="H246" s="12"/>
      <c r="I246" s="12"/>
      <c r="J246" s="12"/>
      <c r="K246" s="12"/>
    </row>
    <row r="247" spans="1:11">
      <c r="A247" s="12"/>
      <c r="B247" s="12"/>
      <c r="C247" s="12"/>
      <c r="D247" s="12"/>
      <c r="E247" s="14"/>
      <c r="F247" s="13"/>
      <c r="G247" s="13"/>
      <c r="H247" s="12"/>
      <c r="I247" s="12"/>
      <c r="J247" s="12"/>
      <c r="K247" s="12"/>
    </row>
    <row r="248" spans="1:11">
      <c r="A248" s="12"/>
      <c r="B248" s="12"/>
      <c r="C248" s="12"/>
      <c r="D248" s="12"/>
      <c r="E248" s="14"/>
      <c r="F248" s="13"/>
      <c r="G248" s="13"/>
      <c r="H248" s="12"/>
      <c r="I248" s="12"/>
      <c r="J248" s="12"/>
      <c r="K248" s="12"/>
    </row>
    <row r="249" spans="1:11">
      <c r="A249" s="12"/>
      <c r="B249" s="12"/>
      <c r="C249" s="12"/>
      <c r="D249" s="12"/>
      <c r="E249" s="14"/>
      <c r="F249" s="13"/>
      <c r="G249" s="13"/>
      <c r="H249" s="12"/>
      <c r="I249" s="12"/>
      <c r="J249" s="12"/>
      <c r="K249" s="12"/>
    </row>
    <row r="250" spans="1:11">
      <c r="A250" s="12"/>
      <c r="B250" s="12"/>
      <c r="C250" s="12"/>
      <c r="D250" s="12"/>
      <c r="E250" s="14"/>
      <c r="F250" s="13"/>
      <c r="G250" s="13"/>
      <c r="H250" s="12"/>
      <c r="I250" s="12"/>
      <c r="J250" s="12"/>
      <c r="K250" s="12"/>
    </row>
    <row r="251" spans="1:11">
      <c r="A251" s="12"/>
      <c r="B251" s="12"/>
      <c r="C251" s="12"/>
      <c r="D251" s="12"/>
      <c r="E251" s="14"/>
      <c r="F251" s="13"/>
      <c r="G251" s="13"/>
      <c r="H251" s="12"/>
      <c r="I251" s="12"/>
      <c r="J251" s="12"/>
      <c r="K251" s="12"/>
    </row>
    <row r="252" spans="1:11">
      <c r="A252" s="12"/>
      <c r="B252" s="12"/>
      <c r="C252" s="12"/>
      <c r="D252" s="12"/>
      <c r="E252" s="14"/>
      <c r="F252" s="13"/>
      <c r="G252" s="13"/>
      <c r="H252" s="12"/>
      <c r="I252" s="12"/>
      <c r="J252" s="12"/>
      <c r="K252" s="12"/>
    </row>
    <row r="253" spans="1:11">
      <c r="A253" s="12"/>
      <c r="B253" s="12"/>
      <c r="C253" s="12"/>
      <c r="D253" s="12"/>
      <c r="E253" s="14"/>
      <c r="F253" s="13"/>
      <c r="G253" s="13"/>
      <c r="H253" s="12"/>
      <c r="I253" s="12"/>
      <c r="J253" s="12"/>
      <c r="K253" s="12"/>
    </row>
  </sheetData>
  <autoFilter ref="A3:K253"/>
  <mergeCells count="2">
    <mergeCell ref="A1:K1"/>
    <mergeCell ref="A2:K2"/>
  </mergeCells>
  <conditionalFormatting sqref="H4:H253">
    <cfRule type="expression" dxfId="0" priority="1">
      <formula>OR(ISNUMBER(SEARCH("approved",H4)),ISNUMBER(SEARCH("complete",H4)),ISNUMBER(SEARCH("delivered",H4)),ISNUMBER(SEARCH("installed",H4)),ISNUMBER(SEARCH("paid",H4)),ISNUMBER(SEARCH("good condition",H4)))</formula>
    </cfRule>
    <cfRule type="expression" dxfId="1" priority="2">
      <formula>OR(ISNUMBER(SEARCH("pending",H4)),ISNUMBER(SEARCH("progress",H4)),ISNUMBER(SEARCH("review",H4)),ISNUMBER(SEARCH("sent",H4)),ISNUMBER(SEARCH("scheduled",H4)),ISNUMBER(SEARCH("waiting",H4)),ISNUMBER(SEARCH("ordered",H4)),ISNUMBER(SEARCH("shipped",H4)))</formula>
    </cfRule>
    <cfRule type="expression" dxfId="2" priority="3">
      <formula>OR(ISNUMBER(SEARCH("overdue",H4)),ISNUMBER(SEARCH("delayed",H4)),ISNUMBER(SEARCH("rejected",H4)),ISNUMBER(SEARCH("damaged",H4)),ISNUMBER(SEARCH("missing",H4)),ISNUMBER(SEARCH("wrong",H4)),ISNUMBER(SEARCH("backordered",H4)))</formula>
    </cfRule>
    <cfRule type="expression" dxfId="3" priority="4">
      <formula>OR(ISNUMBER(SEARCH("cancelled",H4)),ISNUMBER(SEARCH("on hold",H4)),ISNUMBER(SEARCH("returned",H4)))</formula>
    </cfRule>
  </conditionalFormatting>
  <conditionalFormatting sqref="I4:I253">
    <cfRule type="expression" dxfId="0" priority="5">
      <formula>OR(ISNUMBER(SEARCH("approved",I4)),ISNUMBER(SEARCH("complete",I4)),ISNUMBER(SEARCH("delivered",I4)),ISNUMBER(SEARCH("installed",I4)),ISNUMBER(SEARCH("paid",I4)),ISNUMBER(SEARCH("good condition",I4)))</formula>
    </cfRule>
    <cfRule type="expression" dxfId="1" priority="6">
      <formula>OR(ISNUMBER(SEARCH("pending",I4)),ISNUMBER(SEARCH("progress",I4)),ISNUMBER(SEARCH("review",I4)),ISNUMBER(SEARCH("sent",I4)),ISNUMBER(SEARCH("scheduled",I4)),ISNUMBER(SEARCH("waiting",I4)),ISNUMBER(SEARCH("ordered",I4)),ISNUMBER(SEARCH("shipped",I4)))</formula>
    </cfRule>
    <cfRule type="expression" dxfId="2" priority="7">
      <formula>OR(ISNUMBER(SEARCH("overdue",I4)),ISNUMBER(SEARCH("delayed",I4)),ISNUMBER(SEARCH("rejected",I4)),ISNUMBER(SEARCH("damaged",I4)),ISNUMBER(SEARCH("missing",I4)),ISNUMBER(SEARCH("wrong",I4)),ISNUMBER(SEARCH("backordered",I4)))</formula>
    </cfRule>
    <cfRule type="expression" dxfId="3" priority="8">
      <formula>OR(ISNUMBER(SEARCH("cancelled",I4)),ISNUMBER(SEARCH("on hold",I4)),ISNUMBER(SEARCH("returned",I4)))</formula>
    </cfRule>
  </conditionalFormatting>
  <conditionalFormatting sqref="J4:J253">
    <cfRule type="expression" dxfId="0" priority="9">
      <formula>OR(ISNUMBER(SEARCH("approved",J4)),ISNUMBER(SEARCH("complete",J4)),ISNUMBER(SEARCH("delivered",J4)),ISNUMBER(SEARCH("installed",J4)),ISNUMBER(SEARCH("paid",J4)),ISNUMBER(SEARCH("good condition",J4)))</formula>
    </cfRule>
    <cfRule type="expression" dxfId="1" priority="10">
      <formula>OR(ISNUMBER(SEARCH("pending",J4)),ISNUMBER(SEARCH("progress",J4)),ISNUMBER(SEARCH("review",J4)),ISNUMBER(SEARCH("sent",J4)),ISNUMBER(SEARCH("scheduled",J4)),ISNUMBER(SEARCH("waiting",J4)),ISNUMBER(SEARCH("ordered",J4)),ISNUMBER(SEARCH("shipped",J4)))</formula>
    </cfRule>
    <cfRule type="expression" dxfId="2" priority="11">
      <formula>OR(ISNUMBER(SEARCH("overdue",J4)),ISNUMBER(SEARCH("delayed",J4)),ISNUMBER(SEARCH("rejected",J4)),ISNUMBER(SEARCH("damaged",J4)),ISNUMBER(SEARCH("missing",J4)),ISNUMBER(SEARCH("wrong",J4)),ISNUMBER(SEARCH("backordered",J4)))</formula>
    </cfRule>
    <cfRule type="expression" dxfId="3" priority="12">
      <formula>OR(ISNUMBER(SEARCH("cancelled",J4)),ISNUMBER(SEARCH("on hold",J4)),ISNUMBER(SEARCH("returned",J4)))</formula>
    </cfRule>
  </conditionalFormatting>
  <dataValidations count="4">
    <dataValidation type="list" allowBlank="1" showInputMessage="1" showErrorMessage="1" errorTitle="Choose a listed value" error="Please select an option from the dropdown." promptTitle="Trade" prompt="Select from the dropdown list." sqref="B4:B253">
      <formula1>Trades</formula1>
    </dataValidation>
    <dataValidation type="list" allowBlank="1" showInputMessage="1" showErrorMessage="1" errorTitle="Choose a listed value" error="Please select an option from the dropdown." promptTitle="Payment Status" prompt="Select from the dropdown list." sqref="H4:H253">
      <formula1>PaymentStatuses</formula1>
    </dataValidation>
    <dataValidation type="list" allowBlank="1" showInputMessage="1" showErrorMessage="1" errorTitle="Choose a listed value" error="Please select an option from the dropdown." promptTitle="Insurance Received" prompt="Select from the dropdown list." sqref="I4:I253">
      <formula1>YesNo</formula1>
    </dataValidation>
    <dataValidation type="list" allowBlank="1" showInputMessage="1" showErrorMessage="1" errorTitle="Choose a listed value" error="Please select an option from the dropdown." promptTitle="Contract Signed" prompt="Select from the dropdown list." sqref="J4:J253">
      <formula1>YesNo</formula1>
    </dataValidation>
  </dataValidations>
  <pageMargins left="0.25" right="0.25" top="0.5" bottom="0.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22.7109375" customWidth="1"/>
    <col min="4" max="4" width="28.7109375" customWidth="1"/>
    <col min="5" max="7" width="16.7109375" customWidth="1"/>
    <col min="8" max="9" width="18.7109375" customWidth="1"/>
    <col min="10" max="10" width="30.7109375" customWidth="1"/>
  </cols>
  <sheetData>
    <row r="1" spans="1:10" ht="30" customHeight="1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256</v>
      </c>
      <c r="B2" s="2"/>
      <c r="C2" s="2"/>
      <c r="D2" s="2"/>
      <c r="E2" s="2"/>
      <c r="F2" s="2"/>
      <c r="G2" s="2"/>
      <c r="H2" s="2"/>
      <c r="I2" s="2"/>
      <c r="J2" s="2"/>
    </row>
    <row r="3" spans="1:10" ht="32" customHeight="1">
      <c r="A3" s="10" t="s">
        <v>358</v>
      </c>
      <c r="B3" s="10" t="s">
        <v>437</v>
      </c>
      <c r="C3" s="10" t="s">
        <v>438</v>
      </c>
      <c r="D3" s="10" t="s">
        <v>273</v>
      </c>
      <c r="E3" s="10" t="s">
        <v>359</v>
      </c>
      <c r="F3" s="10" t="s">
        <v>385</v>
      </c>
      <c r="G3" s="10" t="s">
        <v>439</v>
      </c>
      <c r="H3" s="10" t="s">
        <v>347</v>
      </c>
      <c r="I3" s="10" t="s">
        <v>440</v>
      </c>
      <c r="J3" s="10" t="s">
        <v>267</v>
      </c>
    </row>
    <row r="4" spans="1:10">
      <c r="A4" s="12"/>
      <c r="B4" s="13"/>
      <c r="C4" s="12"/>
      <c r="D4" s="12"/>
      <c r="E4" s="14"/>
      <c r="F4" s="13"/>
      <c r="G4" s="13"/>
      <c r="H4" s="12"/>
      <c r="I4" s="12"/>
      <c r="J4" s="12"/>
    </row>
    <row r="5" spans="1:10">
      <c r="A5" s="12"/>
      <c r="B5" s="13"/>
      <c r="C5" s="12"/>
      <c r="D5" s="12"/>
      <c r="E5" s="14"/>
      <c r="F5" s="13"/>
      <c r="G5" s="13"/>
      <c r="H5" s="12"/>
      <c r="I5" s="12"/>
      <c r="J5" s="12"/>
    </row>
    <row r="6" spans="1:10">
      <c r="A6" s="12"/>
      <c r="B6" s="13"/>
      <c r="C6" s="12"/>
      <c r="D6" s="12"/>
      <c r="E6" s="14"/>
      <c r="F6" s="13"/>
      <c r="G6" s="13"/>
      <c r="H6" s="12"/>
      <c r="I6" s="12"/>
      <c r="J6" s="12"/>
    </row>
    <row r="7" spans="1:10">
      <c r="A7" s="12"/>
      <c r="B7" s="13"/>
      <c r="C7" s="12"/>
      <c r="D7" s="12"/>
      <c r="E7" s="14"/>
      <c r="F7" s="13"/>
      <c r="G7" s="13"/>
      <c r="H7" s="12"/>
      <c r="I7" s="12"/>
      <c r="J7" s="12"/>
    </row>
    <row r="8" spans="1:10">
      <c r="A8" s="12"/>
      <c r="B8" s="13"/>
      <c r="C8" s="12"/>
      <c r="D8" s="12"/>
      <c r="E8" s="14"/>
      <c r="F8" s="13"/>
      <c r="G8" s="13"/>
      <c r="H8" s="12"/>
      <c r="I8" s="12"/>
      <c r="J8" s="12"/>
    </row>
    <row r="9" spans="1:10">
      <c r="A9" s="12"/>
      <c r="B9" s="13"/>
      <c r="C9" s="12"/>
      <c r="D9" s="12"/>
      <c r="E9" s="14"/>
      <c r="F9" s="13"/>
      <c r="G9" s="13"/>
      <c r="H9" s="12"/>
      <c r="I9" s="12"/>
      <c r="J9" s="12"/>
    </row>
    <row r="10" spans="1:10">
      <c r="A10" s="12"/>
      <c r="B10" s="13"/>
      <c r="C10" s="12"/>
      <c r="D10" s="12"/>
      <c r="E10" s="14"/>
      <c r="F10" s="13"/>
      <c r="G10" s="13"/>
      <c r="H10" s="12"/>
      <c r="I10" s="12"/>
      <c r="J10" s="12"/>
    </row>
    <row r="11" spans="1:10">
      <c r="A11" s="12"/>
      <c r="B11" s="13"/>
      <c r="C11" s="12"/>
      <c r="D11" s="12"/>
      <c r="E11" s="14"/>
      <c r="F11" s="13"/>
      <c r="G11" s="13"/>
      <c r="H11" s="12"/>
      <c r="I11" s="12"/>
      <c r="J11" s="12"/>
    </row>
    <row r="12" spans="1:10">
      <c r="A12" s="12"/>
      <c r="B12" s="13"/>
      <c r="C12" s="12"/>
      <c r="D12" s="12"/>
      <c r="E12" s="14"/>
      <c r="F12" s="13"/>
      <c r="G12" s="13"/>
      <c r="H12" s="12"/>
      <c r="I12" s="12"/>
      <c r="J12" s="12"/>
    </row>
    <row r="13" spans="1:10">
      <c r="A13" s="12"/>
      <c r="B13" s="13"/>
      <c r="C13" s="12"/>
      <c r="D13" s="12"/>
      <c r="E13" s="14"/>
      <c r="F13" s="13"/>
      <c r="G13" s="13"/>
      <c r="H13" s="12"/>
      <c r="I13" s="12"/>
      <c r="J13" s="12"/>
    </row>
    <row r="14" spans="1:10">
      <c r="A14" s="12"/>
      <c r="B14" s="13"/>
      <c r="C14" s="12"/>
      <c r="D14" s="12"/>
      <c r="E14" s="14"/>
      <c r="F14" s="13"/>
      <c r="G14" s="13"/>
      <c r="H14" s="12"/>
      <c r="I14" s="12"/>
      <c r="J14" s="12"/>
    </row>
    <row r="15" spans="1:10">
      <c r="A15" s="12"/>
      <c r="B15" s="13"/>
      <c r="C15" s="12"/>
      <c r="D15" s="12"/>
      <c r="E15" s="14"/>
      <c r="F15" s="13"/>
      <c r="G15" s="13"/>
      <c r="H15" s="12"/>
      <c r="I15" s="12"/>
      <c r="J15" s="12"/>
    </row>
    <row r="16" spans="1:10">
      <c r="A16" s="12"/>
      <c r="B16" s="13"/>
      <c r="C16" s="12"/>
      <c r="D16" s="12"/>
      <c r="E16" s="14"/>
      <c r="F16" s="13"/>
      <c r="G16" s="13"/>
      <c r="H16" s="12"/>
      <c r="I16" s="12"/>
      <c r="J16" s="12"/>
    </row>
    <row r="17" spans="1:10">
      <c r="A17" s="12"/>
      <c r="B17" s="13"/>
      <c r="C17" s="12"/>
      <c r="D17" s="12"/>
      <c r="E17" s="14"/>
      <c r="F17" s="13"/>
      <c r="G17" s="13"/>
      <c r="H17" s="12"/>
      <c r="I17" s="12"/>
      <c r="J17" s="12"/>
    </row>
    <row r="18" spans="1:10">
      <c r="A18" s="12"/>
      <c r="B18" s="13"/>
      <c r="C18" s="12"/>
      <c r="D18" s="12"/>
      <c r="E18" s="14"/>
      <c r="F18" s="13"/>
      <c r="G18" s="13"/>
      <c r="H18" s="12"/>
      <c r="I18" s="12"/>
      <c r="J18" s="12"/>
    </row>
    <row r="19" spans="1:10">
      <c r="A19" s="12"/>
      <c r="B19" s="13"/>
      <c r="C19" s="12"/>
      <c r="D19" s="12"/>
      <c r="E19" s="14"/>
      <c r="F19" s="13"/>
      <c r="G19" s="13"/>
      <c r="H19" s="12"/>
      <c r="I19" s="12"/>
      <c r="J19" s="12"/>
    </row>
    <row r="20" spans="1:10">
      <c r="A20" s="12"/>
      <c r="B20" s="13"/>
      <c r="C20" s="12"/>
      <c r="D20" s="12"/>
      <c r="E20" s="14"/>
      <c r="F20" s="13"/>
      <c r="G20" s="13"/>
      <c r="H20" s="12"/>
      <c r="I20" s="12"/>
      <c r="J20" s="12"/>
    </row>
    <row r="21" spans="1:10">
      <c r="A21" s="12"/>
      <c r="B21" s="13"/>
      <c r="C21" s="12"/>
      <c r="D21" s="12"/>
      <c r="E21" s="14"/>
      <c r="F21" s="13"/>
      <c r="G21" s="13"/>
      <c r="H21" s="12"/>
      <c r="I21" s="12"/>
      <c r="J21" s="12"/>
    </row>
    <row r="22" spans="1:10">
      <c r="A22" s="12"/>
      <c r="B22" s="13"/>
      <c r="C22" s="12"/>
      <c r="D22" s="12"/>
      <c r="E22" s="14"/>
      <c r="F22" s="13"/>
      <c r="G22" s="13"/>
      <c r="H22" s="12"/>
      <c r="I22" s="12"/>
      <c r="J22" s="12"/>
    </row>
    <row r="23" spans="1:10">
      <c r="A23" s="12"/>
      <c r="B23" s="13"/>
      <c r="C23" s="12"/>
      <c r="D23" s="12"/>
      <c r="E23" s="14"/>
      <c r="F23" s="13"/>
      <c r="G23" s="13"/>
      <c r="H23" s="12"/>
      <c r="I23" s="12"/>
      <c r="J23" s="12"/>
    </row>
    <row r="24" spans="1:10">
      <c r="A24" s="12"/>
      <c r="B24" s="13"/>
      <c r="C24" s="12"/>
      <c r="D24" s="12"/>
      <c r="E24" s="14"/>
      <c r="F24" s="13"/>
      <c r="G24" s="13"/>
      <c r="H24" s="12"/>
      <c r="I24" s="12"/>
      <c r="J24" s="12"/>
    </row>
    <row r="25" spans="1:10">
      <c r="A25" s="12"/>
      <c r="B25" s="13"/>
      <c r="C25" s="12"/>
      <c r="D25" s="12"/>
      <c r="E25" s="14"/>
      <c r="F25" s="13"/>
      <c r="G25" s="13"/>
      <c r="H25" s="12"/>
      <c r="I25" s="12"/>
      <c r="J25" s="12"/>
    </row>
    <row r="26" spans="1:10">
      <c r="A26" s="12"/>
      <c r="B26" s="13"/>
      <c r="C26" s="12"/>
      <c r="D26" s="12"/>
      <c r="E26" s="14"/>
      <c r="F26" s="13"/>
      <c r="G26" s="13"/>
      <c r="H26" s="12"/>
      <c r="I26" s="12"/>
      <c r="J26" s="12"/>
    </row>
    <row r="27" spans="1:10">
      <c r="A27" s="12"/>
      <c r="B27" s="13"/>
      <c r="C27" s="12"/>
      <c r="D27" s="12"/>
      <c r="E27" s="14"/>
      <c r="F27" s="13"/>
      <c r="G27" s="13"/>
      <c r="H27" s="12"/>
      <c r="I27" s="12"/>
      <c r="J27" s="12"/>
    </row>
    <row r="28" spans="1:10">
      <c r="A28" s="12"/>
      <c r="B28" s="13"/>
      <c r="C28" s="12"/>
      <c r="D28" s="12"/>
      <c r="E28" s="14"/>
      <c r="F28" s="13"/>
      <c r="G28" s="13"/>
      <c r="H28" s="12"/>
      <c r="I28" s="12"/>
      <c r="J28" s="12"/>
    </row>
    <row r="29" spans="1:10">
      <c r="A29" s="12"/>
      <c r="B29" s="13"/>
      <c r="C29" s="12"/>
      <c r="D29" s="12"/>
      <c r="E29" s="14"/>
      <c r="F29" s="13"/>
      <c r="G29" s="13"/>
      <c r="H29" s="12"/>
      <c r="I29" s="12"/>
      <c r="J29" s="12"/>
    </row>
    <row r="30" spans="1:10">
      <c r="A30" s="12"/>
      <c r="B30" s="13"/>
      <c r="C30" s="12"/>
      <c r="D30" s="12"/>
      <c r="E30" s="14"/>
      <c r="F30" s="13"/>
      <c r="G30" s="13"/>
      <c r="H30" s="12"/>
      <c r="I30" s="12"/>
      <c r="J30" s="12"/>
    </row>
    <row r="31" spans="1:10">
      <c r="A31" s="12"/>
      <c r="B31" s="13"/>
      <c r="C31" s="12"/>
      <c r="D31" s="12"/>
      <c r="E31" s="14"/>
      <c r="F31" s="13"/>
      <c r="G31" s="13"/>
      <c r="H31" s="12"/>
      <c r="I31" s="12"/>
      <c r="J31" s="12"/>
    </row>
    <row r="32" spans="1:10">
      <c r="A32" s="12"/>
      <c r="B32" s="13"/>
      <c r="C32" s="12"/>
      <c r="D32" s="12"/>
      <c r="E32" s="14"/>
      <c r="F32" s="13"/>
      <c r="G32" s="13"/>
      <c r="H32" s="12"/>
      <c r="I32" s="12"/>
      <c r="J32" s="12"/>
    </row>
    <row r="33" spans="1:10">
      <c r="A33" s="12"/>
      <c r="B33" s="13"/>
      <c r="C33" s="12"/>
      <c r="D33" s="12"/>
      <c r="E33" s="14"/>
      <c r="F33" s="13"/>
      <c r="G33" s="13"/>
      <c r="H33" s="12"/>
      <c r="I33" s="12"/>
      <c r="J33" s="12"/>
    </row>
    <row r="34" spans="1:10">
      <c r="A34" s="12"/>
      <c r="B34" s="13"/>
      <c r="C34" s="12"/>
      <c r="D34" s="12"/>
      <c r="E34" s="14"/>
      <c r="F34" s="13"/>
      <c r="G34" s="13"/>
      <c r="H34" s="12"/>
      <c r="I34" s="12"/>
      <c r="J34" s="12"/>
    </row>
    <row r="35" spans="1:10">
      <c r="A35" s="12"/>
      <c r="B35" s="13"/>
      <c r="C35" s="12"/>
      <c r="D35" s="12"/>
      <c r="E35" s="14"/>
      <c r="F35" s="13"/>
      <c r="G35" s="13"/>
      <c r="H35" s="12"/>
      <c r="I35" s="12"/>
      <c r="J35" s="12"/>
    </row>
    <row r="36" spans="1:10">
      <c r="A36" s="12"/>
      <c r="B36" s="13"/>
      <c r="C36" s="12"/>
      <c r="D36" s="12"/>
      <c r="E36" s="14"/>
      <c r="F36" s="13"/>
      <c r="G36" s="13"/>
      <c r="H36" s="12"/>
      <c r="I36" s="12"/>
      <c r="J36" s="12"/>
    </row>
    <row r="37" spans="1:10">
      <c r="A37" s="12"/>
      <c r="B37" s="13"/>
      <c r="C37" s="12"/>
      <c r="D37" s="12"/>
      <c r="E37" s="14"/>
      <c r="F37" s="13"/>
      <c r="G37" s="13"/>
      <c r="H37" s="12"/>
      <c r="I37" s="12"/>
      <c r="J37" s="12"/>
    </row>
    <row r="38" spans="1:10">
      <c r="A38" s="12"/>
      <c r="B38" s="13"/>
      <c r="C38" s="12"/>
      <c r="D38" s="12"/>
      <c r="E38" s="14"/>
      <c r="F38" s="13"/>
      <c r="G38" s="13"/>
      <c r="H38" s="12"/>
      <c r="I38" s="12"/>
      <c r="J38" s="12"/>
    </row>
    <row r="39" spans="1:10">
      <c r="A39" s="12"/>
      <c r="B39" s="13"/>
      <c r="C39" s="12"/>
      <c r="D39" s="12"/>
      <c r="E39" s="14"/>
      <c r="F39" s="13"/>
      <c r="G39" s="13"/>
      <c r="H39" s="12"/>
      <c r="I39" s="12"/>
      <c r="J39" s="12"/>
    </row>
    <row r="40" spans="1:10">
      <c r="A40" s="12"/>
      <c r="B40" s="13"/>
      <c r="C40" s="12"/>
      <c r="D40" s="12"/>
      <c r="E40" s="14"/>
      <c r="F40" s="13"/>
      <c r="G40" s="13"/>
      <c r="H40" s="12"/>
      <c r="I40" s="12"/>
      <c r="J40" s="12"/>
    </row>
    <row r="41" spans="1:10">
      <c r="A41" s="12"/>
      <c r="B41" s="13"/>
      <c r="C41" s="12"/>
      <c r="D41" s="12"/>
      <c r="E41" s="14"/>
      <c r="F41" s="13"/>
      <c r="G41" s="13"/>
      <c r="H41" s="12"/>
      <c r="I41" s="12"/>
      <c r="J41" s="12"/>
    </row>
    <row r="42" spans="1:10">
      <c r="A42" s="12"/>
      <c r="B42" s="13"/>
      <c r="C42" s="12"/>
      <c r="D42" s="12"/>
      <c r="E42" s="14"/>
      <c r="F42" s="13"/>
      <c r="G42" s="13"/>
      <c r="H42" s="12"/>
      <c r="I42" s="12"/>
      <c r="J42" s="12"/>
    </row>
    <row r="43" spans="1:10">
      <c r="A43" s="12"/>
      <c r="B43" s="13"/>
      <c r="C43" s="12"/>
      <c r="D43" s="12"/>
      <c r="E43" s="14"/>
      <c r="F43" s="13"/>
      <c r="G43" s="13"/>
      <c r="H43" s="12"/>
      <c r="I43" s="12"/>
      <c r="J43" s="12"/>
    </row>
    <row r="44" spans="1:10">
      <c r="A44" s="12"/>
      <c r="B44" s="13"/>
      <c r="C44" s="12"/>
      <c r="D44" s="12"/>
      <c r="E44" s="14"/>
      <c r="F44" s="13"/>
      <c r="G44" s="13"/>
      <c r="H44" s="12"/>
      <c r="I44" s="12"/>
      <c r="J44" s="12"/>
    </row>
    <row r="45" spans="1:10">
      <c r="A45" s="12"/>
      <c r="B45" s="13"/>
      <c r="C45" s="12"/>
      <c r="D45" s="12"/>
      <c r="E45" s="14"/>
      <c r="F45" s="13"/>
      <c r="G45" s="13"/>
      <c r="H45" s="12"/>
      <c r="I45" s="12"/>
      <c r="J45" s="12"/>
    </row>
    <row r="46" spans="1:10">
      <c r="A46" s="12"/>
      <c r="B46" s="13"/>
      <c r="C46" s="12"/>
      <c r="D46" s="12"/>
      <c r="E46" s="14"/>
      <c r="F46" s="13"/>
      <c r="G46" s="13"/>
      <c r="H46" s="12"/>
      <c r="I46" s="12"/>
      <c r="J46" s="12"/>
    </row>
    <row r="47" spans="1:10">
      <c r="A47" s="12"/>
      <c r="B47" s="13"/>
      <c r="C47" s="12"/>
      <c r="D47" s="12"/>
      <c r="E47" s="14"/>
      <c r="F47" s="13"/>
      <c r="G47" s="13"/>
      <c r="H47" s="12"/>
      <c r="I47" s="12"/>
      <c r="J47" s="12"/>
    </row>
    <row r="48" spans="1:10">
      <c r="A48" s="12"/>
      <c r="B48" s="13"/>
      <c r="C48" s="12"/>
      <c r="D48" s="12"/>
      <c r="E48" s="14"/>
      <c r="F48" s="13"/>
      <c r="G48" s="13"/>
      <c r="H48" s="12"/>
      <c r="I48" s="12"/>
      <c r="J48" s="12"/>
    </row>
    <row r="49" spans="1:10">
      <c r="A49" s="12"/>
      <c r="B49" s="13"/>
      <c r="C49" s="12"/>
      <c r="D49" s="12"/>
      <c r="E49" s="14"/>
      <c r="F49" s="13"/>
      <c r="G49" s="13"/>
      <c r="H49" s="12"/>
      <c r="I49" s="12"/>
      <c r="J49" s="12"/>
    </row>
    <row r="50" spans="1:10">
      <c r="A50" s="12"/>
      <c r="B50" s="13"/>
      <c r="C50" s="12"/>
      <c r="D50" s="12"/>
      <c r="E50" s="14"/>
      <c r="F50" s="13"/>
      <c r="G50" s="13"/>
      <c r="H50" s="12"/>
      <c r="I50" s="12"/>
      <c r="J50" s="12"/>
    </row>
    <row r="51" spans="1:10">
      <c r="A51" s="12"/>
      <c r="B51" s="13"/>
      <c r="C51" s="12"/>
      <c r="D51" s="12"/>
      <c r="E51" s="14"/>
      <c r="F51" s="13"/>
      <c r="G51" s="13"/>
      <c r="H51" s="12"/>
      <c r="I51" s="12"/>
      <c r="J51" s="12"/>
    </row>
    <row r="52" spans="1:10">
      <c r="A52" s="12"/>
      <c r="B52" s="13"/>
      <c r="C52" s="12"/>
      <c r="D52" s="12"/>
      <c r="E52" s="14"/>
      <c r="F52" s="13"/>
      <c r="G52" s="13"/>
      <c r="H52" s="12"/>
      <c r="I52" s="12"/>
      <c r="J52" s="12"/>
    </row>
    <row r="53" spans="1:10">
      <c r="A53" s="12"/>
      <c r="B53" s="13"/>
      <c r="C53" s="12"/>
      <c r="D53" s="12"/>
      <c r="E53" s="14"/>
      <c r="F53" s="13"/>
      <c r="G53" s="13"/>
      <c r="H53" s="12"/>
      <c r="I53" s="12"/>
      <c r="J53" s="12"/>
    </row>
    <row r="54" spans="1:10">
      <c r="A54" s="12"/>
      <c r="B54" s="13"/>
      <c r="C54" s="12"/>
      <c r="D54" s="12"/>
      <c r="E54" s="14"/>
      <c r="F54" s="13"/>
      <c r="G54" s="13"/>
      <c r="H54" s="12"/>
      <c r="I54" s="12"/>
      <c r="J54" s="12"/>
    </row>
    <row r="55" spans="1:10">
      <c r="A55" s="12"/>
      <c r="B55" s="13"/>
      <c r="C55" s="12"/>
      <c r="D55" s="12"/>
      <c r="E55" s="14"/>
      <c r="F55" s="13"/>
      <c r="G55" s="13"/>
      <c r="H55" s="12"/>
      <c r="I55" s="12"/>
      <c r="J55" s="12"/>
    </row>
    <row r="56" spans="1:10">
      <c r="A56" s="12"/>
      <c r="B56" s="13"/>
      <c r="C56" s="12"/>
      <c r="D56" s="12"/>
      <c r="E56" s="14"/>
      <c r="F56" s="13"/>
      <c r="G56" s="13"/>
      <c r="H56" s="12"/>
      <c r="I56" s="12"/>
      <c r="J56" s="12"/>
    </row>
    <row r="57" spans="1:10">
      <c r="A57" s="12"/>
      <c r="B57" s="13"/>
      <c r="C57" s="12"/>
      <c r="D57" s="12"/>
      <c r="E57" s="14"/>
      <c r="F57" s="13"/>
      <c r="G57" s="13"/>
      <c r="H57" s="12"/>
      <c r="I57" s="12"/>
      <c r="J57" s="12"/>
    </row>
    <row r="58" spans="1:10">
      <c r="A58" s="12"/>
      <c r="B58" s="13"/>
      <c r="C58" s="12"/>
      <c r="D58" s="12"/>
      <c r="E58" s="14"/>
      <c r="F58" s="13"/>
      <c r="G58" s="13"/>
      <c r="H58" s="12"/>
      <c r="I58" s="12"/>
      <c r="J58" s="12"/>
    </row>
    <row r="59" spans="1:10">
      <c r="A59" s="12"/>
      <c r="B59" s="13"/>
      <c r="C59" s="12"/>
      <c r="D59" s="12"/>
      <c r="E59" s="14"/>
      <c r="F59" s="13"/>
      <c r="G59" s="13"/>
      <c r="H59" s="12"/>
      <c r="I59" s="12"/>
      <c r="J59" s="12"/>
    </row>
    <row r="60" spans="1:10">
      <c r="A60" s="12"/>
      <c r="B60" s="13"/>
      <c r="C60" s="12"/>
      <c r="D60" s="12"/>
      <c r="E60" s="14"/>
      <c r="F60" s="13"/>
      <c r="G60" s="13"/>
      <c r="H60" s="12"/>
      <c r="I60" s="12"/>
      <c r="J60" s="12"/>
    </row>
    <row r="61" spans="1:10">
      <c r="A61" s="12"/>
      <c r="B61" s="13"/>
      <c r="C61" s="12"/>
      <c r="D61" s="12"/>
      <c r="E61" s="14"/>
      <c r="F61" s="13"/>
      <c r="G61" s="13"/>
      <c r="H61" s="12"/>
      <c r="I61" s="12"/>
      <c r="J61" s="12"/>
    </row>
    <row r="62" spans="1:10">
      <c r="A62" s="12"/>
      <c r="B62" s="13"/>
      <c r="C62" s="12"/>
      <c r="D62" s="12"/>
      <c r="E62" s="14"/>
      <c r="F62" s="13"/>
      <c r="G62" s="13"/>
      <c r="H62" s="12"/>
      <c r="I62" s="12"/>
      <c r="J62" s="12"/>
    </row>
    <row r="63" spans="1:10">
      <c r="A63" s="12"/>
      <c r="B63" s="13"/>
      <c r="C63" s="12"/>
      <c r="D63" s="12"/>
      <c r="E63" s="14"/>
      <c r="F63" s="13"/>
      <c r="G63" s="13"/>
      <c r="H63" s="12"/>
      <c r="I63" s="12"/>
      <c r="J63" s="12"/>
    </row>
    <row r="64" spans="1:10">
      <c r="A64" s="12"/>
      <c r="B64" s="13"/>
      <c r="C64" s="12"/>
      <c r="D64" s="12"/>
      <c r="E64" s="14"/>
      <c r="F64" s="13"/>
      <c r="G64" s="13"/>
      <c r="H64" s="12"/>
      <c r="I64" s="12"/>
      <c r="J64" s="12"/>
    </row>
    <row r="65" spans="1:10">
      <c r="A65" s="12"/>
      <c r="B65" s="13"/>
      <c r="C65" s="12"/>
      <c r="D65" s="12"/>
      <c r="E65" s="14"/>
      <c r="F65" s="13"/>
      <c r="G65" s="13"/>
      <c r="H65" s="12"/>
      <c r="I65" s="12"/>
      <c r="J65" s="12"/>
    </row>
    <row r="66" spans="1:10">
      <c r="A66" s="12"/>
      <c r="B66" s="13"/>
      <c r="C66" s="12"/>
      <c r="D66" s="12"/>
      <c r="E66" s="14"/>
      <c r="F66" s="13"/>
      <c r="G66" s="13"/>
      <c r="H66" s="12"/>
      <c r="I66" s="12"/>
      <c r="J66" s="12"/>
    </row>
    <row r="67" spans="1:10">
      <c r="A67" s="12"/>
      <c r="B67" s="13"/>
      <c r="C67" s="12"/>
      <c r="D67" s="12"/>
      <c r="E67" s="14"/>
      <c r="F67" s="13"/>
      <c r="G67" s="13"/>
      <c r="H67" s="12"/>
      <c r="I67" s="12"/>
      <c r="J67" s="12"/>
    </row>
    <row r="68" spans="1:10">
      <c r="A68" s="12"/>
      <c r="B68" s="13"/>
      <c r="C68" s="12"/>
      <c r="D68" s="12"/>
      <c r="E68" s="14"/>
      <c r="F68" s="13"/>
      <c r="G68" s="13"/>
      <c r="H68" s="12"/>
      <c r="I68" s="12"/>
      <c r="J68" s="12"/>
    </row>
    <row r="69" spans="1:10">
      <c r="A69" s="12"/>
      <c r="B69" s="13"/>
      <c r="C69" s="12"/>
      <c r="D69" s="12"/>
      <c r="E69" s="14"/>
      <c r="F69" s="13"/>
      <c r="G69" s="13"/>
      <c r="H69" s="12"/>
      <c r="I69" s="12"/>
      <c r="J69" s="12"/>
    </row>
    <row r="70" spans="1:10">
      <c r="A70" s="12"/>
      <c r="B70" s="13"/>
      <c r="C70" s="12"/>
      <c r="D70" s="12"/>
      <c r="E70" s="14"/>
      <c r="F70" s="13"/>
      <c r="G70" s="13"/>
      <c r="H70" s="12"/>
      <c r="I70" s="12"/>
      <c r="J70" s="12"/>
    </row>
    <row r="71" spans="1:10">
      <c r="A71" s="12"/>
      <c r="B71" s="13"/>
      <c r="C71" s="12"/>
      <c r="D71" s="12"/>
      <c r="E71" s="14"/>
      <c r="F71" s="13"/>
      <c r="G71" s="13"/>
      <c r="H71" s="12"/>
      <c r="I71" s="12"/>
      <c r="J71" s="12"/>
    </row>
    <row r="72" spans="1:10">
      <c r="A72" s="12"/>
      <c r="B72" s="13"/>
      <c r="C72" s="12"/>
      <c r="D72" s="12"/>
      <c r="E72" s="14"/>
      <c r="F72" s="13"/>
      <c r="G72" s="13"/>
      <c r="H72" s="12"/>
      <c r="I72" s="12"/>
      <c r="J72" s="12"/>
    </row>
    <row r="73" spans="1:10">
      <c r="A73" s="12"/>
      <c r="B73" s="13"/>
      <c r="C73" s="12"/>
      <c r="D73" s="12"/>
      <c r="E73" s="14"/>
      <c r="F73" s="13"/>
      <c r="G73" s="13"/>
      <c r="H73" s="12"/>
      <c r="I73" s="12"/>
      <c r="J73" s="12"/>
    </row>
    <row r="74" spans="1:10">
      <c r="A74" s="12"/>
      <c r="B74" s="13"/>
      <c r="C74" s="12"/>
      <c r="D74" s="12"/>
      <c r="E74" s="14"/>
      <c r="F74" s="13"/>
      <c r="G74" s="13"/>
      <c r="H74" s="12"/>
      <c r="I74" s="12"/>
      <c r="J74" s="12"/>
    </row>
    <row r="75" spans="1:10">
      <c r="A75" s="12"/>
      <c r="B75" s="13"/>
      <c r="C75" s="12"/>
      <c r="D75" s="12"/>
      <c r="E75" s="14"/>
      <c r="F75" s="13"/>
      <c r="G75" s="13"/>
      <c r="H75" s="12"/>
      <c r="I75" s="12"/>
      <c r="J75" s="12"/>
    </row>
    <row r="76" spans="1:10">
      <c r="A76" s="12"/>
      <c r="B76" s="13"/>
      <c r="C76" s="12"/>
      <c r="D76" s="12"/>
      <c r="E76" s="14"/>
      <c r="F76" s="13"/>
      <c r="G76" s="13"/>
      <c r="H76" s="12"/>
      <c r="I76" s="12"/>
      <c r="J76" s="12"/>
    </row>
    <row r="77" spans="1:10">
      <c r="A77" s="12"/>
      <c r="B77" s="13"/>
      <c r="C77" s="12"/>
      <c r="D77" s="12"/>
      <c r="E77" s="14"/>
      <c r="F77" s="13"/>
      <c r="G77" s="13"/>
      <c r="H77" s="12"/>
      <c r="I77" s="12"/>
      <c r="J77" s="12"/>
    </row>
    <row r="78" spans="1:10">
      <c r="A78" s="12"/>
      <c r="B78" s="13"/>
      <c r="C78" s="12"/>
      <c r="D78" s="12"/>
      <c r="E78" s="14"/>
      <c r="F78" s="13"/>
      <c r="G78" s="13"/>
      <c r="H78" s="12"/>
      <c r="I78" s="12"/>
      <c r="J78" s="12"/>
    </row>
    <row r="79" spans="1:10">
      <c r="A79" s="12"/>
      <c r="B79" s="13"/>
      <c r="C79" s="12"/>
      <c r="D79" s="12"/>
      <c r="E79" s="14"/>
      <c r="F79" s="13"/>
      <c r="G79" s="13"/>
      <c r="H79" s="12"/>
      <c r="I79" s="12"/>
      <c r="J79" s="12"/>
    </row>
    <row r="80" spans="1:10">
      <c r="A80" s="12"/>
      <c r="B80" s="13"/>
      <c r="C80" s="12"/>
      <c r="D80" s="12"/>
      <c r="E80" s="14"/>
      <c r="F80" s="13"/>
      <c r="G80" s="13"/>
      <c r="H80" s="12"/>
      <c r="I80" s="12"/>
      <c r="J80" s="12"/>
    </row>
    <row r="81" spans="1:10">
      <c r="A81" s="12"/>
      <c r="B81" s="13"/>
      <c r="C81" s="12"/>
      <c r="D81" s="12"/>
      <c r="E81" s="14"/>
      <c r="F81" s="13"/>
      <c r="G81" s="13"/>
      <c r="H81" s="12"/>
      <c r="I81" s="12"/>
      <c r="J81" s="12"/>
    </row>
    <row r="82" spans="1:10">
      <c r="A82" s="12"/>
      <c r="B82" s="13"/>
      <c r="C82" s="12"/>
      <c r="D82" s="12"/>
      <c r="E82" s="14"/>
      <c r="F82" s="13"/>
      <c r="G82" s="13"/>
      <c r="H82" s="12"/>
      <c r="I82" s="12"/>
      <c r="J82" s="12"/>
    </row>
    <row r="83" spans="1:10">
      <c r="A83" s="12"/>
      <c r="B83" s="13"/>
      <c r="C83" s="12"/>
      <c r="D83" s="12"/>
      <c r="E83" s="14"/>
      <c r="F83" s="13"/>
      <c r="G83" s="13"/>
      <c r="H83" s="12"/>
      <c r="I83" s="12"/>
      <c r="J83" s="12"/>
    </row>
    <row r="84" spans="1:10">
      <c r="A84" s="12"/>
      <c r="B84" s="13"/>
      <c r="C84" s="12"/>
      <c r="D84" s="12"/>
      <c r="E84" s="14"/>
      <c r="F84" s="13"/>
      <c r="G84" s="13"/>
      <c r="H84" s="12"/>
      <c r="I84" s="12"/>
      <c r="J84" s="12"/>
    </row>
    <row r="85" spans="1:10">
      <c r="A85" s="12"/>
      <c r="B85" s="13"/>
      <c r="C85" s="12"/>
      <c r="D85" s="12"/>
      <c r="E85" s="14"/>
      <c r="F85" s="13"/>
      <c r="G85" s="13"/>
      <c r="H85" s="12"/>
      <c r="I85" s="12"/>
      <c r="J85" s="12"/>
    </row>
    <row r="86" spans="1:10">
      <c r="A86" s="12"/>
      <c r="B86" s="13"/>
      <c r="C86" s="12"/>
      <c r="D86" s="12"/>
      <c r="E86" s="14"/>
      <c r="F86" s="13"/>
      <c r="G86" s="13"/>
      <c r="H86" s="12"/>
      <c r="I86" s="12"/>
      <c r="J86" s="12"/>
    </row>
    <row r="87" spans="1:10">
      <c r="A87" s="12"/>
      <c r="B87" s="13"/>
      <c r="C87" s="12"/>
      <c r="D87" s="12"/>
      <c r="E87" s="14"/>
      <c r="F87" s="13"/>
      <c r="G87" s="13"/>
      <c r="H87" s="12"/>
      <c r="I87" s="12"/>
      <c r="J87" s="12"/>
    </row>
    <row r="88" spans="1:10">
      <c r="A88" s="12"/>
      <c r="B88" s="13"/>
      <c r="C88" s="12"/>
      <c r="D88" s="12"/>
      <c r="E88" s="14"/>
      <c r="F88" s="13"/>
      <c r="G88" s="13"/>
      <c r="H88" s="12"/>
      <c r="I88" s="12"/>
      <c r="J88" s="12"/>
    </row>
    <row r="89" spans="1:10">
      <c r="A89" s="12"/>
      <c r="B89" s="13"/>
      <c r="C89" s="12"/>
      <c r="D89" s="12"/>
      <c r="E89" s="14"/>
      <c r="F89" s="13"/>
      <c r="G89" s="13"/>
      <c r="H89" s="12"/>
      <c r="I89" s="12"/>
      <c r="J89" s="12"/>
    </row>
    <row r="90" spans="1:10">
      <c r="A90" s="12"/>
      <c r="B90" s="13"/>
      <c r="C90" s="12"/>
      <c r="D90" s="12"/>
      <c r="E90" s="14"/>
      <c r="F90" s="13"/>
      <c r="G90" s="13"/>
      <c r="H90" s="12"/>
      <c r="I90" s="12"/>
      <c r="J90" s="12"/>
    </row>
    <row r="91" spans="1:10">
      <c r="A91" s="12"/>
      <c r="B91" s="13"/>
      <c r="C91" s="12"/>
      <c r="D91" s="12"/>
      <c r="E91" s="14"/>
      <c r="F91" s="13"/>
      <c r="G91" s="13"/>
      <c r="H91" s="12"/>
      <c r="I91" s="12"/>
      <c r="J91" s="12"/>
    </row>
    <row r="92" spans="1:10">
      <c r="A92" s="12"/>
      <c r="B92" s="13"/>
      <c r="C92" s="12"/>
      <c r="D92" s="12"/>
      <c r="E92" s="14"/>
      <c r="F92" s="13"/>
      <c r="G92" s="13"/>
      <c r="H92" s="12"/>
      <c r="I92" s="12"/>
      <c r="J92" s="12"/>
    </row>
    <row r="93" spans="1:10">
      <c r="A93" s="12"/>
      <c r="B93" s="13"/>
      <c r="C93" s="12"/>
      <c r="D93" s="12"/>
      <c r="E93" s="14"/>
      <c r="F93" s="13"/>
      <c r="G93" s="13"/>
      <c r="H93" s="12"/>
      <c r="I93" s="12"/>
      <c r="J93" s="12"/>
    </row>
    <row r="94" spans="1:10">
      <c r="A94" s="12"/>
      <c r="B94" s="13"/>
      <c r="C94" s="12"/>
      <c r="D94" s="12"/>
      <c r="E94" s="14"/>
      <c r="F94" s="13"/>
      <c r="G94" s="13"/>
      <c r="H94" s="12"/>
      <c r="I94" s="12"/>
      <c r="J94" s="12"/>
    </row>
    <row r="95" spans="1:10">
      <c r="A95" s="12"/>
      <c r="B95" s="13"/>
      <c r="C95" s="12"/>
      <c r="D95" s="12"/>
      <c r="E95" s="14"/>
      <c r="F95" s="13"/>
      <c r="G95" s="13"/>
      <c r="H95" s="12"/>
      <c r="I95" s="12"/>
      <c r="J95" s="12"/>
    </row>
    <row r="96" spans="1:10">
      <c r="A96" s="12"/>
      <c r="B96" s="13"/>
      <c r="C96" s="12"/>
      <c r="D96" s="12"/>
      <c r="E96" s="14"/>
      <c r="F96" s="13"/>
      <c r="G96" s="13"/>
      <c r="H96" s="12"/>
      <c r="I96" s="12"/>
      <c r="J96" s="12"/>
    </row>
    <row r="97" spans="1:10">
      <c r="A97" s="12"/>
      <c r="B97" s="13"/>
      <c r="C97" s="12"/>
      <c r="D97" s="12"/>
      <c r="E97" s="14"/>
      <c r="F97" s="13"/>
      <c r="G97" s="13"/>
      <c r="H97" s="12"/>
      <c r="I97" s="12"/>
      <c r="J97" s="12"/>
    </row>
    <row r="98" spans="1:10">
      <c r="A98" s="12"/>
      <c r="B98" s="13"/>
      <c r="C98" s="12"/>
      <c r="D98" s="12"/>
      <c r="E98" s="14"/>
      <c r="F98" s="13"/>
      <c r="G98" s="13"/>
      <c r="H98" s="12"/>
      <c r="I98" s="12"/>
      <c r="J98" s="12"/>
    </row>
    <row r="99" spans="1:10">
      <c r="A99" s="12"/>
      <c r="B99" s="13"/>
      <c r="C99" s="12"/>
      <c r="D99" s="12"/>
      <c r="E99" s="14"/>
      <c r="F99" s="13"/>
      <c r="G99" s="13"/>
      <c r="H99" s="12"/>
      <c r="I99" s="12"/>
      <c r="J99" s="12"/>
    </row>
    <row r="100" spans="1:10">
      <c r="A100" s="12"/>
      <c r="B100" s="13"/>
      <c r="C100" s="12"/>
      <c r="D100" s="12"/>
      <c r="E100" s="14"/>
      <c r="F100" s="13"/>
      <c r="G100" s="13"/>
      <c r="H100" s="12"/>
      <c r="I100" s="12"/>
      <c r="J100" s="12"/>
    </row>
    <row r="101" spans="1:10">
      <c r="A101" s="12"/>
      <c r="B101" s="13"/>
      <c r="C101" s="12"/>
      <c r="D101" s="12"/>
      <c r="E101" s="14"/>
      <c r="F101" s="13"/>
      <c r="G101" s="13"/>
      <c r="H101" s="12"/>
      <c r="I101" s="12"/>
      <c r="J101" s="12"/>
    </row>
    <row r="102" spans="1:10">
      <c r="A102" s="12"/>
      <c r="B102" s="13"/>
      <c r="C102" s="12"/>
      <c r="D102" s="12"/>
      <c r="E102" s="14"/>
      <c r="F102" s="13"/>
      <c r="G102" s="13"/>
      <c r="H102" s="12"/>
      <c r="I102" s="12"/>
      <c r="J102" s="12"/>
    </row>
    <row r="103" spans="1:10">
      <c r="A103" s="12"/>
      <c r="B103" s="13"/>
      <c r="C103" s="12"/>
      <c r="D103" s="12"/>
      <c r="E103" s="14"/>
      <c r="F103" s="13"/>
      <c r="G103" s="13"/>
      <c r="H103" s="12"/>
      <c r="I103" s="12"/>
      <c r="J103" s="12"/>
    </row>
    <row r="104" spans="1:10">
      <c r="A104" s="12"/>
      <c r="B104" s="13"/>
      <c r="C104" s="12"/>
      <c r="D104" s="12"/>
      <c r="E104" s="14"/>
      <c r="F104" s="13"/>
      <c r="G104" s="13"/>
      <c r="H104" s="12"/>
      <c r="I104" s="12"/>
      <c r="J104" s="12"/>
    </row>
    <row r="105" spans="1:10">
      <c r="A105" s="12"/>
      <c r="B105" s="13"/>
      <c r="C105" s="12"/>
      <c r="D105" s="12"/>
      <c r="E105" s="14"/>
      <c r="F105" s="13"/>
      <c r="G105" s="13"/>
      <c r="H105" s="12"/>
      <c r="I105" s="12"/>
      <c r="J105" s="12"/>
    </row>
    <row r="106" spans="1:10">
      <c r="A106" s="12"/>
      <c r="B106" s="13"/>
      <c r="C106" s="12"/>
      <c r="D106" s="12"/>
      <c r="E106" s="14"/>
      <c r="F106" s="13"/>
      <c r="G106" s="13"/>
      <c r="H106" s="12"/>
      <c r="I106" s="12"/>
      <c r="J106" s="12"/>
    </row>
    <row r="107" spans="1:10">
      <c r="A107" s="12"/>
      <c r="B107" s="13"/>
      <c r="C107" s="12"/>
      <c r="D107" s="12"/>
      <c r="E107" s="14"/>
      <c r="F107" s="13"/>
      <c r="G107" s="13"/>
      <c r="H107" s="12"/>
      <c r="I107" s="12"/>
      <c r="J107" s="12"/>
    </row>
    <row r="108" spans="1:10">
      <c r="A108" s="12"/>
      <c r="B108" s="13"/>
      <c r="C108" s="12"/>
      <c r="D108" s="12"/>
      <c r="E108" s="14"/>
      <c r="F108" s="13"/>
      <c r="G108" s="13"/>
      <c r="H108" s="12"/>
      <c r="I108" s="12"/>
      <c r="J108" s="12"/>
    </row>
    <row r="109" spans="1:10">
      <c r="A109" s="12"/>
      <c r="B109" s="13"/>
      <c r="C109" s="12"/>
      <c r="D109" s="12"/>
      <c r="E109" s="14"/>
      <c r="F109" s="13"/>
      <c r="G109" s="13"/>
      <c r="H109" s="12"/>
      <c r="I109" s="12"/>
      <c r="J109" s="12"/>
    </row>
    <row r="110" spans="1:10">
      <c r="A110" s="12"/>
      <c r="B110" s="13"/>
      <c r="C110" s="12"/>
      <c r="D110" s="12"/>
      <c r="E110" s="14"/>
      <c r="F110" s="13"/>
      <c r="G110" s="13"/>
      <c r="H110" s="12"/>
      <c r="I110" s="12"/>
      <c r="J110" s="12"/>
    </row>
    <row r="111" spans="1:10">
      <c r="A111" s="12"/>
      <c r="B111" s="13"/>
      <c r="C111" s="12"/>
      <c r="D111" s="12"/>
      <c r="E111" s="14"/>
      <c r="F111" s="13"/>
      <c r="G111" s="13"/>
      <c r="H111" s="12"/>
      <c r="I111" s="12"/>
      <c r="J111" s="12"/>
    </row>
    <row r="112" spans="1:10">
      <c r="A112" s="12"/>
      <c r="B112" s="13"/>
      <c r="C112" s="12"/>
      <c r="D112" s="12"/>
      <c r="E112" s="14"/>
      <c r="F112" s="13"/>
      <c r="G112" s="13"/>
      <c r="H112" s="12"/>
      <c r="I112" s="12"/>
      <c r="J112" s="12"/>
    </row>
    <row r="113" spans="1:10">
      <c r="A113" s="12"/>
      <c r="B113" s="13"/>
      <c r="C113" s="12"/>
      <c r="D113" s="12"/>
      <c r="E113" s="14"/>
      <c r="F113" s="13"/>
      <c r="G113" s="13"/>
      <c r="H113" s="12"/>
      <c r="I113" s="12"/>
      <c r="J113" s="12"/>
    </row>
    <row r="114" spans="1:10">
      <c r="A114" s="12"/>
      <c r="B114" s="13"/>
      <c r="C114" s="12"/>
      <c r="D114" s="12"/>
      <c r="E114" s="14"/>
      <c r="F114" s="13"/>
      <c r="G114" s="13"/>
      <c r="H114" s="12"/>
      <c r="I114" s="12"/>
      <c r="J114" s="12"/>
    </row>
    <row r="115" spans="1:10">
      <c r="A115" s="12"/>
      <c r="B115" s="13"/>
      <c r="C115" s="12"/>
      <c r="D115" s="12"/>
      <c r="E115" s="14"/>
      <c r="F115" s="13"/>
      <c r="G115" s="13"/>
      <c r="H115" s="12"/>
      <c r="I115" s="12"/>
      <c r="J115" s="12"/>
    </row>
    <row r="116" spans="1:10">
      <c r="A116" s="12"/>
      <c r="B116" s="13"/>
      <c r="C116" s="12"/>
      <c r="D116" s="12"/>
      <c r="E116" s="14"/>
      <c r="F116" s="13"/>
      <c r="G116" s="13"/>
      <c r="H116" s="12"/>
      <c r="I116" s="12"/>
      <c r="J116" s="12"/>
    </row>
    <row r="117" spans="1:10">
      <c r="A117" s="12"/>
      <c r="B117" s="13"/>
      <c r="C117" s="12"/>
      <c r="D117" s="12"/>
      <c r="E117" s="14"/>
      <c r="F117" s="13"/>
      <c r="G117" s="13"/>
      <c r="H117" s="12"/>
      <c r="I117" s="12"/>
      <c r="J117" s="12"/>
    </row>
    <row r="118" spans="1:10">
      <c r="A118" s="12"/>
      <c r="B118" s="13"/>
      <c r="C118" s="12"/>
      <c r="D118" s="12"/>
      <c r="E118" s="14"/>
      <c r="F118" s="13"/>
      <c r="G118" s="13"/>
      <c r="H118" s="12"/>
      <c r="I118" s="12"/>
      <c r="J118" s="12"/>
    </row>
    <row r="119" spans="1:10">
      <c r="A119" s="12"/>
      <c r="B119" s="13"/>
      <c r="C119" s="12"/>
      <c r="D119" s="12"/>
      <c r="E119" s="14"/>
      <c r="F119" s="13"/>
      <c r="G119" s="13"/>
      <c r="H119" s="12"/>
      <c r="I119" s="12"/>
      <c r="J119" s="12"/>
    </row>
    <row r="120" spans="1:10">
      <c r="A120" s="12"/>
      <c r="B120" s="13"/>
      <c r="C120" s="12"/>
      <c r="D120" s="12"/>
      <c r="E120" s="14"/>
      <c r="F120" s="13"/>
      <c r="G120" s="13"/>
      <c r="H120" s="12"/>
      <c r="I120" s="12"/>
      <c r="J120" s="12"/>
    </row>
    <row r="121" spans="1:10">
      <c r="A121" s="12"/>
      <c r="B121" s="13"/>
      <c r="C121" s="12"/>
      <c r="D121" s="12"/>
      <c r="E121" s="14"/>
      <c r="F121" s="13"/>
      <c r="G121" s="13"/>
      <c r="H121" s="12"/>
      <c r="I121" s="12"/>
      <c r="J121" s="12"/>
    </row>
    <row r="122" spans="1:10">
      <c r="A122" s="12"/>
      <c r="B122" s="13"/>
      <c r="C122" s="12"/>
      <c r="D122" s="12"/>
      <c r="E122" s="14"/>
      <c r="F122" s="13"/>
      <c r="G122" s="13"/>
      <c r="H122" s="12"/>
      <c r="I122" s="12"/>
      <c r="J122" s="12"/>
    </row>
    <row r="123" spans="1:10">
      <c r="A123" s="12"/>
      <c r="B123" s="13"/>
      <c r="C123" s="12"/>
      <c r="D123" s="12"/>
      <c r="E123" s="14"/>
      <c r="F123" s="13"/>
      <c r="G123" s="13"/>
      <c r="H123" s="12"/>
      <c r="I123" s="12"/>
      <c r="J123" s="12"/>
    </row>
    <row r="124" spans="1:10">
      <c r="A124" s="12"/>
      <c r="B124" s="13"/>
      <c r="C124" s="12"/>
      <c r="D124" s="12"/>
      <c r="E124" s="14"/>
      <c r="F124" s="13"/>
      <c r="G124" s="13"/>
      <c r="H124" s="12"/>
      <c r="I124" s="12"/>
      <c r="J124" s="12"/>
    </row>
    <row r="125" spans="1:10">
      <c r="A125" s="12"/>
      <c r="B125" s="13"/>
      <c r="C125" s="12"/>
      <c r="D125" s="12"/>
      <c r="E125" s="14"/>
      <c r="F125" s="13"/>
      <c r="G125" s="13"/>
      <c r="H125" s="12"/>
      <c r="I125" s="12"/>
      <c r="J125" s="12"/>
    </row>
    <row r="126" spans="1:10">
      <c r="A126" s="12"/>
      <c r="B126" s="13"/>
      <c r="C126" s="12"/>
      <c r="D126" s="12"/>
      <c r="E126" s="14"/>
      <c r="F126" s="13"/>
      <c r="G126" s="13"/>
      <c r="H126" s="12"/>
      <c r="I126" s="12"/>
      <c r="J126" s="12"/>
    </row>
    <row r="127" spans="1:10">
      <c r="A127" s="12"/>
      <c r="B127" s="13"/>
      <c r="C127" s="12"/>
      <c r="D127" s="12"/>
      <c r="E127" s="14"/>
      <c r="F127" s="13"/>
      <c r="G127" s="13"/>
      <c r="H127" s="12"/>
      <c r="I127" s="12"/>
      <c r="J127" s="12"/>
    </row>
    <row r="128" spans="1:10">
      <c r="A128" s="12"/>
      <c r="B128" s="13"/>
      <c r="C128" s="12"/>
      <c r="D128" s="12"/>
      <c r="E128" s="14"/>
      <c r="F128" s="13"/>
      <c r="G128" s="13"/>
      <c r="H128" s="12"/>
      <c r="I128" s="12"/>
      <c r="J128" s="12"/>
    </row>
    <row r="129" spans="1:10">
      <c r="A129" s="12"/>
      <c r="B129" s="13"/>
      <c r="C129" s="12"/>
      <c r="D129" s="12"/>
      <c r="E129" s="14"/>
      <c r="F129" s="13"/>
      <c r="G129" s="13"/>
      <c r="H129" s="12"/>
      <c r="I129" s="12"/>
      <c r="J129" s="12"/>
    </row>
    <row r="130" spans="1:10">
      <c r="A130" s="12"/>
      <c r="B130" s="13"/>
      <c r="C130" s="12"/>
      <c r="D130" s="12"/>
      <c r="E130" s="14"/>
      <c r="F130" s="13"/>
      <c r="G130" s="13"/>
      <c r="H130" s="12"/>
      <c r="I130" s="12"/>
      <c r="J130" s="12"/>
    </row>
    <row r="131" spans="1:10">
      <c r="A131" s="12"/>
      <c r="B131" s="13"/>
      <c r="C131" s="12"/>
      <c r="D131" s="12"/>
      <c r="E131" s="14"/>
      <c r="F131" s="13"/>
      <c r="G131" s="13"/>
      <c r="H131" s="12"/>
      <c r="I131" s="12"/>
      <c r="J131" s="12"/>
    </row>
    <row r="132" spans="1:10">
      <c r="A132" s="12"/>
      <c r="B132" s="13"/>
      <c r="C132" s="12"/>
      <c r="D132" s="12"/>
      <c r="E132" s="14"/>
      <c r="F132" s="13"/>
      <c r="G132" s="13"/>
      <c r="H132" s="12"/>
      <c r="I132" s="12"/>
      <c r="J132" s="12"/>
    </row>
    <row r="133" spans="1:10">
      <c r="A133" s="12"/>
      <c r="B133" s="13"/>
      <c r="C133" s="12"/>
      <c r="D133" s="12"/>
      <c r="E133" s="14"/>
      <c r="F133" s="13"/>
      <c r="G133" s="13"/>
      <c r="H133" s="12"/>
      <c r="I133" s="12"/>
      <c r="J133" s="12"/>
    </row>
    <row r="134" spans="1:10">
      <c r="A134" s="12"/>
      <c r="B134" s="13"/>
      <c r="C134" s="12"/>
      <c r="D134" s="12"/>
      <c r="E134" s="14"/>
      <c r="F134" s="13"/>
      <c r="G134" s="13"/>
      <c r="H134" s="12"/>
      <c r="I134" s="12"/>
      <c r="J134" s="12"/>
    </row>
    <row r="135" spans="1:10">
      <c r="A135" s="12"/>
      <c r="B135" s="13"/>
      <c r="C135" s="12"/>
      <c r="D135" s="12"/>
      <c r="E135" s="14"/>
      <c r="F135" s="13"/>
      <c r="G135" s="13"/>
      <c r="H135" s="12"/>
      <c r="I135" s="12"/>
      <c r="J135" s="12"/>
    </row>
    <row r="136" spans="1:10">
      <c r="A136" s="12"/>
      <c r="B136" s="13"/>
      <c r="C136" s="12"/>
      <c r="D136" s="12"/>
      <c r="E136" s="14"/>
      <c r="F136" s="13"/>
      <c r="G136" s="13"/>
      <c r="H136" s="12"/>
      <c r="I136" s="12"/>
      <c r="J136" s="12"/>
    </row>
    <row r="137" spans="1:10">
      <c r="A137" s="12"/>
      <c r="B137" s="13"/>
      <c r="C137" s="12"/>
      <c r="D137" s="12"/>
      <c r="E137" s="14"/>
      <c r="F137" s="13"/>
      <c r="G137" s="13"/>
      <c r="H137" s="12"/>
      <c r="I137" s="12"/>
      <c r="J137" s="12"/>
    </row>
    <row r="138" spans="1:10">
      <c r="A138" s="12"/>
      <c r="B138" s="13"/>
      <c r="C138" s="12"/>
      <c r="D138" s="12"/>
      <c r="E138" s="14"/>
      <c r="F138" s="13"/>
      <c r="G138" s="13"/>
      <c r="H138" s="12"/>
      <c r="I138" s="12"/>
      <c r="J138" s="12"/>
    </row>
    <row r="139" spans="1:10">
      <c r="A139" s="12"/>
      <c r="B139" s="13"/>
      <c r="C139" s="12"/>
      <c r="D139" s="12"/>
      <c r="E139" s="14"/>
      <c r="F139" s="13"/>
      <c r="G139" s="13"/>
      <c r="H139" s="12"/>
      <c r="I139" s="12"/>
      <c r="J139" s="12"/>
    </row>
    <row r="140" spans="1:10">
      <c r="A140" s="12"/>
      <c r="B140" s="13"/>
      <c r="C140" s="12"/>
      <c r="D140" s="12"/>
      <c r="E140" s="14"/>
      <c r="F140" s="13"/>
      <c r="G140" s="13"/>
      <c r="H140" s="12"/>
      <c r="I140" s="12"/>
      <c r="J140" s="12"/>
    </row>
    <row r="141" spans="1:10">
      <c r="A141" s="12"/>
      <c r="B141" s="13"/>
      <c r="C141" s="12"/>
      <c r="D141" s="12"/>
      <c r="E141" s="14"/>
      <c r="F141" s="13"/>
      <c r="G141" s="13"/>
      <c r="H141" s="12"/>
      <c r="I141" s="12"/>
      <c r="J141" s="12"/>
    </row>
    <row r="142" spans="1:10">
      <c r="A142" s="12"/>
      <c r="B142" s="13"/>
      <c r="C142" s="12"/>
      <c r="D142" s="12"/>
      <c r="E142" s="14"/>
      <c r="F142" s="13"/>
      <c r="G142" s="13"/>
      <c r="H142" s="12"/>
      <c r="I142" s="12"/>
      <c r="J142" s="12"/>
    </row>
    <row r="143" spans="1:10">
      <c r="A143" s="12"/>
      <c r="B143" s="13"/>
      <c r="C143" s="12"/>
      <c r="D143" s="12"/>
      <c r="E143" s="14"/>
      <c r="F143" s="13"/>
      <c r="G143" s="13"/>
      <c r="H143" s="12"/>
      <c r="I143" s="12"/>
      <c r="J143" s="12"/>
    </row>
    <row r="144" spans="1:10">
      <c r="A144" s="12"/>
      <c r="B144" s="13"/>
      <c r="C144" s="12"/>
      <c r="D144" s="12"/>
      <c r="E144" s="14"/>
      <c r="F144" s="13"/>
      <c r="G144" s="13"/>
      <c r="H144" s="12"/>
      <c r="I144" s="12"/>
      <c r="J144" s="12"/>
    </row>
    <row r="145" spans="1:10">
      <c r="A145" s="12"/>
      <c r="B145" s="13"/>
      <c r="C145" s="12"/>
      <c r="D145" s="12"/>
      <c r="E145" s="14"/>
      <c r="F145" s="13"/>
      <c r="G145" s="13"/>
      <c r="H145" s="12"/>
      <c r="I145" s="12"/>
      <c r="J145" s="12"/>
    </row>
    <row r="146" spans="1:10">
      <c r="A146" s="12"/>
      <c r="B146" s="13"/>
      <c r="C146" s="12"/>
      <c r="D146" s="12"/>
      <c r="E146" s="14"/>
      <c r="F146" s="13"/>
      <c r="G146" s="13"/>
      <c r="H146" s="12"/>
      <c r="I146" s="12"/>
      <c r="J146" s="12"/>
    </row>
    <row r="147" spans="1:10">
      <c r="A147" s="12"/>
      <c r="B147" s="13"/>
      <c r="C147" s="12"/>
      <c r="D147" s="12"/>
      <c r="E147" s="14"/>
      <c r="F147" s="13"/>
      <c r="G147" s="13"/>
      <c r="H147" s="12"/>
      <c r="I147" s="12"/>
      <c r="J147" s="12"/>
    </row>
    <row r="148" spans="1:10">
      <c r="A148" s="12"/>
      <c r="B148" s="13"/>
      <c r="C148" s="12"/>
      <c r="D148" s="12"/>
      <c r="E148" s="14"/>
      <c r="F148" s="13"/>
      <c r="G148" s="13"/>
      <c r="H148" s="12"/>
      <c r="I148" s="12"/>
      <c r="J148" s="12"/>
    </row>
    <row r="149" spans="1:10">
      <c r="A149" s="12"/>
      <c r="B149" s="13"/>
      <c r="C149" s="12"/>
      <c r="D149" s="12"/>
      <c r="E149" s="14"/>
      <c r="F149" s="13"/>
      <c r="G149" s="13"/>
      <c r="H149" s="12"/>
      <c r="I149" s="12"/>
      <c r="J149" s="12"/>
    </row>
    <row r="150" spans="1:10">
      <c r="A150" s="12"/>
      <c r="B150" s="13"/>
      <c r="C150" s="12"/>
      <c r="D150" s="12"/>
      <c r="E150" s="14"/>
      <c r="F150" s="13"/>
      <c r="G150" s="13"/>
      <c r="H150" s="12"/>
      <c r="I150" s="12"/>
      <c r="J150" s="12"/>
    </row>
    <row r="151" spans="1:10">
      <c r="A151" s="12"/>
      <c r="B151" s="13"/>
      <c r="C151" s="12"/>
      <c r="D151" s="12"/>
      <c r="E151" s="14"/>
      <c r="F151" s="13"/>
      <c r="G151" s="13"/>
      <c r="H151" s="12"/>
      <c r="I151" s="12"/>
      <c r="J151" s="12"/>
    </row>
    <row r="152" spans="1:10">
      <c r="A152" s="12"/>
      <c r="B152" s="13"/>
      <c r="C152" s="12"/>
      <c r="D152" s="12"/>
      <c r="E152" s="14"/>
      <c r="F152" s="13"/>
      <c r="G152" s="13"/>
      <c r="H152" s="12"/>
      <c r="I152" s="12"/>
      <c r="J152" s="12"/>
    </row>
    <row r="153" spans="1:10">
      <c r="A153" s="12"/>
      <c r="B153" s="13"/>
      <c r="C153" s="12"/>
      <c r="D153" s="12"/>
      <c r="E153" s="14"/>
      <c r="F153" s="13"/>
      <c r="G153" s="13"/>
      <c r="H153" s="12"/>
      <c r="I153" s="12"/>
      <c r="J153" s="12"/>
    </row>
    <row r="154" spans="1:10">
      <c r="A154" s="12"/>
      <c r="B154" s="13"/>
      <c r="C154" s="12"/>
      <c r="D154" s="12"/>
      <c r="E154" s="14"/>
      <c r="F154" s="13"/>
      <c r="G154" s="13"/>
      <c r="H154" s="12"/>
      <c r="I154" s="12"/>
      <c r="J154" s="12"/>
    </row>
    <row r="155" spans="1:10">
      <c r="A155" s="12"/>
      <c r="B155" s="13"/>
      <c r="C155" s="12"/>
      <c r="D155" s="12"/>
      <c r="E155" s="14"/>
      <c r="F155" s="13"/>
      <c r="G155" s="13"/>
      <c r="H155" s="12"/>
      <c r="I155" s="12"/>
      <c r="J155" s="12"/>
    </row>
    <row r="156" spans="1:10">
      <c r="A156" s="12"/>
      <c r="B156" s="13"/>
      <c r="C156" s="12"/>
      <c r="D156" s="12"/>
      <c r="E156" s="14"/>
      <c r="F156" s="13"/>
      <c r="G156" s="13"/>
      <c r="H156" s="12"/>
      <c r="I156" s="12"/>
      <c r="J156" s="12"/>
    </row>
    <row r="157" spans="1:10">
      <c r="A157" s="12"/>
      <c r="B157" s="13"/>
      <c r="C157" s="12"/>
      <c r="D157" s="12"/>
      <c r="E157" s="14"/>
      <c r="F157" s="13"/>
      <c r="G157" s="13"/>
      <c r="H157" s="12"/>
      <c r="I157" s="12"/>
      <c r="J157" s="12"/>
    </row>
    <row r="158" spans="1:10">
      <c r="A158" s="12"/>
      <c r="B158" s="13"/>
      <c r="C158" s="12"/>
      <c r="D158" s="12"/>
      <c r="E158" s="14"/>
      <c r="F158" s="13"/>
      <c r="G158" s="13"/>
      <c r="H158" s="12"/>
      <c r="I158" s="12"/>
      <c r="J158" s="12"/>
    </row>
    <row r="159" spans="1:10">
      <c r="A159" s="12"/>
      <c r="B159" s="13"/>
      <c r="C159" s="12"/>
      <c r="D159" s="12"/>
      <c r="E159" s="14"/>
      <c r="F159" s="13"/>
      <c r="G159" s="13"/>
      <c r="H159" s="12"/>
      <c r="I159" s="12"/>
      <c r="J159" s="12"/>
    </row>
    <row r="160" spans="1:10">
      <c r="A160" s="12"/>
      <c r="B160" s="13"/>
      <c r="C160" s="12"/>
      <c r="D160" s="12"/>
      <c r="E160" s="14"/>
      <c r="F160" s="13"/>
      <c r="G160" s="13"/>
      <c r="H160" s="12"/>
      <c r="I160" s="12"/>
      <c r="J160" s="12"/>
    </row>
    <row r="161" spans="1:10">
      <c r="A161" s="12"/>
      <c r="B161" s="13"/>
      <c r="C161" s="12"/>
      <c r="D161" s="12"/>
      <c r="E161" s="14"/>
      <c r="F161" s="13"/>
      <c r="G161" s="13"/>
      <c r="H161" s="12"/>
      <c r="I161" s="12"/>
      <c r="J161" s="12"/>
    </row>
    <row r="162" spans="1:10">
      <c r="A162" s="12"/>
      <c r="B162" s="13"/>
      <c r="C162" s="12"/>
      <c r="D162" s="12"/>
      <c r="E162" s="14"/>
      <c r="F162" s="13"/>
      <c r="G162" s="13"/>
      <c r="H162" s="12"/>
      <c r="I162" s="12"/>
      <c r="J162" s="12"/>
    </row>
    <row r="163" spans="1:10">
      <c r="A163" s="12"/>
      <c r="B163" s="13"/>
      <c r="C163" s="12"/>
      <c r="D163" s="12"/>
      <c r="E163" s="14"/>
      <c r="F163" s="13"/>
      <c r="G163" s="13"/>
      <c r="H163" s="12"/>
      <c r="I163" s="12"/>
      <c r="J163" s="12"/>
    </row>
    <row r="164" spans="1:10">
      <c r="A164" s="12"/>
      <c r="B164" s="13"/>
      <c r="C164" s="12"/>
      <c r="D164" s="12"/>
      <c r="E164" s="14"/>
      <c r="F164" s="13"/>
      <c r="G164" s="13"/>
      <c r="H164" s="12"/>
      <c r="I164" s="12"/>
      <c r="J164" s="12"/>
    </row>
    <row r="165" spans="1:10">
      <c r="A165" s="12"/>
      <c r="B165" s="13"/>
      <c r="C165" s="12"/>
      <c r="D165" s="12"/>
      <c r="E165" s="14"/>
      <c r="F165" s="13"/>
      <c r="G165" s="13"/>
      <c r="H165" s="12"/>
      <c r="I165" s="12"/>
      <c r="J165" s="12"/>
    </row>
    <row r="166" spans="1:10">
      <c r="A166" s="12"/>
      <c r="B166" s="13"/>
      <c r="C166" s="12"/>
      <c r="D166" s="12"/>
      <c r="E166" s="14"/>
      <c r="F166" s="13"/>
      <c r="G166" s="13"/>
      <c r="H166" s="12"/>
      <c r="I166" s="12"/>
      <c r="J166" s="12"/>
    </row>
    <row r="167" spans="1:10">
      <c r="A167" s="12"/>
      <c r="B167" s="13"/>
      <c r="C167" s="12"/>
      <c r="D167" s="12"/>
      <c r="E167" s="14"/>
      <c r="F167" s="13"/>
      <c r="G167" s="13"/>
      <c r="H167" s="12"/>
      <c r="I167" s="12"/>
      <c r="J167" s="12"/>
    </row>
    <row r="168" spans="1:10">
      <c r="A168" s="12"/>
      <c r="B168" s="13"/>
      <c r="C168" s="12"/>
      <c r="D168" s="12"/>
      <c r="E168" s="14"/>
      <c r="F168" s="13"/>
      <c r="G168" s="13"/>
      <c r="H168" s="12"/>
      <c r="I168" s="12"/>
      <c r="J168" s="12"/>
    </row>
    <row r="169" spans="1:10">
      <c r="A169" s="12"/>
      <c r="B169" s="13"/>
      <c r="C169" s="12"/>
      <c r="D169" s="12"/>
      <c r="E169" s="14"/>
      <c r="F169" s="13"/>
      <c r="G169" s="13"/>
      <c r="H169" s="12"/>
      <c r="I169" s="12"/>
      <c r="J169" s="12"/>
    </row>
    <row r="170" spans="1:10">
      <c r="A170" s="12"/>
      <c r="B170" s="13"/>
      <c r="C170" s="12"/>
      <c r="D170" s="12"/>
      <c r="E170" s="14"/>
      <c r="F170" s="13"/>
      <c r="G170" s="13"/>
      <c r="H170" s="12"/>
      <c r="I170" s="12"/>
      <c r="J170" s="12"/>
    </row>
    <row r="171" spans="1:10">
      <c r="A171" s="12"/>
      <c r="B171" s="13"/>
      <c r="C171" s="12"/>
      <c r="D171" s="12"/>
      <c r="E171" s="14"/>
      <c r="F171" s="13"/>
      <c r="G171" s="13"/>
      <c r="H171" s="12"/>
      <c r="I171" s="12"/>
      <c r="J171" s="12"/>
    </row>
    <row r="172" spans="1:10">
      <c r="A172" s="12"/>
      <c r="B172" s="13"/>
      <c r="C172" s="12"/>
      <c r="D172" s="12"/>
      <c r="E172" s="14"/>
      <c r="F172" s="13"/>
      <c r="G172" s="13"/>
      <c r="H172" s="12"/>
      <c r="I172" s="12"/>
      <c r="J172" s="12"/>
    </row>
    <row r="173" spans="1:10">
      <c r="A173" s="12"/>
      <c r="B173" s="13"/>
      <c r="C173" s="12"/>
      <c r="D173" s="12"/>
      <c r="E173" s="14"/>
      <c r="F173" s="13"/>
      <c r="G173" s="13"/>
      <c r="H173" s="12"/>
      <c r="I173" s="12"/>
      <c r="J173" s="12"/>
    </row>
    <row r="174" spans="1:10">
      <c r="A174" s="12"/>
      <c r="B174" s="13"/>
      <c r="C174" s="12"/>
      <c r="D174" s="12"/>
      <c r="E174" s="14"/>
      <c r="F174" s="13"/>
      <c r="G174" s="13"/>
      <c r="H174" s="12"/>
      <c r="I174" s="12"/>
      <c r="J174" s="12"/>
    </row>
    <row r="175" spans="1:10">
      <c r="A175" s="12"/>
      <c r="B175" s="13"/>
      <c r="C175" s="12"/>
      <c r="D175" s="12"/>
      <c r="E175" s="14"/>
      <c r="F175" s="13"/>
      <c r="G175" s="13"/>
      <c r="H175" s="12"/>
      <c r="I175" s="12"/>
      <c r="J175" s="12"/>
    </row>
    <row r="176" spans="1:10">
      <c r="A176" s="12"/>
      <c r="B176" s="13"/>
      <c r="C176" s="12"/>
      <c r="D176" s="12"/>
      <c r="E176" s="14"/>
      <c r="F176" s="13"/>
      <c r="G176" s="13"/>
      <c r="H176" s="12"/>
      <c r="I176" s="12"/>
      <c r="J176" s="12"/>
    </row>
    <row r="177" spans="1:10">
      <c r="A177" s="12"/>
      <c r="B177" s="13"/>
      <c r="C177" s="12"/>
      <c r="D177" s="12"/>
      <c r="E177" s="14"/>
      <c r="F177" s="13"/>
      <c r="G177" s="13"/>
      <c r="H177" s="12"/>
      <c r="I177" s="12"/>
      <c r="J177" s="12"/>
    </row>
    <row r="178" spans="1:10">
      <c r="A178" s="12"/>
      <c r="B178" s="13"/>
      <c r="C178" s="12"/>
      <c r="D178" s="12"/>
      <c r="E178" s="14"/>
      <c r="F178" s="13"/>
      <c r="G178" s="13"/>
      <c r="H178" s="12"/>
      <c r="I178" s="12"/>
      <c r="J178" s="12"/>
    </row>
    <row r="179" spans="1:10">
      <c r="A179" s="12"/>
      <c r="B179" s="13"/>
      <c r="C179" s="12"/>
      <c r="D179" s="12"/>
      <c r="E179" s="14"/>
      <c r="F179" s="13"/>
      <c r="G179" s="13"/>
      <c r="H179" s="12"/>
      <c r="I179" s="12"/>
      <c r="J179" s="12"/>
    </row>
    <row r="180" spans="1:10">
      <c r="A180" s="12"/>
      <c r="B180" s="13"/>
      <c r="C180" s="12"/>
      <c r="D180" s="12"/>
      <c r="E180" s="14"/>
      <c r="F180" s="13"/>
      <c r="G180" s="13"/>
      <c r="H180" s="12"/>
      <c r="I180" s="12"/>
      <c r="J180" s="12"/>
    </row>
    <row r="181" spans="1:10">
      <c r="A181" s="12"/>
      <c r="B181" s="13"/>
      <c r="C181" s="12"/>
      <c r="D181" s="12"/>
      <c r="E181" s="14"/>
      <c r="F181" s="13"/>
      <c r="G181" s="13"/>
      <c r="H181" s="12"/>
      <c r="I181" s="12"/>
      <c r="J181" s="12"/>
    </row>
    <row r="182" spans="1:10">
      <c r="A182" s="12"/>
      <c r="B182" s="13"/>
      <c r="C182" s="12"/>
      <c r="D182" s="12"/>
      <c r="E182" s="14"/>
      <c r="F182" s="13"/>
      <c r="G182" s="13"/>
      <c r="H182" s="12"/>
      <c r="I182" s="12"/>
      <c r="J182" s="12"/>
    </row>
    <row r="183" spans="1:10">
      <c r="A183" s="12"/>
      <c r="B183" s="13"/>
      <c r="C183" s="12"/>
      <c r="D183" s="12"/>
      <c r="E183" s="14"/>
      <c r="F183" s="13"/>
      <c r="G183" s="13"/>
      <c r="H183" s="12"/>
      <c r="I183" s="12"/>
      <c r="J183" s="12"/>
    </row>
    <row r="184" spans="1:10">
      <c r="A184" s="12"/>
      <c r="B184" s="13"/>
      <c r="C184" s="12"/>
      <c r="D184" s="12"/>
      <c r="E184" s="14"/>
      <c r="F184" s="13"/>
      <c r="G184" s="13"/>
      <c r="H184" s="12"/>
      <c r="I184" s="12"/>
      <c r="J184" s="12"/>
    </row>
    <row r="185" spans="1:10">
      <c r="A185" s="12"/>
      <c r="B185" s="13"/>
      <c r="C185" s="12"/>
      <c r="D185" s="12"/>
      <c r="E185" s="14"/>
      <c r="F185" s="13"/>
      <c r="G185" s="13"/>
      <c r="H185" s="12"/>
      <c r="I185" s="12"/>
      <c r="J185" s="12"/>
    </row>
    <row r="186" spans="1:10">
      <c r="A186" s="12"/>
      <c r="B186" s="13"/>
      <c r="C186" s="12"/>
      <c r="D186" s="12"/>
      <c r="E186" s="14"/>
      <c r="F186" s="13"/>
      <c r="G186" s="13"/>
      <c r="H186" s="12"/>
      <c r="I186" s="12"/>
      <c r="J186" s="12"/>
    </row>
    <row r="187" spans="1:10">
      <c r="A187" s="12"/>
      <c r="B187" s="13"/>
      <c r="C187" s="12"/>
      <c r="D187" s="12"/>
      <c r="E187" s="14"/>
      <c r="F187" s="13"/>
      <c r="G187" s="13"/>
      <c r="H187" s="12"/>
      <c r="I187" s="12"/>
      <c r="J187" s="12"/>
    </row>
    <row r="188" spans="1:10">
      <c r="A188" s="12"/>
      <c r="B188" s="13"/>
      <c r="C188" s="12"/>
      <c r="D188" s="12"/>
      <c r="E188" s="14"/>
      <c r="F188" s="13"/>
      <c r="G188" s="13"/>
      <c r="H188" s="12"/>
      <c r="I188" s="12"/>
      <c r="J188" s="12"/>
    </row>
    <row r="189" spans="1:10">
      <c r="A189" s="12"/>
      <c r="B189" s="13"/>
      <c r="C189" s="12"/>
      <c r="D189" s="12"/>
      <c r="E189" s="14"/>
      <c r="F189" s="13"/>
      <c r="G189" s="13"/>
      <c r="H189" s="12"/>
      <c r="I189" s="12"/>
      <c r="J189" s="12"/>
    </row>
    <row r="190" spans="1:10">
      <c r="A190" s="12"/>
      <c r="B190" s="13"/>
      <c r="C190" s="12"/>
      <c r="D190" s="12"/>
      <c r="E190" s="14"/>
      <c r="F190" s="13"/>
      <c r="G190" s="13"/>
      <c r="H190" s="12"/>
      <c r="I190" s="12"/>
      <c r="J190" s="12"/>
    </row>
    <row r="191" spans="1:10">
      <c r="A191" s="12"/>
      <c r="B191" s="13"/>
      <c r="C191" s="12"/>
      <c r="D191" s="12"/>
      <c r="E191" s="14"/>
      <c r="F191" s="13"/>
      <c r="G191" s="13"/>
      <c r="H191" s="12"/>
      <c r="I191" s="12"/>
      <c r="J191" s="12"/>
    </row>
    <row r="192" spans="1:10">
      <c r="A192" s="12"/>
      <c r="B192" s="13"/>
      <c r="C192" s="12"/>
      <c r="D192" s="12"/>
      <c r="E192" s="14"/>
      <c r="F192" s="13"/>
      <c r="G192" s="13"/>
      <c r="H192" s="12"/>
      <c r="I192" s="12"/>
      <c r="J192" s="12"/>
    </row>
    <row r="193" spans="1:10">
      <c r="A193" s="12"/>
      <c r="B193" s="13"/>
      <c r="C193" s="12"/>
      <c r="D193" s="12"/>
      <c r="E193" s="14"/>
      <c r="F193" s="13"/>
      <c r="G193" s="13"/>
      <c r="H193" s="12"/>
      <c r="I193" s="12"/>
      <c r="J193" s="12"/>
    </row>
    <row r="194" spans="1:10">
      <c r="A194" s="12"/>
      <c r="B194" s="13"/>
      <c r="C194" s="12"/>
      <c r="D194" s="12"/>
      <c r="E194" s="14"/>
      <c r="F194" s="13"/>
      <c r="G194" s="13"/>
      <c r="H194" s="12"/>
      <c r="I194" s="12"/>
      <c r="J194" s="12"/>
    </row>
    <row r="195" spans="1:10">
      <c r="A195" s="12"/>
      <c r="B195" s="13"/>
      <c r="C195" s="12"/>
      <c r="D195" s="12"/>
      <c r="E195" s="14"/>
      <c r="F195" s="13"/>
      <c r="G195" s="13"/>
      <c r="H195" s="12"/>
      <c r="I195" s="12"/>
      <c r="J195" s="12"/>
    </row>
    <row r="196" spans="1:10">
      <c r="A196" s="12"/>
      <c r="B196" s="13"/>
      <c r="C196" s="12"/>
      <c r="D196" s="12"/>
      <c r="E196" s="14"/>
      <c r="F196" s="13"/>
      <c r="G196" s="13"/>
      <c r="H196" s="12"/>
      <c r="I196" s="12"/>
      <c r="J196" s="12"/>
    </row>
    <row r="197" spans="1:10">
      <c r="A197" s="12"/>
      <c r="B197" s="13"/>
      <c r="C197" s="12"/>
      <c r="D197" s="12"/>
      <c r="E197" s="14"/>
      <c r="F197" s="13"/>
      <c r="G197" s="13"/>
      <c r="H197" s="12"/>
      <c r="I197" s="12"/>
      <c r="J197" s="12"/>
    </row>
    <row r="198" spans="1:10">
      <c r="A198" s="12"/>
      <c r="B198" s="13"/>
      <c r="C198" s="12"/>
      <c r="D198" s="12"/>
      <c r="E198" s="14"/>
      <c r="F198" s="13"/>
      <c r="G198" s="13"/>
      <c r="H198" s="12"/>
      <c r="I198" s="12"/>
      <c r="J198" s="12"/>
    </row>
    <row r="199" spans="1:10">
      <c r="A199" s="12"/>
      <c r="B199" s="13"/>
      <c r="C199" s="12"/>
      <c r="D199" s="12"/>
      <c r="E199" s="14"/>
      <c r="F199" s="13"/>
      <c r="G199" s="13"/>
      <c r="H199" s="12"/>
      <c r="I199" s="12"/>
      <c r="J199" s="12"/>
    </row>
    <row r="200" spans="1:10">
      <c r="A200" s="12"/>
      <c r="B200" s="13"/>
      <c r="C200" s="12"/>
      <c r="D200" s="12"/>
      <c r="E200" s="14"/>
      <c r="F200" s="13"/>
      <c r="G200" s="13"/>
      <c r="H200" s="12"/>
      <c r="I200" s="12"/>
      <c r="J200" s="12"/>
    </row>
    <row r="201" spans="1:10">
      <c r="A201" s="12"/>
      <c r="B201" s="13"/>
      <c r="C201" s="12"/>
      <c r="D201" s="12"/>
      <c r="E201" s="14"/>
      <c r="F201" s="13"/>
      <c r="G201" s="13"/>
      <c r="H201" s="12"/>
      <c r="I201" s="12"/>
      <c r="J201" s="12"/>
    </row>
    <row r="202" spans="1:10">
      <c r="A202" s="12"/>
      <c r="B202" s="13"/>
      <c r="C202" s="12"/>
      <c r="D202" s="12"/>
      <c r="E202" s="14"/>
      <c r="F202" s="13"/>
      <c r="G202" s="13"/>
      <c r="H202" s="12"/>
      <c r="I202" s="12"/>
      <c r="J202" s="12"/>
    </row>
    <row r="203" spans="1:10">
      <c r="A203" s="12"/>
      <c r="B203" s="13"/>
      <c r="C203" s="12"/>
      <c r="D203" s="12"/>
      <c r="E203" s="14"/>
      <c r="F203" s="13"/>
      <c r="G203" s="13"/>
      <c r="H203" s="12"/>
      <c r="I203" s="12"/>
      <c r="J203" s="12"/>
    </row>
    <row r="204" spans="1:10">
      <c r="A204" s="12"/>
      <c r="B204" s="13"/>
      <c r="C204" s="12"/>
      <c r="D204" s="12"/>
      <c r="E204" s="14"/>
      <c r="F204" s="13"/>
      <c r="G204" s="13"/>
      <c r="H204" s="12"/>
      <c r="I204" s="12"/>
      <c r="J204" s="12"/>
    </row>
    <row r="205" spans="1:10">
      <c r="A205" s="12"/>
      <c r="B205" s="13"/>
      <c r="C205" s="12"/>
      <c r="D205" s="12"/>
      <c r="E205" s="14"/>
      <c r="F205" s="13"/>
      <c r="G205" s="13"/>
      <c r="H205" s="12"/>
      <c r="I205" s="12"/>
      <c r="J205" s="12"/>
    </row>
    <row r="206" spans="1:10">
      <c r="A206" s="12"/>
      <c r="B206" s="13"/>
      <c r="C206" s="12"/>
      <c r="D206" s="12"/>
      <c r="E206" s="14"/>
      <c r="F206" s="13"/>
      <c r="G206" s="13"/>
      <c r="H206" s="12"/>
      <c r="I206" s="12"/>
      <c r="J206" s="12"/>
    </row>
    <row r="207" spans="1:10">
      <c r="A207" s="12"/>
      <c r="B207" s="13"/>
      <c r="C207" s="12"/>
      <c r="D207" s="12"/>
      <c r="E207" s="14"/>
      <c r="F207" s="13"/>
      <c r="G207" s="13"/>
      <c r="H207" s="12"/>
      <c r="I207" s="12"/>
      <c r="J207" s="12"/>
    </row>
    <row r="208" spans="1:10">
      <c r="A208" s="12"/>
      <c r="B208" s="13"/>
      <c r="C208" s="12"/>
      <c r="D208" s="12"/>
      <c r="E208" s="14"/>
      <c r="F208" s="13"/>
      <c r="G208" s="13"/>
      <c r="H208" s="12"/>
      <c r="I208" s="12"/>
      <c r="J208" s="12"/>
    </row>
    <row r="209" spans="1:10">
      <c r="A209" s="12"/>
      <c r="B209" s="13"/>
      <c r="C209" s="12"/>
      <c r="D209" s="12"/>
      <c r="E209" s="14"/>
      <c r="F209" s="13"/>
      <c r="G209" s="13"/>
      <c r="H209" s="12"/>
      <c r="I209" s="12"/>
      <c r="J209" s="12"/>
    </row>
    <row r="210" spans="1:10">
      <c r="A210" s="12"/>
      <c r="B210" s="13"/>
      <c r="C210" s="12"/>
      <c r="D210" s="12"/>
      <c r="E210" s="14"/>
      <c r="F210" s="13"/>
      <c r="G210" s="13"/>
      <c r="H210" s="12"/>
      <c r="I210" s="12"/>
      <c r="J210" s="12"/>
    </row>
    <row r="211" spans="1:10">
      <c r="A211" s="12"/>
      <c r="B211" s="13"/>
      <c r="C211" s="12"/>
      <c r="D211" s="12"/>
      <c r="E211" s="14"/>
      <c r="F211" s="13"/>
      <c r="G211" s="13"/>
      <c r="H211" s="12"/>
      <c r="I211" s="12"/>
      <c r="J211" s="12"/>
    </row>
    <row r="212" spans="1:10">
      <c r="A212" s="12"/>
      <c r="B212" s="13"/>
      <c r="C212" s="12"/>
      <c r="D212" s="12"/>
      <c r="E212" s="14"/>
      <c r="F212" s="13"/>
      <c r="G212" s="13"/>
      <c r="H212" s="12"/>
      <c r="I212" s="12"/>
      <c r="J212" s="12"/>
    </row>
    <row r="213" spans="1:10">
      <c r="A213" s="12"/>
      <c r="B213" s="13"/>
      <c r="C213" s="12"/>
      <c r="D213" s="12"/>
      <c r="E213" s="14"/>
      <c r="F213" s="13"/>
      <c r="G213" s="13"/>
      <c r="H213" s="12"/>
      <c r="I213" s="12"/>
      <c r="J213" s="12"/>
    </row>
    <row r="214" spans="1:10">
      <c r="A214" s="12"/>
      <c r="B214" s="13"/>
      <c r="C214" s="12"/>
      <c r="D214" s="12"/>
      <c r="E214" s="14"/>
      <c r="F214" s="13"/>
      <c r="G214" s="13"/>
      <c r="H214" s="12"/>
      <c r="I214" s="12"/>
      <c r="J214" s="12"/>
    </row>
    <row r="215" spans="1:10">
      <c r="A215" s="12"/>
      <c r="B215" s="13"/>
      <c r="C215" s="12"/>
      <c r="D215" s="12"/>
      <c r="E215" s="14"/>
      <c r="F215" s="13"/>
      <c r="G215" s="13"/>
      <c r="H215" s="12"/>
      <c r="I215" s="12"/>
      <c r="J215" s="12"/>
    </row>
    <row r="216" spans="1:10">
      <c r="A216" s="12"/>
      <c r="B216" s="13"/>
      <c r="C216" s="12"/>
      <c r="D216" s="12"/>
      <c r="E216" s="14"/>
      <c r="F216" s="13"/>
      <c r="G216" s="13"/>
      <c r="H216" s="12"/>
      <c r="I216" s="12"/>
      <c r="J216" s="12"/>
    </row>
    <row r="217" spans="1:10">
      <c r="A217" s="12"/>
      <c r="B217" s="13"/>
      <c r="C217" s="12"/>
      <c r="D217" s="12"/>
      <c r="E217" s="14"/>
      <c r="F217" s="13"/>
      <c r="G217" s="13"/>
      <c r="H217" s="12"/>
      <c r="I217" s="12"/>
      <c r="J217" s="12"/>
    </row>
    <row r="218" spans="1:10">
      <c r="A218" s="12"/>
      <c r="B218" s="13"/>
      <c r="C218" s="12"/>
      <c r="D218" s="12"/>
      <c r="E218" s="14"/>
      <c r="F218" s="13"/>
      <c r="G218" s="13"/>
      <c r="H218" s="12"/>
      <c r="I218" s="12"/>
      <c r="J218" s="12"/>
    </row>
    <row r="219" spans="1:10">
      <c r="A219" s="12"/>
      <c r="B219" s="13"/>
      <c r="C219" s="12"/>
      <c r="D219" s="12"/>
      <c r="E219" s="14"/>
      <c r="F219" s="13"/>
      <c r="G219" s="13"/>
      <c r="H219" s="12"/>
      <c r="I219" s="12"/>
      <c r="J219" s="12"/>
    </row>
    <row r="220" spans="1:10">
      <c r="A220" s="12"/>
      <c r="B220" s="13"/>
      <c r="C220" s="12"/>
      <c r="D220" s="12"/>
      <c r="E220" s="14"/>
      <c r="F220" s="13"/>
      <c r="G220" s="13"/>
      <c r="H220" s="12"/>
      <c r="I220" s="12"/>
      <c r="J220" s="12"/>
    </row>
    <row r="221" spans="1:10">
      <c r="A221" s="12"/>
      <c r="B221" s="13"/>
      <c r="C221" s="12"/>
      <c r="D221" s="12"/>
      <c r="E221" s="14"/>
      <c r="F221" s="13"/>
      <c r="G221" s="13"/>
      <c r="H221" s="12"/>
      <c r="I221" s="12"/>
      <c r="J221" s="12"/>
    </row>
    <row r="222" spans="1:10">
      <c r="A222" s="12"/>
      <c r="B222" s="13"/>
      <c r="C222" s="12"/>
      <c r="D222" s="12"/>
      <c r="E222" s="14"/>
      <c r="F222" s="13"/>
      <c r="G222" s="13"/>
      <c r="H222" s="12"/>
      <c r="I222" s="12"/>
      <c r="J222" s="12"/>
    </row>
    <row r="223" spans="1:10">
      <c r="A223" s="12"/>
      <c r="B223" s="13"/>
      <c r="C223" s="12"/>
      <c r="D223" s="12"/>
      <c r="E223" s="14"/>
      <c r="F223" s="13"/>
      <c r="G223" s="13"/>
      <c r="H223" s="12"/>
      <c r="I223" s="12"/>
      <c r="J223" s="12"/>
    </row>
    <row r="224" spans="1:10">
      <c r="A224" s="12"/>
      <c r="B224" s="13"/>
      <c r="C224" s="12"/>
      <c r="D224" s="12"/>
      <c r="E224" s="14"/>
      <c r="F224" s="13"/>
      <c r="G224" s="13"/>
      <c r="H224" s="12"/>
      <c r="I224" s="12"/>
      <c r="J224" s="12"/>
    </row>
    <row r="225" spans="1:10">
      <c r="A225" s="12"/>
      <c r="B225" s="13"/>
      <c r="C225" s="12"/>
      <c r="D225" s="12"/>
      <c r="E225" s="14"/>
      <c r="F225" s="13"/>
      <c r="G225" s="13"/>
      <c r="H225" s="12"/>
      <c r="I225" s="12"/>
      <c r="J225" s="12"/>
    </row>
    <row r="226" spans="1:10">
      <c r="A226" s="12"/>
      <c r="B226" s="13"/>
      <c r="C226" s="12"/>
      <c r="D226" s="12"/>
      <c r="E226" s="14"/>
      <c r="F226" s="13"/>
      <c r="G226" s="13"/>
      <c r="H226" s="12"/>
      <c r="I226" s="12"/>
      <c r="J226" s="12"/>
    </row>
    <row r="227" spans="1:10">
      <c r="A227" s="12"/>
      <c r="B227" s="13"/>
      <c r="C227" s="12"/>
      <c r="D227" s="12"/>
      <c r="E227" s="14"/>
      <c r="F227" s="13"/>
      <c r="G227" s="13"/>
      <c r="H227" s="12"/>
      <c r="I227" s="12"/>
      <c r="J227" s="12"/>
    </row>
    <row r="228" spans="1:10">
      <c r="A228" s="12"/>
      <c r="B228" s="13"/>
      <c r="C228" s="12"/>
      <c r="D228" s="12"/>
      <c r="E228" s="14"/>
      <c r="F228" s="13"/>
      <c r="G228" s="13"/>
      <c r="H228" s="12"/>
      <c r="I228" s="12"/>
      <c r="J228" s="12"/>
    </row>
    <row r="229" spans="1:10">
      <c r="A229" s="12"/>
      <c r="B229" s="13"/>
      <c r="C229" s="12"/>
      <c r="D229" s="12"/>
      <c r="E229" s="14"/>
      <c r="F229" s="13"/>
      <c r="G229" s="13"/>
      <c r="H229" s="12"/>
      <c r="I229" s="12"/>
      <c r="J229" s="12"/>
    </row>
    <row r="230" spans="1:10">
      <c r="A230" s="12"/>
      <c r="B230" s="13"/>
      <c r="C230" s="12"/>
      <c r="D230" s="12"/>
      <c r="E230" s="14"/>
      <c r="F230" s="13"/>
      <c r="G230" s="13"/>
      <c r="H230" s="12"/>
      <c r="I230" s="12"/>
      <c r="J230" s="12"/>
    </row>
    <row r="231" spans="1:10">
      <c r="A231" s="12"/>
      <c r="B231" s="13"/>
      <c r="C231" s="12"/>
      <c r="D231" s="12"/>
      <c r="E231" s="14"/>
      <c r="F231" s="13"/>
      <c r="G231" s="13"/>
      <c r="H231" s="12"/>
      <c r="I231" s="12"/>
      <c r="J231" s="12"/>
    </row>
    <row r="232" spans="1:10">
      <c r="A232" s="12"/>
      <c r="B232" s="13"/>
      <c r="C232" s="12"/>
      <c r="D232" s="12"/>
      <c r="E232" s="14"/>
      <c r="F232" s="13"/>
      <c r="G232" s="13"/>
      <c r="H232" s="12"/>
      <c r="I232" s="12"/>
      <c r="J232" s="12"/>
    </row>
    <row r="233" spans="1:10">
      <c r="A233" s="12"/>
      <c r="B233" s="13"/>
      <c r="C233" s="12"/>
      <c r="D233" s="12"/>
      <c r="E233" s="14"/>
      <c r="F233" s="13"/>
      <c r="G233" s="13"/>
      <c r="H233" s="12"/>
      <c r="I233" s="12"/>
      <c r="J233" s="12"/>
    </row>
    <row r="234" spans="1:10">
      <c r="A234" s="12"/>
      <c r="B234" s="13"/>
      <c r="C234" s="12"/>
      <c r="D234" s="12"/>
      <c r="E234" s="14"/>
      <c r="F234" s="13"/>
      <c r="G234" s="13"/>
      <c r="H234" s="12"/>
      <c r="I234" s="12"/>
      <c r="J234" s="12"/>
    </row>
    <row r="235" spans="1:10">
      <c r="A235" s="12"/>
      <c r="B235" s="13"/>
      <c r="C235" s="12"/>
      <c r="D235" s="12"/>
      <c r="E235" s="14"/>
      <c r="F235" s="13"/>
      <c r="G235" s="13"/>
      <c r="H235" s="12"/>
      <c r="I235" s="12"/>
      <c r="J235" s="12"/>
    </row>
    <row r="236" spans="1:10">
      <c r="A236" s="12"/>
      <c r="B236" s="13"/>
      <c r="C236" s="12"/>
      <c r="D236" s="12"/>
      <c r="E236" s="14"/>
      <c r="F236" s="13"/>
      <c r="G236" s="13"/>
      <c r="H236" s="12"/>
      <c r="I236" s="12"/>
      <c r="J236" s="12"/>
    </row>
    <row r="237" spans="1:10">
      <c r="A237" s="12"/>
      <c r="B237" s="13"/>
      <c r="C237" s="12"/>
      <c r="D237" s="12"/>
      <c r="E237" s="14"/>
      <c r="F237" s="13"/>
      <c r="G237" s="13"/>
      <c r="H237" s="12"/>
      <c r="I237" s="12"/>
      <c r="J237" s="12"/>
    </row>
    <row r="238" spans="1:10">
      <c r="A238" s="12"/>
      <c r="B238" s="13"/>
      <c r="C238" s="12"/>
      <c r="D238" s="12"/>
      <c r="E238" s="14"/>
      <c r="F238" s="13"/>
      <c r="G238" s="13"/>
      <c r="H238" s="12"/>
      <c r="I238" s="12"/>
      <c r="J238" s="12"/>
    </row>
    <row r="239" spans="1:10">
      <c r="A239" s="12"/>
      <c r="B239" s="13"/>
      <c r="C239" s="12"/>
      <c r="D239" s="12"/>
      <c r="E239" s="14"/>
      <c r="F239" s="13"/>
      <c r="G239" s="13"/>
      <c r="H239" s="12"/>
      <c r="I239" s="12"/>
      <c r="J239" s="12"/>
    </row>
    <row r="240" spans="1:10">
      <c r="A240" s="12"/>
      <c r="B240" s="13"/>
      <c r="C240" s="12"/>
      <c r="D240" s="12"/>
      <c r="E240" s="14"/>
      <c r="F240" s="13"/>
      <c r="G240" s="13"/>
      <c r="H240" s="12"/>
      <c r="I240" s="12"/>
      <c r="J240" s="12"/>
    </row>
    <row r="241" spans="1:10">
      <c r="A241" s="12"/>
      <c r="B241" s="13"/>
      <c r="C241" s="12"/>
      <c r="D241" s="12"/>
      <c r="E241" s="14"/>
      <c r="F241" s="13"/>
      <c r="G241" s="13"/>
      <c r="H241" s="12"/>
      <c r="I241" s="12"/>
      <c r="J241" s="12"/>
    </row>
    <row r="242" spans="1:10">
      <c r="A242" s="12"/>
      <c r="B242" s="13"/>
      <c r="C242" s="12"/>
      <c r="D242" s="12"/>
      <c r="E242" s="14"/>
      <c r="F242" s="13"/>
      <c r="G242" s="13"/>
      <c r="H242" s="12"/>
      <c r="I242" s="12"/>
      <c r="J242" s="12"/>
    </row>
    <row r="243" spans="1:10">
      <c r="A243" s="12"/>
      <c r="B243" s="13"/>
      <c r="C243" s="12"/>
      <c r="D243" s="12"/>
      <c r="E243" s="14"/>
      <c r="F243" s="13"/>
      <c r="G243" s="13"/>
      <c r="H243" s="12"/>
      <c r="I243" s="12"/>
      <c r="J243" s="12"/>
    </row>
    <row r="244" spans="1:10">
      <c r="A244" s="12"/>
      <c r="B244" s="13"/>
      <c r="C244" s="12"/>
      <c r="D244" s="12"/>
      <c r="E244" s="14"/>
      <c r="F244" s="13"/>
      <c r="G244" s="13"/>
      <c r="H244" s="12"/>
      <c r="I244" s="12"/>
      <c r="J244" s="12"/>
    </row>
    <row r="245" spans="1:10">
      <c r="A245" s="12"/>
      <c r="B245" s="13"/>
      <c r="C245" s="12"/>
      <c r="D245" s="12"/>
      <c r="E245" s="14"/>
      <c r="F245" s="13"/>
      <c r="G245" s="13"/>
      <c r="H245" s="12"/>
      <c r="I245" s="12"/>
      <c r="J245" s="12"/>
    </row>
    <row r="246" spans="1:10">
      <c r="A246" s="12"/>
      <c r="B246" s="13"/>
      <c r="C246" s="12"/>
      <c r="D246" s="12"/>
      <c r="E246" s="14"/>
      <c r="F246" s="13"/>
      <c r="G246" s="13"/>
      <c r="H246" s="12"/>
      <c r="I246" s="12"/>
      <c r="J246" s="12"/>
    </row>
    <row r="247" spans="1:10">
      <c r="A247" s="12"/>
      <c r="B247" s="13"/>
      <c r="C247" s="12"/>
      <c r="D247" s="12"/>
      <c r="E247" s="14"/>
      <c r="F247" s="13"/>
      <c r="G247" s="13"/>
      <c r="H247" s="12"/>
      <c r="I247" s="12"/>
      <c r="J247" s="12"/>
    </row>
    <row r="248" spans="1:10">
      <c r="A248" s="12"/>
      <c r="B248" s="13"/>
      <c r="C248" s="12"/>
      <c r="D248" s="12"/>
      <c r="E248" s="14"/>
      <c r="F248" s="13"/>
      <c r="G248" s="13"/>
      <c r="H248" s="12"/>
      <c r="I248" s="12"/>
      <c r="J248" s="12"/>
    </row>
    <row r="249" spans="1:10">
      <c r="A249" s="12"/>
      <c r="B249" s="13"/>
      <c r="C249" s="12"/>
      <c r="D249" s="12"/>
      <c r="E249" s="14"/>
      <c r="F249" s="13"/>
      <c r="G249" s="13"/>
      <c r="H249" s="12"/>
      <c r="I249" s="12"/>
      <c r="J249" s="12"/>
    </row>
    <row r="250" spans="1:10">
      <c r="A250" s="12"/>
      <c r="B250" s="13"/>
      <c r="C250" s="12"/>
      <c r="D250" s="12"/>
      <c r="E250" s="14"/>
      <c r="F250" s="13"/>
      <c r="G250" s="13"/>
      <c r="H250" s="12"/>
      <c r="I250" s="12"/>
      <c r="J250" s="12"/>
    </row>
    <row r="251" spans="1:10">
      <c r="A251" s="12"/>
      <c r="B251" s="13"/>
      <c r="C251" s="12"/>
      <c r="D251" s="12"/>
      <c r="E251" s="14"/>
      <c r="F251" s="13"/>
      <c r="G251" s="13"/>
      <c r="H251" s="12"/>
      <c r="I251" s="12"/>
      <c r="J251" s="12"/>
    </row>
    <row r="252" spans="1:10">
      <c r="A252" s="12"/>
      <c r="B252" s="13"/>
      <c r="C252" s="12"/>
      <c r="D252" s="12"/>
      <c r="E252" s="14"/>
      <c r="F252" s="13"/>
      <c r="G252" s="13"/>
      <c r="H252" s="12"/>
      <c r="I252" s="12"/>
      <c r="J252" s="12"/>
    </row>
    <row r="253" spans="1:10">
      <c r="A253" s="12"/>
      <c r="B253" s="13"/>
      <c r="C253" s="12"/>
      <c r="D253" s="12"/>
      <c r="E253" s="14"/>
      <c r="F253" s="13"/>
      <c r="G253" s="13"/>
      <c r="H253" s="12"/>
      <c r="I253" s="12"/>
      <c r="J253" s="12"/>
    </row>
  </sheetData>
  <autoFilter ref="A3:J253"/>
  <mergeCells count="2">
    <mergeCell ref="A1:J1"/>
    <mergeCell ref="A2:J2"/>
  </mergeCells>
  <conditionalFormatting sqref="H4:H253">
    <cfRule type="expression" dxfId="0" priority="1">
      <formula>OR(ISNUMBER(SEARCH("approved",H4)),ISNUMBER(SEARCH("complete",H4)),ISNUMBER(SEARCH("delivered",H4)),ISNUMBER(SEARCH("installed",H4)),ISNUMBER(SEARCH("paid",H4)),ISNUMBER(SEARCH("good condition",H4)))</formula>
    </cfRule>
    <cfRule type="expression" dxfId="1" priority="2">
      <formula>OR(ISNUMBER(SEARCH("pending",H4)),ISNUMBER(SEARCH("progress",H4)),ISNUMBER(SEARCH("review",H4)),ISNUMBER(SEARCH("sent",H4)),ISNUMBER(SEARCH("scheduled",H4)),ISNUMBER(SEARCH("waiting",H4)),ISNUMBER(SEARCH("ordered",H4)),ISNUMBER(SEARCH("shipped",H4)))</formula>
    </cfRule>
    <cfRule type="expression" dxfId="2" priority="3">
      <formula>OR(ISNUMBER(SEARCH("overdue",H4)),ISNUMBER(SEARCH("delayed",H4)),ISNUMBER(SEARCH("rejected",H4)),ISNUMBER(SEARCH("damaged",H4)),ISNUMBER(SEARCH("missing",H4)),ISNUMBER(SEARCH("wrong",H4)),ISNUMBER(SEARCH("backordered",H4)))</formula>
    </cfRule>
    <cfRule type="expression" dxfId="3" priority="4">
      <formula>OR(ISNUMBER(SEARCH("cancelled",H4)),ISNUMBER(SEARCH("on hold",H4)),ISNUMBER(SEARCH("returned",H4)))</formula>
    </cfRule>
  </conditionalFormatting>
  <dataValidations count="1">
    <dataValidation type="list" allowBlank="1" showInputMessage="1" showErrorMessage="1" errorTitle="Choose a listed value" error="Please select an option from the dropdown." promptTitle="Payment Status" prompt="Select from the dropdown list." sqref="H4:H253">
      <formula1>InvoiceStatuses</formula1>
    </dataValidation>
  </dataValidations>
  <pageMargins left="0.25" right="0.25" top="0.5" bottom="0.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4.7109375" customWidth="1"/>
    <col min="4" max="5" width="34.7109375" customWidth="1"/>
    <col min="6" max="6" width="32.7109375" customWidth="1"/>
    <col min="7" max="7" width="18.7109375" customWidth="1"/>
    <col min="8" max="8" width="34.7109375" customWidth="1"/>
  </cols>
  <sheetData>
    <row r="1" spans="1:8" ht="30" customHeight="1">
      <c r="A1" s="1" t="s">
        <v>441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256</v>
      </c>
      <c r="B2" s="2"/>
      <c r="C2" s="2"/>
      <c r="D2" s="2"/>
      <c r="E2" s="2"/>
      <c r="F2" s="2"/>
      <c r="G2" s="2"/>
      <c r="H2" s="2"/>
    </row>
    <row r="3" spans="1:8" ht="32" customHeight="1">
      <c r="A3" s="10" t="s">
        <v>442</v>
      </c>
      <c r="B3" s="10" t="s">
        <v>443</v>
      </c>
      <c r="C3" s="10" t="s">
        <v>444</v>
      </c>
      <c r="D3" s="10" t="s">
        <v>445</v>
      </c>
      <c r="E3" s="10" t="s">
        <v>446</v>
      </c>
      <c r="F3" s="10" t="s">
        <v>447</v>
      </c>
      <c r="G3" s="10" t="s">
        <v>448</v>
      </c>
      <c r="H3" s="10" t="s">
        <v>267</v>
      </c>
    </row>
    <row r="4" spans="1:8">
      <c r="A4" s="13"/>
      <c r="B4" s="12"/>
      <c r="C4" s="12"/>
      <c r="D4" s="12"/>
      <c r="E4" s="12"/>
      <c r="F4" s="12"/>
      <c r="G4" s="13"/>
      <c r="H4" s="12"/>
    </row>
    <row r="5" spans="1:8">
      <c r="A5" s="13"/>
      <c r="B5" s="12"/>
      <c r="C5" s="12"/>
      <c r="D5" s="12"/>
      <c r="E5" s="12"/>
      <c r="F5" s="12"/>
      <c r="G5" s="13"/>
      <c r="H5" s="12"/>
    </row>
    <row r="6" spans="1:8">
      <c r="A6" s="13"/>
      <c r="B6" s="12"/>
      <c r="C6" s="12"/>
      <c r="D6" s="12"/>
      <c r="E6" s="12"/>
      <c r="F6" s="12"/>
      <c r="G6" s="13"/>
      <c r="H6" s="12"/>
    </row>
    <row r="7" spans="1:8">
      <c r="A7" s="13"/>
      <c r="B7" s="12"/>
      <c r="C7" s="12"/>
      <c r="D7" s="12"/>
      <c r="E7" s="12"/>
      <c r="F7" s="12"/>
      <c r="G7" s="13"/>
      <c r="H7" s="12"/>
    </row>
    <row r="8" spans="1:8">
      <c r="A8" s="13"/>
      <c r="B8" s="12"/>
      <c r="C8" s="12"/>
      <c r="D8" s="12"/>
      <c r="E8" s="12"/>
      <c r="F8" s="12"/>
      <c r="G8" s="13"/>
      <c r="H8" s="12"/>
    </row>
    <row r="9" spans="1:8">
      <c r="A9" s="13"/>
      <c r="B9" s="12"/>
      <c r="C9" s="12"/>
      <c r="D9" s="12"/>
      <c r="E9" s="12"/>
      <c r="F9" s="12"/>
      <c r="G9" s="13"/>
      <c r="H9" s="12"/>
    </row>
    <row r="10" spans="1:8">
      <c r="A10" s="13"/>
      <c r="B10" s="12"/>
      <c r="C10" s="12"/>
      <c r="D10" s="12"/>
      <c r="E10" s="12"/>
      <c r="F10" s="12"/>
      <c r="G10" s="13"/>
      <c r="H10" s="12"/>
    </row>
    <row r="11" spans="1:8">
      <c r="A11" s="13"/>
      <c r="B11" s="12"/>
      <c r="C11" s="12"/>
      <c r="D11" s="12"/>
      <c r="E11" s="12"/>
      <c r="F11" s="12"/>
      <c r="G11" s="13"/>
      <c r="H11" s="12"/>
    </row>
    <row r="12" spans="1:8">
      <c r="A12" s="13"/>
      <c r="B12" s="12"/>
      <c r="C12" s="12"/>
      <c r="D12" s="12"/>
      <c r="E12" s="12"/>
      <c r="F12" s="12"/>
      <c r="G12" s="13"/>
      <c r="H12" s="12"/>
    </row>
    <row r="13" spans="1:8">
      <c r="A13" s="13"/>
      <c r="B13" s="12"/>
      <c r="C13" s="12"/>
      <c r="D13" s="12"/>
      <c r="E13" s="12"/>
      <c r="F13" s="12"/>
      <c r="G13" s="13"/>
      <c r="H13" s="12"/>
    </row>
    <row r="14" spans="1:8">
      <c r="A14" s="13"/>
      <c r="B14" s="12"/>
      <c r="C14" s="12"/>
      <c r="D14" s="12"/>
      <c r="E14" s="12"/>
      <c r="F14" s="12"/>
      <c r="G14" s="13"/>
      <c r="H14" s="12"/>
    </row>
    <row r="15" spans="1:8">
      <c r="A15" s="13"/>
      <c r="B15" s="12"/>
      <c r="C15" s="12"/>
      <c r="D15" s="12"/>
      <c r="E15" s="12"/>
      <c r="F15" s="12"/>
      <c r="G15" s="13"/>
      <c r="H15" s="12"/>
    </row>
    <row r="16" spans="1:8">
      <c r="A16" s="13"/>
      <c r="B16" s="12"/>
      <c r="C16" s="12"/>
      <c r="D16" s="12"/>
      <c r="E16" s="12"/>
      <c r="F16" s="12"/>
      <c r="G16" s="13"/>
      <c r="H16" s="12"/>
    </row>
    <row r="17" spans="1:8">
      <c r="A17" s="13"/>
      <c r="B17" s="12"/>
      <c r="C17" s="12"/>
      <c r="D17" s="12"/>
      <c r="E17" s="12"/>
      <c r="F17" s="12"/>
      <c r="G17" s="13"/>
      <c r="H17" s="12"/>
    </row>
    <row r="18" spans="1:8">
      <c r="A18" s="13"/>
      <c r="B18" s="12"/>
      <c r="C18" s="12"/>
      <c r="D18" s="12"/>
      <c r="E18" s="12"/>
      <c r="F18" s="12"/>
      <c r="G18" s="13"/>
      <c r="H18" s="12"/>
    </row>
    <row r="19" spans="1:8">
      <c r="A19" s="13"/>
      <c r="B19" s="12"/>
      <c r="C19" s="12"/>
      <c r="D19" s="12"/>
      <c r="E19" s="12"/>
      <c r="F19" s="12"/>
      <c r="G19" s="13"/>
      <c r="H19" s="12"/>
    </row>
    <row r="20" spans="1:8">
      <c r="A20" s="13"/>
      <c r="B20" s="12"/>
      <c r="C20" s="12"/>
      <c r="D20" s="12"/>
      <c r="E20" s="12"/>
      <c r="F20" s="12"/>
      <c r="G20" s="13"/>
      <c r="H20" s="12"/>
    </row>
    <row r="21" spans="1:8">
      <c r="A21" s="13"/>
      <c r="B21" s="12"/>
      <c r="C21" s="12"/>
      <c r="D21" s="12"/>
      <c r="E21" s="12"/>
      <c r="F21" s="12"/>
      <c r="G21" s="13"/>
      <c r="H21" s="12"/>
    </row>
    <row r="22" spans="1:8">
      <c r="A22" s="13"/>
      <c r="B22" s="12"/>
      <c r="C22" s="12"/>
      <c r="D22" s="12"/>
      <c r="E22" s="12"/>
      <c r="F22" s="12"/>
      <c r="G22" s="13"/>
      <c r="H22" s="12"/>
    </row>
    <row r="23" spans="1:8">
      <c r="A23" s="13"/>
      <c r="B23" s="12"/>
      <c r="C23" s="12"/>
      <c r="D23" s="12"/>
      <c r="E23" s="12"/>
      <c r="F23" s="12"/>
      <c r="G23" s="13"/>
      <c r="H23" s="12"/>
    </row>
    <row r="24" spans="1:8">
      <c r="A24" s="13"/>
      <c r="B24" s="12"/>
      <c r="C24" s="12"/>
      <c r="D24" s="12"/>
      <c r="E24" s="12"/>
      <c r="F24" s="12"/>
      <c r="G24" s="13"/>
      <c r="H24" s="12"/>
    </row>
    <row r="25" spans="1:8">
      <c r="A25" s="13"/>
      <c r="B25" s="12"/>
      <c r="C25" s="12"/>
      <c r="D25" s="12"/>
      <c r="E25" s="12"/>
      <c r="F25" s="12"/>
      <c r="G25" s="13"/>
      <c r="H25" s="12"/>
    </row>
    <row r="26" spans="1:8">
      <c r="A26" s="13"/>
      <c r="B26" s="12"/>
      <c r="C26" s="12"/>
      <c r="D26" s="12"/>
      <c r="E26" s="12"/>
      <c r="F26" s="12"/>
      <c r="G26" s="13"/>
      <c r="H26" s="12"/>
    </row>
    <row r="27" spans="1:8">
      <c r="A27" s="13"/>
      <c r="B27" s="12"/>
      <c r="C27" s="12"/>
      <c r="D27" s="12"/>
      <c r="E27" s="12"/>
      <c r="F27" s="12"/>
      <c r="G27" s="13"/>
      <c r="H27" s="12"/>
    </row>
    <row r="28" spans="1:8">
      <c r="A28" s="13"/>
      <c r="B28" s="12"/>
      <c r="C28" s="12"/>
      <c r="D28" s="12"/>
      <c r="E28" s="12"/>
      <c r="F28" s="12"/>
      <c r="G28" s="13"/>
      <c r="H28" s="12"/>
    </row>
    <row r="29" spans="1:8">
      <c r="A29" s="13"/>
      <c r="B29" s="12"/>
      <c r="C29" s="12"/>
      <c r="D29" s="12"/>
      <c r="E29" s="12"/>
      <c r="F29" s="12"/>
      <c r="G29" s="13"/>
      <c r="H29" s="12"/>
    </row>
    <row r="30" spans="1:8">
      <c r="A30" s="13"/>
      <c r="B30" s="12"/>
      <c r="C30" s="12"/>
      <c r="D30" s="12"/>
      <c r="E30" s="12"/>
      <c r="F30" s="12"/>
      <c r="G30" s="13"/>
      <c r="H30" s="12"/>
    </row>
    <row r="31" spans="1:8">
      <c r="A31" s="13"/>
      <c r="B31" s="12"/>
      <c r="C31" s="12"/>
      <c r="D31" s="12"/>
      <c r="E31" s="12"/>
      <c r="F31" s="12"/>
      <c r="G31" s="13"/>
      <c r="H31" s="12"/>
    </row>
    <row r="32" spans="1:8">
      <c r="A32" s="13"/>
      <c r="B32" s="12"/>
      <c r="C32" s="12"/>
      <c r="D32" s="12"/>
      <c r="E32" s="12"/>
      <c r="F32" s="12"/>
      <c r="G32" s="13"/>
      <c r="H32" s="12"/>
    </row>
    <row r="33" spans="1:8">
      <c r="A33" s="13"/>
      <c r="B33" s="12"/>
      <c r="C33" s="12"/>
      <c r="D33" s="12"/>
      <c r="E33" s="12"/>
      <c r="F33" s="12"/>
      <c r="G33" s="13"/>
      <c r="H33" s="12"/>
    </row>
    <row r="34" spans="1:8">
      <c r="A34" s="13"/>
      <c r="B34" s="12"/>
      <c r="C34" s="12"/>
      <c r="D34" s="12"/>
      <c r="E34" s="12"/>
      <c r="F34" s="12"/>
      <c r="G34" s="13"/>
      <c r="H34" s="12"/>
    </row>
    <row r="35" spans="1:8">
      <c r="A35" s="13"/>
      <c r="B35" s="12"/>
      <c r="C35" s="12"/>
      <c r="D35" s="12"/>
      <c r="E35" s="12"/>
      <c r="F35" s="12"/>
      <c r="G35" s="13"/>
      <c r="H35" s="12"/>
    </row>
    <row r="36" spans="1:8">
      <c r="A36" s="13"/>
      <c r="B36" s="12"/>
      <c r="C36" s="12"/>
      <c r="D36" s="12"/>
      <c r="E36" s="12"/>
      <c r="F36" s="12"/>
      <c r="G36" s="13"/>
      <c r="H36" s="12"/>
    </row>
    <row r="37" spans="1:8">
      <c r="A37" s="13"/>
      <c r="B37" s="12"/>
      <c r="C37" s="12"/>
      <c r="D37" s="12"/>
      <c r="E37" s="12"/>
      <c r="F37" s="12"/>
      <c r="G37" s="13"/>
      <c r="H37" s="12"/>
    </row>
    <row r="38" spans="1:8">
      <c r="A38" s="13"/>
      <c r="B38" s="12"/>
      <c r="C38" s="12"/>
      <c r="D38" s="12"/>
      <c r="E38" s="12"/>
      <c r="F38" s="12"/>
      <c r="G38" s="13"/>
      <c r="H38" s="12"/>
    </row>
    <row r="39" spans="1:8">
      <c r="A39" s="13"/>
      <c r="B39" s="12"/>
      <c r="C39" s="12"/>
      <c r="D39" s="12"/>
      <c r="E39" s="12"/>
      <c r="F39" s="12"/>
      <c r="G39" s="13"/>
      <c r="H39" s="12"/>
    </row>
    <row r="40" spans="1:8">
      <c r="A40" s="13"/>
      <c r="B40" s="12"/>
      <c r="C40" s="12"/>
      <c r="D40" s="12"/>
      <c r="E40" s="12"/>
      <c r="F40" s="12"/>
      <c r="G40" s="13"/>
      <c r="H40" s="12"/>
    </row>
    <row r="41" spans="1:8">
      <c r="A41" s="13"/>
      <c r="B41" s="12"/>
      <c r="C41" s="12"/>
      <c r="D41" s="12"/>
      <c r="E41" s="12"/>
      <c r="F41" s="12"/>
      <c r="G41" s="13"/>
      <c r="H41" s="12"/>
    </row>
    <row r="42" spans="1:8">
      <c r="A42" s="13"/>
      <c r="B42" s="12"/>
      <c r="C42" s="12"/>
      <c r="D42" s="12"/>
      <c r="E42" s="12"/>
      <c r="F42" s="12"/>
      <c r="G42" s="13"/>
      <c r="H42" s="12"/>
    </row>
    <row r="43" spans="1:8">
      <c r="A43" s="13"/>
      <c r="B43" s="12"/>
      <c r="C43" s="12"/>
      <c r="D43" s="12"/>
      <c r="E43" s="12"/>
      <c r="F43" s="12"/>
      <c r="G43" s="13"/>
      <c r="H43" s="12"/>
    </row>
    <row r="44" spans="1:8">
      <c r="A44" s="13"/>
      <c r="B44" s="12"/>
      <c r="C44" s="12"/>
      <c r="D44" s="12"/>
      <c r="E44" s="12"/>
      <c r="F44" s="12"/>
      <c r="G44" s="13"/>
      <c r="H44" s="12"/>
    </row>
    <row r="45" spans="1:8">
      <c r="A45" s="13"/>
      <c r="B45" s="12"/>
      <c r="C45" s="12"/>
      <c r="D45" s="12"/>
      <c r="E45" s="12"/>
      <c r="F45" s="12"/>
      <c r="G45" s="13"/>
      <c r="H45" s="12"/>
    </row>
    <row r="46" spans="1:8">
      <c r="A46" s="13"/>
      <c r="B46" s="12"/>
      <c r="C46" s="12"/>
      <c r="D46" s="12"/>
      <c r="E46" s="12"/>
      <c r="F46" s="12"/>
      <c r="G46" s="13"/>
      <c r="H46" s="12"/>
    </row>
    <row r="47" spans="1:8">
      <c r="A47" s="13"/>
      <c r="B47" s="12"/>
      <c r="C47" s="12"/>
      <c r="D47" s="12"/>
      <c r="E47" s="12"/>
      <c r="F47" s="12"/>
      <c r="G47" s="13"/>
      <c r="H47" s="12"/>
    </row>
    <row r="48" spans="1:8">
      <c r="A48" s="13"/>
      <c r="B48" s="12"/>
      <c r="C48" s="12"/>
      <c r="D48" s="12"/>
      <c r="E48" s="12"/>
      <c r="F48" s="12"/>
      <c r="G48" s="13"/>
      <c r="H48" s="12"/>
    </row>
    <row r="49" spans="1:8">
      <c r="A49" s="13"/>
      <c r="B49" s="12"/>
      <c r="C49" s="12"/>
      <c r="D49" s="12"/>
      <c r="E49" s="12"/>
      <c r="F49" s="12"/>
      <c r="G49" s="13"/>
      <c r="H49" s="12"/>
    </row>
    <row r="50" spans="1:8">
      <c r="A50" s="13"/>
      <c r="B50" s="12"/>
      <c r="C50" s="12"/>
      <c r="D50" s="12"/>
      <c r="E50" s="12"/>
      <c r="F50" s="12"/>
      <c r="G50" s="13"/>
      <c r="H50" s="12"/>
    </row>
    <row r="51" spans="1:8">
      <c r="A51" s="13"/>
      <c r="B51" s="12"/>
      <c r="C51" s="12"/>
      <c r="D51" s="12"/>
      <c r="E51" s="12"/>
      <c r="F51" s="12"/>
      <c r="G51" s="13"/>
      <c r="H51" s="12"/>
    </row>
    <row r="52" spans="1:8">
      <c r="A52" s="13"/>
      <c r="B52" s="12"/>
      <c r="C52" s="12"/>
      <c r="D52" s="12"/>
      <c r="E52" s="12"/>
      <c r="F52" s="12"/>
      <c r="G52" s="13"/>
      <c r="H52" s="12"/>
    </row>
    <row r="53" spans="1:8">
      <c r="A53" s="13"/>
      <c r="B53" s="12"/>
      <c r="C53" s="12"/>
      <c r="D53" s="12"/>
      <c r="E53" s="12"/>
      <c r="F53" s="12"/>
      <c r="G53" s="13"/>
      <c r="H53" s="12"/>
    </row>
    <row r="54" spans="1:8">
      <c r="A54" s="13"/>
      <c r="B54" s="12"/>
      <c r="C54" s="12"/>
      <c r="D54" s="12"/>
      <c r="E54" s="12"/>
      <c r="F54" s="12"/>
      <c r="G54" s="13"/>
      <c r="H54" s="12"/>
    </row>
    <row r="55" spans="1:8">
      <c r="A55" s="13"/>
      <c r="B55" s="12"/>
      <c r="C55" s="12"/>
      <c r="D55" s="12"/>
      <c r="E55" s="12"/>
      <c r="F55" s="12"/>
      <c r="G55" s="13"/>
      <c r="H55" s="12"/>
    </row>
    <row r="56" spans="1:8">
      <c r="A56" s="13"/>
      <c r="B56" s="12"/>
      <c r="C56" s="12"/>
      <c r="D56" s="12"/>
      <c r="E56" s="12"/>
      <c r="F56" s="12"/>
      <c r="G56" s="13"/>
      <c r="H56" s="12"/>
    </row>
    <row r="57" spans="1:8">
      <c r="A57" s="13"/>
      <c r="B57" s="12"/>
      <c r="C57" s="12"/>
      <c r="D57" s="12"/>
      <c r="E57" s="12"/>
      <c r="F57" s="12"/>
      <c r="G57" s="13"/>
      <c r="H57" s="12"/>
    </row>
    <row r="58" spans="1:8">
      <c r="A58" s="13"/>
      <c r="B58" s="12"/>
      <c r="C58" s="12"/>
      <c r="D58" s="12"/>
      <c r="E58" s="12"/>
      <c r="F58" s="12"/>
      <c r="G58" s="13"/>
      <c r="H58" s="12"/>
    </row>
    <row r="59" spans="1:8">
      <c r="A59" s="13"/>
      <c r="B59" s="12"/>
      <c r="C59" s="12"/>
      <c r="D59" s="12"/>
      <c r="E59" s="12"/>
      <c r="F59" s="12"/>
      <c r="G59" s="13"/>
      <c r="H59" s="12"/>
    </row>
    <row r="60" spans="1:8">
      <c r="A60" s="13"/>
      <c r="B60" s="12"/>
      <c r="C60" s="12"/>
      <c r="D60" s="12"/>
      <c r="E60" s="12"/>
      <c r="F60" s="12"/>
      <c r="G60" s="13"/>
      <c r="H60" s="12"/>
    </row>
    <row r="61" spans="1:8">
      <c r="A61" s="13"/>
      <c r="B61" s="12"/>
      <c r="C61" s="12"/>
      <c r="D61" s="12"/>
      <c r="E61" s="12"/>
      <c r="F61" s="12"/>
      <c r="G61" s="13"/>
      <c r="H61" s="12"/>
    </row>
    <row r="62" spans="1:8">
      <c r="A62" s="13"/>
      <c r="B62" s="12"/>
      <c r="C62" s="12"/>
      <c r="D62" s="12"/>
      <c r="E62" s="12"/>
      <c r="F62" s="12"/>
      <c r="G62" s="13"/>
      <c r="H62" s="12"/>
    </row>
    <row r="63" spans="1:8">
      <c r="A63" s="13"/>
      <c r="B63" s="12"/>
      <c r="C63" s="12"/>
      <c r="D63" s="12"/>
      <c r="E63" s="12"/>
      <c r="F63" s="12"/>
      <c r="G63" s="13"/>
      <c r="H63" s="12"/>
    </row>
    <row r="64" spans="1:8">
      <c r="A64" s="13"/>
      <c r="B64" s="12"/>
      <c r="C64" s="12"/>
      <c r="D64" s="12"/>
      <c r="E64" s="12"/>
      <c r="F64" s="12"/>
      <c r="G64" s="13"/>
      <c r="H64" s="12"/>
    </row>
    <row r="65" spans="1:8">
      <c r="A65" s="13"/>
      <c r="B65" s="12"/>
      <c r="C65" s="12"/>
      <c r="D65" s="12"/>
      <c r="E65" s="12"/>
      <c r="F65" s="12"/>
      <c r="G65" s="13"/>
      <c r="H65" s="12"/>
    </row>
    <row r="66" spans="1:8">
      <c r="A66" s="13"/>
      <c r="B66" s="12"/>
      <c r="C66" s="12"/>
      <c r="D66" s="12"/>
      <c r="E66" s="12"/>
      <c r="F66" s="12"/>
      <c r="G66" s="13"/>
      <c r="H66" s="12"/>
    </row>
    <row r="67" spans="1:8">
      <c r="A67" s="13"/>
      <c r="B67" s="12"/>
      <c r="C67" s="12"/>
      <c r="D67" s="12"/>
      <c r="E67" s="12"/>
      <c r="F67" s="12"/>
      <c r="G67" s="13"/>
      <c r="H67" s="12"/>
    </row>
    <row r="68" spans="1:8">
      <c r="A68" s="13"/>
      <c r="B68" s="12"/>
      <c r="C68" s="12"/>
      <c r="D68" s="12"/>
      <c r="E68" s="12"/>
      <c r="F68" s="12"/>
      <c r="G68" s="13"/>
      <c r="H68" s="12"/>
    </row>
    <row r="69" spans="1:8">
      <c r="A69" s="13"/>
      <c r="B69" s="12"/>
      <c r="C69" s="12"/>
      <c r="D69" s="12"/>
      <c r="E69" s="12"/>
      <c r="F69" s="12"/>
      <c r="G69" s="13"/>
      <c r="H69" s="12"/>
    </row>
    <row r="70" spans="1:8">
      <c r="A70" s="13"/>
      <c r="B70" s="12"/>
      <c r="C70" s="12"/>
      <c r="D70" s="12"/>
      <c r="E70" s="12"/>
      <c r="F70" s="12"/>
      <c r="G70" s="13"/>
      <c r="H70" s="12"/>
    </row>
    <row r="71" spans="1:8">
      <c r="A71" s="13"/>
      <c r="B71" s="12"/>
      <c r="C71" s="12"/>
      <c r="D71" s="12"/>
      <c r="E71" s="12"/>
      <c r="F71" s="12"/>
      <c r="G71" s="13"/>
      <c r="H71" s="12"/>
    </row>
    <row r="72" spans="1:8">
      <c r="A72" s="13"/>
      <c r="B72" s="12"/>
      <c r="C72" s="12"/>
      <c r="D72" s="12"/>
      <c r="E72" s="12"/>
      <c r="F72" s="12"/>
      <c r="G72" s="13"/>
      <c r="H72" s="12"/>
    </row>
    <row r="73" spans="1:8">
      <c r="A73" s="13"/>
      <c r="B73" s="12"/>
      <c r="C73" s="12"/>
      <c r="D73" s="12"/>
      <c r="E73" s="12"/>
      <c r="F73" s="12"/>
      <c r="G73" s="13"/>
      <c r="H73" s="12"/>
    </row>
    <row r="74" spans="1:8">
      <c r="A74" s="13"/>
      <c r="B74" s="12"/>
      <c r="C74" s="12"/>
      <c r="D74" s="12"/>
      <c r="E74" s="12"/>
      <c r="F74" s="12"/>
      <c r="G74" s="13"/>
      <c r="H74" s="12"/>
    </row>
    <row r="75" spans="1:8">
      <c r="A75" s="13"/>
      <c r="B75" s="12"/>
      <c r="C75" s="12"/>
      <c r="D75" s="12"/>
      <c r="E75" s="12"/>
      <c r="F75" s="12"/>
      <c r="G75" s="13"/>
      <c r="H75" s="12"/>
    </row>
    <row r="76" spans="1:8">
      <c r="A76" s="13"/>
      <c r="B76" s="12"/>
      <c r="C76" s="12"/>
      <c r="D76" s="12"/>
      <c r="E76" s="12"/>
      <c r="F76" s="12"/>
      <c r="G76" s="13"/>
      <c r="H76" s="12"/>
    </row>
    <row r="77" spans="1:8">
      <c r="A77" s="13"/>
      <c r="B77" s="12"/>
      <c r="C77" s="12"/>
      <c r="D77" s="12"/>
      <c r="E77" s="12"/>
      <c r="F77" s="12"/>
      <c r="G77" s="13"/>
      <c r="H77" s="12"/>
    </row>
    <row r="78" spans="1:8">
      <c r="A78" s="13"/>
      <c r="B78" s="12"/>
      <c r="C78" s="12"/>
      <c r="D78" s="12"/>
      <c r="E78" s="12"/>
      <c r="F78" s="12"/>
      <c r="G78" s="13"/>
      <c r="H78" s="12"/>
    </row>
    <row r="79" spans="1:8">
      <c r="A79" s="13"/>
      <c r="B79" s="12"/>
      <c r="C79" s="12"/>
      <c r="D79" s="12"/>
      <c r="E79" s="12"/>
      <c r="F79" s="12"/>
      <c r="G79" s="13"/>
      <c r="H79" s="12"/>
    </row>
    <row r="80" spans="1:8">
      <c r="A80" s="13"/>
      <c r="B80" s="12"/>
      <c r="C80" s="12"/>
      <c r="D80" s="12"/>
      <c r="E80" s="12"/>
      <c r="F80" s="12"/>
      <c r="G80" s="13"/>
      <c r="H80" s="12"/>
    </row>
    <row r="81" spans="1:8">
      <c r="A81" s="13"/>
      <c r="B81" s="12"/>
      <c r="C81" s="12"/>
      <c r="D81" s="12"/>
      <c r="E81" s="12"/>
      <c r="F81" s="12"/>
      <c r="G81" s="13"/>
      <c r="H81" s="12"/>
    </row>
    <row r="82" spans="1:8">
      <c r="A82" s="13"/>
      <c r="B82" s="12"/>
      <c r="C82" s="12"/>
      <c r="D82" s="12"/>
      <c r="E82" s="12"/>
      <c r="F82" s="12"/>
      <c r="G82" s="13"/>
      <c r="H82" s="12"/>
    </row>
    <row r="83" spans="1:8">
      <c r="A83" s="13"/>
      <c r="B83" s="12"/>
      <c r="C83" s="12"/>
      <c r="D83" s="12"/>
      <c r="E83" s="12"/>
      <c r="F83" s="12"/>
      <c r="G83" s="13"/>
      <c r="H83" s="12"/>
    </row>
    <row r="84" spans="1:8">
      <c r="A84" s="13"/>
      <c r="B84" s="12"/>
      <c r="C84" s="12"/>
      <c r="D84" s="12"/>
      <c r="E84" s="12"/>
      <c r="F84" s="12"/>
      <c r="G84" s="13"/>
      <c r="H84" s="12"/>
    </row>
    <row r="85" spans="1:8">
      <c r="A85" s="13"/>
      <c r="B85" s="12"/>
      <c r="C85" s="12"/>
      <c r="D85" s="12"/>
      <c r="E85" s="12"/>
      <c r="F85" s="12"/>
      <c r="G85" s="13"/>
      <c r="H85" s="12"/>
    </row>
    <row r="86" spans="1:8">
      <c r="A86" s="13"/>
      <c r="B86" s="12"/>
      <c r="C86" s="12"/>
      <c r="D86" s="12"/>
      <c r="E86" s="12"/>
      <c r="F86" s="12"/>
      <c r="G86" s="13"/>
      <c r="H86" s="12"/>
    </row>
    <row r="87" spans="1:8">
      <c r="A87" s="13"/>
      <c r="B87" s="12"/>
      <c r="C87" s="12"/>
      <c r="D87" s="12"/>
      <c r="E87" s="12"/>
      <c r="F87" s="12"/>
      <c r="G87" s="13"/>
      <c r="H87" s="12"/>
    </row>
    <row r="88" spans="1:8">
      <c r="A88" s="13"/>
      <c r="B88" s="12"/>
      <c r="C88" s="12"/>
      <c r="D88" s="12"/>
      <c r="E88" s="12"/>
      <c r="F88" s="12"/>
      <c r="G88" s="13"/>
      <c r="H88" s="12"/>
    </row>
    <row r="89" spans="1:8">
      <c r="A89" s="13"/>
      <c r="B89" s="12"/>
      <c r="C89" s="12"/>
      <c r="D89" s="12"/>
      <c r="E89" s="12"/>
      <c r="F89" s="12"/>
      <c r="G89" s="13"/>
      <c r="H89" s="12"/>
    </row>
    <row r="90" spans="1:8">
      <c r="A90" s="13"/>
      <c r="B90" s="12"/>
      <c r="C90" s="12"/>
      <c r="D90" s="12"/>
      <c r="E90" s="12"/>
      <c r="F90" s="12"/>
      <c r="G90" s="13"/>
      <c r="H90" s="12"/>
    </row>
    <row r="91" spans="1:8">
      <c r="A91" s="13"/>
      <c r="B91" s="12"/>
      <c r="C91" s="12"/>
      <c r="D91" s="12"/>
      <c r="E91" s="12"/>
      <c r="F91" s="12"/>
      <c r="G91" s="13"/>
      <c r="H91" s="12"/>
    </row>
    <row r="92" spans="1:8">
      <c r="A92" s="13"/>
      <c r="B92" s="12"/>
      <c r="C92" s="12"/>
      <c r="D92" s="12"/>
      <c r="E92" s="12"/>
      <c r="F92" s="12"/>
      <c r="G92" s="13"/>
      <c r="H92" s="12"/>
    </row>
    <row r="93" spans="1:8">
      <c r="A93" s="13"/>
      <c r="B93" s="12"/>
      <c r="C93" s="12"/>
      <c r="D93" s="12"/>
      <c r="E93" s="12"/>
      <c r="F93" s="12"/>
      <c r="G93" s="13"/>
      <c r="H93" s="12"/>
    </row>
    <row r="94" spans="1:8">
      <c r="A94" s="13"/>
      <c r="B94" s="12"/>
      <c r="C94" s="12"/>
      <c r="D94" s="12"/>
      <c r="E94" s="12"/>
      <c r="F94" s="12"/>
      <c r="G94" s="13"/>
      <c r="H94" s="12"/>
    </row>
    <row r="95" spans="1:8">
      <c r="A95" s="13"/>
      <c r="B95" s="12"/>
      <c r="C95" s="12"/>
      <c r="D95" s="12"/>
      <c r="E95" s="12"/>
      <c r="F95" s="12"/>
      <c r="G95" s="13"/>
      <c r="H95" s="12"/>
    </row>
    <row r="96" spans="1:8">
      <c r="A96" s="13"/>
      <c r="B96" s="12"/>
      <c r="C96" s="12"/>
      <c r="D96" s="12"/>
      <c r="E96" s="12"/>
      <c r="F96" s="12"/>
      <c r="G96" s="13"/>
      <c r="H96" s="12"/>
    </row>
    <row r="97" spans="1:8">
      <c r="A97" s="13"/>
      <c r="B97" s="12"/>
      <c r="C97" s="12"/>
      <c r="D97" s="12"/>
      <c r="E97" s="12"/>
      <c r="F97" s="12"/>
      <c r="G97" s="13"/>
      <c r="H97" s="12"/>
    </row>
    <row r="98" spans="1:8">
      <c r="A98" s="13"/>
      <c r="B98" s="12"/>
      <c r="C98" s="12"/>
      <c r="D98" s="12"/>
      <c r="E98" s="12"/>
      <c r="F98" s="12"/>
      <c r="G98" s="13"/>
      <c r="H98" s="12"/>
    </row>
    <row r="99" spans="1:8">
      <c r="A99" s="13"/>
      <c r="B99" s="12"/>
      <c r="C99" s="12"/>
      <c r="D99" s="12"/>
      <c r="E99" s="12"/>
      <c r="F99" s="12"/>
      <c r="G99" s="13"/>
      <c r="H99" s="12"/>
    </row>
    <row r="100" spans="1:8">
      <c r="A100" s="13"/>
      <c r="B100" s="12"/>
      <c r="C100" s="12"/>
      <c r="D100" s="12"/>
      <c r="E100" s="12"/>
      <c r="F100" s="12"/>
      <c r="G100" s="13"/>
      <c r="H100" s="12"/>
    </row>
    <row r="101" spans="1:8">
      <c r="A101" s="13"/>
      <c r="B101" s="12"/>
      <c r="C101" s="12"/>
      <c r="D101" s="12"/>
      <c r="E101" s="12"/>
      <c r="F101" s="12"/>
      <c r="G101" s="13"/>
      <c r="H101" s="12"/>
    </row>
    <row r="102" spans="1:8">
      <c r="A102" s="13"/>
      <c r="B102" s="12"/>
      <c r="C102" s="12"/>
      <c r="D102" s="12"/>
      <c r="E102" s="12"/>
      <c r="F102" s="12"/>
      <c r="G102" s="13"/>
      <c r="H102" s="12"/>
    </row>
    <row r="103" spans="1:8">
      <c r="A103" s="13"/>
      <c r="B103" s="12"/>
      <c r="C103" s="12"/>
      <c r="D103" s="12"/>
      <c r="E103" s="12"/>
      <c r="F103" s="12"/>
      <c r="G103" s="13"/>
      <c r="H103" s="12"/>
    </row>
    <row r="104" spans="1:8">
      <c r="A104" s="13"/>
      <c r="B104" s="12"/>
      <c r="C104" s="12"/>
      <c r="D104" s="12"/>
      <c r="E104" s="12"/>
      <c r="F104" s="12"/>
      <c r="G104" s="13"/>
      <c r="H104" s="12"/>
    </row>
    <row r="105" spans="1:8">
      <c r="A105" s="13"/>
      <c r="B105" s="12"/>
      <c r="C105" s="12"/>
      <c r="D105" s="12"/>
      <c r="E105" s="12"/>
      <c r="F105" s="12"/>
      <c r="G105" s="13"/>
      <c r="H105" s="12"/>
    </row>
    <row r="106" spans="1:8">
      <c r="A106" s="13"/>
      <c r="B106" s="12"/>
      <c r="C106" s="12"/>
      <c r="D106" s="12"/>
      <c r="E106" s="12"/>
      <c r="F106" s="12"/>
      <c r="G106" s="13"/>
      <c r="H106" s="12"/>
    </row>
    <row r="107" spans="1:8">
      <c r="A107" s="13"/>
      <c r="B107" s="12"/>
      <c r="C107" s="12"/>
      <c r="D107" s="12"/>
      <c r="E107" s="12"/>
      <c r="F107" s="12"/>
      <c r="G107" s="13"/>
      <c r="H107" s="12"/>
    </row>
    <row r="108" spans="1:8">
      <c r="A108" s="13"/>
      <c r="B108" s="12"/>
      <c r="C108" s="12"/>
      <c r="D108" s="12"/>
      <c r="E108" s="12"/>
      <c r="F108" s="12"/>
      <c r="G108" s="13"/>
      <c r="H108" s="12"/>
    </row>
    <row r="109" spans="1:8">
      <c r="A109" s="13"/>
      <c r="B109" s="12"/>
      <c r="C109" s="12"/>
      <c r="D109" s="12"/>
      <c r="E109" s="12"/>
      <c r="F109" s="12"/>
      <c r="G109" s="13"/>
      <c r="H109" s="12"/>
    </row>
    <row r="110" spans="1:8">
      <c r="A110" s="13"/>
      <c r="B110" s="12"/>
      <c r="C110" s="12"/>
      <c r="D110" s="12"/>
      <c r="E110" s="12"/>
      <c r="F110" s="12"/>
      <c r="G110" s="13"/>
      <c r="H110" s="12"/>
    </row>
    <row r="111" spans="1:8">
      <c r="A111" s="13"/>
      <c r="B111" s="12"/>
      <c r="C111" s="12"/>
      <c r="D111" s="12"/>
      <c r="E111" s="12"/>
      <c r="F111" s="12"/>
      <c r="G111" s="13"/>
      <c r="H111" s="12"/>
    </row>
    <row r="112" spans="1:8">
      <c r="A112" s="13"/>
      <c r="B112" s="12"/>
      <c r="C112" s="12"/>
      <c r="D112" s="12"/>
      <c r="E112" s="12"/>
      <c r="F112" s="12"/>
      <c r="G112" s="13"/>
      <c r="H112" s="12"/>
    </row>
    <row r="113" spans="1:8">
      <c r="A113" s="13"/>
      <c r="B113" s="12"/>
      <c r="C113" s="12"/>
      <c r="D113" s="12"/>
      <c r="E113" s="12"/>
      <c r="F113" s="12"/>
      <c r="G113" s="13"/>
      <c r="H113" s="12"/>
    </row>
    <row r="114" spans="1:8">
      <c r="A114" s="13"/>
      <c r="B114" s="12"/>
      <c r="C114" s="12"/>
      <c r="D114" s="12"/>
      <c r="E114" s="12"/>
      <c r="F114" s="12"/>
      <c r="G114" s="13"/>
      <c r="H114" s="12"/>
    </row>
    <row r="115" spans="1:8">
      <c r="A115" s="13"/>
      <c r="B115" s="12"/>
      <c r="C115" s="12"/>
      <c r="D115" s="12"/>
      <c r="E115" s="12"/>
      <c r="F115" s="12"/>
      <c r="G115" s="13"/>
      <c r="H115" s="12"/>
    </row>
    <row r="116" spans="1:8">
      <c r="A116" s="13"/>
      <c r="B116" s="12"/>
      <c r="C116" s="12"/>
      <c r="D116" s="12"/>
      <c r="E116" s="12"/>
      <c r="F116" s="12"/>
      <c r="G116" s="13"/>
      <c r="H116" s="12"/>
    </row>
    <row r="117" spans="1:8">
      <c r="A117" s="13"/>
      <c r="B117" s="12"/>
      <c r="C117" s="12"/>
      <c r="D117" s="12"/>
      <c r="E117" s="12"/>
      <c r="F117" s="12"/>
      <c r="G117" s="13"/>
      <c r="H117" s="12"/>
    </row>
    <row r="118" spans="1:8">
      <c r="A118" s="13"/>
      <c r="B118" s="12"/>
      <c r="C118" s="12"/>
      <c r="D118" s="12"/>
      <c r="E118" s="12"/>
      <c r="F118" s="12"/>
      <c r="G118" s="13"/>
      <c r="H118" s="12"/>
    </row>
    <row r="119" spans="1:8">
      <c r="A119" s="13"/>
      <c r="B119" s="12"/>
      <c r="C119" s="12"/>
      <c r="D119" s="12"/>
      <c r="E119" s="12"/>
      <c r="F119" s="12"/>
      <c r="G119" s="13"/>
      <c r="H119" s="12"/>
    </row>
    <row r="120" spans="1:8">
      <c r="A120" s="13"/>
      <c r="B120" s="12"/>
      <c r="C120" s="12"/>
      <c r="D120" s="12"/>
      <c r="E120" s="12"/>
      <c r="F120" s="12"/>
      <c r="G120" s="13"/>
      <c r="H120" s="12"/>
    </row>
    <row r="121" spans="1:8">
      <c r="A121" s="13"/>
      <c r="B121" s="12"/>
      <c r="C121" s="12"/>
      <c r="D121" s="12"/>
      <c r="E121" s="12"/>
      <c r="F121" s="12"/>
      <c r="G121" s="13"/>
      <c r="H121" s="12"/>
    </row>
    <row r="122" spans="1:8">
      <c r="A122" s="13"/>
      <c r="B122" s="12"/>
      <c r="C122" s="12"/>
      <c r="D122" s="12"/>
      <c r="E122" s="12"/>
      <c r="F122" s="12"/>
      <c r="G122" s="13"/>
      <c r="H122" s="12"/>
    </row>
    <row r="123" spans="1:8">
      <c r="A123" s="13"/>
      <c r="B123" s="12"/>
      <c r="C123" s="12"/>
      <c r="D123" s="12"/>
      <c r="E123" s="12"/>
      <c r="F123" s="12"/>
      <c r="G123" s="13"/>
      <c r="H123" s="12"/>
    </row>
    <row r="124" spans="1:8">
      <c r="A124" s="13"/>
      <c r="B124" s="12"/>
      <c r="C124" s="12"/>
      <c r="D124" s="12"/>
      <c r="E124" s="12"/>
      <c r="F124" s="12"/>
      <c r="G124" s="13"/>
      <c r="H124" s="12"/>
    </row>
    <row r="125" spans="1:8">
      <c r="A125" s="13"/>
      <c r="B125" s="12"/>
      <c r="C125" s="12"/>
      <c r="D125" s="12"/>
      <c r="E125" s="12"/>
      <c r="F125" s="12"/>
      <c r="G125" s="13"/>
      <c r="H125" s="12"/>
    </row>
    <row r="126" spans="1:8">
      <c r="A126" s="13"/>
      <c r="B126" s="12"/>
      <c r="C126" s="12"/>
      <c r="D126" s="12"/>
      <c r="E126" s="12"/>
      <c r="F126" s="12"/>
      <c r="G126" s="13"/>
      <c r="H126" s="12"/>
    </row>
    <row r="127" spans="1:8">
      <c r="A127" s="13"/>
      <c r="B127" s="12"/>
      <c r="C127" s="12"/>
      <c r="D127" s="12"/>
      <c r="E127" s="12"/>
      <c r="F127" s="12"/>
      <c r="G127" s="13"/>
      <c r="H127" s="12"/>
    </row>
    <row r="128" spans="1:8">
      <c r="A128" s="13"/>
      <c r="B128" s="12"/>
      <c r="C128" s="12"/>
      <c r="D128" s="12"/>
      <c r="E128" s="12"/>
      <c r="F128" s="12"/>
      <c r="G128" s="13"/>
      <c r="H128" s="12"/>
    </row>
    <row r="129" spans="1:8">
      <c r="A129" s="13"/>
      <c r="B129" s="12"/>
      <c r="C129" s="12"/>
      <c r="D129" s="12"/>
      <c r="E129" s="12"/>
      <c r="F129" s="12"/>
      <c r="G129" s="13"/>
      <c r="H129" s="12"/>
    </row>
    <row r="130" spans="1:8">
      <c r="A130" s="13"/>
      <c r="B130" s="12"/>
      <c r="C130" s="12"/>
      <c r="D130" s="12"/>
      <c r="E130" s="12"/>
      <c r="F130" s="12"/>
      <c r="G130" s="13"/>
      <c r="H130" s="12"/>
    </row>
    <row r="131" spans="1:8">
      <c r="A131" s="13"/>
      <c r="B131" s="12"/>
      <c r="C131" s="12"/>
      <c r="D131" s="12"/>
      <c r="E131" s="12"/>
      <c r="F131" s="12"/>
      <c r="G131" s="13"/>
      <c r="H131" s="12"/>
    </row>
    <row r="132" spans="1:8">
      <c r="A132" s="13"/>
      <c r="B132" s="12"/>
      <c r="C132" s="12"/>
      <c r="D132" s="12"/>
      <c r="E132" s="12"/>
      <c r="F132" s="12"/>
      <c r="G132" s="13"/>
      <c r="H132" s="12"/>
    </row>
    <row r="133" spans="1:8">
      <c r="A133" s="13"/>
      <c r="B133" s="12"/>
      <c r="C133" s="12"/>
      <c r="D133" s="12"/>
      <c r="E133" s="12"/>
      <c r="F133" s="12"/>
      <c r="G133" s="13"/>
      <c r="H133" s="12"/>
    </row>
    <row r="134" spans="1:8">
      <c r="A134" s="13"/>
      <c r="B134" s="12"/>
      <c r="C134" s="12"/>
      <c r="D134" s="12"/>
      <c r="E134" s="12"/>
      <c r="F134" s="12"/>
      <c r="G134" s="13"/>
      <c r="H134" s="12"/>
    </row>
    <row r="135" spans="1:8">
      <c r="A135" s="13"/>
      <c r="B135" s="12"/>
      <c r="C135" s="12"/>
      <c r="D135" s="12"/>
      <c r="E135" s="12"/>
      <c r="F135" s="12"/>
      <c r="G135" s="13"/>
      <c r="H135" s="12"/>
    </row>
    <row r="136" spans="1:8">
      <c r="A136" s="13"/>
      <c r="B136" s="12"/>
      <c r="C136" s="12"/>
      <c r="D136" s="12"/>
      <c r="E136" s="12"/>
      <c r="F136" s="12"/>
      <c r="G136" s="13"/>
      <c r="H136" s="12"/>
    </row>
    <row r="137" spans="1:8">
      <c r="A137" s="13"/>
      <c r="B137" s="12"/>
      <c r="C137" s="12"/>
      <c r="D137" s="12"/>
      <c r="E137" s="12"/>
      <c r="F137" s="12"/>
      <c r="G137" s="13"/>
      <c r="H137" s="12"/>
    </row>
    <row r="138" spans="1:8">
      <c r="A138" s="13"/>
      <c r="B138" s="12"/>
      <c r="C138" s="12"/>
      <c r="D138" s="12"/>
      <c r="E138" s="12"/>
      <c r="F138" s="12"/>
      <c r="G138" s="13"/>
      <c r="H138" s="12"/>
    </row>
    <row r="139" spans="1:8">
      <c r="A139" s="13"/>
      <c r="B139" s="12"/>
      <c r="C139" s="12"/>
      <c r="D139" s="12"/>
      <c r="E139" s="12"/>
      <c r="F139" s="12"/>
      <c r="G139" s="13"/>
      <c r="H139" s="12"/>
    </row>
    <row r="140" spans="1:8">
      <c r="A140" s="13"/>
      <c r="B140" s="12"/>
      <c r="C140" s="12"/>
      <c r="D140" s="12"/>
      <c r="E140" s="12"/>
      <c r="F140" s="12"/>
      <c r="G140" s="13"/>
      <c r="H140" s="12"/>
    </row>
    <row r="141" spans="1:8">
      <c r="A141" s="13"/>
      <c r="B141" s="12"/>
      <c r="C141" s="12"/>
      <c r="D141" s="12"/>
      <c r="E141" s="12"/>
      <c r="F141" s="12"/>
      <c r="G141" s="13"/>
      <c r="H141" s="12"/>
    </row>
    <row r="142" spans="1:8">
      <c r="A142" s="13"/>
      <c r="B142" s="12"/>
      <c r="C142" s="12"/>
      <c r="D142" s="12"/>
      <c r="E142" s="12"/>
      <c r="F142" s="12"/>
      <c r="G142" s="13"/>
      <c r="H142" s="12"/>
    </row>
    <row r="143" spans="1:8">
      <c r="A143" s="13"/>
      <c r="B143" s="12"/>
      <c r="C143" s="12"/>
      <c r="D143" s="12"/>
      <c r="E143" s="12"/>
      <c r="F143" s="12"/>
      <c r="G143" s="13"/>
      <c r="H143" s="12"/>
    </row>
    <row r="144" spans="1:8">
      <c r="A144" s="13"/>
      <c r="B144" s="12"/>
      <c r="C144" s="12"/>
      <c r="D144" s="12"/>
      <c r="E144" s="12"/>
      <c r="F144" s="12"/>
      <c r="G144" s="13"/>
      <c r="H144" s="12"/>
    </row>
    <row r="145" spans="1:8">
      <c r="A145" s="13"/>
      <c r="B145" s="12"/>
      <c r="C145" s="12"/>
      <c r="D145" s="12"/>
      <c r="E145" s="12"/>
      <c r="F145" s="12"/>
      <c r="G145" s="13"/>
      <c r="H145" s="12"/>
    </row>
    <row r="146" spans="1:8">
      <c r="A146" s="13"/>
      <c r="B146" s="12"/>
      <c r="C146" s="12"/>
      <c r="D146" s="12"/>
      <c r="E146" s="12"/>
      <c r="F146" s="12"/>
      <c r="G146" s="13"/>
      <c r="H146" s="12"/>
    </row>
    <row r="147" spans="1:8">
      <c r="A147" s="13"/>
      <c r="B147" s="12"/>
      <c r="C147" s="12"/>
      <c r="D147" s="12"/>
      <c r="E147" s="12"/>
      <c r="F147" s="12"/>
      <c r="G147" s="13"/>
      <c r="H147" s="12"/>
    </row>
    <row r="148" spans="1:8">
      <c r="A148" s="13"/>
      <c r="B148" s="12"/>
      <c r="C148" s="12"/>
      <c r="D148" s="12"/>
      <c r="E148" s="12"/>
      <c r="F148" s="12"/>
      <c r="G148" s="13"/>
      <c r="H148" s="12"/>
    </row>
    <row r="149" spans="1:8">
      <c r="A149" s="13"/>
      <c r="B149" s="12"/>
      <c r="C149" s="12"/>
      <c r="D149" s="12"/>
      <c r="E149" s="12"/>
      <c r="F149" s="12"/>
      <c r="G149" s="13"/>
      <c r="H149" s="12"/>
    </row>
    <row r="150" spans="1:8">
      <c r="A150" s="13"/>
      <c r="B150" s="12"/>
      <c r="C150" s="12"/>
      <c r="D150" s="12"/>
      <c r="E150" s="12"/>
      <c r="F150" s="12"/>
      <c r="G150" s="13"/>
      <c r="H150" s="12"/>
    </row>
    <row r="151" spans="1:8">
      <c r="A151" s="13"/>
      <c r="B151" s="12"/>
      <c r="C151" s="12"/>
      <c r="D151" s="12"/>
      <c r="E151" s="12"/>
      <c r="F151" s="12"/>
      <c r="G151" s="13"/>
      <c r="H151" s="12"/>
    </row>
    <row r="152" spans="1:8">
      <c r="A152" s="13"/>
      <c r="B152" s="12"/>
      <c r="C152" s="12"/>
      <c r="D152" s="12"/>
      <c r="E152" s="12"/>
      <c r="F152" s="12"/>
      <c r="G152" s="13"/>
      <c r="H152" s="12"/>
    </row>
    <row r="153" spans="1:8">
      <c r="A153" s="13"/>
      <c r="B153" s="12"/>
      <c r="C153" s="12"/>
      <c r="D153" s="12"/>
      <c r="E153" s="12"/>
      <c r="F153" s="12"/>
      <c r="G153" s="13"/>
      <c r="H153" s="12"/>
    </row>
    <row r="154" spans="1:8">
      <c r="A154" s="13"/>
      <c r="B154" s="12"/>
      <c r="C154" s="12"/>
      <c r="D154" s="12"/>
      <c r="E154" s="12"/>
      <c r="F154" s="12"/>
      <c r="G154" s="13"/>
      <c r="H154" s="12"/>
    </row>
    <row r="155" spans="1:8">
      <c r="A155" s="13"/>
      <c r="B155" s="12"/>
      <c r="C155" s="12"/>
      <c r="D155" s="12"/>
      <c r="E155" s="12"/>
      <c r="F155" s="12"/>
      <c r="G155" s="13"/>
      <c r="H155" s="12"/>
    </row>
    <row r="156" spans="1:8">
      <c r="A156" s="13"/>
      <c r="B156" s="12"/>
      <c r="C156" s="12"/>
      <c r="D156" s="12"/>
      <c r="E156" s="12"/>
      <c r="F156" s="12"/>
      <c r="G156" s="13"/>
      <c r="H156" s="12"/>
    </row>
    <row r="157" spans="1:8">
      <c r="A157" s="13"/>
      <c r="B157" s="12"/>
      <c r="C157" s="12"/>
      <c r="D157" s="12"/>
      <c r="E157" s="12"/>
      <c r="F157" s="12"/>
      <c r="G157" s="13"/>
      <c r="H157" s="12"/>
    </row>
    <row r="158" spans="1:8">
      <c r="A158" s="13"/>
      <c r="B158" s="12"/>
      <c r="C158" s="12"/>
      <c r="D158" s="12"/>
      <c r="E158" s="12"/>
      <c r="F158" s="12"/>
      <c r="G158" s="13"/>
      <c r="H158" s="12"/>
    </row>
    <row r="159" spans="1:8">
      <c r="A159" s="13"/>
      <c r="B159" s="12"/>
      <c r="C159" s="12"/>
      <c r="D159" s="12"/>
      <c r="E159" s="12"/>
      <c r="F159" s="12"/>
      <c r="G159" s="13"/>
      <c r="H159" s="12"/>
    </row>
    <row r="160" spans="1:8">
      <c r="A160" s="13"/>
      <c r="B160" s="12"/>
      <c r="C160" s="12"/>
      <c r="D160" s="12"/>
      <c r="E160" s="12"/>
      <c r="F160" s="12"/>
      <c r="G160" s="13"/>
      <c r="H160" s="12"/>
    </row>
    <row r="161" spans="1:8">
      <c r="A161" s="13"/>
      <c r="B161" s="12"/>
      <c r="C161" s="12"/>
      <c r="D161" s="12"/>
      <c r="E161" s="12"/>
      <c r="F161" s="12"/>
      <c r="G161" s="13"/>
      <c r="H161" s="12"/>
    </row>
    <row r="162" spans="1:8">
      <c r="A162" s="13"/>
      <c r="B162" s="12"/>
      <c r="C162" s="12"/>
      <c r="D162" s="12"/>
      <c r="E162" s="12"/>
      <c r="F162" s="12"/>
      <c r="G162" s="13"/>
      <c r="H162" s="12"/>
    </row>
    <row r="163" spans="1:8">
      <c r="A163" s="13"/>
      <c r="B163" s="12"/>
      <c r="C163" s="12"/>
      <c r="D163" s="12"/>
      <c r="E163" s="12"/>
      <c r="F163" s="12"/>
      <c r="G163" s="13"/>
      <c r="H163" s="12"/>
    </row>
    <row r="164" spans="1:8">
      <c r="A164" s="13"/>
      <c r="B164" s="12"/>
      <c r="C164" s="12"/>
      <c r="D164" s="12"/>
      <c r="E164" s="12"/>
      <c r="F164" s="12"/>
      <c r="G164" s="13"/>
      <c r="H164" s="12"/>
    </row>
    <row r="165" spans="1:8">
      <c r="A165" s="13"/>
      <c r="B165" s="12"/>
      <c r="C165" s="12"/>
      <c r="D165" s="12"/>
      <c r="E165" s="12"/>
      <c r="F165" s="12"/>
      <c r="G165" s="13"/>
      <c r="H165" s="12"/>
    </row>
    <row r="166" spans="1:8">
      <c r="A166" s="13"/>
      <c r="B166" s="12"/>
      <c r="C166" s="12"/>
      <c r="D166" s="12"/>
      <c r="E166" s="12"/>
      <c r="F166" s="12"/>
      <c r="G166" s="13"/>
      <c r="H166" s="12"/>
    </row>
    <row r="167" spans="1:8">
      <c r="A167" s="13"/>
      <c r="B167" s="12"/>
      <c r="C167" s="12"/>
      <c r="D167" s="12"/>
      <c r="E167" s="12"/>
      <c r="F167" s="12"/>
      <c r="G167" s="13"/>
      <c r="H167" s="12"/>
    </row>
    <row r="168" spans="1:8">
      <c r="A168" s="13"/>
      <c r="B168" s="12"/>
      <c r="C168" s="12"/>
      <c r="D168" s="12"/>
      <c r="E168" s="12"/>
      <c r="F168" s="12"/>
      <c r="G168" s="13"/>
      <c r="H168" s="12"/>
    </row>
    <row r="169" spans="1:8">
      <c r="A169" s="13"/>
      <c r="B169" s="12"/>
      <c r="C169" s="12"/>
      <c r="D169" s="12"/>
      <c r="E169" s="12"/>
      <c r="F169" s="12"/>
      <c r="G169" s="13"/>
      <c r="H169" s="12"/>
    </row>
    <row r="170" spans="1:8">
      <c r="A170" s="13"/>
      <c r="B170" s="12"/>
      <c r="C170" s="12"/>
      <c r="D170" s="12"/>
      <c r="E170" s="12"/>
      <c r="F170" s="12"/>
      <c r="G170" s="13"/>
      <c r="H170" s="12"/>
    </row>
    <row r="171" spans="1:8">
      <c r="A171" s="13"/>
      <c r="B171" s="12"/>
      <c r="C171" s="12"/>
      <c r="D171" s="12"/>
      <c r="E171" s="12"/>
      <c r="F171" s="12"/>
      <c r="G171" s="13"/>
      <c r="H171" s="12"/>
    </row>
    <row r="172" spans="1:8">
      <c r="A172" s="13"/>
      <c r="B172" s="12"/>
      <c r="C172" s="12"/>
      <c r="D172" s="12"/>
      <c r="E172" s="12"/>
      <c r="F172" s="12"/>
      <c r="G172" s="13"/>
      <c r="H172" s="12"/>
    </row>
    <row r="173" spans="1:8">
      <c r="A173" s="13"/>
      <c r="B173" s="12"/>
      <c r="C173" s="12"/>
      <c r="D173" s="12"/>
      <c r="E173" s="12"/>
      <c r="F173" s="12"/>
      <c r="G173" s="13"/>
      <c r="H173" s="12"/>
    </row>
    <row r="174" spans="1:8">
      <c r="A174" s="13"/>
      <c r="B174" s="12"/>
      <c r="C174" s="12"/>
      <c r="D174" s="12"/>
      <c r="E174" s="12"/>
      <c r="F174" s="12"/>
      <c r="G174" s="13"/>
      <c r="H174" s="12"/>
    </row>
    <row r="175" spans="1:8">
      <c r="A175" s="13"/>
      <c r="B175" s="12"/>
      <c r="C175" s="12"/>
      <c r="D175" s="12"/>
      <c r="E175" s="12"/>
      <c r="F175" s="12"/>
      <c r="G175" s="13"/>
      <c r="H175" s="12"/>
    </row>
    <row r="176" spans="1:8">
      <c r="A176" s="13"/>
      <c r="B176" s="12"/>
      <c r="C176" s="12"/>
      <c r="D176" s="12"/>
      <c r="E176" s="12"/>
      <c r="F176" s="12"/>
      <c r="G176" s="13"/>
      <c r="H176" s="12"/>
    </row>
    <row r="177" spans="1:8">
      <c r="A177" s="13"/>
      <c r="B177" s="12"/>
      <c r="C177" s="12"/>
      <c r="D177" s="12"/>
      <c r="E177" s="12"/>
      <c r="F177" s="12"/>
      <c r="G177" s="13"/>
      <c r="H177" s="12"/>
    </row>
    <row r="178" spans="1:8">
      <c r="A178" s="13"/>
      <c r="B178" s="12"/>
      <c r="C178" s="12"/>
      <c r="D178" s="12"/>
      <c r="E178" s="12"/>
      <c r="F178" s="12"/>
      <c r="G178" s="13"/>
      <c r="H178" s="12"/>
    </row>
    <row r="179" spans="1:8">
      <c r="A179" s="13"/>
      <c r="B179" s="12"/>
      <c r="C179" s="12"/>
      <c r="D179" s="12"/>
      <c r="E179" s="12"/>
      <c r="F179" s="12"/>
      <c r="G179" s="13"/>
      <c r="H179" s="12"/>
    </row>
    <row r="180" spans="1:8">
      <c r="A180" s="13"/>
      <c r="B180" s="12"/>
      <c r="C180" s="12"/>
      <c r="D180" s="12"/>
      <c r="E180" s="12"/>
      <c r="F180" s="12"/>
      <c r="G180" s="13"/>
      <c r="H180" s="12"/>
    </row>
    <row r="181" spans="1:8">
      <c r="A181" s="13"/>
      <c r="B181" s="12"/>
      <c r="C181" s="12"/>
      <c r="D181" s="12"/>
      <c r="E181" s="12"/>
      <c r="F181" s="12"/>
      <c r="G181" s="13"/>
      <c r="H181" s="12"/>
    </row>
    <row r="182" spans="1:8">
      <c r="A182" s="13"/>
      <c r="B182" s="12"/>
      <c r="C182" s="12"/>
      <c r="D182" s="12"/>
      <c r="E182" s="12"/>
      <c r="F182" s="12"/>
      <c r="G182" s="13"/>
      <c r="H182" s="12"/>
    </row>
    <row r="183" spans="1:8">
      <c r="A183" s="13"/>
      <c r="B183" s="12"/>
      <c r="C183" s="12"/>
      <c r="D183" s="12"/>
      <c r="E183" s="12"/>
      <c r="F183" s="12"/>
      <c r="G183" s="13"/>
      <c r="H183" s="12"/>
    </row>
    <row r="184" spans="1:8">
      <c r="A184" s="13"/>
      <c r="B184" s="12"/>
      <c r="C184" s="12"/>
      <c r="D184" s="12"/>
      <c r="E184" s="12"/>
      <c r="F184" s="12"/>
      <c r="G184" s="13"/>
      <c r="H184" s="12"/>
    </row>
    <row r="185" spans="1:8">
      <c r="A185" s="13"/>
      <c r="B185" s="12"/>
      <c r="C185" s="12"/>
      <c r="D185" s="12"/>
      <c r="E185" s="12"/>
      <c r="F185" s="12"/>
      <c r="G185" s="13"/>
      <c r="H185" s="12"/>
    </row>
    <row r="186" spans="1:8">
      <c r="A186" s="13"/>
      <c r="B186" s="12"/>
      <c r="C186" s="12"/>
      <c r="D186" s="12"/>
      <c r="E186" s="12"/>
      <c r="F186" s="12"/>
      <c r="G186" s="13"/>
      <c r="H186" s="12"/>
    </row>
    <row r="187" spans="1:8">
      <c r="A187" s="13"/>
      <c r="B187" s="12"/>
      <c r="C187" s="12"/>
      <c r="D187" s="12"/>
      <c r="E187" s="12"/>
      <c r="F187" s="12"/>
      <c r="G187" s="13"/>
      <c r="H187" s="12"/>
    </row>
    <row r="188" spans="1:8">
      <c r="A188" s="13"/>
      <c r="B188" s="12"/>
      <c r="C188" s="12"/>
      <c r="D188" s="12"/>
      <c r="E188" s="12"/>
      <c r="F188" s="12"/>
      <c r="G188" s="13"/>
      <c r="H188" s="12"/>
    </row>
    <row r="189" spans="1:8">
      <c r="A189" s="13"/>
      <c r="B189" s="12"/>
      <c r="C189" s="12"/>
      <c r="D189" s="12"/>
      <c r="E189" s="12"/>
      <c r="F189" s="12"/>
      <c r="G189" s="13"/>
      <c r="H189" s="12"/>
    </row>
    <row r="190" spans="1:8">
      <c r="A190" s="13"/>
      <c r="B190" s="12"/>
      <c r="C190" s="12"/>
      <c r="D190" s="12"/>
      <c r="E190" s="12"/>
      <c r="F190" s="12"/>
      <c r="G190" s="13"/>
      <c r="H190" s="12"/>
    </row>
    <row r="191" spans="1:8">
      <c r="A191" s="13"/>
      <c r="B191" s="12"/>
      <c r="C191" s="12"/>
      <c r="D191" s="12"/>
      <c r="E191" s="12"/>
      <c r="F191" s="12"/>
      <c r="G191" s="13"/>
      <c r="H191" s="12"/>
    </row>
    <row r="192" spans="1:8">
      <c r="A192" s="13"/>
      <c r="B192" s="12"/>
      <c r="C192" s="12"/>
      <c r="D192" s="12"/>
      <c r="E192" s="12"/>
      <c r="F192" s="12"/>
      <c r="G192" s="13"/>
      <c r="H192" s="12"/>
    </row>
    <row r="193" spans="1:8">
      <c r="A193" s="13"/>
      <c r="B193" s="12"/>
      <c r="C193" s="12"/>
      <c r="D193" s="12"/>
      <c r="E193" s="12"/>
      <c r="F193" s="12"/>
      <c r="G193" s="13"/>
      <c r="H193" s="12"/>
    </row>
    <row r="194" spans="1:8">
      <c r="A194" s="13"/>
      <c r="B194" s="12"/>
      <c r="C194" s="12"/>
      <c r="D194" s="12"/>
      <c r="E194" s="12"/>
      <c r="F194" s="12"/>
      <c r="G194" s="13"/>
      <c r="H194" s="12"/>
    </row>
    <row r="195" spans="1:8">
      <c r="A195" s="13"/>
      <c r="B195" s="12"/>
      <c r="C195" s="12"/>
      <c r="D195" s="12"/>
      <c r="E195" s="12"/>
      <c r="F195" s="12"/>
      <c r="G195" s="13"/>
      <c r="H195" s="12"/>
    </row>
    <row r="196" spans="1:8">
      <c r="A196" s="13"/>
      <c r="B196" s="12"/>
      <c r="C196" s="12"/>
      <c r="D196" s="12"/>
      <c r="E196" s="12"/>
      <c r="F196" s="12"/>
      <c r="G196" s="13"/>
      <c r="H196" s="12"/>
    </row>
    <row r="197" spans="1:8">
      <c r="A197" s="13"/>
      <c r="B197" s="12"/>
      <c r="C197" s="12"/>
      <c r="D197" s="12"/>
      <c r="E197" s="12"/>
      <c r="F197" s="12"/>
      <c r="G197" s="13"/>
      <c r="H197" s="12"/>
    </row>
    <row r="198" spans="1:8">
      <c r="A198" s="13"/>
      <c r="B198" s="12"/>
      <c r="C198" s="12"/>
      <c r="D198" s="12"/>
      <c r="E198" s="12"/>
      <c r="F198" s="12"/>
      <c r="G198" s="13"/>
      <c r="H198" s="12"/>
    </row>
    <row r="199" spans="1:8">
      <c r="A199" s="13"/>
      <c r="B199" s="12"/>
      <c r="C199" s="12"/>
      <c r="D199" s="12"/>
      <c r="E199" s="12"/>
      <c r="F199" s="12"/>
      <c r="G199" s="13"/>
      <c r="H199" s="12"/>
    </row>
    <row r="200" spans="1:8">
      <c r="A200" s="13"/>
      <c r="B200" s="12"/>
      <c r="C200" s="12"/>
      <c r="D200" s="12"/>
      <c r="E200" s="12"/>
      <c r="F200" s="12"/>
      <c r="G200" s="13"/>
      <c r="H200" s="12"/>
    </row>
    <row r="201" spans="1:8">
      <c r="A201" s="13"/>
      <c r="B201" s="12"/>
      <c r="C201" s="12"/>
      <c r="D201" s="12"/>
      <c r="E201" s="12"/>
      <c r="F201" s="12"/>
      <c r="G201" s="13"/>
      <c r="H201" s="12"/>
    </row>
    <row r="202" spans="1:8">
      <c r="A202" s="13"/>
      <c r="B202" s="12"/>
      <c r="C202" s="12"/>
      <c r="D202" s="12"/>
      <c r="E202" s="12"/>
      <c r="F202" s="12"/>
      <c r="G202" s="13"/>
      <c r="H202" s="12"/>
    </row>
    <row r="203" spans="1:8">
      <c r="A203" s="13"/>
      <c r="B203" s="12"/>
      <c r="C203" s="12"/>
      <c r="D203" s="12"/>
      <c r="E203" s="12"/>
      <c r="F203" s="12"/>
      <c r="G203" s="13"/>
      <c r="H203" s="12"/>
    </row>
    <row r="204" spans="1:8">
      <c r="A204" s="13"/>
      <c r="B204" s="12"/>
      <c r="C204" s="12"/>
      <c r="D204" s="12"/>
      <c r="E204" s="12"/>
      <c r="F204" s="12"/>
      <c r="G204" s="13"/>
      <c r="H204" s="12"/>
    </row>
    <row r="205" spans="1:8">
      <c r="A205" s="13"/>
      <c r="B205" s="12"/>
      <c r="C205" s="12"/>
      <c r="D205" s="12"/>
      <c r="E205" s="12"/>
      <c r="F205" s="12"/>
      <c r="G205" s="13"/>
      <c r="H205" s="12"/>
    </row>
    <row r="206" spans="1:8">
      <c r="A206" s="13"/>
      <c r="B206" s="12"/>
      <c r="C206" s="12"/>
      <c r="D206" s="12"/>
      <c r="E206" s="12"/>
      <c r="F206" s="12"/>
      <c r="G206" s="13"/>
      <c r="H206" s="12"/>
    </row>
    <row r="207" spans="1:8">
      <c r="A207" s="13"/>
      <c r="B207" s="12"/>
      <c r="C207" s="12"/>
      <c r="D207" s="12"/>
      <c r="E207" s="12"/>
      <c r="F207" s="12"/>
      <c r="G207" s="13"/>
      <c r="H207" s="12"/>
    </row>
    <row r="208" spans="1:8">
      <c r="A208" s="13"/>
      <c r="B208" s="12"/>
      <c r="C208" s="12"/>
      <c r="D208" s="12"/>
      <c r="E208" s="12"/>
      <c r="F208" s="12"/>
      <c r="G208" s="13"/>
      <c r="H208" s="12"/>
    </row>
    <row r="209" spans="1:8">
      <c r="A209" s="13"/>
      <c r="B209" s="12"/>
      <c r="C209" s="12"/>
      <c r="D209" s="12"/>
      <c r="E209" s="12"/>
      <c r="F209" s="12"/>
      <c r="G209" s="13"/>
      <c r="H209" s="12"/>
    </row>
    <row r="210" spans="1:8">
      <c r="A210" s="13"/>
      <c r="B210" s="12"/>
      <c r="C210" s="12"/>
      <c r="D210" s="12"/>
      <c r="E210" s="12"/>
      <c r="F210" s="12"/>
      <c r="G210" s="13"/>
      <c r="H210" s="12"/>
    </row>
    <row r="211" spans="1:8">
      <c r="A211" s="13"/>
      <c r="B211" s="12"/>
      <c r="C211" s="12"/>
      <c r="D211" s="12"/>
      <c r="E211" s="12"/>
      <c r="F211" s="12"/>
      <c r="G211" s="13"/>
      <c r="H211" s="12"/>
    </row>
    <row r="212" spans="1:8">
      <c r="A212" s="13"/>
      <c r="B212" s="12"/>
      <c r="C212" s="12"/>
      <c r="D212" s="12"/>
      <c r="E212" s="12"/>
      <c r="F212" s="12"/>
      <c r="G212" s="13"/>
      <c r="H212" s="12"/>
    </row>
    <row r="213" spans="1:8">
      <c r="A213" s="13"/>
      <c r="B213" s="12"/>
      <c r="C213" s="12"/>
      <c r="D213" s="12"/>
      <c r="E213" s="12"/>
      <c r="F213" s="12"/>
      <c r="G213" s="13"/>
      <c r="H213" s="12"/>
    </row>
    <row r="214" spans="1:8">
      <c r="A214" s="13"/>
      <c r="B214" s="12"/>
      <c r="C214" s="12"/>
      <c r="D214" s="12"/>
      <c r="E214" s="12"/>
      <c r="F214" s="12"/>
      <c r="G214" s="13"/>
      <c r="H214" s="12"/>
    </row>
    <row r="215" spans="1:8">
      <c r="A215" s="13"/>
      <c r="B215" s="12"/>
      <c r="C215" s="12"/>
      <c r="D215" s="12"/>
      <c r="E215" s="12"/>
      <c r="F215" s="12"/>
      <c r="G215" s="13"/>
      <c r="H215" s="12"/>
    </row>
    <row r="216" spans="1:8">
      <c r="A216" s="13"/>
      <c r="B216" s="12"/>
      <c r="C216" s="12"/>
      <c r="D216" s="12"/>
      <c r="E216" s="12"/>
      <c r="F216" s="12"/>
      <c r="G216" s="13"/>
      <c r="H216" s="12"/>
    </row>
    <row r="217" spans="1:8">
      <c r="A217" s="13"/>
      <c r="B217" s="12"/>
      <c r="C217" s="12"/>
      <c r="D217" s="12"/>
      <c r="E217" s="12"/>
      <c r="F217" s="12"/>
      <c r="G217" s="13"/>
      <c r="H217" s="12"/>
    </row>
    <row r="218" spans="1:8">
      <c r="A218" s="13"/>
      <c r="B218" s="12"/>
      <c r="C218" s="12"/>
      <c r="D218" s="12"/>
      <c r="E218" s="12"/>
      <c r="F218" s="12"/>
      <c r="G218" s="13"/>
      <c r="H218" s="12"/>
    </row>
    <row r="219" spans="1:8">
      <c r="A219" s="13"/>
      <c r="B219" s="12"/>
      <c r="C219" s="12"/>
      <c r="D219" s="12"/>
      <c r="E219" s="12"/>
      <c r="F219" s="12"/>
      <c r="G219" s="13"/>
      <c r="H219" s="12"/>
    </row>
    <row r="220" spans="1:8">
      <c r="A220" s="13"/>
      <c r="B220" s="12"/>
      <c r="C220" s="12"/>
      <c r="D220" s="12"/>
      <c r="E220" s="12"/>
      <c r="F220" s="12"/>
      <c r="G220" s="13"/>
      <c r="H220" s="12"/>
    </row>
    <row r="221" spans="1:8">
      <c r="A221" s="13"/>
      <c r="B221" s="12"/>
      <c r="C221" s="12"/>
      <c r="D221" s="12"/>
      <c r="E221" s="12"/>
      <c r="F221" s="12"/>
      <c r="G221" s="13"/>
      <c r="H221" s="12"/>
    </row>
    <row r="222" spans="1:8">
      <c r="A222" s="13"/>
      <c r="B222" s="12"/>
      <c r="C222" s="12"/>
      <c r="D222" s="12"/>
      <c r="E222" s="12"/>
      <c r="F222" s="12"/>
      <c r="G222" s="13"/>
      <c r="H222" s="12"/>
    </row>
    <row r="223" spans="1:8">
      <c r="A223" s="13"/>
      <c r="B223" s="12"/>
      <c r="C223" s="12"/>
      <c r="D223" s="12"/>
      <c r="E223" s="12"/>
      <c r="F223" s="12"/>
      <c r="G223" s="13"/>
      <c r="H223" s="12"/>
    </row>
    <row r="224" spans="1:8">
      <c r="A224" s="13"/>
      <c r="B224" s="12"/>
      <c r="C224" s="12"/>
      <c r="D224" s="12"/>
      <c r="E224" s="12"/>
      <c r="F224" s="12"/>
      <c r="G224" s="13"/>
      <c r="H224" s="12"/>
    </row>
    <row r="225" spans="1:8">
      <c r="A225" s="13"/>
      <c r="B225" s="12"/>
      <c r="C225" s="12"/>
      <c r="D225" s="12"/>
      <c r="E225" s="12"/>
      <c r="F225" s="12"/>
      <c r="G225" s="13"/>
      <c r="H225" s="12"/>
    </row>
    <row r="226" spans="1:8">
      <c r="A226" s="13"/>
      <c r="B226" s="12"/>
      <c r="C226" s="12"/>
      <c r="D226" s="12"/>
      <c r="E226" s="12"/>
      <c r="F226" s="12"/>
      <c r="G226" s="13"/>
      <c r="H226" s="12"/>
    </row>
    <row r="227" spans="1:8">
      <c r="A227" s="13"/>
      <c r="B227" s="12"/>
      <c r="C227" s="12"/>
      <c r="D227" s="12"/>
      <c r="E227" s="12"/>
      <c r="F227" s="12"/>
      <c r="G227" s="13"/>
      <c r="H227" s="12"/>
    </row>
    <row r="228" spans="1:8">
      <c r="A228" s="13"/>
      <c r="B228" s="12"/>
      <c r="C228" s="12"/>
      <c r="D228" s="12"/>
      <c r="E228" s="12"/>
      <c r="F228" s="12"/>
      <c r="G228" s="13"/>
      <c r="H228" s="12"/>
    </row>
    <row r="229" spans="1:8">
      <c r="A229" s="13"/>
      <c r="B229" s="12"/>
      <c r="C229" s="12"/>
      <c r="D229" s="12"/>
      <c r="E229" s="12"/>
      <c r="F229" s="12"/>
      <c r="G229" s="13"/>
      <c r="H229" s="12"/>
    </row>
    <row r="230" spans="1:8">
      <c r="A230" s="13"/>
      <c r="B230" s="12"/>
      <c r="C230" s="12"/>
      <c r="D230" s="12"/>
      <c r="E230" s="12"/>
      <c r="F230" s="12"/>
      <c r="G230" s="13"/>
      <c r="H230" s="12"/>
    </row>
    <row r="231" spans="1:8">
      <c r="A231" s="13"/>
      <c r="B231" s="12"/>
      <c r="C231" s="12"/>
      <c r="D231" s="12"/>
      <c r="E231" s="12"/>
      <c r="F231" s="12"/>
      <c r="G231" s="13"/>
      <c r="H231" s="12"/>
    </row>
    <row r="232" spans="1:8">
      <c r="A232" s="13"/>
      <c r="B232" s="12"/>
      <c r="C232" s="12"/>
      <c r="D232" s="12"/>
      <c r="E232" s="12"/>
      <c r="F232" s="12"/>
      <c r="G232" s="13"/>
      <c r="H232" s="12"/>
    </row>
    <row r="233" spans="1:8">
      <c r="A233" s="13"/>
      <c r="B233" s="12"/>
      <c r="C233" s="12"/>
      <c r="D233" s="12"/>
      <c r="E233" s="12"/>
      <c r="F233" s="12"/>
      <c r="G233" s="13"/>
      <c r="H233" s="12"/>
    </row>
    <row r="234" spans="1:8">
      <c r="A234" s="13"/>
      <c r="B234" s="12"/>
      <c r="C234" s="12"/>
      <c r="D234" s="12"/>
      <c r="E234" s="12"/>
      <c r="F234" s="12"/>
      <c r="G234" s="13"/>
      <c r="H234" s="12"/>
    </row>
    <row r="235" spans="1:8">
      <c r="A235" s="13"/>
      <c r="B235" s="12"/>
      <c r="C235" s="12"/>
      <c r="D235" s="12"/>
      <c r="E235" s="12"/>
      <c r="F235" s="12"/>
      <c r="G235" s="13"/>
      <c r="H235" s="12"/>
    </row>
    <row r="236" spans="1:8">
      <c r="A236" s="13"/>
      <c r="B236" s="12"/>
      <c r="C236" s="12"/>
      <c r="D236" s="12"/>
      <c r="E236" s="12"/>
      <c r="F236" s="12"/>
      <c r="G236" s="13"/>
      <c r="H236" s="12"/>
    </row>
    <row r="237" spans="1:8">
      <c r="A237" s="13"/>
      <c r="B237" s="12"/>
      <c r="C237" s="12"/>
      <c r="D237" s="12"/>
      <c r="E237" s="12"/>
      <c r="F237" s="12"/>
      <c r="G237" s="13"/>
      <c r="H237" s="12"/>
    </row>
    <row r="238" spans="1:8">
      <c r="A238" s="13"/>
      <c r="B238" s="12"/>
      <c r="C238" s="12"/>
      <c r="D238" s="12"/>
      <c r="E238" s="12"/>
      <c r="F238" s="12"/>
      <c r="G238" s="13"/>
      <c r="H238" s="12"/>
    </row>
    <row r="239" spans="1:8">
      <c r="A239" s="13"/>
      <c r="B239" s="12"/>
      <c r="C239" s="12"/>
      <c r="D239" s="12"/>
      <c r="E239" s="12"/>
      <c r="F239" s="12"/>
      <c r="G239" s="13"/>
      <c r="H239" s="12"/>
    </row>
    <row r="240" spans="1:8">
      <c r="A240" s="13"/>
      <c r="B240" s="12"/>
      <c r="C240" s="12"/>
      <c r="D240" s="12"/>
      <c r="E240" s="12"/>
      <c r="F240" s="12"/>
      <c r="G240" s="13"/>
      <c r="H240" s="12"/>
    </row>
    <row r="241" spans="1:8">
      <c r="A241" s="13"/>
      <c r="B241" s="12"/>
      <c r="C241" s="12"/>
      <c r="D241" s="12"/>
      <c r="E241" s="12"/>
      <c r="F241" s="12"/>
      <c r="G241" s="13"/>
      <c r="H241" s="12"/>
    </row>
    <row r="242" spans="1:8">
      <c r="A242" s="13"/>
      <c r="B242" s="12"/>
      <c r="C242" s="12"/>
      <c r="D242" s="12"/>
      <c r="E242" s="12"/>
      <c r="F242" s="12"/>
      <c r="G242" s="13"/>
      <c r="H242" s="12"/>
    </row>
    <row r="243" spans="1:8">
      <c r="A243" s="13"/>
      <c r="B243" s="12"/>
      <c r="C243" s="12"/>
      <c r="D243" s="12"/>
      <c r="E243" s="12"/>
      <c r="F243" s="12"/>
      <c r="G243" s="13"/>
      <c r="H243" s="12"/>
    </row>
    <row r="244" spans="1:8">
      <c r="A244" s="13"/>
      <c r="B244" s="12"/>
      <c r="C244" s="12"/>
      <c r="D244" s="12"/>
      <c r="E244" s="12"/>
      <c r="F244" s="12"/>
      <c r="G244" s="13"/>
      <c r="H244" s="12"/>
    </row>
    <row r="245" spans="1:8">
      <c r="A245" s="13"/>
      <c r="B245" s="12"/>
      <c r="C245" s="12"/>
      <c r="D245" s="12"/>
      <c r="E245" s="12"/>
      <c r="F245" s="12"/>
      <c r="G245" s="13"/>
      <c r="H245" s="12"/>
    </row>
    <row r="246" spans="1:8">
      <c r="A246" s="13"/>
      <c r="B246" s="12"/>
      <c r="C246" s="12"/>
      <c r="D246" s="12"/>
      <c r="E246" s="12"/>
      <c r="F246" s="12"/>
      <c r="G246" s="13"/>
      <c r="H246" s="12"/>
    </row>
    <row r="247" spans="1:8">
      <c r="A247" s="13"/>
      <c r="B247" s="12"/>
      <c r="C247" s="12"/>
      <c r="D247" s="12"/>
      <c r="E247" s="12"/>
      <c r="F247" s="12"/>
      <c r="G247" s="13"/>
      <c r="H247" s="12"/>
    </row>
    <row r="248" spans="1:8">
      <c r="A248" s="13"/>
      <c r="B248" s="12"/>
      <c r="C248" s="12"/>
      <c r="D248" s="12"/>
      <c r="E248" s="12"/>
      <c r="F248" s="12"/>
      <c r="G248" s="13"/>
      <c r="H248" s="12"/>
    </row>
    <row r="249" spans="1:8">
      <c r="A249" s="13"/>
      <c r="B249" s="12"/>
      <c r="C249" s="12"/>
      <c r="D249" s="12"/>
      <c r="E249" s="12"/>
      <c r="F249" s="12"/>
      <c r="G249" s="13"/>
      <c r="H249" s="12"/>
    </row>
    <row r="250" spans="1:8">
      <c r="A250" s="13"/>
      <c r="B250" s="12"/>
      <c r="C250" s="12"/>
      <c r="D250" s="12"/>
      <c r="E250" s="12"/>
      <c r="F250" s="12"/>
      <c r="G250" s="13"/>
      <c r="H250" s="12"/>
    </row>
    <row r="251" spans="1:8">
      <c r="A251" s="13"/>
      <c r="B251" s="12"/>
      <c r="C251" s="12"/>
      <c r="D251" s="12"/>
      <c r="E251" s="12"/>
      <c r="F251" s="12"/>
      <c r="G251" s="13"/>
      <c r="H251" s="12"/>
    </row>
    <row r="252" spans="1:8">
      <c r="A252" s="13"/>
      <c r="B252" s="12"/>
      <c r="C252" s="12"/>
      <c r="D252" s="12"/>
      <c r="E252" s="12"/>
      <c r="F252" s="12"/>
      <c r="G252" s="13"/>
      <c r="H252" s="12"/>
    </row>
    <row r="253" spans="1:8">
      <c r="A253" s="13"/>
      <c r="B253" s="12"/>
      <c r="C253" s="12"/>
      <c r="D253" s="12"/>
      <c r="E253" s="12"/>
      <c r="F253" s="12"/>
      <c r="G253" s="13"/>
      <c r="H253" s="12"/>
    </row>
  </sheetData>
  <autoFilter ref="A3:H253"/>
  <mergeCells count="2">
    <mergeCell ref="A1:H1"/>
    <mergeCell ref="A2:H2"/>
  </mergeCells>
  <dataValidations count="1">
    <dataValidation type="list" allowBlank="1" showInputMessage="1" showErrorMessage="1" errorTitle="Choose a listed value" error="Please select an option from the dropdown." promptTitle="Meeting Type" prompt="Select from the dropdown list." sqref="B4:B253">
      <formula1>MeetingTypes</formula1>
    </dataValidation>
  </dataValidations>
  <pageMargins left="0.25" right="0.25" top="0.5" bottom="0.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"/>
  <sheetViews>
    <sheetView showGridLines="0" workbookViewId="0"/>
  </sheetViews>
  <sheetFormatPr defaultRowHeight="15"/>
  <cols>
    <col min="1" max="4" width="14.7109375" customWidth="1"/>
    <col min="5" max="5" width="15.7109375" customWidth="1"/>
    <col min="6" max="12" width="14.7109375" customWidth="1"/>
    <col min="13" max="13" width="16.7109375" customWidth="1"/>
    <col min="14" max="27" width="14.7109375" customWidth="1"/>
  </cols>
  <sheetData>
    <row r="1" spans="1:27" ht="30" customHeight="1">
      <c r="A1" s="21" t="s">
        <v>471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A2" s="22" t="s">
        <v>472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4" spans="1:27">
      <c r="A4" s="10" t="s">
        <v>270</v>
      </c>
      <c r="B4" s="10" t="s">
        <v>167</v>
      </c>
      <c r="C4" s="10" t="s">
        <v>271</v>
      </c>
      <c r="D4" s="10" t="s">
        <v>351</v>
      </c>
      <c r="E4" s="10" t="s">
        <v>273</v>
      </c>
      <c r="F4" s="10" t="s">
        <v>473</v>
      </c>
      <c r="G4" s="10" t="s">
        <v>275</v>
      </c>
      <c r="H4" s="10" t="s">
        <v>276</v>
      </c>
      <c r="I4" s="10" t="s">
        <v>145</v>
      </c>
      <c r="J4" s="10" t="s">
        <v>277</v>
      </c>
      <c r="K4" s="10" t="s">
        <v>150</v>
      </c>
      <c r="L4" s="10" t="s">
        <v>278</v>
      </c>
      <c r="M4" s="10" t="s">
        <v>279</v>
      </c>
      <c r="N4" s="10" t="s">
        <v>311</v>
      </c>
      <c r="O4" s="10" t="s">
        <v>281</v>
      </c>
      <c r="P4" s="10" t="s">
        <v>474</v>
      </c>
      <c r="Q4" s="10" t="s">
        <v>475</v>
      </c>
      <c r="R4" s="10" t="s">
        <v>127</v>
      </c>
      <c r="S4" s="10" t="s">
        <v>476</v>
      </c>
      <c r="T4" s="10" t="s">
        <v>286</v>
      </c>
      <c r="U4" s="10" t="s">
        <v>287</v>
      </c>
      <c r="V4" s="10" t="s">
        <v>477</v>
      </c>
      <c r="W4" s="10" t="s">
        <v>478</v>
      </c>
      <c r="X4" s="10" t="s">
        <v>160</v>
      </c>
      <c r="Y4" s="10" t="s">
        <v>479</v>
      </c>
      <c r="Z4" s="10" t="s">
        <v>267</v>
      </c>
      <c r="AA4" s="10" t="s">
        <v>480</v>
      </c>
    </row>
    <row r="5" spans="1:27">
      <c r="A5" s="12" cm="1">
        <f t="array" ref="A5:AA5">IFERROR(_xlfn._xlws.FILTER('Master FF&amp;E'!A4:AA253,'Master FF&amp;E'!A4:A253&lt;&gt;""),"")</f>
        <v>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</row>
  </sheetData>
  <mergeCells count="2">
    <mergeCell ref="A1:AA1"/>
    <mergeCell ref="A2:AA2"/>
  </mergeCells>
  <pageMargins left="0.3" right="0.3" top="0.5" bottom="0.5" header="0.3" footer="0.3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"/>
  <sheetViews>
    <sheetView showGridLines="0" workbookViewId="0"/>
  </sheetViews>
  <sheetFormatPr defaultRowHeight="15"/>
  <cols>
    <col min="1" max="11" width="14.7109375" customWidth="1"/>
  </cols>
  <sheetData>
    <row r="1" spans="1:11" ht="30" customHeight="1">
      <c r="A1" s="21" t="s">
        <v>481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2" t="s">
        <v>482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>
      <c r="A4" s="10" t="s">
        <v>167</v>
      </c>
      <c r="B4" s="10" t="s">
        <v>483</v>
      </c>
      <c r="C4" s="10" t="s">
        <v>110</v>
      </c>
      <c r="D4" s="10" t="s">
        <v>484</v>
      </c>
      <c r="E4" s="10" t="s">
        <v>374</v>
      </c>
      <c r="F4" s="10" t="s">
        <v>148</v>
      </c>
      <c r="G4" s="10" t="s">
        <v>485</v>
      </c>
      <c r="H4" s="10" t="s">
        <v>466</v>
      </c>
      <c r="I4" s="10" t="s">
        <v>486</v>
      </c>
      <c r="J4" s="10" t="s">
        <v>387</v>
      </c>
      <c r="K4" s="10" t="s">
        <v>267</v>
      </c>
    </row>
    <row r="5" spans="1:11">
      <c r="A5" s="12" cm="1">
        <f t="array" ref="A5:K5">IFERROR(_xlfn._xlws.FILTER('Room List'!A4:K253,'Room List'!A4:A253&lt;&gt;""),"")</f>
        <v>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</row>
  </sheetData>
  <mergeCells count="2">
    <mergeCell ref="A1:K1"/>
    <mergeCell ref="A2:K2"/>
  </mergeCells>
  <pageMargins left="0.3" right="0.3" top="0.5" bottom="0.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"/>
  <sheetViews>
    <sheetView showGridLines="0" workbookViewId="0"/>
  </sheetViews>
  <sheetFormatPr defaultRowHeight="15"/>
  <cols>
    <col min="1" max="6" width="14.7109375" customWidth="1"/>
    <col min="7" max="7" width="17.7109375" customWidth="1"/>
    <col min="8" max="8" width="21.7109375" customWidth="1"/>
    <col min="9" max="9" width="19.7109375" customWidth="1"/>
    <col min="10" max="16" width="14.7109375" customWidth="1"/>
  </cols>
  <sheetData>
    <row r="1" spans="1:16" ht="30" customHeight="1">
      <c r="A1" s="21" t="s">
        <v>487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s="22" t="s">
        <v>488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>
      <c r="A4" s="10" t="s">
        <v>489</v>
      </c>
      <c r="B4" s="10" t="s">
        <v>150</v>
      </c>
      <c r="C4" s="10" t="s">
        <v>167</v>
      </c>
      <c r="D4" s="10" t="s">
        <v>351</v>
      </c>
      <c r="E4" s="10" t="s">
        <v>473</v>
      </c>
      <c r="F4" s="10" t="s">
        <v>352</v>
      </c>
      <c r="G4" s="10" t="s">
        <v>490</v>
      </c>
      <c r="H4" s="10" t="s">
        <v>491</v>
      </c>
      <c r="I4" s="10" t="s">
        <v>492</v>
      </c>
      <c r="J4" s="10" t="s">
        <v>374</v>
      </c>
      <c r="K4" s="10" t="s">
        <v>493</v>
      </c>
      <c r="L4" s="10" t="s">
        <v>357</v>
      </c>
      <c r="M4" s="10" t="s">
        <v>494</v>
      </c>
      <c r="N4" s="10" t="s">
        <v>359</v>
      </c>
      <c r="O4" s="10" t="s">
        <v>135</v>
      </c>
      <c r="P4" s="10" t="s">
        <v>267</v>
      </c>
    </row>
    <row r="5" spans="1:16">
      <c r="A5" s="12" cm="1">
        <f t="array" ref="A5:P5">IFERROR(_xlfn._xlws.FILTER('Order Tracker'!A4:P253,'Order Tracker'!A4:A253&lt;&gt;""),"")</f>
        <v>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</row>
  </sheetData>
  <mergeCells count="2">
    <mergeCell ref="A1:P1"/>
    <mergeCell ref="A2:P2"/>
  </mergeCells>
  <pageMargins left="0.3" right="0.3" top="0.5" bottom="0.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"/>
  <sheetViews>
    <sheetView showGridLines="0" workbookViewId="0"/>
  </sheetViews>
  <sheetFormatPr defaultRowHeight="15"/>
  <cols>
    <col min="1" max="6" width="14.7109375" customWidth="1"/>
    <col min="7" max="7" width="19.7109375" customWidth="1"/>
    <col min="8" max="8" width="15.7109375" customWidth="1"/>
    <col min="9" max="10" width="16.7109375" customWidth="1"/>
    <col min="11" max="11" width="14.7109375" customWidth="1"/>
    <col min="12" max="12" width="16.7109375" customWidth="1"/>
    <col min="13" max="13" width="14.7109375" customWidth="1"/>
    <col min="14" max="14" width="18.7109375" customWidth="1"/>
    <col min="15" max="15" width="14.7109375" customWidth="1"/>
  </cols>
  <sheetData>
    <row r="1" spans="1:15" ht="30" customHeight="1">
      <c r="A1" s="21" t="s">
        <v>495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2" t="s">
        <v>496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spans="1:15">
      <c r="A4" s="10" t="s">
        <v>351</v>
      </c>
      <c r="B4" s="10" t="s">
        <v>167</v>
      </c>
      <c r="C4" s="10" t="s">
        <v>150</v>
      </c>
      <c r="D4" s="10" t="s">
        <v>497</v>
      </c>
      <c r="E4" s="10" t="s">
        <v>498</v>
      </c>
      <c r="F4" s="10" t="s">
        <v>466</v>
      </c>
      <c r="G4" s="10" t="s">
        <v>290</v>
      </c>
      <c r="H4" s="10" t="s">
        <v>363</v>
      </c>
      <c r="I4" s="10" t="s">
        <v>364</v>
      </c>
      <c r="J4" s="10" t="s">
        <v>365</v>
      </c>
      <c r="K4" s="10" t="s">
        <v>499</v>
      </c>
      <c r="L4" s="10" t="s">
        <v>298</v>
      </c>
      <c r="M4" s="10" t="s">
        <v>118</v>
      </c>
      <c r="N4" s="10" t="s">
        <v>291</v>
      </c>
      <c r="O4" s="10" t="s">
        <v>500</v>
      </c>
    </row>
    <row r="5" spans="1:15">
      <c r="A5" s="12" cm="1">
        <f t="array" ref="A5:O5">IFERROR(_xlfn._xlws.FILTER('Delivery &amp; Installation'!A4:O253,'Delivery &amp; Installation'!A4:A253&lt;&gt;""),"")</f>
        <v>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</row>
  </sheetData>
  <mergeCells count="2">
    <mergeCell ref="A1:O1"/>
    <mergeCell ref="A2:O2"/>
  </mergeCells>
  <pageMargins left="0.3" right="0.3" top="0.5" bottom="0.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"/>
  <sheetViews>
    <sheetView showGridLines="0" workbookViewId="0"/>
  </sheetViews>
  <sheetFormatPr defaultRowHeight="15"/>
  <cols>
    <col min="1" max="6" width="14.7109375" customWidth="1"/>
    <col min="7" max="7" width="19.7109375" customWidth="1"/>
    <col min="8" max="8" width="15.7109375" customWidth="1"/>
    <col min="9" max="10" width="16.7109375" customWidth="1"/>
    <col min="11" max="11" width="14.7109375" customWidth="1"/>
    <col min="12" max="12" width="16.7109375" customWidth="1"/>
    <col min="13" max="13" width="14.7109375" customWidth="1"/>
    <col min="14" max="14" width="18.7109375" customWidth="1"/>
    <col min="15" max="15" width="14.7109375" customWidth="1"/>
  </cols>
  <sheetData>
    <row r="1" spans="1:15" ht="30" customHeight="1">
      <c r="A1" s="21" t="s">
        <v>501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2" t="s">
        <v>502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spans="1:15">
      <c r="A4" s="10" t="s">
        <v>351</v>
      </c>
      <c r="B4" s="10" t="s">
        <v>167</v>
      </c>
      <c r="C4" s="10" t="s">
        <v>150</v>
      </c>
      <c r="D4" s="10" t="s">
        <v>497</v>
      </c>
      <c r="E4" s="10" t="s">
        <v>498</v>
      </c>
      <c r="F4" s="10" t="s">
        <v>466</v>
      </c>
      <c r="G4" s="10" t="s">
        <v>290</v>
      </c>
      <c r="H4" s="10" t="s">
        <v>363</v>
      </c>
      <c r="I4" s="10" t="s">
        <v>364</v>
      </c>
      <c r="J4" s="10" t="s">
        <v>365</v>
      </c>
      <c r="K4" s="10" t="s">
        <v>499</v>
      </c>
      <c r="L4" s="10" t="s">
        <v>298</v>
      </c>
      <c r="M4" s="10" t="s">
        <v>118</v>
      </c>
      <c r="N4" s="10" t="s">
        <v>291</v>
      </c>
      <c r="O4" s="10" t="s">
        <v>500</v>
      </c>
    </row>
    <row r="5" spans="1:15">
      <c r="A5" s="12" cm="1">
        <f t="array" ref="A5:O5">IFERROR(_xlfn._xlws.FILTER('Delivery &amp; Installation'!A4:O253,'Delivery &amp; Installation'!O4:O253&lt;&gt;""),"")</f>
        <v>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</row>
  </sheetData>
  <mergeCells count="2">
    <mergeCell ref="A1:O1"/>
    <mergeCell ref="A2:O2"/>
  </mergeCells>
  <pageMargins left="0.3" right="0.3" top="0.5" bottom="0.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0" t="s">
        <v>0</v>
      </c>
      <c r="B1" s="10" t="s">
        <v>12</v>
      </c>
      <c r="C1" s="10" t="s">
        <v>18</v>
      </c>
      <c r="D1" s="10" t="s">
        <v>25</v>
      </c>
      <c r="E1" s="10" t="s">
        <v>30</v>
      </c>
      <c r="F1" s="10" t="s">
        <v>33</v>
      </c>
      <c r="G1" s="10" t="s">
        <v>38</v>
      </c>
      <c r="H1" s="10" t="s">
        <v>45</v>
      </c>
      <c r="I1" s="10" t="s">
        <v>63</v>
      </c>
      <c r="J1" s="10" t="s">
        <v>68</v>
      </c>
      <c r="K1" s="10" t="s">
        <v>78</v>
      </c>
      <c r="L1" s="10" t="s">
        <v>82</v>
      </c>
      <c r="M1" s="10" t="s">
        <v>86</v>
      </c>
      <c r="N1" s="10" t="s">
        <v>95</v>
      </c>
      <c r="O1" s="10" t="s">
        <v>107</v>
      </c>
      <c r="P1" s="10" t="s">
        <v>115</v>
      </c>
      <c r="Q1" s="10" t="s">
        <v>121</v>
      </c>
      <c r="R1" s="10" t="s">
        <v>131</v>
      </c>
      <c r="S1" s="10" t="s">
        <v>138</v>
      </c>
      <c r="T1" s="10" t="s">
        <v>144</v>
      </c>
      <c r="U1" s="10" t="s">
        <v>152</v>
      </c>
      <c r="V1" s="10" t="s">
        <v>153</v>
      </c>
      <c r="W1" s="10" t="s">
        <v>163</v>
      </c>
      <c r="X1" s="10" t="s">
        <v>166</v>
      </c>
      <c r="Y1" s="10" t="s">
        <v>173</v>
      </c>
      <c r="Z1" s="10" t="s">
        <v>185</v>
      </c>
      <c r="AA1" s="10" t="s">
        <v>186</v>
      </c>
    </row>
    <row r="2" spans="1:27">
      <c r="A2" t="s">
        <v>1</v>
      </c>
      <c r="B2" t="s">
        <v>13</v>
      </c>
      <c r="C2" t="s">
        <v>19</v>
      </c>
      <c r="D2" t="s">
        <v>26</v>
      </c>
      <c r="E2" t="s">
        <v>31</v>
      </c>
      <c r="F2" t="s">
        <v>34</v>
      </c>
      <c r="G2" t="s">
        <v>19</v>
      </c>
      <c r="H2" t="s">
        <v>46</v>
      </c>
      <c r="I2" t="s">
        <v>64</v>
      </c>
      <c r="J2" t="s">
        <v>69</v>
      </c>
      <c r="K2" t="s">
        <v>79</v>
      </c>
      <c r="L2" t="s">
        <v>83</v>
      </c>
      <c r="M2" t="s">
        <v>51</v>
      </c>
      <c r="N2" t="s">
        <v>96</v>
      </c>
      <c r="O2" t="s">
        <v>108</v>
      </c>
      <c r="P2" t="s">
        <v>116</v>
      </c>
      <c r="Q2" t="s">
        <v>116</v>
      </c>
      <c r="R2" t="s">
        <v>132</v>
      </c>
      <c r="S2" t="s">
        <v>139</v>
      </c>
      <c r="T2" t="s">
        <v>116</v>
      </c>
      <c r="U2" t="s">
        <v>64</v>
      </c>
      <c r="V2" t="s">
        <v>154</v>
      </c>
      <c r="W2" t="s">
        <v>19</v>
      </c>
      <c r="X2" t="s">
        <v>167</v>
      </c>
      <c r="Y2" t="s">
        <v>174</v>
      </c>
      <c r="Z2" t="s">
        <v>137</v>
      </c>
      <c r="AA2" t="s">
        <v>187</v>
      </c>
    </row>
    <row r="3" spans="1:27">
      <c r="A3" t="s">
        <v>2</v>
      </c>
      <c r="B3" t="s">
        <v>14</v>
      </c>
      <c r="C3" t="s">
        <v>20</v>
      </c>
      <c r="D3" t="s">
        <v>27</v>
      </c>
      <c r="E3" t="s">
        <v>32</v>
      </c>
      <c r="F3" t="s">
        <v>35</v>
      </c>
      <c r="G3" t="s">
        <v>39</v>
      </c>
      <c r="H3" t="s">
        <v>47</v>
      </c>
      <c r="I3" t="s">
        <v>65</v>
      </c>
      <c r="J3" t="s">
        <v>40</v>
      </c>
      <c r="K3" t="s">
        <v>80</v>
      </c>
      <c r="L3" t="s">
        <v>84</v>
      </c>
      <c r="M3" t="s">
        <v>87</v>
      </c>
      <c r="N3" t="s">
        <v>97</v>
      </c>
      <c r="O3" t="s">
        <v>109</v>
      </c>
      <c r="P3" t="s">
        <v>51</v>
      </c>
      <c r="Q3" t="s">
        <v>51</v>
      </c>
      <c r="R3" t="s">
        <v>133</v>
      </c>
      <c r="S3" t="s">
        <v>140</v>
      </c>
      <c r="T3" t="s">
        <v>145</v>
      </c>
      <c r="U3" t="s">
        <v>65</v>
      </c>
      <c r="V3" t="s">
        <v>155</v>
      </c>
      <c r="W3" t="s">
        <v>21</v>
      </c>
      <c r="X3" t="s">
        <v>108</v>
      </c>
      <c r="Y3" t="s">
        <v>175</v>
      </c>
      <c r="Z3" t="s">
        <v>65</v>
      </c>
      <c r="AA3" t="s">
        <v>188</v>
      </c>
    </row>
    <row r="4" spans="1:27">
      <c r="A4" t="s">
        <v>3</v>
      </c>
      <c r="B4" t="s">
        <v>7</v>
      </c>
      <c r="C4" t="s">
        <v>21</v>
      </c>
      <c r="D4" t="s">
        <v>28</v>
      </c>
      <c r="F4" t="s">
        <v>36</v>
      </c>
      <c r="G4" t="s">
        <v>40</v>
      </c>
      <c r="H4" t="s">
        <v>48</v>
      </c>
      <c r="I4" t="s">
        <v>41</v>
      </c>
      <c r="J4" t="s">
        <v>70</v>
      </c>
      <c r="K4" t="s">
        <v>81</v>
      </c>
      <c r="L4" t="s">
        <v>80</v>
      </c>
      <c r="M4" t="s">
        <v>88</v>
      </c>
      <c r="N4" t="s">
        <v>61</v>
      </c>
      <c r="O4" t="s">
        <v>110</v>
      </c>
      <c r="P4" t="s">
        <v>102</v>
      </c>
      <c r="Q4" t="s">
        <v>122</v>
      </c>
      <c r="R4" t="s">
        <v>134</v>
      </c>
      <c r="S4" t="s">
        <v>141</v>
      </c>
      <c r="T4" t="s">
        <v>146</v>
      </c>
      <c r="U4" t="s">
        <v>42</v>
      </c>
      <c r="V4" t="s">
        <v>156</v>
      </c>
      <c r="W4" t="s">
        <v>164</v>
      </c>
      <c r="X4" t="s">
        <v>168</v>
      </c>
      <c r="Y4" t="s">
        <v>176</v>
      </c>
      <c r="Z4" t="s">
        <v>135</v>
      </c>
      <c r="AA4" t="s">
        <v>189</v>
      </c>
    </row>
    <row r="5" spans="1:27">
      <c r="A5" t="s">
        <v>4</v>
      </c>
      <c r="B5" t="s">
        <v>15</v>
      </c>
      <c r="C5" t="s">
        <v>22</v>
      </c>
      <c r="D5" t="s">
        <v>29</v>
      </c>
      <c r="F5" t="s">
        <v>37</v>
      </c>
      <c r="G5" t="s">
        <v>41</v>
      </c>
      <c r="H5" t="s">
        <v>49</v>
      </c>
      <c r="I5" t="s">
        <v>42</v>
      </c>
      <c r="J5" t="s">
        <v>41</v>
      </c>
      <c r="K5" t="s">
        <v>74</v>
      </c>
      <c r="L5" t="s">
        <v>44</v>
      </c>
      <c r="M5" t="s">
        <v>89</v>
      </c>
      <c r="N5" t="s">
        <v>98</v>
      </c>
      <c r="O5" t="s">
        <v>111</v>
      </c>
      <c r="P5" t="s">
        <v>61</v>
      </c>
      <c r="Q5" t="s">
        <v>58</v>
      </c>
      <c r="R5" t="s">
        <v>135</v>
      </c>
      <c r="S5" t="s">
        <v>142</v>
      </c>
      <c r="T5" t="s">
        <v>147</v>
      </c>
      <c r="U5" t="s">
        <v>66</v>
      </c>
      <c r="V5" t="s">
        <v>40</v>
      </c>
      <c r="W5" t="s">
        <v>165</v>
      </c>
      <c r="X5" t="s">
        <v>169</v>
      </c>
      <c r="Y5" t="s">
        <v>177</v>
      </c>
      <c r="Z5" t="s">
        <v>134</v>
      </c>
      <c r="AA5" t="s">
        <v>190</v>
      </c>
    </row>
    <row r="6" spans="1:27">
      <c r="A6" t="s">
        <v>5</v>
      </c>
      <c r="B6" t="s">
        <v>16</v>
      </c>
      <c r="C6" t="s">
        <v>23</v>
      </c>
      <c r="G6" t="s">
        <v>42</v>
      </c>
      <c r="H6" t="s">
        <v>50</v>
      </c>
      <c r="I6" t="s">
        <v>66</v>
      </c>
      <c r="J6" t="s">
        <v>42</v>
      </c>
      <c r="K6" t="s">
        <v>75</v>
      </c>
      <c r="L6" t="s">
        <v>85</v>
      </c>
      <c r="M6" t="s">
        <v>90</v>
      </c>
      <c r="N6" t="s">
        <v>99</v>
      </c>
      <c r="O6" t="s">
        <v>99</v>
      </c>
      <c r="P6" t="s">
        <v>98</v>
      </c>
      <c r="Q6" t="s">
        <v>52</v>
      </c>
      <c r="R6" t="s">
        <v>136</v>
      </c>
      <c r="S6" t="s">
        <v>143</v>
      </c>
      <c r="T6" t="s">
        <v>148</v>
      </c>
      <c r="U6" t="s">
        <v>67</v>
      </c>
      <c r="V6" t="s">
        <v>157</v>
      </c>
      <c r="W6" t="s">
        <v>23</v>
      </c>
      <c r="X6" t="s">
        <v>111</v>
      </c>
      <c r="Y6" t="s">
        <v>178</v>
      </c>
      <c r="Z6" t="s">
        <v>136</v>
      </c>
      <c r="AA6" t="s">
        <v>191</v>
      </c>
    </row>
    <row r="7" spans="1:27">
      <c r="A7" t="s">
        <v>6</v>
      </c>
      <c r="B7" t="s">
        <v>17</v>
      </c>
      <c r="C7" t="s">
        <v>24</v>
      </c>
      <c r="G7" t="s">
        <v>43</v>
      </c>
      <c r="H7" t="s">
        <v>51</v>
      </c>
      <c r="I7" t="s">
        <v>67</v>
      </c>
      <c r="J7" t="s">
        <v>43</v>
      </c>
      <c r="K7" t="s">
        <v>24</v>
      </c>
      <c r="L7" t="s">
        <v>23</v>
      </c>
      <c r="M7" t="s">
        <v>91</v>
      </c>
      <c r="N7" t="s">
        <v>100</v>
      </c>
      <c r="O7" t="s">
        <v>112</v>
      </c>
      <c r="P7" t="s">
        <v>96</v>
      </c>
      <c r="Q7" t="s">
        <v>123</v>
      </c>
      <c r="R7" t="s">
        <v>24</v>
      </c>
      <c r="T7" t="s">
        <v>149</v>
      </c>
      <c r="U7" t="s">
        <v>22</v>
      </c>
      <c r="V7" t="s">
        <v>158</v>
      </c>
      <c r="W7" t="s">
        <v>75</v>
      </c>
      <c r="X7" t="s">
        <v>170</v>
      </c>
      <c r="Y7" t="s">
        <v>179</v>
      </c>
      <c r="Z7" t="s">
        <v>24</v>
      </c>
      <c r="AA7" t="s">
        <v>192</v>
      </c>
    </row>
    <row r="8" spans="1:27">
      <c r="A8" t="s">
        <v>7</v>
      </c>
      <c r="G8" t="s">
        <v>44</v>
      </c>
      <c r="H8" t="s">
        <v>52</v>
      </c>
      <c r="I8" t="s">
        <v>22</v>
      </c>
      <c r="J8" t="s">
        <v>71</v>
      </c>
      <c r="K8" t="s">
        <v>76</v>
      </c>
      <c r="L8" t="s">
        <v>22</v>
      </c>
      <c r="M8" t="s">
        <v>92</v>
      </c>
      <c r="N8" t="s">
        <v>101</v>
      </c>
      <c r="O8" t="s">
        <v>100</v>
      </c>
      <c r="P8" t="s">
        <v>97</v>
      </c>
      <c r="Q8" t="s">
        <v>61</v>
      </c>
      <c r="R8" t="s">
        <v>137</v>
      </c>
      <c r="T8" t="s">
        <v>150</v>
      </c>
      <c r="V8" t="s">
        <v>159</v>
      </c>
      <c r="X8" t="s">
        <v>171</v>
      </c>
      <c r="Y8" t="s">
        <v>180</v>
      </c>
    </row>
    <row r="9" spans="1:27">
      <c r="A9" t="s">
        <v>8</v>
      </c>
      <c r="G9" t="s">
        <v>23</v>
      </c>
      <c r="H9" t="s">
        <v>53</v>
      </c>
      <c r="J9" t="s">
        <v>72</v>
      </c>
      <c r="M9" t="s">
        <v>93</v>
      </c>
      <c r="N9" t="s">
        <v>102</v>
      </c>
      <c r="O9" t="s">
        <v>113</v>
      </c>
      <c r="P9" t="s">
        <v>58</v>
      </c>
      <c r="Q9" t="s">
        <v>124</v>
      </c>
      <c r="R9" t="s">
        <v>65</v>
      </c>
      <c r="T9" t="s">
        <v>151</v>
      </c>
      <c r="V9" t="s">
        <v>160</v>
      </c>
      <c r="X9" t="s">
        <v>172</v>
      </c>
      <c r="Y9" t="s">
        <v>181</v>
      </c>
    </row>
    <row r="10" spans="1:27">
      <c r="A10" t="s">
        <v>9</v>
      </c>
      <c r="G10" t="s">
        <v>22</v>
      </c>
      <c r="H10" t="s">
        <v>54</v>
      </c>
      <c r="J10" t="s">
        <v>73</v>
      </c>
      <c r="M10" t="s">
        <v>57</v>
      </c>
      <c r="N10" t="s">
        <v>103</v>
      </c>
      <c r="O10" t="s">
        <v>114</v>
      </c>
      <c r="P10" t="s">
        <v>55</v>
      </c>
      <c r="Q10" t="s">
        <v>125</v>
      </c>
      <c r="V10" t="s">
        <v>126</v>
      </c>
      <c r="Y10" t="s">
        <v>182</v>
      </c>
    </row>
    <row r="11" spans="1:27">
      <c r="A11" t="s">
        <v>10</v>
      </c>
      <c r="H11" t="s">
        <v>55</v>
      </c>
      <c r="J11" t="s">
        <v>74</v>
      </c>
      <c r="M11" t="s">
        <v>94</v>
      </c>
      <c r="N11" t="s">
        <v>104</v>
      </c>
      <c r="O11" t="s">
        <v>11</v>
      </c>
      <c r="P11" t="s">
        <v>117</v>
      </c>
      <c r="Q11" t="s">
        <v>126</v>
      </c>
      <c r="V11" t="s">
        <v>161</v>
      </c>
      <c r="Y11" t="s">
        <v>183</v>
      </c>
    </row>
    <row r="12" spans="1:27">
      <c r="A12" t="s">
        <v>11</v>
      </c>
      <c r="H12" t="s">
        <v>56</v>
      </c>
      <c r="J12" t="s">
        <v>75</v>
      </c>
      <c r="M12" t="s">
        <v>11</v>
      </c>
      <c r="N12" t="s">
        <v>105</v>
      </c>
      <c r="P12" t="s">
        <v>118</v>
      </c>
      <c r="Q12" t="s">
        <v>127</v>
      </c>
      <c r="V12" t="s">
        <v>162</v>
      </c>
      <c r="Y12" t="s">
        <v>184</v>
      </c>
    </row>
    <row r="13" spans="1:27">
      <c r="H13" t="s">
        <v>57</v>
      </c>
      <c r="J13" t="s">
        <v>24</v>
      </c>
      <c r="N13" t="s">
        <v>106</v>
      </c>
      <c r="P13" t="s">
        <v>119</v>
      </c>
      <c r="Q13" t="s">
        <v>128</v>
      </c>
      <c r="V13" t="s">
        <v>85</v>
      </c>
      <c r="Y13" t="s">
        <v>11</v>
      </c>
    </row>
    <row r="14" spans="1:27">
      <c r="H14" t="s">
        <v>58</v>
      </c>
      <c r="J14" t="s">
        <v>76</v>
      </c>
      <c r="N14" t="s">
        <v>11</v>
      </c>
      <c r="P14" t="s">
        <v>120</v>
      </c>
      <c r="Q14" t="s">
        <v>129</v>
      </c>
    </row>
    <row r="15" spans="1:27">
      <c r="H15" t="s">
        <v>59</v>
      </c>
      <c r="J15" t="s">
        <v>77</v>
      </c>
      <c r="P15" t="s">
        <v>11</v>
      </c>
      <c r="Q15" t="s">
        <v>130</v>
      </c>
    </row>
    <row r="16" spans="1:27">
      <c r="H16" t="s">
        <v>60</v>
      </c>
    </row>
    <row r="17" spans="8:8">
      <c r="H17" t="s">
        <v>61</v>
      </c>
    </row>
    <row r="18" spans="8:8">
      <c r="H18" t="s">
        <v>62</v>
      </c>
    </row>
    <row r="19" spans="8:8">
      <c r="H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52</vt:i4>
      </vt:variant>
    </vt:vector>
  </HeadingPairs>
  <TitlesOfParts>
    <vt:vector size="78" baseType="lpstr">
      <vt:lpstr>Welcome</vt:lpstr>
      <vt:lpstr>Project Dashboard</vt:lpstr>
      <vt:lpstr>Client &amp; Project Profile</vt:lpstr>
      <vt:lpstr>Room List</vt:lpstr>
      <vt:lpstr>Master FF&amp;E</vt:lpstr>
      <vt:lpstr>Furniture Schedule</vt:lpstr>
      <vt:lpstr>Fixtures Schedule</vt:lpstr>
      <vt:lpstr>Finishes Schedule</vt:lpstr>
      <vt:lpstr>Product Sourcing</vt:lpstr>
      <vt:lpstr>Vendor Database</vt:lpstr>
      <vt:lpstr>Budget Tracker</vt:lpstr>
      <vt:lpstr>Order Tracker</vt:lpstr>
      <vt:lpstr>Delivery &amp; Installation</vt:lpstr>
      <vt:lpstr>Client Approvals</vt:lpstr>
      <vt:lpstr>Project Timeline</vt:lpstr>
      <vt:lpstr>Task List</vt:lpstr>
      <vt:lpstr>Measurement Log</vt:lpstr>
      <vt:lpstr>Contractor Tracker</vt:lpstr>
      <vt:lpstr>Invoice &amp; Payment</vt:lpstr>
      <vt:lpstr>Project Notes</vt:lpstr>
      <vt:lpstr>Client FF&amp;E Report</vt:lpstr>
      <vt:lpstr>Room Budget Report</vt:lpstr>
      <vt:lpstr>Vendor Order Report</vt:lpstr>
      <vt:lpstr>Installation Checklist</vt:lpstr>
      <vt:lpstr>Final Punch List</vt:lpstr>
      <vt:lpstr>Lists</vt:lpstr>
      <vt:lpstr>ApprovalStatuses</vt:lpstr>
      <vt:lpstr>ApprovalTrackerStatuses</vt:lpstr>
      <vt:lpstr>ApprovalTypes</vt:lpstr>
      <vt:lpstr>BillingMethods</vt:lpstr>
      <vt:lpstr>BudgetCategories</vt:lpstr>
      <vt:lpstr>Categories</vt:lpstr>
      <vt:lpstr>DamageChecks</vt:lpstr>
      <vt:lpstr>DeliveryStatuses</vt:lpstr>
      <vt:lpstr>DesignStatuses</vt:lpstr>
      <vt:lpstr>FinishTypes</vt:lpstr>
      <vt:lpstr>FixtureTypes</vt:lpstr>
      <vt:lpstr>InstallStatuses</vt:lpstr>
      <vt:lpstr>InvoiceStatuses</vt:lpstr>
      <vt:lpstr>MeasurementTypes</vt:lpstr>
      <vt:lpstr>MeetingTypes</vt:lpstr>
      <vt:lpstr>OrderStatuses</vt:lpstr>
      <vt:lpstr>PaymentStatuses</vt:lpstr>
      <vt:lpstr>Phases</vt:lpstr>
      <vt:lpstr>'Budget Tracker'!Print_Titles</vt:lpstr>
      <vt:lpstr>'Client Approvals'!Print_Titles</vt:lpstr>
      <vt:lpstr>'Client FF&amp;E Report'!Print_Titles</vt:lpstr>
      <vt:lpstr>'Contractor Tracker'!Print_Titles</vt:lpstr>
      <vt:lpstr>'Delivery &amp; Installation'!Print_Titles</vt:lpstr>
      <vt:lpstr>'Final Punch List'!Print_Titles</vt:lpstr>
      <vt:lpstr>'Finishes Schedule'!Print_Titles</vt:lpstr>
      <vt:lpstr>'Fixtures Schedule'!Print_Titles</vt:lpstr>
      <vt:lpstr>'Furniture Schedule'!Print_Titles</vt:lpstr>
      <vt:lpstr>'Installation Checklist'!Print_Titles</vt:lpstr>
      <vt:lpstr>'Invoice &amp; Payment'!Print_Titles</vt:lpstr>
      <vt:lpstr>'Master FF&amp;E'!Print_Titles</vt:lpstr>
      <vt:lpstr>'Measurement Log'!Print_Titles</vt:lpstr>
      <vt:lpstr>'Order Tracker'!Print_Titles</vt:lpstr>
      <vt:lpstr>'Product Sourcing'!Print_Titles</vt:lpstr>
      <vt:lpstr>'Project Notes'!Print_Titles</vt:lpstr>
      <vt:lpstr>'Project Timeline'!Print_Titles</vt:lpstr>
      <vt:lpstr>'Room Budget Report'!Print_Titles</vt:lpstr>
      <vt:lpstr>'Room List'!Print_Titles</vt:lpstr>
      <vt:lpstr>'Task List'!Print_Titles</vt:lpstr>
      <vt:lpstr>'Vendor Database'!Print_Titles</vt:lpstr>
      <vt:lpstr>'Vendor Order Report'!Print_Titles</vt:lpstr>
      <vt:lpstr>Priorities</vt:lpstr>
      <vt:lpstr>ProjectBudget</vt:lpstr>
      <vt:lpstr>ProjectStatuses</vt:lpstr>
      <vt:lpstr>ProjectTypes</vt:lpstr>
      <vt:lpstr>RoomNames</vt:lpstr>
      <vt:lpstr>RoomTypes</vt:lpstr>
      <vt:lpstr>Surfaces</vt:lpstr>
      <vt:lpstr>TaskStatuses</vt:lpstr>
      <vt:lpstr>Trades</vt:lpstr>
      <vt:lpstr>VendorNames</vt:lpstr>
      <vt:lpstr>VendorTypes</vt:lpstr>
      <vt:lpstr>YesNo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Interior Design Project Manager</dc:title>
  <dc:subject>FF&amp;E, budget, purchasing, delivery, installation, approvals and project management</dc:subject>
  <dc:creator>Interior Design Project Manager</dc:creator>
  <dc:description>Excel and Google Sheets compatible; editable and unlocked.</dc:description>
  <cp:lastModifiedBy>Interior Design Project Manager</cp:lastModifiedBy>
  <dcterms:created xsi:type="dcterms:W3CDTF">2026-08-16T07:59:50Z</dcterms:created>
  <dcterms:modified xsi:type="dcterms:W3CDTF">2026-08-16T07:59:50Z</dcterms:modified>
</cp:coreProperties>
</file>