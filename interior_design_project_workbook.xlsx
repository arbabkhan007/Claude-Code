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 - Instructions" sheetId="1" state="visible" r:id="rId1"/>
    <sheet name="Project Dashboard" sheetId="2" state="visible" r:id="rId2"/>
    <sheet name="Client &amp; Project Profile" sheetId="3" state="visible" r:id="rId3"/>
    <sheet name="Room List" sheetId="4" state="visible" r:id="rId4"/>
    <sheet name="Master FF&amp;E Schedule" sheetId="5" state="visible" r:id="rId5"/>
    <sheet name="Furniture Schedule" sheetId="6" state="visible" r:id="rId6"/>
    <sheet name="Fixtures Schedule" sheetId="7" state="visible" r:id="rId7"/>
    <sheet name="Finishes Schedule" sheetId="8" state="visible" r:id="rId8"/>
    <sheet name="Product Sourcing Tracker" sheetId="9" state="visible" r:id="rId9"/>
    <sheet name="Vendor &amp; Supplier Database" sheetId="10" state="visible" r:id="rId10"/>
    <sheet name="Budget Tracker" sheetId="11" state="visible" r:id="rId11"/>
    <sheet name="Purchase Order Tracker" sheetId="12" state="visible" r:id="rId12"/>
    <sheet name="Delivery &amp; Installation" sheetId="13" state="visible" r:id="rId13"/>
    <sheet name="Client Approval Tracker" sheetId="14" state="visible" r:id="rId14"/>
    <sheet name="Project Timeline" sheetId="15" state="visible" r:id="rId15"/>
    <sheet name="Task &amp; To-Do List" sheetId="16" state="visible" r:id="rId16"/>
    <sheet name="Measurement Log" sheetId="17" state="visible" r:id="rId17"/>
    <sheet name="Contractor Installer Tracker" sheetId="18" state="visible" r:id="rId18"/>
    <sheet name="Invoice Payment Tracker" sheetId="19" state="visible" r:id="rId19"/>
    <sheet name="Project Meeting Notes" sheetId="20" state="visible" r:id="rId20"/>
    <sheet name="Client FFE Report" sheetId="21" state="visible" r:id="rId21"/>
    <sheet name="Room Budget Report" sheetId="22" state="visible" r:id="rId22"/>
    <sheet name="Vendor Order Report" sheetId="23" state="visible" r:id="rId23"/>
    <sheet name="Installation Checklist" sheetId="24" state="visible" r:id="rId24"/>
    <sheet name="Final Punch List" sheetId="25" state="visible" r:id="rId25"/>
    <sheet name="Lists" sheetId="26" state="hidden" r:id="rId26"/>
  </sheets>
  <definedNames>
    <definedName name="_xlnm._FilterDatabase" localSheetId="3" hidden="1">'Room List'!$A$1:$K$251</definedName>
    <definedName name="_xlnm._FilterDatabase" localSheetId="4" hidden="1">'Master FF&amp;E Schedule'!$A$1:$AA$251</definedName>
    <definedName name="_xlnm._FilterDatabase" localSheetId="5" hidden="1">'Furniture Schedule'!$A$1:$M$251</definedName>
    <definedName name="_xlnm._FilterDatabase" localSheetId="6" hidden="1">'Fixtures Schedule'!$A$1:$N$251</definedName>
    <definedName name="_xlnm._FilterDatabase" localSheetId="7" hidden="1">'Finishes Schedule'!$A$1:$O$251</definedName>
    <definedName name="_xlnm._FilterDatabase" localSheetId="8" hidden="1">'Product Sourcing Tracker'!$A$1:$M$251</definedName>
    <definedName name="_xlnm._FilterDatabase" localSheetId="9" hidden="1">'Vendor &amp; Supplier Database'!$A$1:$L$251</definedName>
    <definedName name="_xlnm._FilterDatabase" localSheetId="10" hidden="1">'Budget Tracker'!$A$1:$I$251</definedName>
    <definedName name="_xlnm._FilterDatabase" localSheetId="11" hidden="1">'Purchase Order Tracker'!$A$1:$P$251</definedName>
    <definedName name="_xlnm._FilterDatabase" localSheetId="12" hidden="1">'Delivery &amp; Installation'!$A$1:$O$251</definedName>
    <definedName name="_xlnm._FilterDatabase" localSheetId="13" hidden="1">'Client Approval Tracker'!$A$1:$J$251</definedName>
    <definedName name="_xlnm._FilterDatabase" localSheetId="14" hidden="1">'Project Timeline'!$A$1:$X$251</definedName>
    <definedName name="_xlnm._FilterDatabase" localSheetId="15" hidden="1">'Task &amp; To-Do List'!$A$1:$I$251</definedName>
    <definedName name="_xlnm._FilterDatabase" localSheetId="16" hidden="1">'Measurement Log'!$A$1:$K$251</definedName>
    <definedName name="_xlnm._FilterDatabase" localSheetId="17" hidden="1">'Contractor Installer Tracker'!$A$1:$K$251</definedName>
    <definedName name="_xlnm._FilterDatabase" localSheetId="18" hidden="1">'Invoice Payment Tracker'!$A$1:$K$251</definedName>
    <definedName name="_xlnm._FilterDatabase" localSheetId="19" hidden="1">'Project Meeting Notes'!$A$1:$H$251</definedName>
    <definedName name="_xlnm._FilterDatabase" localSheetId="20" hidden="1">'Client FFE Report'!$A$1:$J$251</definedName>
    <definedName name="_xlnm._FilterDatabase" localSheetId="21" hidden="1">'Room Budget Report'!$A$1:$G$251</definedName>
    <definedName name="_xlnm._FilterDatabase" localSheetId="22" hidden="1">'Vendor Order Report'!$A$1:$J$251</definedName>
    <definedName name="_xlnm._FilterDatabase" localSheetId="23" hidden="1">'Installation Checklist'!$A$1:$J$251</definedName>
    <definedName name="_xlnm._FilterDatabase" localSheetId="24" hidden="1">'Final Punch List'!$A$1:$H$251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m/d/yyyy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20"/>
    </font>
    <font>
      <b val="1"/>
      <color rgb="00FFFFFF"/>
      <sz val="13"/>
    </font>
    <font>
      <b val="1"/>
      <color rgb="00FFFFFF"/>
      <sz val="18"/>
    </font>
    <font>
      <b val="1"/>
      <color rgb="00FFFFFF"/>
    </font>
    <font>
      <b val="1"/>
      <color rgb="00FFFFFF"/>
      <sz val="22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7365D"/>
      </patternFill>
    </fill>
    <fill>
      <patternFill patternType="solid">
        <fgColor rgb="000F766E"/>
      </patternFill>
    </fill>
    <fill>
      <patternFill patternType="solid">
        <fgColor rgb="00F8FBFD"/>
      </patternFill>
    </fill>
    <fill>
      <patternFill patternType="solid">
        <fgColor rgb="00DDEFEA"/>
      </patternFill>
    </fill>
    <fill>
      <patternFill patternType="solid">
        <fgColor rgb="001F4E78"/>
      </patternFill>
    </fill>
    <fill>
      <patternFill patternType="solid">
        <fgColor rgb="00F4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0" fillId="5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1" fillId="6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by Room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Dashboard'!B17</f>
            </strRef>
          </tx>
          <spPr>
            <a:ln>
              <a:prstDash val="solid"/>
            </a:ln>
          </spPr>
          <cat>
            <numRef>
              <f>'Project Dashboard'!$A$18:$A$30</f>
            </numRef>
          </cat>
          <val>
            <numRef>
              <f>'Project Dashboard'!$B$18:$B$30</f>
            </numRef>
          </val>
        </ser>
        <ser>
          <idx val="1"/>
          <order val="1"/>
          <tx>
            <strRef>
              <f>'Project Dashboard'!C17</f>
            </strRef>
          </tx>
          <spPr>
            <a:ln>
              <a:prstDash val="solid"/>
            </a:ln>
          </spPr>
          <cat>
            <numRef>
              <f>'Project Dashboard'!$A$18:$A$30</f>
            </numRef>
          </cat>
          <val>
            <numRef>
              <f>'Project Dashboard'!$C$18:$C$30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Dashboard'!F17</f>
            </strRef>
          </tx>
          <spPr>
            <a:ln>
              <a:prstDash val="solid"/>
            </a:ln>
          </spPr>
          <cat>
            <numRef>
              <f>'Project Dashboard'!$E$18:$E$19</f>
            </numRef>
          </cat>
          <val>
            <numRef>
              <f>'Project Dashboard'!$F$18:$F$19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Item Status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'Project Dashboard'!$H$18:$H$27</f>
            </numRef>
          </cat>
          <val>
            <numRef>
              <f>'Project Dashboard'!$I$18:$I$27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Delivery Status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'Project Dashboard'!$A$37:$A$44</f>
            </numRef>
          </cat>
          <val>
            <numRef>
              <f>'Project Dashboard'!$B$37:$B$44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Category Spend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Dashboard'!F36</f>
            </strRef>
          </tx>
          <spPr>
            <a:ln>
              <a:prstDash val="solid"/>
            </a:ln>
          </spPr>
          <cat>
            <numRef>
              <f>'Project Dashboard'!$E$37:$E$54</f>
            </numRef>
          </cat>
          <val>
            <numRef>
              <f>'Project Dashboard'!$F$37:$F$54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71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87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48" customHeight="1">
      <c r="A1" s="1" t="inlineStr">
        <is>
          <t>Interior Design Project Management Workbook</t>
        </is>
      </c>
    </row>
    <row r="3">
      <c r="A3" s="2" t="inlineStr">
        <is>
          <t>Quick Start Guide</t>
        </is>
      </c>
    </row>
    <row r="4">
      <c r="A4" s="3" t="inlineStr">
        <is>
          <t>Step 1: Add client/project details in Client &amp; Project Profile.
Step 2: Add rooms in Room List.
Step 3: Add FF&amp;E items in Master FF&amp;E Schedule.
Step 4: Track budget, orders, approvals, delivery, and installation.
Step 5: Use Project Dashboard for overview.</t>
        </is>
      </c>
    </row>
    <row r="5"/>
    <row r="7">
      <c r="A7" s="2" t="inlineStr">
        <is>
          <t>What Each Tab Is Used For</t>
        </is>
      </c>
    </row>
    <row r="8">
      <c r="A8" s="3" t="inlineStr">
        <is>
          <t>Profile stores project details. Room List tracks rooms and budgets. Master FF&amp;E is the core item schedule. Other tabs track furniture, fixtures, finishes, sourcing, vendors, budget, orders, delivery, approvals, timeline, tasks, measurements, contractors, invoices, and notes.</t>
        </is>
      </c>
    </row>
    <row r="9"/>
    <row r="11">
      <c r="A11" s="2" t="inlineStr">
        <is>
          <t>How To Enter Data</t>
        </is>
      </c>
    </row>
    <row r="12">
      <c r="A12" s="3" t="inlineStr">
        <is>
          <t>Type into white cells beginning on row 2. Header rows and formula columns should not be overwritten unless you intentionally customize the workbook.</t>
        </is>
      </c>
    </row>
    <row r="13"/>
    <row r="15">
      <c r="A15" s="2" t="inlineStr">
        <is>
          <t>Color Coding</t>
        </is>
      </c>
    </row>
    <row r="16">
      <c r="A16" s="3" t="inlineStr">
        <is>
          <t>Green = complete / approved / on budget. Yellow = pending / in progress. Red = overdue / over budget / delayed. Gray = cancelled / on hold.</t>
        </is>
      </c>
    </row>
    <row r="17"/>
    <row r="19">
      <c r="A19" s="2" t="inlineStr">
        <is>
          <t>Dropdown Instructions</t>
        </is>
      </c>
    </row>
    <row r="20">
      <c r="A20" s="3" t="inlineStr">
        <is>
          <t>Click cells in status/category/room/vendor/priority columns and select from dropdown menus. Room and vendor dropdowns reference the Room List and Vendor Database.</t>
        </is>
      </c>
    </row>
    <row r="21"/>
    <row r="23">
      <c r="A23" s="2" t="inlineStr">
        <is>
          <t>Compatibility Note</t>
        </is>
      </c>
    </row>
    <row r="24">
      <c r="A24" s="3" t="inlineStr">
        <is>
          <t>Built as a native Excel workbook with Python/openpyxl. It can be uploaded to Google Sheets. A Google Apps Script version is also included for native Google Sheets generation.</t>
        </is>
      </c>
    </row>
    <row r="25"/>
    <row r="27">
      <c r="A27" s="2" t="inlineStr">
        <is>
          <t>Editable / Unlocked Version Note</t>
        </is>
      </c>
    </row>
    <row r="28">
      <c r="A28" s="3" t="inlineStr">
        <is>
          <t>This is editable. Header rows are styled to discourage accidental changes, but the workbook can be customized.</t>
        </is>
      </c>
    </row>
    <row r="29"/>
    <row r="31">
      <c r="A31" s="2" t="inlineStr">
        <is>
          <t>Support / Contact Note</t>
        </is>
      </c>
    </row>
    <row r="32">
      <c r="A32" s="3" t="inlineStr">
        <is>
          <t>Add your support email, shop URL, license terms, or client handoff notes here before selling or sharing.</t>
        </is>
      </c>
    </row>
    <row r="33"/>
  </sheetData>
  <mergeCells count="17">
    <mergeCell ref="A11:F11"/>
    <mergeCell ref="A16:F17"/>
    <mergeCell ref="A19:F19"/>
    <mergeCell ref="A32:F33"/>
    <mergeCell ref="A1:F1"/>
    <mergeCell ref="A23:F23"/>
    <mergeCell ref="A12:F13"/>
    <mergeCell ref="A27:F27"/>
    <mergeCell ref="A31:F31"/>
    <mergeCell ref="A8:F9"/>
    <mergeCell ref="A24:F25"/>
    <mergeCell ref="A3:F3"/>
    <mergeCell ref="A4:F5"/>
    <mergeCell ref="A28:F29"/>
    <mergeCell ref="A20:F21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4" t="inlineStr">
        <is>
          <t>Project Dashboard</t>
        </is>
      </c>
    </row>
    <row r="3">
      <c r="A3" s="5" t="inlineStr">
        <is>
          <t>Total project budget</t>
        </is>
      </c>
      <c r="D3" s="5" t="inlineStr">
        <is>
          <t>Total estimated cost</t>
        </is>
      </c>
      <c r="G3" s="5" t="inlineStr">
        <is>
          <t>Total actual cost</t>
        </is>
      </c>
      <c r="J3" s="5" t="inlineStr">
        <is>
          <t>Remaining budget</t>
        </is>
      </c>
    </row>
    <row r="4">
      <c r="A4" s="6">
        <f>'Client &amp; Project Profile'!B12</f>
        <v/>
      </c>
      <c r="D4" s="6">
        <f>SUM('Budget Tracker'!C2:C251)</f>
        <v/>
      </c>
      <c r="G4" s="6">
        <f>SUM('Budget Tracker'!D2:D251)</f>
        <v/>
      </c>
      <c r="J4" s="6">
        <f>'Client &amp; Project Profile'!B12-SUM('Budget Tracker'!D2:D251)</f>
        <v/>
      </c>
    </row>
    <row r="6">
      <c r="A6" s="5" t="inlineStr">
        <is>
          <t>Budget used %</t>
        </is>
      </c>
      <c r="D6" s="5" t="inlineStr">
        <is>
          <t>Number of rooms</t>
        </is>
      </c>
      <c r="G6" s="5" t="inlineStr">
        <is>
          <t>Total FF&amp;E items</t>
        </is>
      </c>
      <c r="J6" s="5" t="inlineStr">
        <is>
          <t>Items approved</t>
        </is>
      </c>
    </row>
    <row r="7">
      <c r="A7" s="6">
        <f>IFERROR(SUM('Budget Tracker'!D2:D251)/'Client &amp; Project Profile'!B12,0)</f>
        <v/>
      </c>
      <c r="D7" s="6">
        <f>COUNTA('Room List'!A2:A251)</f>
        <v/>
      </c>
      <c r="G7" s="6">
        <f>COUNTA('Master FF&amp;E Schedule'!D2:D251)</f>
        <v/>
      </c>
      <c r="J7" s="6">
        <f>COUNTIF('Master FF&amp;E Schedule'!W2:W251,"Approved")</f>
        <v/>
      </c>
    </row>
    <row r="9">
      <c r="A9" s="5" t="inlineStr">
        <is>
          <t>Items ordered</t>
        </is>
      </c>
      <c r="D9" s="5" t="inlineStr">
        <is>
          <t>Items delivered</t>
        </is>
      </c>
      <c r="G9" s="5" t="inlineStr">
        <is>
          <t>Items installed</t>
        </is>
      </c>
      <c r="J9" s="5" t="inlineStr">
        <is>
          <t>Overdue tasks</t>
        </is>
      </c>
    </row>
    <row r="10">
      <c r="A10" s="6">
        <f>COUNTIF('Master FF&amp;E Schedule'!V2:V251,"Ordered")+COUNTIF('Master FF&amp;E Schedule'!V2:V251,"Confirmed")+COUNTIF('Master FF&amp;E Schedule'!V2:V251,"In production")+COUNTIF('Master FF&amp;E Schedule'!V2:V251,"Shipped")+COUNTIF('Master FF&amp;E Schedule'!V2:V251,"Delivered")</f>
        <v/>
      </c>
      <c r="D10" s="6">
        <f>COUNTIF('Master FF&amp;E Schedule'!X2:X251,"Delivered")</f>
        <v/>
      </c>
      <c r="G10" s="6">
        <f>COUNTIF('Master FF&amp;E Schedule'!Y2:Y251,"Installed")</f>
        <v/>
      </c>
      <c r="J10" s="6">
        <f>COUNTIF('Task &amp; To-Do List'!I2:I251,"&gt;0")+COUNTIF('Project Timeline'!L2:L251,"&gt;0")</f>
        <v/>
      </c>
    </row>
    <row r="12">
      <c r="A12" s="5" t="inlineStr">
        <is>
          <t>Pending client approvals</t>
        </is>
      </c>
      <c r="D12" s="5" t="inlineStr">
        <is>
          <t>Open vendor orders</t>
        </is>
      </c>
      <c r="G12" s="5" t="inlineStr">
        <is>
          <t>Items not ordered</t>
        </is>
      </c>
      <c r="J12" s="5" t="inlineStr">
        <is>
          <t>Delivered not installed</t>
        </is>
      </c>
    </row>
    <row r="13">
      <c r="A13" s="6">
        <f>COUNTIF('Client Approval Tracker'!F2:F251,"Sent")+COUNTIF('Client Approval Tracker'!F2:F251,"Not sent")+COUNTIF('Master FF&amp;E Schedule'!W2:W251,"Client review")</f>
        <v/>
      </c>
      <c r="D13" s="6">
        <f>COUNTIF('Purchase Order Tracker'!J2:J251,"Ordered")+COUNTIF('Purchase Order Tracker'!J2:J251,"Confirmed")+COUNTIF('Purchase Order Tracker'!J2:J251,"In production")+COUNTIF('Purchase Order Tracker'!J2:J251,"Shipped")+COUNTIF('Purchase Order Tracker'!J2:J251,"Delayed")</f>
        <v/>
      </c>
      <c r="G13" s="6">
        <f>COUNTIF('Master FF&amp;E Schedule'!V2:V251,"Not ordered")+COUNTIFS('Master FF&amp;E Schedule'!D2:D251,"&lt;&gt;",'Master FF&amp;E Schedule'!V2:V251,"")</f>
        <v/>
      </c>
      <c r="J13" s="6">
        <f>COUNTIFS('Master FF&amp;E Schedule'!X2:X251,"Delivered",'Master FF&amp;E Schedule'!Y2:Y251,"&lt;&gt;Installed")</f>
        <v/>
      </c>
    </row>
    <row r="16">
      <c r="A16" t="inlineStr">
        <is>
          <t>Budget by Room</t>
        </is>
      </c>
      <c r="E16" t="inlineStr">
        <is>
          <t>Budget vs Actual</t>
        </is>
      </c>
      <c r="H16" t="inlineStr">
        <is>
          <t>Item Status Breakdown</t>
        </is>
      </c>
    </row>
    <row r="17">
      <c r="A17" t="inlineStr">
        <is>
          <t>Room</t>
        </is>
      </c>
      <c r="B17" t="inlineStr">
        <is>
          <t>Estimated</t>
        </is>
      </c>
      <c r="C17" t="inlineStr">
        <is>
          <t>Actual</t>
        </is>
      </c>
      <c r="E17" t="inlineStr">
        <is>
          <t>Metric</t>
        </is>
      </c>
      <c r="F17" t="inlineStr">
        <is>
          <t>Amount</t>
        </is>
      </c>
      <c r="H17" t="inlineStr">
        <is>
          <t>Status</t>
        </is>
      </c>
      <c r="I17" t="inlineStr">
        <is>
          <t>Count</t>
        </is>
      </c>
    </row>
    <row r="18">
      <c r="A18">
        <f>'Room List'!A2</f>
        <v/>
      </c>
      <c r="B18">
        <f>'Room List'!G2</f>
        <v/>
      </c>
      <c r="C18">
        <f>'Room List'!H2</f>
        <v/>
      </c>
      <c r="E18" t="inlineStr">
        <is>
          <t>Budget</t>
        </is>
      </c>
      <c r="F18">
        <f>'Client &amp; Project Profile'!B12</f>
        <v/>
      </c>
      <c r="H18" t="inlineStr">
        <is>
          <t>Sourcing</t>
        </is>
      </c>
      <c r="I18">
        <f>COUNTIF('Master FF&amp;E Schedule'!V2:Y251,"Sourcing")</f>
        <v/>
      </c>
    </row>
    <row r="19">
      <c r="A19">
        <f>'Room List'!A3</f>
        <v/>
      </c>
      <c r="B19">
        <f>'Room List'!G3</f>
        <v/>
      </c>
      <c r="C19">
        <f>'Room List'!H3</f>
        <v/>
      </c>
      <c r="E19" t="inlineStr">
        <is>
          <t>Actual</t>
        </is>
      </c>
      <c r="F19">
        <f>SUM('Budget Tracker'!D2:D251)</f>
        <v/>
      </c>
      <c r="H19" t="inlineStr">
        <is>
          <t>Option selected</t>
        </is>
      </c>
      <c r="I19">
        <f>COUNTIF('Master FF&amp;E Schedule'!V2:Y251,"Option selected")</f>
        <v/>
      </c>
    </row>
    <row r="20">
      <c r="A20">
        <f>'Room List'!A4</f>
        <v/>
      </c>
      <c r="B20">
        <f>'Room List'!G4</f>
        <v/>
      </c>
      <c r="C20">
        <f>'Room List'!H4</f>
        <v/>
      </c>
      <c r="H20" t="inlineStr">
        <is>
          <t>Client review</t>
        </is>
      </c>
      <c r="I20">
        <f>COUNTIF('Master FF&amp;E Schedule'!V2:Y251,"Client review")</f>
        <v/>
      </c>
    </row>
    <row r="21">
      <c r="A21">
        <f>'Room List'!A5</f>
        <v/>
      </c>
      <c r="B21">
        <f>'Room List'!G5</f>
        <v/>
      </c>
      <c r="C21">
        <f>'Room List'!H5</f>
        <v/>
      </c>
      <c r="H21" t="inlineStr">
        <is>
          <t>Approved</t>
        </is>
      </c>
      <c r="I21">
        <f>COUNTIF('Master FF&amp;E Schedule'!V2:Y251,"Approved")</f>
        <v/>
      </c>
    </row>
    <row r="22">
      <c r="A22">
        <f>'Room List'!A6</f>
        <v/>
      </c>
      <c r="B22">
        <f>'Room List'!G6</f>
        <v/>
      </c>
      <c r="C22">
        <f>'Room List'!H6</f>
        <v/>
      </c>
      <c r="H22" t="inlineStr">
        <is>
          <t>Ordered</t>
        </is>
      </c>
      <c r="I22">
        <f>COUNTIF('Master FF&amp;E Schedule'!V2:Y251,"Ordered")</f>
        <v/>
      </c>
    </row>
    <row r="23">
      <c r="A23">
        <f>'Room List'!A7</f>
        <v/>
      </c>
      <c r="B23">
        <f>'Room List'!G7</f>
        <v/>
      </c>
      <c r="C23">
        <f>'Room List'!H7</f>
        <v/>
      </c>
      <c r="H23" t="inlineStr">
        <is>
          <t>Shipped</t>
        </is>
      </c>
      <c r="I23">
        <f>COUNTIF('Master FF&amp;E Schedule'!V2:Y251,"Shipped")</f>
        <v/>
      </c>
    </row>
    <row r="24">
      <c r="A24">
        <f>'Room List'!A8</f>
        <v/>
      </c>
      <c r="B24">
        <f>'Room List'!G8</f>
        <v/>
      </c>
      <c r="C24">
        <f>'Room List'!H8</f>
        <v/>
      </c>
      <c r="H24" t="inlineStr">
        <is>
          <t>Delivered</t>
        </is>
      </c>
      <c r="I24">
        <f>COUNTIF('Master FF&amp;E Schedule'!V2:Y251,"Delivered")</f>
        <v/>
      </c>
    </row>
    <row r="25">
      <c r="A25">
        <f>'Room List'!A9</f>
        <v/>
      </c>
      <c r="B25">
        <f>'Room List'!G9</f>
        <v/>
      </c>
      <c r="C25">
        <f>'Room List'!H9</f>
        <v/>
      </c>
      <c r="H25" t="inlineStr">
        <is>
          <t>Installed</t>
        </is>
      </c>
      <c r="I25">
        <f>COUNTIF('Master FF&amp;E Schedule'!V2:Y251,"Installed")</f>
        <v/>
      </c>
    </row>
    <row r="26">
      <c r="A26">
        <f>'Room List'!A10</f>
        <v/>
      </c>
      <c r="B26">
        <f>'Room List'!G10</f>
        <v/>
      </c>
      <c r="C26">
        <f>'Room List'!H10</f>
        <v/>
      </c>
      <c r="H26" t="inlineStr">
        <is>
          <t>Cancelled</t>
        </is>
      </c>
      <c r="I26">
        <f>COUNTIF('Master FF&amp;E Schedule'!V2:Y251,"Cancelled")</f>
        <v/>
      </c>
    </row>
    <row r="27">
      <c r="A27">
        <f>'Room List'!A11</f>
        <v/>
      </c>
      <c r="B27">
        <f>'Room List'!G11</f>
        <v/>
      </c>
      <c r="C27">
        <f>'Room List'!H11</f>
        <v/>
      </c>
      <c r="H27" t="inlineStr">
        <is>
          <t>Backordered</t>
        </is>
      </c>
      <c r="I27">
        <f>COUNTIF('Master FF&amp;E Schedule'!V2:Y251,"Backordered")</f>
        <v/>
      </c>
    </row>
    <row r="28">
      <c r="A28">
        <f>'Room List'!A12</f>
        <v/>
      </c>
      <c r="B28">
        <f>'Room List'!G12</f>
        <v/>
      </c>
      <c r="C28">
        <f>'Room List'!H12</f>
        <v/>
      </c>
    </row>
    <row r="29">
      <c r="A29">
        <f>'Room List'!A13</f>
        <v/>
      </c>
      <c r="B29">
        <f>'Room List'!G13</f>
        <v/>
      </c>
      <c r="C29">
        <f>'Room List'!H13</f>
        <v/>
      </c>
    </row>
    <row r="30">
      <c r="A30">
        <f>'Room List'!A14</f>
        <v/>
      </c>
      <c r="B30">
        <f>'Room List'!G14</f>
        <v/>
      </c>
      <c r="C30">
        <f>'Room List'!H14</f>
        <v/>
      </c>
    </row>
    <row r="35">
      <c r="A35" t="inlineStr">
        <is>
          <t>Delivery Status Breakdown</t>
        </is>
      </c>
      <c r="E35" t="inlineStr">
        <is>
          <t>Category Spend Breakdown</t>
        </is>
      </c>
    </row>
    <row r="36">
      <c r="A36" t="inlineStr">
        <is>
          <t>Status</t>
        </is>
      </c>
      <c r="B36" t="inlineStr">
        <is>
          <t>Count</t>
        </is>
      </c>
      <c r="E36" t="inlineStr">
        <is>
          <t>Category</t>
        </is>
      </c>
      <c r="F36" t="inlineStr">
        <is>
          <t>Final Cost</t>
        </is>
      </c>
    </row>
    <row r="37">
      <c r="A37" t="inlineStr">
        <is>
          <t>Not ordered</t>
        </is>
      </c>
      <c r="B37">
        <f>COUNTIF('Delivery &amp; Installation'!G2:G251,"Not ordered")</f>
        <v/>
      </c>
      <c r="E37" t="inlineStr">
        <is>
          <t>Sofa</t>
        </is>
      </c>
      <c r="F37">
        <f>SUMIF('Master FF&amp;E Schedule'!C2:C251,"Sofa",'Master FF&amp;E Schedule'!T2:T251)</f>
        <v/>
      </c>
    </row>
    <row r="38">
      <c r="A38" t="inlineStr">
        <is>
          <t>Ordered</t>
        </is>
      </c>
      <c r="B38">
        <f>COUNTIF('Delivery &amp; Installation'!G2:G251,"Ordered")</f>
        <v/>
      </c>
      <c r="E38" t="inlineStr">
        <is>
          <t>Chair</t>
        </is>
      </c>
      <c r="F38">
        <f>SUMIF('Master FF&amp;E Schedule'!C2:C251,"Chair",'Master FF&amp;E Schedule'!T2:T251)</f>
        <v/>
      </c>
    </row>
    <row r="39">
      <c r="A39" t="inlineStr">
        <is>
          <t>Shipped</t>
        </is>
      </c>
      <c r="B39">
        <f>COUNTIF('Delivery &amp; Installation'!G2:G251,"Shipped")</f>
        <v/>
      </c>
      <c r="E39" t="inlineStr">
        <is>
          <t>Table</t>
        </is>
      </c>
      <c r="F39">
        <f>SUMIF('Master FF&amp;E Schedule'!C2:C251,"Table",'Master FF&amp;E Schedule'!T2:T251)</f>
        <v/>
      </c>
    </row>
    <row r="40">
      <c r="A40" t="inlineStr">
        <is>
          <t>Delivered</t>
        </is>
      </c>
      <c r="B40">
        <f>COUNTIF('Delivery &amp; Installation'!G2:G251,"Delivered")</f>
        <v/>
      </c>
      <c r="E40" t="inlineStr">
        <is>
          <t>Bed</t>
        </is>
      </c>
      <c r="F40">
        <f>SUMIF('Master FF&amp;E Schedule'!C2:C251,"Bed",'Master FF&amp;E Schedule'!T2:T251)</f>
        <v/>
      </c>
    </row>
    <row r="41">
      <c r="A41" t="inlineStr">
        <is>
          <t>Delayed</t>
        </is>
      </c>
      <c r="B41">
        <f>COUNTIF('Delivery &amp; Installation'!G2:G251,"Delayed")</f>
        <v/>
      </c>
      <c r="E41" t="inlineStr">
        <is>
          <t>Rug</t>
        </is>
      </c>
      <c r="F41">
        <f>SUMIF('Master FF&amp;E Schedule'!C2:C251,"Rug",'Master FF&amp;E Schedule'!T2:T251)</f>
        <v/>
      </c>
    </row>
    <row r="42">
      <c r="A42" t="inlineStr">
        <is>
          <t>Cancelled</t>
        </is>
      </c>
      <c r="B42">
        <f>COUNTIF('Delivery &amp; Installation'!G2:G251,"Cancelled")</f>
        <v/>
      </c>
      <c r="E42" t="inlineStr">
        <is>
          <t>Lighting</t>
        </is>
      </c>
      <c r="F42">
        <f>SUMIF('Master FF&amp;E Schedule'!C2:C251,"Lighting",'Master FF&amp;E Schedule'!T2:T251)</f>
        <v/>
      </c>
    </row>
    <row r="43">
      <c r="A43" t="inlineStr">
        <is>
          <t>Returned</t>
        </is>
      </c>
      <c r="B43">
        <f>COUNTIF('Delivery &amp; Installation'!G2:G251,"Returned")</f>
        <v/>
      </c>
      <c r="E43" t="inlineStr">
        <is>
          <t>Artwork</t>
        </is>
      </c>
      <c r="F43">
        <f>SUMIF('Master FF&amp;E Schedule'!C2:C251,"Artwork",'Master FF&amp;E Schedule'!T2:T251)</f>
        <v/>
      </c>
    </row>
    <row r="44">
      <c r="A44" t="inlineStr">
        <is>
          <t>Backordered</t>
        </is>
      </c>
      <c r="B44">
        <f>COUNTIF('Delivery &amp; Installation'!G2:G251,"Backordered")</f>
        <v/>
      </c>
      <c r="E44" t="inlineStr">
        <is>
          <t>Mirror</t>
        </is>
      </c>
      <c r="F44">
        <f>SUMIF('Master FF&amp;E Schedule'!C2:C251,"Mirror",'Master FF&amp;E Schedule'!T2:T251)</f>
        <v/>
      </c>
    </row>
    <row r="45">
      <c r="E45" t="inlineStr">
        <is>
          <t>Window treatment</t>
        </is>
      </c>
      <c r="F45">
        <f>SUMIF('Master FF&amp;E Schedule'!C2:C251,"Window treatment",'Master FF&amp;E Schedule'!T2:T251)</f>
        <v/>
      </c>
    </row>
    <row r="46">
      <c r="E46" t="inlineStr">
        <is>
          <t>Hardware</t>
        </is>
      </c>
      <c r="F46">
        <f>SUMIF('Master FF&amp;E Schedule'!C2:C251,"Hardware",'Master FF&amp;E Schedule'!T2:T251)</f>
        <v/>
      </c>
    </row>
    <row r="47">
      <c r="E47" t="inlineStr">
        <is>
          <t>Plumbing fixture</t>
        </is>
      </c>
      <c r="F47">
        <f>SUMIF('Master FF&amp;E Schedule'!C2:C251,"Plumbing fixture",'Master FF&amp;E Schedule'!T2:T251)</f>
        <v/>
      </c>
    </row>
    <row r="48">
      <c r="E48" t="inlineStr">
        <is>
          <t>Appliance</t>
        </is>
      </c>
      <c r="F48">
        <f>SUMIF('Master FF&amp;E Schedule'!C2:C251,"Appliance",'Master FF&amp;E Schedule'!T2:T251)</f>
        <v/>
      </c>
    </row>
    <row r="49">
      <c r="E49" t="inlineStr">
        <is>
          <t>Decor</t>
        </is>
      </c>
      <c r="F49">
        <f>SUMIF('Master FF&amp;E Schedule'!C2:C251,"Decor",'Master FF&amp;E Schedule'!T2:T251)</f>
        <v/>
      </c>
    </row>
    <row r="50">
      <c r="E50" t="inlineStr">
        <is>
          <t>Textile</t>
        </is>
      </c>
      <c r="F50">
        <f>SUMIF('Master FF&amp;E Schedule'!C2:C251,"Textile",'Master FF&amp;E Schedule'!T2:T251)</f>
        <v/>
      </c>
    </row>
    <row r="51">
      <c r="E51" t="inlineStr">
        <is>
          <t>Cabinetry</t>
        </is>
      </c>
      <c r="F51">
        <f>SUMIF('Master FF&amp;E Schedule'!C2:C251,"Cabinetry",'Master FF&amp;E Schedule'!T2:T251)</f>
        <v/>
      </c>
    </row>
    <row r="52">
      <c r="E52" t="inlineStr">
        <is>
          <t>Flooring</t>
        </is>
      </c>
      <c r="F52">
        <f>SUMIF('Master FF&amp;E Schedule'!C2:C251,"Flooring",'Master FF&amp;E Schedule'!T2:T251)</f>
        <v/>
      </c>
    </row>
    <row r="53">
      <c r="E53" t="inlineStr">
        <is>
          <t>Wallcovering</t>
        </is>
      </c>
      <c r="F53">
        <f>SUMIF('Master FF&amp;E Schedule'!C2:C251,"Wallcovering",'Master FF&amp;E Schedule'!T2:T251)</f>
        <v/>
      </c>
    </row>
    <row r="54">
      <c r="E54" t="inlineStr">
        <is>
          <t>Other</t>
        </is>
      </c>
      <c r="F54">
        <f>SUMIF('Master FF&amp;E Schedule'!C2:C251,"Other",'Master FF&amp;E Schedule'!T2:T251)</f>
        <v/>
      </c>
    </row>
  </sheetData>
  <mergeCells count="33">
    <mergeCell ref="G12:H12"/>
    <mergeCell ref="D10:E10"/>
    <mergeCell ref="J10:K10"/>
    <mergeCell ref="J13:K13"/>
    <mergeCell ref="A6:B6"/>
    <mergeCell ref="J9:K9"/>
    <mergeCell ref="D6:E6"/>
    <mergeCell ref="A7:B7"/>
    <mergeCell ref="G7:H7"/>
    <mergeCell ref="J6:K6"/>
    <mergeCell ref="D13:E13"/>
    <mergeCell ref="G10:H10"/>
    <mergeCell ref="G6:H6"/>
    <mergeCell ref="G13:H13"/>
    <mergeCell ref="A3:B3"/>
    <mergeCell ref="G3:H3"/>
    <mergeCell ref="A12:B12"/>
    <mergeCell ref="J4:K4"/>
    <mergeCell ref="D7:E7"/>
    <mergeCell ref="J7:K7"/>
    <mergeCell ref="D4:E4"/>
    <mergeCell ref="D3:E3"/>
    <mergeCell ref="D9:E9"/>
    <mergeCell ref="D12:E12"/>
    <mergeCell ref="A4:B4"/>
    <mergeCell ref="G4:H4"/>
    <mergeCell ref="J3:K3"/>
    <mergeCell ref="J12:K12"/>
    <mergeCell ref="A1:L1"/>
    <mergeCell ref="A10:B10"/>
    <mergeCell ref="A13:B13"/>
    <mergeCell ref="A9:B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7" t="inlineStr">
        <is>
          <t>Client &amp; Project Profile</t>
        </is>
      </c>
    </row>
    <row r="3">
      <c r="A3" s="8" t="inlineStr">
        <is>
          <t>Client name</t>
        </is>
      </c>
      <c r="B3" t="inlineStr"/>
    </row>
    <row r="4">
      <c r="A4" s="8" t="inlineStr">
        <is>
          <t>Client email</t>
        </is>
      </c>
      <c r="B4" t="inlineStr"/>
    </row>
    <row r="5">
      <c r="A5" s="8" t="inlineStr">
        <is>
          <t>Phone number</t>
        </is>
      </c>
      <c r="B5" t="inlineStr"/>
    </row>
    <row r="6">
      <c r="A6" s="8" t="inlineStr">
        <is>
          <t>Project name</t>
        </is>
      </c>
      <c r="B6" t="inlineStr"/>
    </row>
    <row r="7">
      <c r="A7" s="8" t="inlineStr">
        <is>
          <t>Project address</t>
        </is>
      </c>
      <c r="B7" t="inlineStr"/>
    </row>
    <row r="8">
      <c r="A8" s="8" t="inlineStr">
        <is>
          <t>Project type</t>
        </is>
      </c>
      <c r="B8" t="inlineStr">
        <is>
          <t>Residential</t>
        </is>
      </c>
    </row>
    <row r="9">
      <c r="A9" s="8" t="inlineStr">
        <is>
          <t>Design style</t>
        </is>
      </c>
      <c r="B9" t="inlineStr"/>
    </row>
    <row r="10">
      <c r="A10" s="8" t="inlineStr">
        <is>
          <t>Start date</t>
        </is>
      </c>
      <c r="B10" s="9" t="inlineStr"/>
    </row>
    <row r="11">
      <c r="A11" s="8" t="inlineStr">
        <is>
          <t>Target completion date</t>
        </is>
      </c>
      <c r="B11" s="9" t="inlineStr"/>
    </row>
    <row r="12">
      <c r="A12" s="8" t="inlineStr">
        <is>
          <t>Total budget</t>
        </is>
      </c>
      <c r="B12" s="10" t="n">
        <v>0</v>
      </c>
    </row>
    <row r="13">
      <c r="A13" s="8" t="inlineStr">
        <is>
          <t>Designer name</t>
        </is>
      </c>
      <c r="B13" t="inlineStr"/>
    </row>
    <row r="14">
      <c r="A14" s="8" t="inlineStr">
        <is>
          <t>Client notes</t>
        </is>
      </c>
      <c r="B14" t="inlineStr"/>
    </row>
    <row r="15">
      <c r="A15" s="8" t="inlineStr">
        <is>
          <t>Scope summary</t>
        </is>
      </c>
      <c r="B15" t="inlineStr"/>
    </row>
    <row r="16">
      <c r="A16" s="8" t="inlineStr">
        <is>
          <t>Project status</t>
        </is>
      </c>
      <c r="B16" t="inlineStr">
        <is>
          <t>In progress</t>
        </is>
      </c>
    </row>
    <row r="17">
      <c r="A17" s="8" t="inlineStr">
        <is>
          <t>Contract signed</t>
        </is>
      </c>
      <c r="B17" t="inlineStr">
        <is>
          <t>No</t>
        </is>
      </c>
    </row>
    <row r="18">
      <c r="A18" s="8" t="inlineStr">
        <is>
          <t>Deposit paid</t>
        </is>
      </c>
      <c r="B18" t="inlineStr">
        <is>
          <t>No</t>
        </is>
      </c>
    </row>
    <row r="19">
      <c r="A19" s="8" t="inlineStr">
        <is>
          <t>Design package selected</t>
        </is>
      </c>
      <c r="B19" t="inlineStr"/>
    </row>
    <row r="20">
      <c r="A20" s="8" t="inlineStr">
        <is>
          <t>Billing method</t>
        </is>
      </c>
      <c r="B20" t="inlineStr">
        <is>
          <t>Flat fee</t>
        </is>
      </c>
    </row>
  </sheetData>
  <mergeCells count="1">
    <mergeCell ref="A1:D1"/>
  </mergeCells>
  <dataValidations count="4">
    <dataValidation sqref="B8" showDropDown="0" showInputMessage="0" showErrorMessage="0" allowBlank="1" type="list">
      <formula1>='Lists'!$A$2:$A$7</formula1>
    </dataValidation>
    <dataValidation sqref="B17:B18" showDropDown="0" showInputMessage="0" showErrorMessage="0" allowBlank="1" type="list">
      <formula1>='Lists'!$B$2:$B$3</formula1>
    </dataValidation>
    <dataValidation sqref="B16" showDropDown="0" showInputMessage="0" showErrorMessage="0" allowBlank="1" type="list">
      <formula1>='Lists'!$C$2:$C$7</formula1>
    </dataValidation>
    <dataValidation sqref="B20" showDropDown="0" showInputMessage="0" showErrorMessage="0" allowBlank="1" type="list">
      <formula1>='Lists'!$D$2:$D$5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2" customHeight="1">
      <c r="A1" s="11" t="inlineStr">
        <is>
          <t>Room name</t>
        </is>
      </c>
      <c r="B1" s="11" t="inlineStr">
        <is>
          <t>Room type</t>
        </is>
      </c>
      <c r="C1" s="11" t="inlineStr">
        <is>
          <t>Floor/level</t>
        </is>
      </c>
      <c r="D1" s="11" t="inlineStr">
        <is>
          <t>Square footage</t>
        </is>
      </c>
      <c r="E1" s="11" t="inlineStr">
        <is>
          <t>Design status</t>
        </is>
      </c>
      <c r="F1" s="11" t="inlineStr">
        <is>
          <t>Budget allocation</t>
        </is>
      </c>
      <c r="G1" s="11" t="inlineStr">
        <is>
          <t>Estimated spend</t>
        </is>
      </c>
      <c r="H1" s="11" t="inlineStr">
        <is>
          <t>Actual spend</t>
        </is>
      </c>
      <c r="I1" s="11" t="inlineStr">
        <is>
          <t>Remaining budget</t>
        </is>
      </c>
      <c r="J1" s="11" t="inlineStr">
        <is>
          <t>Priority level</t>
        </is>
      </c>
      <c r="K1" s="11" t="inlineStr">
        <is>
          <t>Notes</t>
        </is>
      </c>
    </row>
    <row r="2">
      <c r="A2" s="12" t="n"/>
      <c r="B2" s="12" t="n"/>
      <c r="C2" s="12" t="n"/>
      <c r="D2" s="12" t="n"/>
      <c r="E2" s="12" t="n"/>
      <c r="F2" s="13" t="n"/>
      <c r="G2" s="13">
        <f>IFERROR(SUMIF('Master FF&amp;E Schedule'!$B:$B,$A2,'Master FF&amp;E Schedule'!$P:$P),0)</f>
        <v/>
      </c>
      <c r="H2" s="13">
        <f>IFERROR(SUMIF('Master FF&amp;E Schedule'!$B:$B,$A2,'Master FF&amp;E Schedule'!$T:$T),0)</f>
        <v/>
      </c>
      <c r="I2" s="13">
        <f>IF($A2="","",$F2-$H2)</f>
        <v/>
      </c>
      <c r="J2" s="12" t="n"/>
      <c r="K2" s="12" t="n"/>
    </row>
    <row r="3">
      <c r="F3" s="10" t="n"/>
      <c r="G3" s="10">
        <f>IFERROR(SUMIF('Master FF&amp;E Schedule'!$B:$B,$A3,'Master FF&amp;E Schedule'!$P:$P),0)</f>
        <v/>
      </c>
      <c r="H3" s="10">
        <f>IFERROR(SUMIF('Master FF&amp;E Schedule'!$B:$B,$A3,'Master FF&amp;E Schedule'!$T:$T),0)</f>
        <v/>
      </c>
      <c r="I3" s="10">
        <f>IF($A3="","",$F3-$H3)</f>
        <v/>
      </c>
    </row>
    <row r="4">
      <c r="A4" s="12" t="n"/>
      <c r="B4" s="12" t="n"/>
      <c r="C4" s="12" t="n"/>
      <c r="D4" s="12" t="n"/>
      <c r="E4" s="12" t="n"/>
      <c r="F4" s="13" t="n"/>
      <c r="G4" s="13">
        <f>IFERROR(SUMIF('Master FF&amp;E Schedule'!$B:$B,$A4,'Master FF&amp;E Schedule'!$P:$P),0)</f>
        <v/>
      </c>
      <c r="H4" s="13">
        <f>IFERROR(SUMIF('Master FF&amp;E Schedule'!$B:$B,$A4,'Master FF&amp;E Schedule'!$T:$T),0)</f>
        <v/>
      </c>
      <c r="I4" s="13">
        <f>IF($A4="","",$F4-$H4)</f>
        <v/>
      </c>
      <c r="J4" s="12" t="n"/>
      <c r="K4" s="12" t="n"/>
    </row>
    <row r="5">
      <c r="F5" s="10" t="n"/>
      <c r="G5" s="10">
        <f>IFERROR(SUMIF('Master FF&amp;E Schedule'!$B:$B,$A5,'Master FF&amp;E Schedule'!$P:$P),0)</f>
        <v/>
      </c>
      <c r="H5" s="10">
        <f>IFERROR(SUMIF('Master FF&amp;E Schedule'!$B:$B,$A5,'Master FF&amp;E Schedule'!$T:$T),0)</f>
        <v/>
      </c>
      <c r="I5" s="10">
        <f>IF($A5="","",$F5-$H5)</f>
        <v/>
      </c>
    </row>
    <row r="6">
      <c r="A6" s="12" t="n"/>
      <c r="B6" s="12" t="n"/>
      <c r="C6" s="12" t="n"/>
      <c r="D6" s="12" t="n"/>
      <c r="E6" s="12" t="n"/>
      <c r="F6" s="13" t="n"/>
      <c r="G6" s="13">
        <f>IFERROR(SUMIF('Master FF&amp;E Schedule'!$B:$B,$A6,'Master FF&amp;E Schedule'!$P:$P),0)</f>
        <v/>
      </c>
      <c r="H6" s="13">
        <f>IFERROR(SUMIF('Master FF&amp;E Schedule'!$B:$B,$A6,'Master FF&amp;E Schedule'!$T:$T),0)</f>
        <v/>
      </c>
      <c r="I6" s="13">
        <f>IF($A6="","",$F6-$H6)</f>
        <v/>
      </c>
      <c r="J6" s="12" t="n"/>
      <c r="K6" s="12" t="n"/>
    </row>
    <row r="7">
      <c r="F7" s="10" t="n"/>
      <c r="G7" s="10">
        <f>IFERROR(SUMIF('Master FF&amp;E Schedule'!$B:$B,$A7,'Master FF&amp;E Schedule'!$P:$P),0)</f>
        <v/>
      </c>
      <c r="H7" s="10">
        <f>IFERROR(SUMIF('Master FF&amp;E Schedule'!$B:$B,$A7,'Master FF&amp;E Schedule'!$T:$T),0)</f>
        <v/>
      </c>
      <c r="I7" s="10">
        <f>IF($A7="","",$F7-$H7)</f>
        <v/>
      </c>
    </row>
    <row r="8">
      <c r="A8" s="12" t="n"/>
      <c r="B8" s="12" t="n"/>
      <c r="C8" s="12" t="n"/>
      <c r="D8" s="12" t="n"/>
      <c r="E8" s="12" t="n"/>
      <c r="F8" s="13" t="n"/>
      <c r="G8" s="13">
        <f>IFERROR(SUMIF('Master FF&amp;E Schedule'!$B:$B,$A8,'Master FF&amp;E Schedule'!$P:$P),0)</f>
        <v/>
      </c>
      <c r="H8" s="13">
        <f>IFERROR(SUMIF('Master FF&amp;E Schedule'!$B:$B,$A8,'Master FF&amp;E Schedule'!$T:$T),0)</f>
        <v/>
      </c>
      <c r="I8" s="13">
        <f>IF($A8="","",$F8-$H8)</f>
        <v/>
      </c>
      <c r="J8" s="12" t="n"/>
      <c r="K8" s="12" t="n"/>
    </row>
    <row r="9">
      <c r="F9" s="10" t="n"/>
      <c r="G9" s="10">
        <f>IFERROR(SUMIF('Master FF&amp;E Schedule'!$B:$B,$A9,'Master FF&amp;E Schedule'!$P:$P),0)</f>
        <v/>
      </c>
      <c r="H9" s="10">
        <f>IFERROR(SUMIF('Master FF&amp;E Schedule'!$B:$B,$A9,'Master FF&amp;E Schedule'!$T:$T),0)</f>
        <v/>
      </c>
      <c r="I9" s="10">
        <f>IF($A9="","",$F9-$H9)</f>
        <v/>
      </c>
    </row>
    <row r="10">
      <c r="A10" s="12" t="n"/>
      <c r="B10" s="12" t="n"/>
      <c r="C10" s="12" t="n"/>
      <c r="D10" s="12" t="n"/>
      <c r="E10" s="12" t="n"/>
      <c r="F10" s="13" t="n"/>
      <c r="G10" s="13">
        <f>IFERROR(SUMIF('Master FF&amp;E Schedule'!$B:$B,$A10,'Master FF&amp;E Schedule'!$P:$P),0)</f>
        <v/>
      </c>
      <c r="H10" s="13">
        <f>IFERROR(SUMIF('Master FF&amp;E Schedule'!$B:$B,$A10,'Master FF&amp;E Schedule'!$T:$T),0)</f>
        <v/>
      </c>
      <c r="I10" s="13">
        <f>IF($A10="","",$F10-$H10)</f>
        <v/>
      </c>
      <c r="J10" s="12" t="n"/>
      <c r="K10" s="12" t="n"/>
    </row>
    <row r="11">
      <c r="F11" s="10" t="n"/>
      <c r="G11" s="10">
        <f>IFERROR(SUMIF('Master FF&amp;E Schedule'!$B:$B,$A11,'Master FF&amp;E Schedule'!$P:$P),0)</f>
        <v/>
      </c>
      <c r="H11" s="10">
        <f>IFERROR(SUMIF('Master FF&amp;E Schedule'!$B:$B,$A11,'Master FF&amp;E Schedule'!$T:$T),0)</f>
        <v/>
      </c>
      <c r="I11" s="10">
        <f>IF($A11="","",$F11-$H11)</f>
        <v/>
      </c>
    </row>
    <row r="12">
      <c r="A12" s="12" t="n"/>
      <c r="B12" s="12" t="n"/>
      <c r="C12" s="12" t="n"/>
      <c r="D12" s="12" t="n"/>
      <c r="E12" s="12" t="n"/>
      <c r="F12" s="13" t="n"/>
      <c r="G12" s="13">
        <f>IFERROR(SUMIF('Master FF&amp;E Schedule'!$B:$B,$A12,'Master FF&amp;E Schedule'!$P:$P),0)</f>
        <v/>
      </c>
      <c r="H12" s="13">
        <f>IFERROR(SUMIF('Master FF&amp;E Schedule'!$B:$B,$A12,'Master FF&amp;E Schedule'!$T:$T),0)</f>
        <v/>
      </c>
      <c r="I12" s="13">
        <f>IF($A12="","",$F12-$H12)</f>
        <v/>
      </c>
      <c r="J12" s="12" t="n"/>
      <c r="K12" s="12" t="n"/>
    </row>
    <row r="13">
      <c r="F13" s="10" t="n"/>
      <c r="G13" s="10">
        <f>IFERROR(SUMIF('Master FF&amp;E Schedule'!$B:$B,$A13,'Master FF&amp;E Schedule'!$P:$P),0)</f>
        <v/>
      </c>
      <c r="H13" s="10">
        <f>IFERROR(SUMIF('Master FF&amp;E Schedule'!$B:$B,$A13,'Master FF&amp;E Schedule'!$T:$T),0)</f>
        <v/>
      </c>
      <c r="I13" s="10">
        <f>IF($A13="","",$F13-$H13)</f>
        <v/>
      </c>
    </row>
    <row r="14">
      <c r="A14" s="12" t="n"/>
      <c r="B14" s="12" t="n"/>
      <c r="C14" s="12" t="n"/>
      <c r="D14" s="12" t="n"/>
      <c r="E14" s="12" t="n"/>
      <c r="F14" s="13" t="n"/>
      <c r="G14" s="13">
        <f>IFERROR(SUMIF('Master FF&amp;E Schedule'!$B:$B,$A14,'Master FF&amp;E Schedule'!$P:$P),0)</f>
        <v/>
      </c>
      <c r="H14" s="13">
        <f>IFERROR(SUMIF('Master FF&amp;E Schedule'!$B:$B,$A14,'Master FF&amp;E Schedule'!$T:$T),0)</f>
        <v/>
      </c>
      <c r="I14" s="13">
        <f>IF($A14="","",$F14-$H14)</f>
        <v/>
      </c>
      <c r="J14" s="12" t="n"/>
      <c r="K14" s="12" t="n"/>
    </row>
    <row r="15">
      <c r="F15" s="10" t="n"/>
      <c r="G15" s="10">
        <f>IFERROR(SUMIF('Master FF&amp;E Schedule'!$B:$B,$A15,'Master FF&amp;E Schedule'!$P:$P),0)</f>
        <v/>
      </c>
      <c r="H15" s="10">
        <f>IFERROR(SUMIF('Master FF&amp;E Schedule'!$B:$B,$A15,'Master FF&amp;E Schedule'!$T:$T),0)</f>
        <v/>
      </c>
      <c r="I15" s="10">
        <f>IF($A15="","",$F15-$H15)</f>
        <v/>
      </c>
    </row>
    <row r="16">
      <c r="A16" s="12" t="n"/>
      <c r="B16" s="12" t="n"/>
      <c r="C16" s="12" t="n"/>
      <c r="D16" s="12" t="n"/>
      <c r="E16" s="12" t="n"/>
      <c r="F16" s="13" t="n"/>
      <c r="G16" s="13">
        <f>IFERROR(SUMIF('Master FF&amp;E Schedule'!$B:$B,$A16,'Master FF&amp;E Schedule'!$P:$P),0)</f>
        <v/>
      </c>
      <c r="H16" s="13">
        <f>IFERROR(SUMIF('Master FF&amp;E Schedule'!$B:$B,$A16,'Master FF&amp;E Schedule'!$T:$T),0)</f>
        <v/>
      </c>
      <c r="I16" s="13">
        <f>IF($A16="","",$F16-$H16)</f>
        <v/>
      </c>
      <c r="J16" s="12" t="n"/>
      <c r="K16" s="12" t="n"/>
    </row>
    <row r="17">
      <c r="F17" s="10" t="n"/>
      <c r="G17" s="10">
        <f>IFERROR(SUMIF('Master FF&amp;E Schedule'!$B:$B,$A17,'Master FF&amp;E Schedule'!$P:$P),0)</f>
        <v/>
      </c>
      <c r="H17" s="10">
        <f>IFERROR(SUMIF('Master FF&amp;E Schedule'!$B:$B,$A17,'Master FF&amp;E Schedule'!$T:$T),0)</f>
        <v/>
      </c>
      <c r="I17" s="10">
        <f>IF($A17="","",$F17-$H17)</f>
        <v/>
      </c>
    </row>
    <row r="18">
      <c r="A18" s="12" t="n"/>
      <c r="B18" s="12" t="n"/>
      <c r="C18" s="12" t="n"/>
      <c r="D18" s="12" t="n"/>
      <c r="E18" s="12" t="n"/>
      <c r="F18" s="13" t="n"/>
      <c r="G18" s="13">
        <f>IFERROR(SUMIF('Master FF&amp;E Schedule'!$B:$B,$A18,'Master FF&amp;E Schedule'!$P:$P),0)</f>
        <v/>
      </c>
      <c r="H18" s="13">
        <f>IFERROR(SUMIF('Master FF&amp;E Schedule'!$B:$B,$A18,'Master FF&amp;E Schedule'!$T:$T),0)</f>
        <v/>
      </c>
      <c r="I18" s="13">
        <f>IF($A18="","",$F18-$H18)</f>
        <v/>
      </c>
      <c r="J18" s="12" t="n"/>
      <c r="K18" s="12" t="n"/>
    </row>
    <row r="19">
      <c r="F19" s="10" t="n"/>
      <c r="G19" s="10">
        <f>IFERROR(SUMIF('Master FF&amp;E Schedule'!$B:$B,$A19,'Master FF&amp;E Schedule'!$P:$P),0)</f>
        <v/>
      </c>
      <c r="H19" s="10">
        <f>IFERROR(SUMIF('Master FF&amp;E Schedule'!$B:$B,$A19,'Master FF&amp;E Schedule'!$T:$T),0)</f>
        <v/>
      </c>
      <c r="I19" s="10">
        <f>IF($A19="","",$F19-$H19)</f>
        <v/>
      </c>
    </row>
    <row r="20">
      <c r="A20" s="12" t="n"/>
      <c r="B20" s="12" t="n"/>
      <c r="C20" s="12" t="n"/>
      <c r="D20" s="12" t="n"/>
      <c r="E20" s="12" t="n"/>
      <c r="F20" s="13" t="n"/>
      <c r="G20" s="13">
        <f>IFERROR(SUMIF('Master FF&amp;E Schedule'!$B:$B,$A20,'Master FF&amp;E Schedule'!$P:$P),0)</f>
        <v/>
      </c>
      <c r="H20" s="13">
        <f>IFERROR(SUMIF('Master FF&amp;E Schedule'!$B:$B,$A20,'Master FF&amp;E Schedule'!$T:$T),0)</f>
        <v/>
      </c>
      <c r="I20" s="13">
        <f>IF($A20="","",$F20-$H20)</f>
        <v/>
      </c>
      <c r="J20" s="12" t="n"/>
      <c r="K20" s="12" t="n"/>
    </row>
    <row r="21">
      <c r="F21" s="10" t="n"/>
      <c r="G21" s="10">
        <f>IFERROR(SUMIF('Master FF&amp;E Schedule'!$B:$B,$A21,'Master FF&amp;E Schedule'!$P:$P),0)</f>
        <v/>
      </c>
      <c r="H21" s="10">
        <f>IFERROR(SUMIF('Master FF&amp;E Schedule'!$B:$B,$A21,'Master FF&amp;E Schedule'!$T:$T),0)</f>
        <v/>
      </c>
      <c r="I21" s="10">
        <f>IF($A21="","",$F21-$H21)</f>
        <v/>
      </c>
    </row>
    <row r="22">
      <c r="A22" s="12" t="n"/>
      <c r="B22" s="12" t="n"/>
      <c r="C22" s="12" t="n"/>
      <c r="D22" s="12" t="n"/>
      <c r="E22" s="12" t="n"/>
      <c r="F22" s="13" t="n"/>
      <c r="G22" s="13">
        <f>IFERROR(SUMIF('Master FF&amp;E Schedule'!$B:$B,$A22,'Master FF&amp;E Schedule'!$P:$P),0)</f>
        <v/>
      </c>
      <c r="H22" s="13">
        <f>IFERROR(SUMIF('Master FF&amp;E Schedule'!$B:$B,$A22,'Master FF&amp;E Schedule'!$T:$T),0)</f>
        <v/>
      </c>
      <c r="I22" s="13">
        <f>IF($A22="","",$F22-$H22)</f>
        <v/>
      </c>
      <c r="J22" s="12" t="n"/>
      <c r="K22" s="12" t="n"/>
    </row>
    <row r="23">
      <c r="F23" s="10" t="n"/>
      <c r="G23" s="10">
        <f>IFERROR(SUMIF('Master FF&amp;E Schedule'!$B:$B,$A23,'Master FF&amp;E Schedule'!$P:$P),0)</f>
        <v/>
      </c>
      <c r="H23" s="10">
        <f>IFERROR(SUMIF('Master FF&amp;E Schedule'!$B:$B,$A23,'Master FF&amp;E Schedule'!$T:$T),0)</f>
        <v/>
      </c>
      <c r="I23" s="10">
        <f>IF($A23="","",$F23-$H23)</f>
        <v/>
      </c>
    </row>
    <row r="24">
      <c r="A24" s="12" t="n"/>
      <c r="B24" s="12" t="n"/>
      <c r="C24" s="12" t="n"/>
      <c r="D24" s="12" t="n"/>
      <c r="E24" s="12" t="n"/>
      <c r="F24" s="13" t="n"/>
      <c r="G24" s="13">
        <f>IFERROR(SUMIF('Master FF&amp;E Schedule'!$B:$B,$A24,'Master FF&amp;E Schedule'!$P:$P),0)</f>
        <v/>
      </c>
      <c r="H24" s="13">
        <f>IFERROR(SUMIF('Master FF&amp;E Schedule'!$B:$B,$A24,'Master FF&amp;E Schedule'!$T:$T),0)</f>
        <v/>
      </c>
      <c r="I24" s="13">
        <f>IF($A24="","",$F24-$H24)</f>
        <v/>
      </c>
      <c r="J24" s="12" t="n"/>
      <c r="K24" s="12" t="n"/>
    </row>
    <row r="25">
      <c r="F25" s="10" t="n"/>
      <c r="G25" s="10">
        <f>IFERROR(SUMIF('Master FF&amp;E Schedule'!$B:$B,$A25,'Master FF&amp;E Schedule'!$P:$P),0)</f>
        <v/>
      </c>
      <c r="H25" s="10">
        <f>IFERROR(SUMIF('Master FF&amp;E Schedule'!$B:$B,$A25,'Master FF&amp;E Schedule'!$T:$T),0)</f>
        <v/>
      </c>
      <c r="I25" s="10">
        <f>IF($A25="","",$F25-$H25)</f>
        <v/>
      </c>
    </row>
    <row r="26">
      <c r="A26" s="12" t="n"/>
      <c r="B26" s="12" t="n"/>
      <c r="C26" s="12" t="n"/>
      <c r="D26" s="12" t="n"/>
      <c r="E26" s="12" t="n"/>
      <c r="F26" s="13" t="n"/>
      <c r="G26" s="13">
        <f>IFERROR(SUMIF('Master FF&amp;E Schedule'!$B:$B,$A26,'Master FF&amp;E Schedule'!$P:$P),0)</f>
        <v/>
      </c>
      <c r="H26" s="13">
        <f>IFERROR(SUMIF('Master FF&amp;E Schedule'!$B:$B,$A26,'Master FF&amp;E Schedule'!$T:$T),0)</f>
        <v/>
      </c>
      <c r="I26" s="13">
        <f>IF($A26="","",$F26-$H26)</f>
        <v/>
      </c>
      <c r="J26" s="12" t="n"/>
      <c r="K26" s="12" t="n"/>
    </row>
    <row r="27">
      <c r="F27" s="10" t="n"/>
      <c r="G27" s="10">
        <f>IFERROR(SUMIF('Master FF&amp;E Schedule'!$B:$B,$A27,'Master FF&amp;E Schedule'!$P:$P),0)</f>
        <v/>
      </c>
      <c r="H27" s="10">
        <f>IFERROR(SUMIF('Master FF&amp;E Schedule'!$B:$B,$A27,'Master FF&amp;E Schedule'!$T:$T),0)</f>
        <v/>
      </c>
      <c r="I27" s="10">
        <f>IF($A27="","",$F27-$H27)</f>
        <v/>
      </c>
    </row>
    <row r="28">
      <c r="A28" s="12" t="n"/>
      <c r="B28" s="12" t="n"/>
      <c r="C28" s="12" t="n"/>
      <c r="D28" s="12" t="n"/>
      <c r="E28" s="12" t="n"/>
      <c r="F28" s="13" t="n"/>
      <c r="G28" s="13">
        <f>IFERROR(SUMIF('Master FF&amp;E Schedule'!$B:$B,$A28,'Master FF&amp;E Schedule'!$P:$P),0)</f>
        <v/>
      </c>
      <c r="H28" s="13">
        <f>IFERROR(SUMIF('Master FF&amp;E Schedule'!$B:$B,$A28,'Master FF&amp;E Schedule'!$T:$T),0)</f>
        <v/>
      </c>
      <c r="I28" s="13">
        <f>IF($A28="","",$F28-$H28)</f>
        <v/>
      </c>
      <c r="J28" s="12" t="n"/>
      <c r="K28" s="12" t="n"/>
    </row>
    <row r="29">
      <c r="F29" s="10" t="n"/>
      <c r="G29" s="10">
        <f>IFERROR(SUMIF('Master FF&amp;E Schedule'!$B:$B,$A29,'Master FF&amp;E Schedule'!$P:$P),0)</f>
        <v/>
      </c>
      <c r="H29" s="10">
        <f>IFERROR(SUMIF('Master FF&amp;E Schedule'!$B:$B,$A29,'Master FF&amp;E Schedule'!$T:$T),0)</f>
        <v/>
      </c>
      <c r="I29" s="10">
        <f>IF($A29="","",$F29-$H29)</f>
        <v/>
      </c>
    </row>
    <row r="30">
      <c r="A30" s="12" t="n"/>
      <c r="B30" s="12" t="n"/>
      <c r="C30" s="12" t="n"/>
      <c r="D30" s="12" t="n"/>
      <c r="E30" s="12" t="n"/>
      <c r="F30" s="13" t="n"/>
      <c r="G30" s="13">
        <f>IFERROR(SUMIF('Master FF&amp;E Schedule'!$B:$B,$A30,'Master FF&amp;E Schedule'!$P:$P),0)</f>
        <v/>
      </c>
      <c r="H30" s="13">
        <f>IFERROR(SUMIF('Master FF&amp;E Schedule'!$B:$B,$A30,'Master FF&amp;E Schedule'!$T:$T),0)</f>
        <v/>
      </c>
      <c r="I30" s="13">
        <f>IF($A30="","",$F30-$H30)</f>
        <v/>
      </c>
      <c r="J30" s="12" t="n"/>
      <c r="K30" s="12" t="n"/>
    </row>
    <row r="31">
      <c r="F31" s="10" t="n"/>
      <c r="G31" s="10">
        <f>IFERROR(SUMIF('Master FF&amp;E Schedule'!$B:$B,$A31,'Master FF&amp;E Schedule'!$P:$P),0)</f>
        <v/>
      </c>
      <c r="H31" s="10">
        <f>IFERROR(SUMIF('Master FF&amp;E Schedule'!$B:$B,$A31,'Master FF&amp;E Schedule'!$T:$T),0)</f>
        <v/>
      </c>
      <c r="I31" s="10">
        <f>IF($A31="","",$F31-$H31)</f>
        <v/>
      </c>
    </row>
    <row r="32">
      <c r="A32" s="12" t="n"/>
      <c r="B32" s="12" t="n"/>
      <c r="C32" s="12" t="n"/>
      <c r="D32" s="12" t="n"/>
      <c r="E32" s="12" t="n"/>
      <c r="F32" s="13" t="n"/>
      <c r="G32" s="13">
        <f>IFERROR(SUMIF('Master FF&amp;E Schedule'!$B:$B,$A32,'Master FF&amp;E Schedule'!$P:$P),0)</f>
        <v/>
      </c>
      <c r="H32" s="13">
        <f>IFERROR(SUMIF('Master FF&amp;E Schedule'!$B:$B,$A32,'Master FF&amp;E Schedule'!$T:$T),0)</f>
        <v/>
      </c>
      <c r="I32" s="13">
        <f>IF($A32="","",$F32-$H32)</f>
        <v/>
      </c>
      <c r="J32" s="12" t="n"/>
      <c r="K32" s="12" t="n"/>
    </row>
    <row r="33">
      <c r="F33" s="10" t="n"/>
      <c r="G33" s="10">
        <f>IFERROR(SUMIF('Master FF&amp;E Schedule'!$B:$B,$A33,'Master FF&amp;E Schedule'!$P:$P),0)</f>
        <v/>
      </c>
      <c r="H33" s="10">
        <f>IFERROR(SUMIF('Master FF&amp;E Schedule'!$B:$B,$A33,'Master FF&amp;E Schedule'!$T:$T),0)</f>
        <v/>
      </c>
      <c r="I33" s="10">
        <f>IF($A33="","",$F33-$H33)</f>
        <v/>
      </c>
    </row>
    <row r="34">
      <c r="A34" s="12" t="n"/>
      <c r="B34" s="12" t="n"/>
      <c r="C34" s="12" t="n"/>
      <c r="D34" s="12" t="n"/>
      <c r="E34" s="12" t="n"/>
      <c r="F34" s="13" t="n"/>
      <c r="G34" s="13">
        <f>IFERROR(SUMIF('Master FF&amp;E Schedule'!$B:$B,$A34,'Master FF&amp;E Schedule'!$P:$P),0)</f>
        <v/>
      </c>
      <c r="H34" s="13">
        <f>IFERROR(SUMIF('Master FF&amp;E Schedule'!$B:$B,$A34,'Master FF&amp;E Schedule'!$T:$T),0)</f>
        <v/>
      </c>
      <c r="I34" s="13">
        <f>IF($A34="","",$F34-$H34)</f>
        <v/>
      </c>
      <c r="J34" s="12" t="n"/>
      <c r="K34" s="12" t="n"/>
    </row>
    <row r="35">
      <c r="F35" s="10" t="n"/>
      <c r="G35" s="10">
        <f>IFERROR(SUMIF('Master FF&amp;E Schedule'!$B:$B,$A35,'Master FF&amp;E Schedule'!$P:$P),0)</f>
        <v/>
      </c>
      <c r="H35" s="10">
        <f>IFERROR(SUMIF('Master FF&amp;E Schedule'!$B:$B,$A35,'Master FF&amp;E Schedule'!$T:$T),0)</f>
        <v/>
      </c>
      <c r="I35" s="10">
        <f>IF($A35="","",$F35-$H35)</f>
        <v/>
      </c>
    </row>
    <row r="36">
      <c r="A36" s="12" t="n"/>
      <c r="B36" s="12" t="n"/>
      <c r="C36" s="12" t="n"/>
      <c r="D36" s="12" t="n"/>
      <c r="E36" s="12" t="n"/>
      <c r="F36" s="13" t="n"/>
      <c r="G36" s="13">
        <f>IFERROR(SUMIF('Master FF&amp;E Schedule'!$B:$B,$A36,'Master FF&amp;E Schedule'!$P:$P),0)</f>
        <v/>
      </c>
      <c r="H36" s="13">
        <f>IFERROR(SUMIF('Master FF&amp;E Schedule'!$B:$B,$A36,'Master FF&amp;E Schedule'!$T:$T),0)</f>
        <v/>
      </c>
      <c r="I36" s="13">
        <f>IF($A36="","",$F36-$H36)</f>
        <v/>
      </c>
      <c r="J36" s="12" t="n"/>
      <c r="K36" s="12" t="n"/>
    </row>
    <row r="37">
      <c r="F37" s="10" t="n"/>
      <c r="G37" s="10">
        <f>IFERROR(SUMIF('Master FF&amp;E Schedule'!$B:$B,$A37,'Master FF&amp;E Schedule'!$P:$P),0)</f>
        <v/>
      </c>
      <c r="H37" s="10">
        <f>IFERROR(SUMIF('Master FF&amp;E Schedule'!$B:$B,$A37,'Master FF&amp;E Schedule'!$T:$T),0)</f>
        <v/>
      </c>
      <c r="I37" s="10">
        <f>IF($A37="","",$F37-$H37)</f>
        <v/>
      </c>
    </row>
    <row r="38">
      <c r="A38" s="12" t="n"/>
      <c r="B38" s="12" t="n"/>
      <c r="C38" s="12" t="n"/>
      <c r="D38" s="12" t="n"/>
      <c r="E38" s="12" t="n"/>
      <c r="F38" s="13" t="n"/>
      <c r="G38" s="13">
        <f>IFERROR(SUMIF('Master FF&amp;E Schedule'!$B:$B,$A38,'Master FF&amp;E Schedule'!$P:$P),0)</f>
        <v/>
      </c>
      <c r="H38" s="13">
        <f>IFERROR(SUMIF('Master FF&amp;E Schedule'!$B:$B,$A38,'Master FF&amp;E Schedule'!$T:$T),0)</f>
        <v/>
      </c>
      <c r="I38" s="13">
        <f>IF($A38="","",$F38-$H38)</f>
        <v/>
      </c>
      <c r="J38" s="12" t="n"/>
      <c r="K38" s="12" t="n"/>
    </row>
    <row r="39">
      <c r="F39" s="10" t="n"/>
      <c r="G39" s="10">
        <f>IFERROR(SUMIF('Master FF&amp;E Schedule'!$B:$B,$A39,'Master FF&amp;E Schedule'!$P:$P),0)</f>
        <v/>
      </c>
      <c r="H39" s="10">
        <f>IFERROR(SUMIF('Master FF&amp;E Schedule'!$B:$B,$A39,'Master FF&amp;E Schedule'!$T:$T),0)</f>
        <v/>
      </c>
      <c r="I39" s="10">
        <f>IF($A39="","",$F39-$H39)</f>
        <v/>
      </c>
    </row>
    <row r="40">
      <c r="A40" s="12" t="n"/>
      <c r="B40" s="12" t="n"/>
      <c r="C40" s="12" t="n"/>
      <c r="D40" s="12" t="n"/>
      <c r="E40" s="12" t="n"/>
      <c r="F40" s="13" t="n"/>
      <c r="G40" s="13">
        <f>IFERROR(SUMIF('Master FF&amp;E Schedule'!$B:$B,$A40,'Master FF&amp;E Schedule'!$P:$P),0)</f>
        <v/>
      </c>
      <c r="H40" s="13">
        <f>IFERROR(SUMIF('Master FF&amp;E Schedule'!$B:$B,$A40,'Master FF&amp;E Schedule'!$T:$T),0)</f>
        <v/>
      </c>
      <c r="I40" s="13">
        <f>IF($A40="","",$F40-$H40)</f>
        <v/>
      </c>
      <c r="J40" s="12" t="n"/>
      <c r="K40" s="12" t="n"/>
    </row>
    <row r="41">
      <c r="F41" s="10" t="n"/>
      <c r="G41" s="10">
        <f>IFERROR(SUMIF('Master FF&amp;E Schedule'!$B:$B,$A41,'Master FF&amp;E Schedule'!$P:$P),0)</f>
        <v/>
      </c>
      <c r="H41" s="10">
        <f>IFERROR(SUMIF('Master FF&amp;E Schedule'!$B:$B,$A41,'Master FF&amp;E Schedule'!$T:$T),0)</f>
        <v/>
      </c>
      <c r="I41" s="10">
        <f>IF($A41="","",$F41-$H41)</f>
        <v/>
      </c>
    </row>
    <row r="42">
      <c r="A42" s="12" t="n"/>
      <c r="B42" s="12" t="n"/>
      <c r="C42" s="12" t="n"/>
      <c r="D42" s="12" t="n"/>
      <c r="E42" s="12" t="n"/>
      <c r="F42" s="13" t="n"/>
      <c r="G42" s="13">
        <f>IFERROR(SUMIF('Master FF&amp;E Schedule'!$B:$B,$A42,'Master FF&amp;E Schedule'!$P:$P),0)</f>
        <v/>
      </c>
      <c r="H42" s="13">
        <f>IFERROR(SUMIF('Master FF&amp;E Schedule'!$B:$B,$A42,'Master FF&amp;E Schedule'!$T:$T),0)</f>
        <v/>
      </c>
      <c r="I42" s="13">
        <f>IF($A42="","",$F42-$H42)</f>
        <v/>
      </c>
      <c r="J42" s="12" t="n"/>
      <c r="K42" s="12" t="n"/>
    </row>
    <row r="43">
      <c r="F43" s="10" t="n"/>
      <c r="G43" s="10">
        <f>IFERROR(SUMIF('Master FF&amp;E Schedule'!$B:$B,$A43,'Master FF&amp;E Schedule'!$P:$P),0)</f>
        <v/>
      </c>
      <c r="H43" s="10">
        <f>IFERROR(SUMIF('Master FF&amp;E Schedule'!$B:$B,$A43,'Master FF&amp;E Schedule'!$T:$T),0)</f>
        <v/>
      </c>
      <c r="I43" s="10">
        <f>IF($A43="","",$F43-$H43)</f>
        <v/>
      </c>
    </row>
    <row r="44">
      <c r="A44" s="12" t="n"/>
      <c r="B44" s="12" t="n"/>
      <c r="C44" s="12" t="n"/>
      <c r="D44" s="12" t="n"/>
      <c r="E44" s="12" t="n"/>
      <c r="F44" s="13" t="n"/>
      <c r="G44" s="13">
        <f>IFERROR(SUMIF('Master FF&amp;E Schedule'!$B:$B,$A44,'Master FF&amp;E Schedule'!$P:$P),0)</f>
        <v/>
      </c>
      <c r="H44" s="13">
        <f>IFERROR(SUMIF('Master FF&amp;E Schedule'!$B:$B,$A44,'Master FF&amp;E Schedule'!$T:$T),0)</f>
        <v/>
      </c>
      <c r="I44" s="13">
        <f>IF($A44="","",$F44-$H44)</f>
        <v/>
      </c>
      <c r="J44" s="12" t="n"/>
      <c r="K44" s="12" t="n"/>
    </row>
    <row r="45">
      <c r="F45" s="10" t="n"/>
      <c r="G45" s="10">
        <f>IFERROR(SUMIF('Master FF&amp;E Schedule'!$B:$B,$A45,'Master FF&amp;E Schedule'!$P:$P),0)</f>
        <v/>
      </c>
      <c r="H45" s="10">
        <f>IFERROR(SUMIF('Master FF&amp;E Schedule'!$B:$B,$A45,'Master FF&amp;E Schedule'!$T:$T),0)</f>
        <v/>
      </c>
      <c r="I45" s="10">
        <f>IF($A45="","",$F45-$H45)</f>
        <v/>
      </c>
    </row>
    <row r="46">
      <c r="A46" s="12" t="n"/>
      <c r="B46" s="12" t="n"/>
      <c r="C46" s="12" t="n"/>
      <c r="D46" s="12" t="n"/>
      <c r="E46" s="12" t="n"/>
      <c r="F46" s="13" t="n"/>
      <c r="G46" s="13">
        <f>IFERROR(SUMIF('Master FF&amp;E Schedule'!$B:$B,$A46,'Master FF&amp;E Schedule'!$P:$P),0)</f>
        <v/>
      </c>
      <c r="H46" s="13">
        <f>IFERROR(SUMIF('Master FF&amp;E Schedule'!$B:$B,$A46,'Master FF&amp;E Schedule'!$T:$T),0)</f>
        <v/>
      </c>
      <c r="I46" s="13">
        <f>IF($A46="","",$F46-$H46)</f>
        <v/>
      </c>
      <c r="J46" s="12" t="n"/>
      <c r="K46" s="12" t="n"/>
    </row>
    <row r="47">
      <c r="F47" s="10" t="n"/>
      <c r="G47" s="10">
        <f>IFERROR(SUMIF('Master FF&amp;E Schedule'!$B:$B,$A47,'Master FF&amp;E Schedule'!$P:$P),0)</f>
        <v/>
      </c>
      <c r="H47" s="10">
        <f>IFERROR(SUMIF('Master FF&amp;E Schedule'!$B:$B,$A47,'Master FF&amp;E Schedule'!$T:$T),0)</f>
        <v/>
      </c>
      <c r="I47" s="10">
        <f>IF($A47="","",$F47-$H47)</f>
        <v/>
      </c>
    </row>
    <row r="48">
      <c r="A48" s="12" t="n"/>
      <c r="B48" s="12" t="n"/>
      <c r="C48" s="12" t="n"/>
      <c r="D48" s="12" t="n"/>
      <c r="E48" s="12" t="n"/>
      <c r="F48" s="13" t="n"/>
      <c r="G48" s="13">
        <f>IFERROR(SUMIF('Master FF&amp;E Schedule'!$B:$B,$A48,'Master FF&amp;E Schedule'!$P:$P),0)</f>
        <v/>
      </c>
      <c r="H48" s="13">
        <f>IFERROR(SUMIF('Master FF&amp;E Schedule'!$B:$B,$A48,'Master FF&amp;E Schedule'!$T:$T),0)</f>
        <v/>
      </c>
      <c r="I48" s="13">
        <f>IF($A48="","",$F48-$H48)</f>
        <v/>
      </c>
      <c r="J48" s="12" t="n"/>
      <c r="K48" s="12" t="n"/>
    </row>
    <row r="49">
      <c r="F49" s="10" t="n"/>
      <c r="G49" s="10">
        <f>IFERROR(SUMIF('Master FF&amp;E Schedule'!$B:$B,$A49,'Master FF&amp;E Schedule'!$P:$P),0)</f>
        <v/>
      </c>
      <c r="H49" s="10">
        <f>IFERROR(SUMIF('Master FF&amp;E Schedule'!$B:$B,$A49,'Master FF&amp;E Schedule'!$T:$T),0)</f>
        <v/>
      </c>
      <c r="I49" s="10">
        <f>IF($A49="","",$F49-$H49)</f>
        <v/>
      </c>
    </row>
    <row r="50">
      <c r="A50" s="12" t="n"/>
      <c r="B50" s="12" t="n"/>
      <c r="C50" s="12" t="n"/>
      <c r="D50" s="12" t="n"/>
      <c r="E50" s="12" t="n"/>
      <c r="F50" s="13" t="n"/>
      <c r="G50" s="13">
        <f>IFERROR(SUMIF('Master FF&amp;E Schedule'!$B:$B,$A50,'Master FF&amp;E Schedule'!$P:$P),0)</f>
        <v/>
      </c>
      <c r="H50" s="13">
        <f>IFERROR(SUMIF('Master FF&amp;E Schedule'!$B:$B,$A50,'Master FF&amp;E Schedule'!$T:$T),0)</f>
        <v/>
      </c>
      <c r="I50" s="13">
        <f>IF($A50="","",$F50-$H50)</f>
        <v/>
      </c>
      <c r="J50" s="12" t="n"/>
      <c r="K50" s="12" t="n"/>
    </row>
    <row r="51">
      <c r="F51" s="10" t="n"/>
      <c r="G51" s="10">
        <f>IFERROR(SUMIF('Master FF&amp;E Schedule'!$B:$B,$A51,'Master FF&amp;E Schedule'!$P:$P),0)</f>
        <v/>
      </c>
      <c r="H51" s="10">
        <f>IFERROR(SUMIF('Master FF&amp;E Schedule'!$B:$B,$A51,'Master FF&amp;E Schedule'!$T:$T),0)</f>
        <v/>
      </c>
      <c r="I51" s="10">
        <f>IF($A51="","",$F51-$H51)</f>
        <v/>
      </c>
    </row>
    <row r="52">
      <c r="A52" s="12" t="n"/>
      <c r="B52" s="12" t="n"/>
      <c r="C52" s="12" t="n"/>
      <c r="D52" s="12" t="n"/>
      <c r="E52" s="12" t="n"/>
      <c r="F52" s="13" t="n"/>
      <c r="G52" s="13">
        <f>IFERROR(SUMIF('Master FF&amp;E Schedule'!$B:$B,$A52,'Master FF&amp;E Schedule'!$P:$P),0)</f>
        <v/>
      </c>
      <c r="H52" s="13">
        <f>IFERROR(SUMIF('Master FF&amp;E Schedule'!$B:$B,$A52,'Master FF&amp;E Schedule'!$T:$T),0)</f>
        <v/>
      </c>
      <c r="I52" s="13">
        <f>IF($A52="","",$F52-$H52)</f>
        <v/>
      </c>
      <c r="J52" s="12" t="n"/>
      <c r="K52" s="12" t="n"/>
    </row>
    <row r="53">
      <c r="F53" s="10" t="n"/>
      <c r="G53" s="10">
        <f>IFERROR(SUMIF('Master FF&amp;E Schedule'!$B:$B,$A53,'Master FF&amp;E Schedule'!$P:$P),0)</f>
        <v/>
      </c>
      <c r="H53" s="10">
        <f>IFERROR(SUMIF('Master FF&amp;E Schedule'!$B:$B,$A53,'Master FF&amp;E Schedule'!$T:$T),0)</f>
        <v/>
      </c>
      <c r="I53" s="10">
        <f>IF($A53="","",$F53-$H53)</f>
        <v/>
      </c>
    </row>
    <row r="54">
      <c r="A54" s="12" t="n"/>
      <c r="B54" s="12" t="n"/>
      <c r="C54" s="12" t="n"/>
      <c r="D54" s="12" t="n"/>
      <c r="E54" s="12" t="n"/>
      <c r="F54" s="13" t="n"/>
      <c r="G54" s="13">
        <f>IFERROR(SUMIF('Master FF&amp;E Schedule'!$B:$B,$A54,'Master FF&amp;E Schedule'!$P:$P),0)</f>
        <v/>
      </c>
      <c r="H54" s="13">
        <f>IFERROR(SUMIF('Master FF&amp;E Schedule'!$B:$B,$A54,'Master FF&amp;E Schedule'!$T:$T),0)</f>
        <v/>
      </c>
      <c r="I54" s="13">
        <f>IF($A54="","",$F54-$H54)</f>
        <v/>
      </c>
      <c r="J54" s="12" t="n"/>
      <c r="K54" s="12" t="n"/>
    </row>
    <row r="55">
      <c r="F55" s="10" t="n"/>
      <c r="G55" s="10">
        <f>IFERROR(SUMIF('Master FF&amp;E Schedule'!$B:$B,$A55,'Master FF&amp;E Schedule'!$P:$P),0)</f>
        <v/>
      </c>
      <c r="H55" s="10">
        <f>IFERROR(SUMIF('Master FF&amp;E Schedule'!$B:$B,$A55,'Master FF&amp;E Schedule'!$T:$T),0)</f>
        <v/>
      </c>
      <c r="I55" s="10">
        <f>IF($A55="","",$F55-$H55)</f>
        <v/>
      </c>
    </row>
    <row r="56">
      <c r="A56" s="12" t="n"/>
      <c r="B56" s="12" t="n"/>
      <c r="C56" s="12" t="n"/>
      <c r="D56" s="12" t="n"/>
      <c r="E56" s="12" t="n"/>
      <c r="F56" s="13" t="n"/>
      <c r="G56" s="13">
        <f>IFERROR(SUMIF('Master FF&amp;E Schedule'!$B:$B,$A56,'Master FF&amp;E Schedule'!$P:$P),0)</f>
        <v/>
      </c>
      <c r="H56" s="13">
        <f>IFERROR(SUMIF('Master FF&amp;E Schedule'!$B:$B,$A56,'Master FF&amp;E Schedule'!$T:$T),0)</f>
        <v/>
      </c>
      <c r="I56" s="13">
        <f>IF($A56="","",$F56-$H56)</f>
        <v/>
      </c>
      <c r="J56" s="12" t="n"/>
      <c r="K56" s="12" t="n"/>
    </row>
    <row r="57">
      <c r="F57" s="10" t="n"/>
      <c r="G57" s="10">
        <f>IFERROR(SUMIF('Master FF&amp;E Schedule'!$B:$B,$A57,'Master FF&amp;E Schedule'!$P:$P),0)</f>
        <v/>
      </c>
      <c r="H57" s="10">
        <f>IFERROR(SUMIF('Master FF&amp;E Schedule'!$B:$B,$A57,'Master FF&amp;E Schedule'!$T:$T),0)</f>
        <v/>
      </c>
      <c r="I57" s="10">
        <f>IF($A57="","",$F57-$H57)</f>
        <v/>
      </c>
    </row>
    <row r="58">
      <c r="A58" s="12" t="n"/>
      <c r="B58" s="12" t="n"/>
      <c r="C58" s="12" t="n"/>
      <c r="D58" s="12" t="n"/>
      <c r="E58" s="12" t="n"/>
      <c r="F58" s="13" t="n"/>
      <c r="G58" s="13">
        <f>IFERROR(SUMIF('Master FF&amp;E Schedule'!$B:$B,$A58,'Master FF&amp;E Schedule'!$P:$P),0)</f>
        <v/>
      </c>
      <c r="H58" s="13">
        <f>IFERROR(SUMIF('Master FF&amp;E Schedule'!$B:$B,$A58,'Master FF&amp;E Schedule'!$T:$T),0)</f>
        <v/>
      </c>
      <c r="I58" s="13">
        <f>IF($A58="","",$F58-$H58)</f>
        <v/>
      </c>
      <c r="J58" s="12" t="n"/>
      <c r="K58" s="12" t="n"/>
    </row>
    <row r="59">
      <c r="F59" s="10" t="n"/>
      <c r="G59" s="10">
        <f>IFERROR(SUMIF('Master FF&amp;E Schedule'!$B:$B,$A59,'Master FF&amp;E Schedule'!$P:$P),0)</f>
        <v/>
      </c>
      <c r="H59" s="10">
        <f>IFERROR(SUMIF('Master FF&amp;E Schedule'!$B:$B,$A59,'Master FF&amp;E Schedule'!$T:$T),0)</f>
        <v/>
      </c>
      <c r="I59" s="10">
        <f>IF($A59="","",$F59-$H59)</f>
        <v/>
      </c>
    </row>
    <row r="60">
      <c r="A60" s="12" t="n"/>
      <c r="B60" s="12" t="n"/>
      <c r="C60" s="12" t="n"/>
      <c r="D60" s="12" t="n"/>
      <c r="E60" s="12" t="n"/>
      <c r="F60" s="13" t="n"/>
      <c r="G60" s="13">
        <f>IFERROR(SUMIF('Master FF&amp;E Schedule'!$B:$B,$A60,'Master FF&amp;E Schedule'!$P:$P),0)</f>
        <v/>
      </c>
      <c r="H60" s="13">
        <f>IFERROR(SUMIF('Master FF&amp;E Schedule'!$B:$B,$A60,'Master FF&amp;E Schedule'!$T:$T),0)</f>
        <v/>
      </c>
      <c r="I60" s="13">
        <f>IF($A60="","",$F60-$H60)</f>
        <v/>
      </c>
      <c r="J60" s="12" t="n"/>
      <c r="K60" s="12" t="n"/>
    </row>
    <row r="61">
      <c r="F61" s="10" t="n"/>
      <c r="G61" s="10">
        <f>IFERROR(SUMIF('Master FF&amp;E Schedule'!$B:$B,$A61,'Master FF&amp;E Schedule'!$P:$P),0)</f>
        <v/>
      </c>
      <c r="H61" s="10">
        <f>IFERROR(SUMIF('Master FF&amp;E Schedule'!$B:$B,$A61,'Master FF&amp;E Schedule'!$T:$T),0)</f>
        <v/>
      </c>
      <c r="I61" s="10">
        <f>IF($A61="","",$F61-$H61)</f>
        <v/>
      </c>
    </row>
    <row r="62">
      <c r="A62" s="12" t="n"/>
      <c r="B62" s="12" t="n"/>
      <c r="C62" s="12" t="n"/>
      <c r="D62" s="12" t="n"/>
      <c r="E62" s="12" t="n"/>
      <c r="F62" s="13" t="n"/>
      <c r="G62" s="13">
        <f>IFERROR(SUMIF('Master FF&amp;E Schedule'!$B:$B,$A62,'Master FF&amp;E Schedule'!$P:$P),0)</f>
        <v/>
      </c>
      <c r="H62" s="13">
        <f>IFERROR(SUMIF('Master FF&amp;E Schedule'!$B:$B,$A62,'Master FF&amp;E Schedule'!$T:$T),0)</f>
        <v/>
      </c>
      <c r="I62" s="13">
        <f>IF($A62="","",$F62-$H62)</f>
        <v/>
      </c>
      <c r="J62" s="12" t="n"/>
      <c r="K62" s="12" t="n"/>
    </row>
    <row r="63">
      <c r="F63" s="10" t="n"/>
      <c r="G63" s="10">
        <f>IFERROR(SUMIF('Master FF&amp;E Schedule'!$B:$B,$A63,'Master FF&amp;E Schedule'!$P:$P),0)</f>
        <v/>
      </c>
      <c r="H63" s="10">
        <f>IFERROR(SUMIF('Master FF&amp;E Schedule'!$B:$B,$A63,'Master FF&amp;E Schedule'!$T:$T),0)</f>
        <v/>
      </c>
      <c r="I63" s="10">
        <f>IF($A63="","",$F63-$H63)</f>
        <v/>
      </c>
    </row>
    <row r="64">
      <c r="A64" s="12" t="n"/>
      <c r="B64" s="12" t="n"/>
      <c r="C64" s="12" t="n"/>
      <c r="D64" s="12" t="n"/>
      <c r="E64" s="12" t="n"/>
      <c r="F64" s="13" t="n"/>
      <c r="G64" s="13">
        <f>IFERROR(SUMIF('Master FF&amp;E Schedule'!$B:$B,$A64,'Master FF&amp;E Schedule'!$P:$P),0)</f>
        <v/>
      </c>
      <c r="H64" s="13">
        <f>IFERROR(SUMIF('Master FF&amp;E Schedule'!$B:$B,$A64,'Master FF&amp;E Schedule'!$T:$T),0)</f>
        <v/>
      </c>
      <c r="I64" s="13">
        <f>IF($A64="","",$F64-$H64)</f>
        <v/>
      </c>
      <c r="J64" s="12" t="n"/>
      <c r="K64" s="12" t="n"/>
    </row>
    <row r="65">
      <c r="F65" s="10" t="n"/>
      <c r="G65" s="10">
        <f>IFERROR(SUMIF('Master FF&amp;E Schedule'!$B:$B,$A65,'Master FF&amp;E Schedule'!$P:$P),0)</f>
        <v/>
      </c>
      <c r="H65" s="10">
        <f>IFERROR(SUMIF('Master FF&amp;E Schedule'!$B:$B,$A65,'Master FF&amp;E Schedule'!$T:$T),0)</f>
        <v/>
      </c>
      <c r="I65" s="10">
        <f>IF($A65="","",$F65-$H65)</f>
        <v/>
      </c>
    </row>
    <row r="66">
      <c r="A66" s="12" t="n"/>
      <c r="B66" s="12" t="n"/>
      <c r="C66" s="12" t="n"/>
      <c r="D66" s="12" t="n"/>
      <c r="E66" s="12" t="n"/>
      <c r="F66" s="13" t="n"/>
      <c r="G66" s="13">
        <f>IFERROR(SUMIF('Master FF&amp;E Schedule'!$B:$B,$A66,'Master FF&amp;E Schedule'!$P:$P),0)</f>
        <v/>
      </c>
      <c r="H66" s="13">
        <f>IFERROR(SUMIF('Master FF&amp;E Schedule'!$B:$B,$A66,'Master FF&amp;E Schedule'!$T:$T),0)</f>
        <v/>
      </c>
      <c r="I66" s="13">
        <f>IF($A66="","",$F66-$H66)</f>
        <v/>
      </c>
      <c r="J66" s="12" t="n"/>
      <c r="K66" s="12" t="n"/>
    </row>
    <row r="67">
      <c r="F67" s="10" t="n"/>
      <c r="G67" s="10">
        <f>IFERROR(SUMIF('Master FF&amp;E Schedule'!$B:$B,$A67,'Master FF&amp;E Schedule'!$P:$P),0)</f>
        <v/>
      </c>
      <c r="H67" s="10">
        <f>IFERROR(SUMIF('Master FF&amp;E Schedule'!$B:$B,$A67,'Master FF&amp;E Schedule'!$T:$T),0)</f>
        <v/>
      </c>
      <c r="I67" s="10">
        <f>IF($A67="","",$F67-$H67)</f>
        <v/>
      </c>
    </row>
    <row r="68">
      <c r="A68" s="12" t="n"/>
      <c r="B68" s="12" t="n"/>
      <c r="C68" s="12" t="n"/>
      <c r="D68" s="12" t="n"/>
      <c r="E68" s="12" t="n"/>
      <c r="F68" s="13" t="n"/>
      <c r="G68" s="13">
        <f>IFERROR(SUMIF('Master FF&amp;E Schedule'!$B:$B,$A68,'Master FF&amp;E Schedule'!$P:$P),0)</f>
        <v/>
      </c>
      <c r="H68" s="13">
        <f>IFERROR(SUMIF('Master FF&amp;E Schedule'!$B:$B,$A68,'Master FF&amp;E Schedule'!$T:$T),0)</f>
        <v/>
      </c>
      <c r="I68" s="13">
        <f>IF($A68="","",$F68-$H68)</f>
        <v/>
      </c>
      <c r="J68" s="12" t="n"/>
      <c r="K68" s="12" t="n"/>
    </row>
    <row r="69">
      <c r="F69" s="10" t="n"/>
      <c r="G69" s="10">
        <f>IFERROR(SUMIF('Master FF&amp;E Schedule'!$B:$B,$A69,'Master FF&amp;E Schedule'!$P:$P),0)</f>
        <v/>
      </c>
      <c r="H69" s="10">
        <f>IFERROR(SUMIF('Master FF&amp;E Schedule'!$B:$B,$A69,'Master FF&amp;E Schedule'!$T:$T),0)</f>
        <v/>
      </c>
      <c r="I69" s="10">
        <f>IF($A69="","",$F69-$H69)</f>
        <v/>
      </c>
    </row>
    <row r="70">
      <c r="A70" s="12" t="n"/>
      <c r="B70" s="12" t="n"/>
      <c r="C70" s="12" t="n"/>
      <c r="D70" s="12" t="n"/>
      <c r="E70" s="12" t="n"/>
      <c r="F70" s="13" t="n"/>
      <c r="G70" s="13">
        <f>IFERROR(SUMIF('Master FF&amp;E Schedule'!$B:$B,$A70,'Master FF&amp;E Schedule'!$P:$P),0)</f>
        <v/>
      </c>
      <c r="H70" s="13">
        <f>IFERROR(SUMIF('Master FF&amp;E Schedule'!$B:$B,$A70,'Master FF&amp;E Schedule'!$T:$T),0)</f>
        <v/>
      </c>
      <c r="I70" s="13">
        <f>IF($A70="","",$F70-$H70)</f>
        <v/>
      </c>
      <c r="J70" s="12" t="n"/>
      <c r="K70" s="12" t="n"/>
    </row>
    <row r="71">
      <c r="F71" s="10" t="n"/>
      <c r="G71" s="10">
        <f>IFERROR(SUMIF('Master FF&amp;E Schedule'!$B:$B,$A71,'Master FF&amp;E Schedule'!$P:$P),0)</f>
        <v/>
      </c>
      <c r="H71" s="10">
        <f>IFERROR(SUMIF('Master FF&amp;E Schedule'!$B:$B,$A71,'Master FF&amp;E Schedule'!$T:$T),0)</f>
        <v/>
      </c>
      <c r="I71" s="10">
        <f>IF($A71="","",$F71-$H71)</f>
        <v/>
      </c>
    </row>
    <row r="72">
      <c r="A72" s="12" t="n"/>
      <c r="B72" s="12" t="n"/>
      <c r="C72" s="12" t="n"/>
      <c r="D72" s="12" t="n"/>
      <c r="E72" s="12" t="n"/>
      <c r="F72" s="13" t="n"/>
      <c r="G72" s="13">
        <f>IFERROR(SUMIF('Master FF&amp;E Schedule'!$B:$B,$A72,'Master FF&amp;E Schedule'!$P:$P),0)</f>
        <v/>
      </c>
      <c r="H72" s="13">
        <f>IFERROR(SUMIF('Master FF&amp;E Schedule'!$B:$B,$A72,'Master FF&amp;E Schedule'!$T:$T),0)</f>
        <v/>
      </c>
      <c r="I72" s="13">
        <f>IF($A72="","",$F72-$H72)</f>
        <v/>
      </c>
      <c r="J72" s="12" t="n"/>
      <c r="K72" s="12" t="n"/>
    </row>
    <row r="73">
      <c r="F73" s="10" t="n"/>
      <c r="G73" s="10">
        <f>IFERROR(SUMIF('Master FF&amp;E Schedule'!$B:$B,$A73,'Master FF&amp;E Schedule'!$P:$P),0)</f>
        <v/>
      </c>
      <c r="H73" s="10">
        <f>IFERROR(SUMIF('Master FF&amp;E Schedule'!$B:$B,$A73,'Master FF&amp;E Schedule'!$T:$T),0)</f>
        <v/>
      </c>
      <c r="I73" s="10">
        <f>IF($A73="","",$F73-$H73)</f>
        <v/>
      </c>
    </row>
    <row r="74">
      <c r="A74" s="12" t="n"/>
      <c r="B74" s="12" t="n"/>
      <c r="C74" s="12" t="n"/>
      <c r="D74" s="12" t="n"/>
      <c r="E74" s="12" t="n"/>
      <c r="F74" s="13" t="n"/>
      <c r="G74" s="13">
        <f>IFERROR(SUMIF('Master FF&amp;E Schedule'!$B:$B,$A74,'Master FF&amp;E Schedule'!$P:$P),0)</f>
        <v/>
      </c>
      <c r="H74" s="13">
        <f>IFERROR(SUMIF('Master FF&amp;E Schedule'!$B:$B,$A74,'Master FF&amp;E Schedule'!$T:$T),0)</f>
        <v/>
      </c>
      <c r="I74" s="13">
        <f>IF($A74="","",$F74-$H74)</f>
        <v/>
      </c>
      <c r="J74" s="12" t="n"/>
      <c r="K74" s="12" t="n"/>
    </row>
    <row r="75">
      <c r="F75" s="10" t="n"/>
      <c r="G75" s="10">
        <f>IFERROR(SUMIF('Master FF&amp;E Schedule'!$B:$B,$A75,'Master FF&amp;E Schedule'!$P:$P),0)</f>
        <v/>
      </c>
      <c r="H75" s="10">
        <f>IFERROR(SUMIF('Master FF&amp;E Schedule'!$B:$B,$A75,'Master FF&amp;E Schedule'!$T:$T),0)</f>
        <v/>
      </c>
      <c r="I75" s="10">
        <f>IF($A75="","",$F75-$H75)</f>
        <v/>
      </c>
    </row>
    <row r="76">
      <c r="A76" s="12" t="n"/>
      <c r="B76" s="12" t="n"/>
      <c r="C76" s="12" t="n"/>
      <c r="D76" s="12" t="n"/>
      <c r="E76" s="12" t="n"/>
      <c r="F76" s="13" t="n"/>
      <c r="G76" s="13">
        <f>IFERROR(SUMIF('Master FF&amp;E Schedule'!$B:$B,$A76,'Master FF&amp;E Schedule'!$P:$P),0)</f>
        <v/>
      </c>
      <c r="H76" s="13">
        <f>IFERROR(SUMIF('Master FF&amp;E Schedule'!$B:$B,$A76,'Master FF&amp;E Schedule'!$T:$T),0)</f>
        <v/>
      </c>
      <c r="I76" s="13">
        <f>IF($A76="","",$F76-$H76)</f>
        <v/>
      </c>
      <c r="J76" s="12" t="n"/>
      <c r="K76" s="12" t="n"/>
    </row>
    <row r="77">
      <c r="F77" s="10" t="n"/>
      <c r="G77" s="10">
        <f>IFERROR(SUMIF('Master FF&amp;E Schedule'!$B:$B,$A77,'Master FF&amp;E Schedule'!$P:$P),0)</f>
        <v/>
      </c>
      <c r="H77" s="10">
        <f>IFERROR(SUMIF('Master FF&amp;E Schedule'!$B:$B,$A77,'Master FF&amp;E Schedule'!$T:$T),0)</f>
        <v/>
      </c>
      <c r="I77" s="10">
        <f>IF($A77="","",$F77-$H77)</f>
        <v/>
      </c>
    </row>
    <row r="78">
      <c r="A78" s="12" t="n"/>
      <c r="B78" s="12" t="n"/>
      <c r="C78" s="12" t="n"/>
      <c r="D78" s="12" t="n"/>
      <c r="E78" s="12" t="n"/>
      <c r="F78" s="13" t="n"/>
      <c r="G78" s="13">
        <f>IFERROR(SUMIF('Master FF&amp;E Schedule'!$B:$B,$A78,'Master FF&amp;E Schedule'!$P:$P),0)</f>
        <v/>
      </c>
      <c r="H78" s="13">
        <f>IFERROR(SUMIF('Master FF&amp;E Schedule'!$B:$B,$A78,'Master FF&amp;E Schedule'!$T:$T),0)</f>
        <v/>
      </c>
      <c r="I78" s="13">
        <f>IF($A78="","",$F78-$H78)</f>
        <v/>
      </c>
      <c r="J78" s="12" t="n"/>
      <c r="K78" s="12" t="n"/>
    </row>
    <row r="79">
      <c r="F79" s="10" t="n"/>
      <c r="G79" s="10">
        <f>IFERROR(SUMIF('Master FF&amp;E Schedule'!$B:$B,$A79,'Master FF&amp;E Schedule'!$P:$P),0)</f>
        <v/>
      </c>
      <c r="H79" s="10">
        <f>IFERROR(SUMIF('Master FF&amp;E Schedule'!$B:$B,$A79,'Master FF&amp;E Schedule'!$T:$T),0)</f>
        <v/>
      </c>
      <c r="I79" s="10">
        <f>IF($A79="","",$F79-$H79)</f>
        <v/>
      </c>
    </row>
    <row r="80">
      <c r="A80" s="12" t="n"/>
      <c r="B80" s="12" t="n"/>
      <c r="C80" s="12" t="n"/>
      <c r="D80" s="12" t="n"/>
      <c r="E80" s="12" t="n"/>
      <c r="F80" s="13" t="n"/>
      <c r="G80" s="13">
        <f>IFERROR(SUMIF('Master FF&amp;E Schedule'!$B:$B,$A80,'Master FF&amp;E Schedule'!$P:$P),0)</f>
        <v/>
      </c>
      <c r="H80" s="13">
        <f>IFERROR(SUMIF('Master FF&amp;E Schedule'!$B:$B,$A80,'Master FF&amp;E Schedule'!$T:$T),0)</f>
        <v/>
      </c>
      <c r="I80" s="13">
        <f>IF($A80="","",$F80-$H80)</f>
        <v/>
      </c>
      <c r="J80" s="12" t="n"/>
      <c r="K80" s="12" t="n"/>
    </row>
    <row r="81">
      <c r="F81" s="10" t="n"/>
      <c r="G81" s="10">
        <f>IFERROR(SUMIF('Master FF&amp;E Schedule'!$B:$B,$A81,'Master FF&amp;E Schedule'!$P:$P),0)</f>
        <v/>
      </c>
      <c r="H81" s="10">
        <f>IFERROR(SUMIF('Master FF&amp;E Schedule'!$B:$B,$A81,'Master FF&amp;E Schedule'!$T:$T),0)</f>
        <v/>
      </c>
      <c r="I81" s="10">
        <f>IF($A81="","",$F81-$H81)</f>
        <v/>
      </c>
    </row>
    <row r="82">
      <c r="A82" s="12" t="n"/>
      <c r="B82" s="12" t="n"/>
      <c r="C82" s="12" t="n"/>
      <c r="D82" s="12" t="n"/>
      <c r="E82" s="12" t="n"/>
      <c r="F82" s="13" t="n"/>
      <c r="G82" s="13">
        <f>IFERROR(SUMIF('Master FF&amp;E Schedule'!$B:$B,$A82,'Master FF&amp;E Schedule'!$P:$P),0)</f>
        <v/>
      </c>
      <c r="H82" s="13">
        <f>IFERROR(SUMIF('Master FF&amp;E Schedule'!$B:$B,$A82,'Master FF&amp;E Schedule'!$T:$T),0)</f>
        <v/>
      </c>
      <c r="I82" s="13">
        <f>IF($A82="","",$F82-$H82)</f>
        <v/>
      </c>
      <c r="J82" s="12" t="n"/>
      <c r="K82" s="12" t="n"/>
    </row>
    <row r="83">
      <c r="F83" s="10" t="n"/>
      <c r="G83" s="10">
        <f>IFERROR(SUMIF('Master FF&amp;E Schedule'!$B:$B,$A83,'Master FF&amp;E Schedule'!$P:$P),0)</f>
        <v/>
      </c>
      <c r="H83" s="10">
        <f>IFERROR(SUMIF('Master FF&amp;E Schedule'!$B:$B,$A83,'Master FF&amp;E Schedule'!$T:$T),0)</f>
        <v/>
      </c>
      <c r="I83" s="10">
        <f>IF($A83="","",$F83-$H83)</f>
        <v/>
      </c>
    </row>
    <row r="84">
      <c r="A84" s="12" t="n"/>
      <c r="B84" s="12" t="n"/>
      <c r="C84" s="12" t="n"/>
      <c r="D84" s="12" t="n"/>
      <c r="E84" s="12" t="n"/>
      <c r="F84" s="13" t="n"/>
      <c r="G84" s="13">
        <f>IFERROR(SUMIF('Master FF&amp;E Schedule'!$B:$B,$A84,'Master FF&amp;E Schedule'!$P:$P),0)</f>
        <v/>
      </c>
      <c r="H84" s="13">
        <f>IFERROR(SUMIF('Master FF&amp;E Schedule'!$B:$B,$A84,'Master FF&amp;E Schedule'!$T:$T),0)</f>
        <v/>
      </c>
      <c r="I84" s="13">
        <f>IF($A84="","",$F84-$H84)</f>
        <v/>
      </c>
      <c r="J84" s="12" t="n"/>
      <c r="K84" s="12" t="n"/>
    </row>
    <row r="85">
      <c r="F85" s="10" t="n"/>
      <c r="G85" s="10">
        <f>IFERROR(SUMIF('Master FF&amp;E Schedule'!$B:$B,$A85,'Master FF&amp;E Schedule'!$P:$P),0)</f>
        <v/>
      </c>
      <c r="H85" s="10">
        <f>IFERROR(SUMIF('Master FF&amp;E Schedule'!$B:$B,$A85,'Master FF&amp;E Schedule'!$T:$T),0)</f>
        <v/>
      </c>
      <c r="I85" s="10">
        <f>IF($A85="","",$F85-$H85)</f>
        <v/>
      </c>
    </row>
    <row r="86">
      <c r="A86" s="12" t="n"/>
      <c r="B86" s="12" t="n"/>
      <c r="C86" s="12" t="n"/>
      <c r="D86" s="12" t="n"/>
      <c r="E86" s="12" t="n"/>
      <c r="F86" s="13" t="n"/>
      <c r="G86" s="13">
        <f>IFERROR(SUMIF('Master FF&amp;E Schedule'!$B:$B,$A86,'Master FF&amp;E Schedule'!$P:$P),0)</f>
        <v/>
      </c>
      <c r="H86" s="13">
        <f>IFERROR(SUMIF('Master FF&amp;E Schedule'!$B:$B,$A86,'Master FF&amp;E Schedule'!$T:$T),0)</f>
        <v/>
      </c>
      <c r="I86" s="13">
        <f>IF($A86="","",$F86-$H86)</f>
        <v/>
      </c>
      <c r="J86" s="12" t="n"/>
      <c r="K86" s="12" t="n"/>
    </row>
    <row r="87">
      <c r="F87" s="10" t="n"/>
      <c r="G87" s="10">
        <f>IFERROR(SUMIF('Master FF&amp;E Schedule'!$B:$B,$A87,'Master FF&amp;E Schedule'!$P:$P),0)</f>
        <v/>
      </c>
      <c r="H87" s="10">
        <f>IFERROR(SUMIF('Master FF&amp;E Schedule'!$B:$B,$A87,'Master FF&amp;E Schedule'!$T:$T),0)</f>
        <v/>
      </c>
      <c r="I87" s="10">
        <f>IF($A87="","",$F87-$H87)</f>
        <v/>
      </c>
    </row>
    <row r="88">
      <c r="A88" s="12" t="n"/>
      <c r="B88" s="12" t="n"/>
      <c r="C88" s="12" t="n"/>
      <c r="D88" s="12" t="n"/>
      <c r="E88" s="12" t="n"/>
      <c r="F88" s="13" t="n"/>
      <c r="G88" s="13">
        <f>IFERROR(SUMIF('Master FF&amp;E Schedule'!$B:$B,$A88,'Master FF&amp;E Schedule'!$P:$P),0)</f>
        <v/>
      </c>
      <c r="H88" s="13">
        <f>IFERROR(SUMIF('Master FF&amp;E Schedule'!$B:$B,$A88,'Master FF&amp;E Schedule'!$T:$T),0)</f>
        <v/>
      </c>
      <c r="I88" s="13">
        <f>IF($A88="","",$F88-$H88)</f>
        <v/>
      </c>
      <c r="J88" s="12" t="n"/>
      <c r="K88" s="12" t="n"/>
    </row>
    <row r="89">
      <c r="F89" s="10" t="n"/>
      <c r="G89" s="10">
        <f>IFERROR(SUMIF('Master FF&amp;E Schedule'!$B:$B,$A89,'Master FF&amp;E Schedule'!$P:$P),0)</f>
        <v/>
      </c>
      <c r="H89" s="10">
        <f>IFERROR(SUMIF('Master FF&amp;E Schedule'!$B:$B,$A89,'Master FF&amp;E Schedule'!$T:$T),0)</f>
        <v/>
      </c>
      <c r="I89" s="10">
        <f>IF($A89="","",$F89-$H89)</f>
        <v/>
      </c>
    </row>
    <row r="90">
      <c r="A90" s="12" t="n"/>
      <c r="B90" s="12" t="n"/>
      <c r="C90" s="12" t="n"/>
      <c r="D90" s="12" t="n"/>
      <c r="E90" s="12" t="n"/>
      <c r="F90" s="13" t="n"/>
      <c r="G90" s="13">
        <f>IFERROR(SUMIF('Master FF&amp;E Schedule'!$B:$B,$A90,'Master FF&amp;E Schedule'!$P:$P),0)</f>
        <v/>
      </c>
      <c r="H90" s="13">
        <f>IFERROR(SUMIF('Master FF&amp;E Schedule'!$B:$B,$A90,'Master FF&amp;E Schedule'!$T:$T),0)</f>
        <v/>
      </c>
      <c r="I90" s="13">
        <f>IF($A90="","",$F90-$H90)</f>
        <v/>
      </c>
      <c r="J90" s="12" t="n"/>
      <c r="K90" s="12" t="n"/>
    </row>
    <row r="91">
      <c r="F91" s="10" t="n"/>
      <c r="G91" s="10">
        <f>IFERROR(SUMIF('Master FF&amp;E Schedule'!$B:$B,$A91,'Master FF&amp;E Schedule'!$P:$P),0)</f>
        <v/>
      </c>
      <c r="H91" s="10">
        <f>IFERROR(SUMIF('Master FF&amp;E Schedule'!$B:$B,$A91,'Master FF&amp;E Schedule'!$T:$T),0)</f>
        <v/>
      </c>
      <c r="I91" s="10">
        <f>IF($A91="","",$F91-$H91)</f>
        <v/>
      </c>
    </row>
    <row r="92">
      <c r="A92" s="12" t="n"/>
      <c r="B92" s="12" t="n"/>
      <c r="C92" s="12" t="n"/>
      <c r="D92" s="12" t="n"/>
      <c r="E92" s="12" t="n"/>
      <c r="F92" s="13" t="n"/>
      <c r="G92" s="13">
        <f>IFERROR(SUMIF('Master FF&amp;E Schedule'!$B:$B,$A92,'Master FF&amp;E Schedule'!$P:$P),0)</f>
        <v/>
      </c>
      <c r="H92" s="13">
        <f>IFERROR(SUMIF('Master FF&amp;E Schedule'!$B:$B,$A92,'Master FF&amp;E Schedule'!$T:$T),0)</f>
        <v/>
      </c>
      <c r="I92" s="13">
        <f>IF($A92="","",$F92-$H92)</f>
        <v/>
      </c>
      <c r="J92" s="12" t="n"/>
      <c r="K92" s="12" t="n"/>
    </row>
    <row r="93">
      <c r="F93" s="10" t="n"/>
      <c r="G93" s="10">
        <f>IFERROR(SUMIF('Master FF&amp;E Schedule'!$B:$B,$A93,'Master FF&amp;E Schedule'!$P:$P),0)</f>
        <v/>
      </c>
      <c r="H93" s="10">
        <f>IFERROR(SUMIF('Master FF&amp;E Schedule'!$B:$B,$A93,'Master FF&amp;E Schedule'!$T:$T),0)</f>
        <v/>
      </c>
      <c r="I93" s="10">
        <f>IF($A93="","",$F93-$H93)</f>
        <v/>
      </c>
    </row>
    <row r="94">
      <c r="A94" s="12" t="n"/>
      <c r="B94" s="12" t="n"/>
      <c r="C94" s="12" t="n"/>
      <c r="D94" s="12" t="n"/>
      <c r="E94" s="12" t="n"/>
      <c r="F94" s="13" t="n"/>
      <c r="G94" s="13">
        <f>IFERROR(SUMIF('Master FF&amp;E Schedule'!$B:$B,$A94,'Master FF&amp;E Schedule'!$P:$P),0)</f>
        <v/>
      </c>
      <c r="H94" s="13">
        <f>IFERROR(SUMIF('Master FF&amp;E Schedule'!$B:$B,$A94,'Master FF&amp;E Schedule'!$T:$T),0)</f>
        <v/>
      </c>
      <c r="I94" s="13">
        <f>IF($A94="","",$F94-$H94)</f>
        <v/>
      </c>
      <c r="J94" s="12" t="n"/>
      <c r="K94" s="12" t="n"/>
    </row>
    <row r="95">
      <c r="F95" s="10" t="n"/>
      <c r="G95" s="10">
        <f>IFERROR(SUMIF('Master FF&amp;E Schedule'!$B:$B,$A95,'Master FF&amp;E Schedule'!$P:$P),0)</f>
        <v/>
      </c>
      <c r="H95" s="10">
        <f>IFERROR(SUMIF('Master FF&amp;E Schedule'!$B:$B,$A95,'Master FF&amp;E Schedule'!$T:$T),0)</f>
        <v/>
      </c>
      <c r="I95" s="10">
        <f>IF($A95="","",$F95-$H95)</f>
        <v/>
      </c>
    </row>
    <row r="96">
      <c r="A96" s="12" t="n"/>
      <c r="B96" s="12" t="n"/>
      <c r="C96" s="12" t="n"/>
      <c r="D96" s="12" t="n"/>
      <c r="E96" s="12" t="n"/>
      <c r="F96" s="13" t="n"/>
      <c r="G96" s="13">
        <f>IFERROR(SUMIF('Master FF&amp;E Schedule'!$B:$B,$A96,'Master FF&amp;E Schedule'!$P:$P),0)</f>
        <v/>
      </c>
      <c r="H96" s="13">
        <f>IFERROR(SUMIF('Master FF&amp;E Schedule'!$B:$B,$A96,'Master FF&amp;E Schedule'!$T:$T),0)</f>
        <v/>
      </c>
      <c r="I96" s="13">
        <f>IF($A96="","",$F96-$H96)</f>
        <v/>
      </c>
      <c r="J96" s="12" t="n"/>
      <c r="K96" s="12" t="n"/>
    </row>
    <row r="97">
      <c r="F97" s="10" t="n"/>
      <c r="G97" s="10">
        <f>IFERROR(SUMIF('Master FF&amp;E Schedule'!$B:$B,$A97,'Master FF&amp;E Schedule'!$P:$P),0)</f>
        <v/>
      </c>
      <c r="H97" s="10">
        <f>IFERROR(SUMIF('Master FF&amp;E Schedule'!$B:$B,$A97,'Master FF&amp;E Schedule'!$T:$T),0)</f>
        <v/>
      </c>
      <c r="I97" s="10">
        <f>IF($A97="","",$F97-$H97)</f>
        <v/>
      </c>
    </row>
    <row r="98">
      <c r="A98" s="12" t="n"/>
      <c r="B98" s="12" t="n"/>
      <c r="C98" s="12" t="n"/>
      <c r="D98" s="12" t="n"/>
      <c r="E98" s="12" t="n"/>
      <c r="F98" s="13" t="n"/>
      <c r="G98" s="13">
        <f>IFERROR(SUMIF('Master FF&amp;E Schedule'!$B:$B,$A98,'Master FF&amp;E Schedule'!$P:$P),0)</f>
        <v/>
      </c>
      <c r="H98" s="13">
        <f>IFERROR(SUMIF('Master FF&amp;E Schedule'!$B:$B,$A98,'Master FF&amp;E Schedule'!$T:$T),0)</f>
        <v/>
      </c>
      <c r="I98" s="13">
        <f>IF($A98="","",$F98-$H98)</f>
        <v/>
      </c>
      <c r="J98" s="12" t="n"/>
      <c r="K98" s="12" t="n"/>
    </row>
    <row r="99">
      <c r="F99" s="10" t="n"/>
      <c r="G99" s="10">
        <f>IFERROR(SUMIF('Master FF&amp;E Schedule'!$B:$B,$A99,'Master FF&amp;E Schedule'!$P:$P),0)</f>
        <v/>
      </c>
      <c r="H99" s="10">
        <f>IFERROR(SUMIF('Master FF&amp;E Schedule'!$B:$B,$A99,'Master FF&amp;E Schedule'!$T:$T),0)</f>
        <v/>
      </c>
      <c r="I99" s="10">
        <f>IF($A99="","",$F99-$H99)</f>
        <v/>
      </c>
    </row>
    <row r="100">
      <c r="A100" s="12" t="n"/>
      <c r="B100" s="12" t="n"/>
      <c r="C100" s="12" t="n"/>
      <c r="D100" s="12" t="n"/>
      <c r="E100" s="12" t="n"/>
      <c r="F100" s="13" t="n"/>
      <c r="G100" s="13">
        <f>IFERROR(SUMIF('Master FF&amp;E Schedule'!$B:$B,$A100,'Master FF&amp;E Schedule'!$P:$P),0)</f>
        <v/>
      </c>
      <c r="H100" s="13">
        <f>IFERROR(SUMIF('Master FF&amp;E Schedule'!$B:$B,$A100,'Master FF&amp;E Schedule'!$T:$T),0)</f>
        <v/>
      </c>
      <c r="I100" s="13">
        <f>IF($A100="","",$F100-$H100)</f>
        <v/>
      </c>
      <c r="J100" s="12" t="n"/>
      <c r="K100" s="12" t="n"/>
    </row>
    <row r="101">
      <c r="F101" s="10" t="n"/>
      <c r="G101" s="10">
        <f>IFERROR(SUMIF('Master FF&amp;E Schedule'!$B:$B,$A101,'Master FF&amp;E Schedule'!$P:$P),0)</f>
        <v/>
      </c>
      <c r="H101" s="10">
        <f>IFERROR(SUMIF('Master FF&amp;E Schedule'!$B:$B,$A101,'Master FF&amp;E Schedule'!$T:$T),0)</f>
        <v/>
      </c>
      <c r="I101" s="10">
        <f>IF($A101="","",$F101-$H101)</f>
        <v/>
      </c>
    </row>
    <row r="102">
      <c r="A102" s="12" t="n"/>
      <c r="B102" s="12" t="n"/>
      <c r="C102" s="12" t="n"/>
      <c r="D102" s="12" t="n"/>
      <c r="E102" s="12" t="n"/>
      <c r="F102" s="13" t="n"/>
      <c r="G102" s="13">
        <f>IFERROR(SUMIF('Master FF&amp;E Schedule'!$B:$B,$A102,'Master FF&amp;E Schedule'!$P:$P),0)</f>
        <v/>
      </c>
      <c r="H102" s="13">
        <f>IFERROR(SUMIF('Master FF&amp;E Schedule'!$B:$B,$A102,'Master FF&amp;E Schedule'!$T:$T),0)</f>
        <v/>
      </c>
      <c r="I102" s="13">
        <f>IF($A102="","",$F102-$H102)</f>
        <v/>
      </c>
      <c r="J102" s="12" t="n"/>
      <c r="K102" s="12" t="n"/>
    </row>
    <row r="103">
      <c r="F103" s="10" t="n"/>
      <c r="G103" s="10">
        <f>IFERROR(SUMIF('Master FF&amp;E Schedule'!$B:$B,$A103,'Master FF&amp;E Schedule'!$P:$P),0)</f>
        <v/>
      </c>
      <c r="H103" s="10">
        <f>IFERROR(SUMIF('Master FF&amp;E Schedule'!$B:$B,$A103,'Master FF&amp;E Schedule'!$T:$T),0)</f>
        <v/>
      </c>
      <c r="I103" s="10">
        <f>IF($A103="","",$F103-$H103)</f>
        <v/>
      </c>
    </row>
    <row r="104">
      <c r="A104" s="12" t="n"/>
      <c r="B104" s="12" t="n"/>
      <c r="C104" s="12" t="n"/>
      <c r="D104" s="12" t="n"/>
      <c r="E104" s="12" t="n"/>
      <c r="F104" s="13" t="n"/>
      <c r="G104" s="13">
        <f>IFERROR(SUMIF('Master FF&amp;E Schedule'!$B:$B,$A104,'Master FF&amp;E Schedule'!$P:$P),0)</f>
        <v/>
      </c>
      <c r="H104" s="13">
        <f>IFERROR(SUMIF('Master FF&amp;E Schedule'!$B:$B,$A104,'Master FF&amp;E Schedule'!$T:$T),0)</f>
        <v/>
      </c>
      <c r="I104" s="13">
        <f>IF($A104="","",$F104-$H104)</f>
        <v/>
      </c>
      <c r="J104" s="12" t="n"/>
      <c r="K104" s="12" t="n"/>
    </row>
    <row r="105">
      <c r="F105" s="10" t="n"/>
      <c r="G105" s="10">
        <f>IFERROR(SUMIF('Master FF&amp;E Schedule'!$B:$B,$A105,'Master FF&amp;E Schedule'!$P:$P),0)</f>
        <v/>
      </c>
      <c r="H105" s="10">
        <f>IFERROR(SUMIF('Master FF&amp;E Schedule'!$B:$B,$A105,'Master FF&amp;E Schedule'!$T:$T),0)</f>
        <v/>
      </c>
      <c r="I105" s="10">
        <f>IF($A105="","",$F105-$H105)</f>
        <v/>
      </c>
    </row>
    <row r="106">
      <c r="A106" s="12" t="n"/>
      <c r="B106" s="12" t="n"/>
      <c r="C106" s="12" t="n"/>
      <c r="D106" s="12" t="n"/>
      <c r="E106" s="12" t="n"/>
      <c r="F106" s="13" t="n"/>
      <c r="G106" s="13">
        <f>IFERROR(SUMIF('Master FF&amp;E Schedule'!$B:$B,$A106,'Master FF&amp;E Schedule'!$P:$P),0)</f>
        <v/>
      </c>
      <c r="H106" s="13">
        <f>IFERROR(SUMIF('Master FF&amp;E Schedule'!$B:$B,$A106,'Master FF&amp;E Schedule'!$T:$T),0)</f>
        <v/>
      </c>
      <c r="I106" s="13">
        <f>IF($A106="","",$F106-$H106)</f>
        <v/>
      </c>
      <c r="J106" s="12" t="n"/>
      <c r="K106" s="12" t="n"/>
    </row>
    <row r="107">
      <c r="F107" s="10" t="n"/>
      <c r="G107" s="10">
        <f>IFERROR(SUMIF('Master FF&amp;E Schedule'!$B:$B,$A107,'Master FF&amp;E Schedule'!$P:$P),0)</f>
        <v/>
      </c>
      <c r="H107" s="10">
        <f>IFERROR(SUMIF('Master FF&amp;E Schedule'!$B:$B,$A107,'Master FF&amp;E Schedule'!$T:$T),0)</f>
        <v/>
      </c>
      <c r="I107" s="10">
        <f>IF($A107="","",$F107-$H107)</f>
        <v/>
      </c>
    </row>
    <row r="108">
      <c r="A108" s="12" t="n"/>
      <c r="B108" s="12" t="n"/>
      <c r="C108" s="12" t="n"/>
      <c r="D108" s="12" t="n"/>
      <c r="E108" s="12" t="n"/>
      <c r="F108" s="13" t="n"/>
      <c r="G108" s="13">
        <f>IFERROR(SUMIF('Master FF&amp;E Schedule'!$B:$B,$A108,'Master FF&amp;E Schedule'!$P:$P),0)</f>
        <v/>
      </c>
      <c r="H108" s="13">
        <f>IFERROR(SUMIF('Master FF&amp;E Schedule'!$B:$B,$A108,'Master FF&amp;E Schedule'!$T:$T),0)</f>
        <v/>
      </c>
      <c r="I108" s="13">
        <f>IF($A108="","",$F108-$H108)</f>
        <v/>
      </c>
      <c r="J108" s="12" t="n"/>
      <c r="K108" s="12" t="n"/>
    </row>
    <row r="109">
      <c r="F109" s="10" t="n"/>
      <c r="G109" s="10">
        <f>IFERROR(SUMIF('Master FF&amp;E Schedule'!$B:$B,$A109,'Master FF&amp;E Schedule'!$P:$P),0)</f>
        <v/>
      </c>
      <c r="H109" s="10">
        <f>IFERROR(SUMIF('Master FF&amp;E Schedule'!$B:$B,$A109,'Master FF&amp;E Schedule'!$T:$T),0)</f>
        <v/>
      </c>
      <c r="I109" s="10">
        <f>IF($A109="","",$F109-$H109)</f>
        <v/>
      </c>
    </row>
    <row r="110">
      <c r="A110" s="12" t="n"/>
      <c r="B110" s="12" t="n"/>
      <c r="C110" s="12" t="n"/>
      <c r="D110" s="12" t="n"/>
      <c r="E110" s="12" t="n"/>
      <c r="F110" s="13" t="n"/>
      <c r="G110" s="13">
        <f>IFERROR(SUMIF('Master FF&amp;E Schedule'!$B:$B,$A110,'Master FF&amp;E Schedule'!$P:$P),0)</f>
        <v/>
      </c>
      <c r="H110" s="13">
        <f>IFERROR(SUMIF('Master FF&amp;E Schedule'!$B:$B,$A110,'Master FF&amp;E Schedule'!$T:$T),0)</f>
        <v/>
      </c>
      <c r="I110" s="13">
        <f>IF($A110="","",$F110-$H110)</f>
        <v/>
      </c>
      <c r="J110" s="12" t="n"/>
      <c r="K110" s="12" t="n"/>
    </row>
    <row r="111">
      <c r="F111" s="10" t="n"/>
      <c r="G111" s="10">
        <f>IFERROR(SUMIF('Master FF&amp;E Schedule'!$B:$B,$A111,'Master FF&amp;E Schedule'!$P:$P),0)</f>
        <v/>
      </c>
      <c r="H111" s="10">
        <f>IFERROR(SUMIF('Master FF&amp;E Schedule'!$B:$B,$A111,'Master FF&amp;E Schedule'!$T:$T),0)</f>
        <v/>
      </c>
      <c r="I111" s="10">
        <f>IF($A111="","",$F111-$H111)</f>
        <v/>
      </c>
    </row>
    <row r="112">
      <c r="A112" s="12" t="n"/>
      <c r="B112" s="12" t="n"/>
      <c r="C112" s="12" t="n"/>
      <c r="D112" s="12" t="n"/>
      <c r="E112" s="12" t="n"/>
      <c r="F112" s="13" t="n"/>
      <c r="G112" s="13">
        <f>IFERROR(SUMIF('Master FF&amp;E Schedule'!$B:$B,$A112,'Master FF&amp;E Schedule'!$P:$P),0)</f>
        <v/>
      </c>
      <c r="H112" s="13">
        <f>IFERROR(SUMIF('Master FF&amp;E Schedule'!$B:$B,$A112,'Master FF&amp;E Schedule'!$T:$T),0)</f>
        <v/>
      </c>
      <c r="I112" s="13">
        <f>IF($A112="","",$F112-$H112)</f>
        <v/>
      </c>
      <c r="J112" s="12" t="n"/>
      <c r="K112" s="12" t="n"/>
    </row>
    <row r="113">
      <c r="F113" s="10" t="n"/>
      <c r="G113" s="10">
        <f>IFERROR(SUMIF('Master FF&amp;E Schedule'!$B:$B,$A113,'Master FF&amp;E Schedule'!$P:$P),0)</f>
        <v/>
      </c>
      <c r="H113" s="10">
        <f>IFERROR(SUMIF('Master FF&amp;E Schedule'!$B:$B,$A113,'Master FF&amp;E Schedule'!$T:$T),0)</f>
        <v/>
      </c>
      <c r="I113" s="10">
        <f>IF($A113="","",$F113-$H113)</f>
        <v/>
      </c>
    </row>
    <row r="114">
      <c r="A114" s="12" t="n"/>
      <c r="B114" s="12" t="n"/>
      <c r="C114" s="12" t="n"/>
      <c r="D114" s="12" t="n"/>
      <c r="E114" s="12" t="n"/>
      <c r="F114" s="13" t="n"/>
      <c r="G114" s="13">
        <f>IFERROR(SUMIF('Master FF&amp;E Schedule'!$B:$B,$A114,'Master FF&amp;E Schedule'!$P:$P),0)</f>
        <v/>
      </c>
      <c r="H114" s="13">
        <f>IFERROR(SUMIF('Master FF&amp;E Schedule'!$B:$B,$A114,'Master FF&amp;E Schedule'!$T:$T),0)</f>
        <v/>
      </c>
      <c r="I114" s="13">
        <f>IF($A114="","",$F114-$H114)</f>
        <v/>
      </c>
      <c r="J114" s="12" t="n"/>
      <c r="K114" s="12" t="n"/>
    </row>
    <row r="115">
      <c r="F115" s="10" t="n"/>
      <c r="G115" s="10">
        <f>IFERROR(SUMIF('Master FF&amp;E Schedule'!$B:$B,$A115,'Master FF&amp;E Schedule'!$P:$P),0)</f>
        <v/>
      </c>
      <c r="H115" s="10">
        <f>IFERROR(SUMIF('Master FF&amp;E Schedule'!$B:$B,$A115,'Master FF&amp;E Schedule'!$T:$T),0)</f>
        <v/>
      </c>
      <c r="I115" s="10">
        <f>IF($A115="","",$F115-$H115)</f>
        <v/>
      </c>
    </row>
    <row r="116">
      <c r="A116" s="12" t="n"/>
      <c r="B116" s="12" t="n"/>
      <c r="C116" s="12" t="n"/>
      <c r="D116" s="12" t="n"/>
      <c r="E116" s="12" t="n"/>
      <c r="F116" s="13" t="n"/>
      <c r="G116" s="13">
        <f>IFERROR(SUMIF('Master FF&amp;E Schedule'!$B:$B,$A116,'Master FF&amp;E Schedule'!$P:$P),0)</f>
        <v/>
      </c>
      <c r="H116" s="13">
        <f>IFERROR(SUMIF('Master FF&amp;E Schedule'!$B:$B,$A116,'Master FF&amp;E Schedule'!$T:$T),0)</f>
        <v/>
      </c>
      <c r="I116" s="13">
        <f>IF($A116="","",$F116-$H116)</f>
        <v/>
      </c>
      <c r="J116" s="12" t="n"/>
      <c r="K116" s="12" t="n"/>
    </row>
    <row r="117">
      <c r="F117" s="10" t="n"/>
      <c r="G117" s="10">
        <f>IFERROR(SUMIF('Master FF&amp;E Schedule'!$B:$B,$A117,'Master FF&amp;E Schedule'!$P:$P),0)</f>
        <v/>
      </c>
      <c r="H117" s="10">
        <f>IFERROR(SUMIF('Master FF&amp;E Schedule'!$B:$B,$A117,'Master FF&amp;E Schedule'!$T:$T),0)</f>
        <v/>
      </c>
      <c r="I117" s="10">
        <f>IF($A117="","",$F117-$H117)</f>
        <v/>
      </c>
    </row>
    <row r="118">
      <c r="A118" s="12" t="n"/>
      <c r="B118" s="12" t="n"/>
      <c r="C118" s="12" t="n"/>
      <c r="D118" s="12" t="n"/>
      <c r="E118" s="12" t="n"/>
      <c r="F118" s="13" t="n"/>
      <c r="G118" s="13">
        <f>IFERROR(SUMIF('Master FF&amp;E Schedule'!$B:$B,$A118,'Master FF&amp;E Schedule'!$P:$P),0)</f>
        <v/>
      </c>
      <c r="H118" s="13">
        <f>IFERROR(SUMIF('Master FF&amp;E Schedule'!$B:$B,$A118,'Master FF&amp;E Schedule'!$T:$T),0)</f>
        <v/>
      </c>
      <c r="I118" s="13">
        <f>IF($A118="","",$F118-$H118)</f>
        <v/>
      </c>
      <c r="J118" s="12" t="n"/>
      <c r="K118" s="12" t="n"/>
    </row>
    <row r="119">
      <c r="F119" s="10" t="n"/>
      <c r="G119" s="10">
        <f>IFERROR(SUMIF('Master FF&amp;E Schedule'!$B:$B,$A119,'Master FF&amp;E Schedule'!$P:$P),0)</f>
        <v/>
      </c>
      <c r="H119" s="10">
        <f>IFERROR(SUMIF('Master FF&amp;E Schedule'!$B:$B,$A119,'Master FF&amp;E Schedule'!$T:$T),0)</f>
        <v/>
      </c>
      <c r="I119" s="10">
        <f>IF($A119="","",$F119-$H119)</f>
        <v/>
      </c>
    </row>
    <row r="120">
      <c r="A120" s="12" t="n"/>
      <c r="B120" s="12" t="n"/>
      <c r="C120" s="12" t="n"/>
      <c r="D120" s="12" t="n"/>
      <c r="E120" s="12" t="n"/>
      <c r="F120" s="13" t="n"/>
      <c r="G120" s="13">
        <f>IFERROR(SUMIF('Master FF&amp;E Schedule'!$B:$B,$A120,'Master FF&amp;E Schedule'!$P:$P),0)</f>
        <v/>
      </c>
      <c r="H120" s="13">
        <f>IFERROR(SUMIF('Master FF&amp;E Schedule'!$B:$B,$A120,'Master FF&amp;E Schedule'!$T:$T),0)</f>
        <v/>
      </c>
      <c r="I120" s="13">
        <f>IF($A120="","",$F120-$H120)</f>
        <v/>
      </c>
      <c r="J120" s="12" t="n"/>
      <c r="K120" s="12" t="n"/>
    </row>
    <row r="121">
      <c r="F121" s="10" t="n"/>
      <c r="G121" s="10">
        <f>IFERROR(SUMIF('Master FF&amp;E Schedule'!$B:$B,$A121,'Master FF&amp;E Schedule'!$P:$P),0)</f>
        <v/>
      </c>
      <c r="H121" s="10">
        <f>IFERROR(SUMIF('Master FF&amp;E Schedule'!$B:$B,$A121,'Master FF&amp;E Schedule'!$T:$T),0)</f>
        <v/>
      </c>
      <c r="I121" s="10">
        <f>IF($A121="","",$F121-$H121)</f>
        <v/>
      </c>
    </row>
    <row r="122">
      <c r="A122" s="12" t="n"/>
      <c r="B122" s="12" t="n"/>
      <c r="C122" s="12" t="n"/>
      <c r="D122" s="12" t="n"/>
      <c r="E122" s="12" t="n"/>
      <c r="F122" s="13" t="n"/>
      <c r="G122" s="13">
        <f>IFERROR(SUMIF('Master FF&amp;E Schedule'!$B:$B,$A122,'Master FF&amp;E Schedule'!$P:$P),0)</f>
        <v/>
      </c>
      <c r="H122" s="13">
        <f>IFERROR(SUMIF('Master FF&amp;E Schedule'!$B:$B,$A122,'Master FF&amp;E Schedule'!$T:$T),0)</f>
        <v/>
      </c>
      <c r="I122" s="13">
        <f>IF($A122="","",$F122-$H122)</f>
        <v/>
      </c>
      <c r="J122" s="12" t="n"/>
      <c r="K122" s="12" t="n"/>
    </row>
    <row r="123">
      <c r="F123" s="10" t="n"/>
      <c r="G123" s="10">
        <f>IFERROR(SUMIF('Master FF&amp;E Schedule'!$B:$B,$A123,'Master FF&amp;E Schedule'!$P:$P),0)</f>
        <v/>
      </c>
      <c r="H123" s="10">
        <f>IFERROR(SUMIF('Master FF&amp;E Schedule'!$B:$B,$A123,'Master FF&amp;E Schedule'!$T:$T),0)</f>
        <v/>
      </c>
      <c r="I123" s="10">
        <f>IF($A123="","",$F123-$H123)</f>
        <v/>
      </c>
    </row>
    <row r="124">
      <c r="A124" s="12" t="n"/>
      <c r="B124" s="12" t="n"/>
      <c r="C124" s="12" t="n"/>
      <c r="D124" s="12" t="n"/>
      <c r="E124" s="12" t="n"/>
      <c r="F124" s="13" t="n"/>
      <c r="G124" s="13">
        <f>IFERROR(SUMIF('Master FF&amp;E Schedule'!$B:$B,$A124,'Master FF&amp;E Schedule'!$P:$P),0)</f>
        <v/>
      </c>
      <c r="H124" s="13">
        <f>IFERROR(SUMIF('Master FF&amp;E Schedule'!$B:$B,$A124,'Master FF&amp;E Schedule'!$T:$T),0)</f>
        <v/>
      </c>
      <c r="I124" s="13">
        <f>IF($A124="","",$F124-$H124)</f>
        <v/>
      </c>
      <c r="J124" s="12" t="n"/>
      <c r="K124" s="12" t="n"/>
    </row>
    <row r="125">
      <c r="F125" s="10" t="n"/>
      <c r="G125" s="10">
        <f>IFERROR(SUMIF('Master FF&amp;E Schedule'!$B:$B,$A125,'Master FF&amp;E Schedule'!$P:$P),0)</f>
        <v/>
      </c>
      <c r="H125" s="10">
        <f>IFERROR(SUMIF('Master FF&amp;E Schedule'!$B:$B,$A125,'Master FF&amp;E Schedule'!$T:$T),0)</f>
        <v/>
      </c>
      <c r="I125" s="10">
        <f>IF($A125="","",$F125-$H125)</f>
        <v/>
      </c>
    </row>
    <row r="126">
      <c r="A126" s="12" t="n"/>
      <c r="B126" s="12" t="n"/>
      <c r="C126" s="12" t="n"/>
      <c r="D126" s="12" t="n"/>
      <c r="E126" s="12" t="n"/>
      <c r="F126" s="13" t="n"/>
      <c r="G126" s="13">
        <f>IFERROR(SUMIF('Master FF&amp;E Schedule'!$B:$B,$A126,'Master FF&amp;E Schedule'!$P:$P),0)</f>
        <v/>
      </c>
      <c r="H126" s="13">
        <f>IFERROR(SUMIF('Master FF&amp;E Schedule'!$B:$B,$A126,'Master FF&amp;E Schedule'!$T:$T),0)</f>
        <v/>
      </c>
      <c r="I126" s="13">
        <f>IF($A126="","",$F126-$H126)</f>
        <v/>
      </c>
      <c r="J126" s="12" t="n"/>
      <c r="K126" s="12" t="n"/>
    </row>
    <row r="127">
      <c r="F127" s="10" t="n"/>
      <c r="G127" s="10">
        <f>IFERROR(SUMIF('Master FF&amp;E Schedule'!$B:$B,$A127,'Master FF&amp;E Schedule'!$P:$P),0)</f>
        <v/>
      </c>
      <c r="H127" s="10">
        <f>IFERROR(SUMIF('Master FF&amp;E Schedule'!$B:$B,$A127,'Master FF&amp;E Schedule'!$T:$T),0)</f>
        <v/>
      </c>
      <c r="I127" s="10">
        <f>IF($A127="","",$F127-$H127)</f>
        <v/>
      </c>
    </row>
    <row r="128">
      <c r="A128" s="12" t="n"/>
      <c r="B128" s="12" t="n"/>
      <c r="C128" s="12" t="n"/>
      <c r="D128" s="12" t="n"/>
      <c r="E128" s="12" t="n"/>
      <c r="F128" s="13" t="n"/>
      <c r="G128" s="13">
        <f>IFERROR(SUMIF('Master FF&amp;E Schedule'!$B:$B,$A128,'Master FF&amp;E Schedule'!$P:$P),0)</f>
        <v/>
      </c>
      <c r="H128" s="13">
        <f>IFERROR(SUMIF('Master FF&amp;E Schedule'!$B:$B,$A128,'Master FF&amp;E Schedule'!$T:$T),0)</f>
        <v/>
      </c>
      <c r="I128" s="13">
        <f>IF($A128="","",$F128-$H128)</f>
        <v/>
      </c>
      <c r="J128" s="12" t="n"/>
      <c r="K128" s="12" t="n"/>
    </row>
    <row r="129">
      <c r="F129" s="10" t="n"/>
      <c r="G129" s="10">
        <f>IFERROR(SUMIF('Master FF&amp;E Schedule'!$B:$B,$A129,'Master FF&amp;E Schedule'!$P:$P),0)</f>
        <v/>
      </c>
      <c r="H129" s="10">
        <f>IFERROR(SUMIF('Master FF&amp;E Schedule'!$B:$B,$A129,'Master FF&amp;E Schedule'!$T:$T),0)</f>
        <v/>
      </c>
      <c r="I129" s="10">
        <f>IF($A129="","",$F129-$H129)</f>
        <v/>
      </c>
    </row>
    <row r="130">
      <c r="A130" s="12" t="n"/>
      <c r="B130" s="12" t="n"/>
      <c r="C130" s="12" t="n"/>
      <c r="D130" s="12" t="n"/>
      <c r="E130" s="12" t="n"/>
      <c r="F130" s="13" t="n"/>
      <c r="G130" s="13">
        <f>IFERROR(SUMIF('Master FF&amp;E Schedule'!$B:$B,$A130,'Master FF&amp;E Schedule'!$P:$P),0)</f>
        <v/>
      </c>
      <c r="H130" s="13">
        <f>IFERROR(SUMIF('Master FF&amp;E Schedule'!$B:$B,$A130,'Master FF&amp;E Schedule'!$T:$T),0)</f>
        <v/>
      </c>
      <c r="I130" s="13">
        <f>IF($A130="","",$F130-$H130)</f>
        <v/>
      </c>
      <c r="J130" s="12" t="n"/>
      <c r="K130" s="12" t="n"/>
    </row>
    <row r="131">
      <c r="F131" s="10" t="n"/>
      <c r="G131" s="10">
        <f>IFERROR(SUMIF('Master FF&amp;E Schedule'!$B:$B,$A131,'Master FF&amp;E Schedule'!$P:$P),0)</f>
        <v/>
      </c>
      <c r="H131" s="10">
        <f>IFERROR(SUMIF('Master FF&amp;E Schedule'!$B:$B,$A131,'Master FF&amp;E Schedule'!$T:$T),0)</f>
        <v/>
      </c>
      <c r="I131" s="10">
        <f>IF($A131="","",$F131-$H131)</f>
        <v/>
      </c>
    </row>
    <row r="132">
      <c r="A132" s="12" t="n"/>
      <c r="B132" s="12" t="n"/>
      <c r="C132" s="12" t="n"/>
      <c r="D132" s="12" t="n"/>
      <c r="E132" s="12" t="n"/>
      <c r="F132" s="13" t="n"/>
      <c r="G132" s="13">
        <f>IFERROR(SUMIF('Master FF&amp;E Schedule'!$B:$B,$A132,'Master FF&amp;E Schedule'!$P:$P),0)</f>
        <v/>
      </c>
      <c r="H132" s="13">
        <f>IFERROR(SUMIF('Master FF&amp;E Schedule'!$B:$B,$A132,'Master FF&amp;E Schedule'!$T:$T),0)</f>
        <v/>
      </c>
      <c r="I132" s="13">
        <f>IF($A132="","",$F132-$H132)</f>
        <v/>
      </c>
      <c r="J132" s="12" t="n"/>
      <c r="K132" s="12" t="n"/>
    </row>
    <row r="133">
      <c r="F133" s="10" t="n"/>
      <c r="G133" s="10">
        <f>IFERROR(SUMIF('Master FF&amp;E Schedule'!$B:$B,$A133,'Master FF&amp;E Schedule'!$P:$P),0)</f>
        <v/>
      </c>
      <c r="H133" s="10">
        <f>IFERROR(SUMIF('Master FF&amp;E Schedule'!$B:$B,$A133,'Master FF&amp;E Schedule'!$T:$T),0)</f>
        <v/>
      </c>
      <c r="I133" s="10">
        <f>IF($A133="","",$F133-$H133)</f>
        <v/>
      </c>
    </row>
    <row r="134">
      <c r="A134" s="12" t="n"/>
      <c r="B134" s="12" t="n"/>
      <c r="C134" s="12" t="n"/>
      <c r="D134" s="12" t="n"/>
      <c r="E134" s="12" t="n"/>
      <c r="F134" s="13" t="n"/>
      <c r="G134" s="13">
        <f>IFERROR(SUMIF('Master FF&amp;E Schedule'!$B:$B,$A134,'Master FF&amp;E Schedule'!$P:$P),0)</f>
        <v/>
      </c>
      <c r="H134" s="13">
        <f>IFERROR(SUMIF('Master FF&amp;E Schedule'!$B:$B,$A134,'Master FF&amp;E Schedule'!$T:$T),0)</f>
        <v/>
      </c>
      <c r="I134" s="13">
        <f>IF($A134="","",$F134-$H134)</f>
        <v/>
      </c>
      <c r="J134" s="12" t="n"/>
      <c r="K134" s="12" t="n"/>
    </row>
    <row r="135">
      <c r="F135" s="10" t="n"/>
      <c r="G135" s="10">
        <f>IFERROR(SUMIF('Master FF&amp;E Schedule'!$B:$B,$A135,'Master FF&amp;E Schedule'!$P:$P),0)</f>
        <v/>
      </c>
      <c r="H135" s="10">
        <f>IFERROR(SUMIF('Master FF&amp;E Schedule'!$B:$B,$A135,'Master FF&amp;E Schedule'!$T:$T),0)</f>
        <v/>
      </c>
      <c r="I135" s="10">
        <f>IF($A135="","",$F135-$H135)</f>
        <v/>
      </c>
    </row>
    <row r="136">
      <c r="A136" s="12" t="n"/>
      <c r="B136" s="12" t="n"/>
      <c r="C136" s="12" t="n"/>
      <c r="D136" s="12" t="n"/>
      <c r="E136" s="12" t="n"/>
      <c r="F136" s="13" t="n"/>
      <c r="G136" s="13">
        <f>IFERROR(SUMIF('Master FF&amp;E Schedule'!$B:$B,$A136,'Master FF&amp;E Schedule'!$P:$P),0)</f>
        <v/>
      </c>
      <c r="H136" s="13">
        <f>IFERROR(SUMIF('Master FF&amp;E Schedule'!$B:$B,$A136,'Master FF&amp;E Schedule'!$T:$T),0)</f>
        <v/>
      </c>
      <c r="I136" s="13">
        <f>IF($A136="","",$F136-$H136)</f>
        <v/>
      </c>
      <c r="J136" s="12" t="n"/>
      <c r="K136" s="12" t="n"/>
    </row>
    <row r="137">
      <c r="F137" s="10" t="n"/>
      <c r="G137" s="10">
        <f>IFERROR(SUMIF('Master FF&amp;E Schedule'!$B:$B,$A137,'Master FF&amp;E Schedule'!$P:$P),0)</f>
        <v/>
      </c>
      <c r="H137" s="10">
        <f>IFERROR(SUMIF('Master FF&amp;E Schedule'!$B:$B,$A137,'Master FF&amp;E Schedule'!$T:$T),0)</f>
        <v/>
      </c>
      <c r="I137" s="10">
        <f>IF($A137="","",$F137-$H137)</f>
        <v/>
      </c>
    </row>
    <row r="138">
      <c r="A138" s="12" t="n"/>
      <c r="B138" s="12" t="n"/>
      <c r="C138" s="12" t="n"/>
      <c r="D138" s="12" t="n"/>
      <c r="E138" s="12" t="n"/>
      <c r="F138" s="13" t="n"/>
      <c r="G138" s="13">
        <f>IFERROR(SUMIF('Master FF&amp;E Schedule'!$B:$B,$A138,'Master FF&amp;E Schedule'!$P:$P),0)</f>
        <v/>
      </c>
      <c r="H138" s="13">
        <f>IFERROR(SUMIF('Master FF&amp;E Schedule'!$B:$B,$A138,'Master FF&amp;E Schedule'!$T:$T),0)</f>
        <v/>
      </c>
      <c r="I138" s="13">
        <f>IF($A138="","",$F138-$H138)</f>
        <v/>
      </c>
      <c r="J138" s="12" t="n"/>
      <c r="K138" s="12" t="n"/>
    </row>
    <row r="139">
      <c r="F139" s="10" t="n"/>
      <c r="G139" s="10">
        <f>IFERROR(SUMIF('Master FF&amp;E Schedule'!$B:$B,$A139,'Master FF&amp;E Schedule'!$P:$P),0)</f>
        <v/>
      </c>
      <c r="H139" s="10">
        <f>IFERROR(SUMIF('Master FF&amp;E Schedule'!$B:$B,$A139,'Master FF&amp;E Schedule'!$T:$T),0)</f>
        <v/>
      </c>
      <c r="I139" s="10">
        <f>IF($A139="","",$F139-$H139)</f>
        <v/>
      </c>
    </row>
    <row r="140">
      <c r="A140" s="12" t="n"/>
      <c r="B140" s="12" t="n"/>
      <c r="C140" s="12" t="n"/>
      <c r="D140" s="12" t="n"/>
      <c r="E140" s="12" t="n"/>
      <c r="F140" s="13" t="n"/>
      <c r="G140" s="13">
        <f>IFERROR(SUMIF('Master FF&amp;E Schedule'!$B:$B,$A140,'Master FF&amp;E Schedule'!$P:$P),0)</f>
        <v/>
      </c>
      <c r="H140" s="13">
        <f>IFERROR(SUMIF('Master FF&amp;E Schedule'!$B:$B,$A140,'Master FF&amp;E Schedule'!$T:$T),0)</f>
        <v/>
      </c>
      <c r="I140" s="13">
        <f>IF($A140="","",$F140-$H140)</f>
        <v/>
      </c>
      <c r="J140" s="12" t="n"/>
      <c r="K140" s="12" t="n"/>
    </row>
    <row r="141">
      <c r="F141" s="10" t="n"/>
      <c r="G141" s="10">
        <f>IFERROR(SUMIF('Master FF&amp;E Schedule'!$B:$B,$A141,'Master FF&amp;E Schedule'!$P:$P),0)</f>
        <v/>
      </c>
      <c r="H141" s="10">
        <f>IFERROR(SUMIF('Master FF&amp;E Schedule'!$B:$B,$A141,'Master FF&amp;E Schedule'!$T:$T),0)</f>
        <v/>
      </c>
      <c r="I141" s="10">
        <f>IF($A141="","",$F141-$H141)</f>
        <v/>
      </c>
    </row>
    <row r="142">
      <c r="A142" s="12" t="n"/>
      <c r="B142" s="12" t="n"/>
      <c r="C142" s="12" t="n"/>
      <c r="D142" s="12" t="n"/>
      <c r="E142" s="12" t="n"/>
      <c r="F142" s="13" t="n"/>
      <c r="G142" s="13">
        <f>IFERROR(SUMIF('Master FF&amp;E Schedule'!$B:$B,$A142,'Master FF&amp;E Schedule'!$P:$P),0)</f>
        <v/>
      </c>
      <c r="H142" s="13">
        <f>IFERROR(SUMIF('Master FF&amp;E Schedule'!$B:$B,$A142,'Master FF&amp;E Schedule'!$T:$T),0)</f>
        <v/>
      </c>
      <c r="I142" s="13">
        <f>IF($A142="","",$F142-$H142)</f>
        <v/>
      </c>
      <c r="J142" s="12" t="n"/>
      <c r="K142" s="12" t="n"/>
    </row>
    <row r="143">
      <c r="F143" s="10" t="n"/>
      <c r="G143" s="10">
        <f>IFERROR(SUMIF('Master FF&amp;E Schedule'!$B:$B,$A143,'Master FF&amp;E Schedule'!$P:$P),0)</f>
        <v/>
      </c>
      <c r="H143" s="10">
        <f>IFERROR(SUMIF('Master FF&amp;E Schedule'!$B:$B,$A143,'Master FF&amp;E Schedule'!$T:$T),0)</f>
        <v/>
      </c>
      <c r="I143" s="10">
        <f>IF($A143="","",$F143-$H143)</f>
        <v/>
      </c>
    </row>
    <row r="144">
      <c r="A144" s="12" t="n"/>
      <c r="B144" s="12" t="n"/>
      <c r="C144" s="12" t="n"/>
      <c r="D144" s="12" t="n"/>
      <c r="E144" s="12" t="n"/>
      <c r="F144" s="13" t="n"/>
      <c r="G144" s="13">
        <f>IFERROR(SUMIF('Master FF&amp;E Schedule'!$B:$B,$A144,'Master FF&amp;E Schedule'!$P:$P),0)</f>
        <v/>
      </c>
      <c r="H144" s="13">
        <f>IFERROR(SUMIF('Master FF&amp;E Schedule'!$B:$B,$A144,'Master FF&amp;E Schedule'!$T:$T),0)</f>
        <v/>
      </c>
      <c r="I144" s="13">
        <f>IF($A144="","",$F144-$H144)</f>
        <v/>
      </c>
      <c r="J144" s="12" t="n"/>
      <c r="K144" s="12" t="n"/>
    </row>
    <row r="145">
      <c r="F145" s="10" t="n"/>
      <c r="G145" s="10">
        <f>IFERROR(SUMIF('Master FF&amp;E Schedule'!$B:$B,$A145,'Master FF&amp;E Schedule'!$P:$P),0)</f>
        <v/>
      </c>
      <c r="H145" s="10">
        <f>IFERROR(SUMIF('Master FF&amp;E Schedule'!$B:$B,$A145,'Master FF&amp;E Schedule'!$T:$T),0)</f>
        <v/>
      </c>
      <c r="I145" s="10">
        <f>IF($A145="","",$F145-$H145)</f>
        <v/>
      </c>
    </row>
    <row r="146">
      <c r="A146" s="12" t="n"/>
      <c r="B146" s="12" t="n"/>
      <c r="C146" s="12" t="n"/>
      <c r="D146" s="12" t="n"/>
      <c r="E146" s="12" t="n"/>
      <c r="F146" s="13" t="n"/>
      <c r="G146" s="13">
        <f>IFERROR(SUMIF('Master FF&amp;E Schedule'!$B:$B,$A146,'Master FF&amp;E Schedule'!$P:$P),0)</f>
        <v/>
      </c>
      <c r="H146" s="13">
        <f>IFERROR(SUMIF('Master FF&amp;E Schedule'!$B:$B,$A146,'Master FF&amp;E Schedule'!$T:$T),0)</f>
        <v/>
      </c>
      <c r="I146" s="13">
        <f>IF($A146="","",$F146-$H146)</f>
        <v/>
      </c>
      <c r="J146" s="12" t="n"/>
      <c r="K146" s="12" t="n"/>
    </row>
    <row r="147">
      <c r="F147" s="10" t="n"/>
      <c r="G147" s="10">
        <f>IFERROR(SUMIF('Master FF&amp;E Schedule'!$B:$B,$A147,'Master FF&amp;E Schedule'!$P:$P),0)</f>
        <v/>
      </c>
      <c r="H147" s="10">
        <f>IFERROR(SUMIF('Master FF&amp;E Schedule'!$B:$B,$A147,'Master FF&amp;E Schedule'!$T:$T),0)</f>
        <v/>
      </c>
      <c r="I147" s="10">
        <f>IF($A147="","",$F147-$H147)</f>
        <v/>
      </c>
    </row>
    <row r="148">
      <c r="A148" s="12" t="n"/>
      <c r="B148" s="12" t="n"/>
      <c r="C148" s="12" t="n"/>
      <c r="D148" s="12" t="n"/>
      <c r="E148" s="12" t="n"/>
      <c r="F148" s="13" t="n"/>
      <c r="G148" s="13">
        <f>IFERROR(SUMIF('Master FF&amp;E Schedule'!$B:$B,$A148,'Master FF&amp;E Schedule'!$P:$P),0)</f>
        <v/>
      </c>
      <c r="H148" s="13">
        <f>IFERROR(SUMIF('Master FF&amp;E Schedule'!$B:$B,$A148,'Master FF&amp;E Schedule'!$T:$T),0)</f>
        <v/>
      </c>
      <c r="I148" s="13">
        <f>IF($A148="","",$F148-$H148)</f>
        <v/>
      </c>
      <c r="J148" s="12" t="n"/>
      <c r="K148" s="12" t="n"/>
    </row>
    <row r="149">
      <c r="F149" s="10" t="n"/>
      <c r="G149" s="10">
        <f>IFERROR(SUMIF('Master FF&amp;E Schedule'!$B:$B,$A149,'Master FF&amp;E Schedule'!$P:$P),0)</f>
        <v/>
      </c>
      <c r="H149" s="10">
        <f>IFERROR(SUMIF('Master FF&amp;E Schedule'!$B:$B,$A149,'Master FF&amp;E Schedule'!$T:$T),0)</f>
        <v/>
      </c>
      <c r="I149" s="10">
        <f>IF($A149="","",$F149-$H149)</f>
        <v/>
      </c>
    </row>
    <row r="150">
      <c r="A150" s="12" t="n"/>
      <c r="B150" s="12" t="n"/>
      <c r="C150" s="12" t="n"/>
      <c r="D150" s="12" t="n"/>
      <c r="E150" s="12" t="n"/>
      <c r="F150" s="13" t="n"/>
      <c r="G150" s="13">
        <f>IFERROR(SUMIF('Master FF&amp;E Schedule'!$B:$B,$A150,'Master FF&amp;E Schedule'!$P:$P),0)</f>
        <v/>
      </c>
      <c r="H150" s="13">
        <f>IFERROR(SUMIF('Master FF&amp;E Schedule'!$B:$B,$A150,'Master FF&amp;E Schedule'!$T:$T),0)</f>
        <v/>
      </c>
      <c r="I150" s="13">
        <f>IF($A150="","",$F150-$H150)</f>
        <v/>
      </c>
      <c r="J150" s="12" t="n"/>
      <c r="K150" s="12" t="n"/>
    </row>
    <row r="151">
      <c r="F151" s="10" t="n"/>
      <c r="G151" s="10">
        <f>IFERROR(SUMIF('Master FF&amp;E Schedule'!$B:$B,$A151,'Master FF&amp;E Schedule'!$P:$P),0)</f>
        <v/>
      </c>
      <c r="H151" s="10">
        <f>IFERROR(SUMIF('Master FF&amp;E Schedule'!$B:$B,$A151,'Master FF&amp;E Schedule'!$T:$T),0)</f>
        <v/>
      </c>
      <c r="I151" s="10">
        <f>IF($A151="","",$F151-$H151)</f>
        <v/>
      </c>
    </row>
    <row r="152">
      <c r="A152" s="12" t="n"/>
      <c r="B152" s="12" t="n"/>
      <c r="C152" s="12" t="n"/>
      <c r="D152" s="12" t="n"/>
      <c r="E152" s="12" t="n"/>
      <c r="F152" s="13" t="n"/>
      <c r="G152" s="13">
        <f>IFERROR(SUMIF('Master FF&amp;E Schedule'!$B:$B,$A152,'Master FF&amp;E Schedule'!$P:$P),0)</f>
        <v/>
      </c>
      <c r="H152" s="13">
        <f>IFERROR(SUMIF('Master FF&amp;E Schedule'!$B:$B,$A152,'Master FF&amp;E Schedule'!$T:$T),0)</f>
        <v/>
      </c>
      <c r="I152" s="13">
        <f>IF($A152="","",$F152-$H152)</f>
        <v/>
      </c>
      <c r="J152" s="12" t="n"/>
      <c r="K152" s="12" t="n"/>
    </row>
    <row r="153">
      <c r="F153" s="10" t="n"/>
      <c r="G153" s="10">
        <f>IFERROR(SUMIF('Master FF&amp;E Schedule'!$B:$B,$A153,'Master FF&amp;E Schedule'!$P:$P),0)</f>
        <v/>
      </c>
      <c r="H153" s="10">
        <f>IFERROR(SUMIF('Master FF&amp;E Schedule'!$B:$B,$A153,'Master FF&amp;E Schedule'!$T:$T),0)</f>
        <v/>
      </c>
      <c r="I153" s="10">
        <f>IF($A153="","",$F153-$H153)</f>
        <v/>
      </c>
    </row>
    <row r="154">
      <c r="A154" s="12" t="n"/>
      <c r="B154" s="12" t="n"/>
      <c r="C154" s="12" t="n"/>
      <c r="D154" s="12" t="n"/>
      <c r="E154" s="12" t="n"/>
      <c r="F154" s="13" t="n"/>
      <c r="G154" s="13">
        <f>IFERROR(SUMIF('Master FF&amp;E Schedule'!$B:$B,$A154,'Master FF&amp;E Schedule'!$P:$P),0)</f>
        <v/>
      </c>
      <c r="H154" s="13">
        <f>IFERROR(SUMIF('Master FF&amp;E Schedule'!$B:$B,$A154,'Master FF&amp;E Schedule'!$T:$T),0)</f>
        <v/>
      </c>
      <c r="I154" s="13">
        <f>IF($A154="","",$F154-$H154)</f>
        <v/>
      </c>
      <c r="J154" s="12" t="n"/>
      <c r="K154" s="12" t="n"/>
    </row>
    <row r="155">
      <c r="F155" s="10" t="n"/>
      <c r="G155" s="10">
        <f>IFERROR(SUMIF('Master FF&amp;E Schedule'!$B:$B,$A155,'Master FF&amp;E Schedule'!$P:$P),0)</f>
        <v/>
      </c>
      <c r="H155" s="10">
        <f>IFERROR(SUMIF('Master FF&amp;E Schedule'!$B:$B,$A155,'Master FF&amp;E Schedule'!$T:$T),0)</f>
        <v/>
      </c>
      <c r="I155" s="10">
        <f>IF($A155="","",$F155-$H155)</f>
        <v/>
      </c>
    </row>
    <row r="156">
      <c r="A156" s="12" t="n"/>
      <c r="B156" s="12" t="n"/>
      <c r="C156" s="12" t="n"/>
      <c r="D156" s="12" t="n"/>
      <c r="E156" s="12" t="n"/>
      <c r="F156" s="13" t="n"/>
      <c r="G156" s="13">
        <f>IFERROR(SUMIF('Master FF&amp;E Schedule'!$B:$B,$A156,'Master FF&amp;E Schedule'!$P:$P),0)</f>
        <v/>
      </c>
      <c r="H156" s="13">
        <f>IFERROR(SUMIF('Master FF&amp;E Schedule'!$B:$B,$A156,'Master FF&amp;E Schedule'!$T:$T),0)</f>
        <v/>
      </c>
      <c r="I156" s="13">
        <f>IF($A156="","",$F156-$H156)</f>
        <v/>
      </c>
      <c r="J156" s="12" t="n"/>
      <c r="K156" s="12" t="n"/>
    </row>
    <row r="157">
      <c r="F157" s="10" t="n"/>
      <c r="G157" s="10">
        <f>IFERROR(SUMIF('Master FF&amp;E Schedule'!$B:$B,$A157,'Master FF&amp;E Schedule'!$P:$P),0)</f>
        <v/>
      </c>
      <c r="H157" s="10">
        <f>IFERROR(SUMIF('Master FF&amp;E Schedule'!$B:$B,$A157,'Master FF&amp;E Schedule'!$T:$T),0)</f>
        <v/>
      </c>
      <c r="I157" s="10">
        <f>IF($A157="","",$F157-$H157)</f>
        <v/>
      </c>
    </row>
    <row r="158">
      <c r="A158" s="12" t="n"/>
      <c r="B158" s="12" t="n"/>
      <c r="C158" s="12" t="n"/>
      <c r="D158" s="12" t="n"/>
      <c r="E158" s="12" t="n"/>
      <c r="F158" s="13" t="n"/>
      <c r="G158" s="13">
        <f>IFERROR(SUMIF('Master FF&amp;E Schedule'!$B:$B,$A158,'Master FF&amp;E Schedule'!$P:$P),0)</f>
        <v/>
      </c>
      <c r="H158" s="13">
        <f>IFERROR(SUMIF('Master FF&amp;E Schedule'!$B:$B,$A158,'Master FF&amp;E Schedule'!$T:$T),0)</f>
        <v/>
      </c>
      <c r="I158" s="13">
        <f>IF($A158="","",$F158-$H158)</f>
        <v/>
      </c>
      <c r="J158" s="12" t="n"/>
      <c r="K158" s="12" t="n"/>
    </row>
    <row r="159">
      <c r="F159" s="10" t="n"/>
      <c r="G159" s="10">
        <f>IFERROR(SUMIF('Master FF&amp;E Schedule'!$B:$B,$A159,'Master FF&amp;E Schedule'!$P:$P),0)</f>
        <v/>
      </c>
      <c r="H159" s="10">
        <f>IFERROR(SUMIF('Master FF&amp;E Schedule'!$B:$B,$A159,'Master FF&amp;E Schedule'!$T:$T),0)</f>
        <v/>
      </c>
      <c r="I159" s="10">
        <f>IF($A159="","",$F159-$H159)</f>
        <v/>
      </c>
    </row>
    <row r="160">
      <c r="A160" s="12" t="n"/>
      <c r="B160" s="12" t="n"/>
      <c r="C160" s="12" t="n"/>
      <c r="D160" s="12" t="n"/>
      <c r="E160" s="12" t="n"/>
      <c r="F160" s="13" t="n"/>
      <c r="G160" s="13">
        <f>IFERROR(SUMIF('Master FF&amp;E Schedule'!$B:$B,$A160,'Master FF&amp;E Schedule'!$P:$P),0)</f>
        <v/>
      </c>
      <c r="H160" s="13">
        <f>IFERROR(SUMIF('Master FF&amp;E Schedule'!$B:$B,$A160,'Master FF&amp;E Schedule'!$T:$T),0)</f>
        <v/>
      </c>
      <c r="I160" s="13">
        <f>IF($A160="","",$F160-$H160)</f>
        <v/>
      </c>
      <c r="J160" s="12" t="n"/>
      <c r="K160" s="12" t="n"/>
    </row>
    <row r="161">
      <c r="F161" s="10" t="n"/>
      <c r="G161" s="10">
        <f>IFERROR(SUMIF('Master FF&amp;E Schedule'!$B:$B,$A161,'Master FF&amp;E Schedule'!$P:$P),0)</f>
        <v/>
      </c>
      <c r="H161" s="10">
        <f>IFERROR(SUMIF('Master FF&amp;E Schedule'!$B:$B,$A161,'Master FF&amp;E Schedule'!$T:$T),0)</f>
        <v/>
      </c>
      <c r="I161" s="10">
        <f>IF($A161="","",$F161-$H161)</f>
        <v/>
      </c>
    </row>
    <row r="162">
      <c r="A162" s="12" t="n"/>
      <c r="B162" s="12" t="n"/>
      <c r="C162" s="12" t="n"/>
      <c r="D162" s="12" t="n"/>
      <c r="E162" s="12" t="n"/>
      <c r="F162" s="13" t="n"/>
      <c r="G162" s="13">
        <f>IFERROR(SUMIF('Master FF&amp;E Schedule'!$B:$B,$A162,'Master FF&amp;E Schedule'!$P:$P),0)</f>
        <v/>
      </c>
      <c r="H162" s="13">
        <f>IFERROR(SUMIF('Master FF&amp;E Schedule'!$B:$B,$A162,'Master FF&amp;E Schedule'!$T:$T),0)</f>
        <v/>
      </c>
      <c r="I162" s="13">
        <f>IF($A162="","",$F162-$H162)</f>
        <v/>
      </c>
      <c r="J162" s="12" t="n"/>
      <c r="K162" s="12" t="n"/>
    </row>
    <row r="163">
      <c r="F163" s="10" t="n"/>
      <c r="G163" s="10">
        <f>IFERROR(SUMIF('Master FF&amp;E Schedule'!$B:$B,$A163,'Master FF&amp;E Schedule'!$P:$P),0)</f>
        <v/>
      </c>
      <c r="H163" s="10">
        <f>IFERROR(SUMIF('Master FF&amp;E Schedule'!$B:$B,$A163,'Master FF&amp;E Schedule'!$T:$T),0)</f>
        <v/>
      </c>
      <c r="I163" s="10">
        <f>IF($A163="","",$F163-$H163)</f>
        <v/>
      </c>
    </row>
    <row r="164">
      <c r="A164" s="12" t="n"/>
      <c r="B164" s="12" t="n"/>
      <c r="C164" s="12" t="n"/>
      <c r="D164" s="12" t="n"/>
      <c r="E164" s="12" t="n"/>
      <c r="F164" s="13" t="n"/>
      <c r="G164" s="13">
        <f>IFERROR(SUMIF('Master FF&amp;E Schedule'!$B:$B,$A164,'Master FF&amp;E Schedule'!$P:$P),0)</f>
        <v/>
      </c>
      <c r="H164" s="13">
        <f>IFERROR(SUMIF('Master FF&amp;E Schedule'!$B:$B,$A164,'Master FF&amp;E Schedule'!$T:$T),0)</f>
        <v/>
      </c>
      <c r="I164" s="13">
        <f>IF($A164="","",$F164-$H164)</f>
        <v/>
      </c>
      <c r="J164" s="12" t="n"/>
      <c r="K164" s="12" t="n"/>
    </row>
    <row r="165">
      <c r="F165" s="10" t="n"/>
      <c r="G165" s="10">
        <f>IFERROR(SUMIF('Master FF&amp;E Schedule'!$B:$B,$A165,'Master FF&amp;E Schedule'!$P:$P),0)</f>
        <v/>
      </c>
      <c r="H165" s="10">
        <f>IFERROR(SUMIF('Master FF&amp;E Schedule'!$B:$B,$A165,'Master FF&amp;E Schedule'!$T:$T),0)</f>
        <v/>
      </c>
      <c r="I165" s="10">
        <f>IF($A165="","",$F165-$H165)</f>
        <v/>
      </c>
    </row>
    <row r="166">
      <c r="A166" s="12" t="n"/>
      <c r="B166" s="12" t="n"/>
      <c r="C166" s="12" t="n"/>
      <c r="D166" s="12" t="n"/>
      <c r="E166" s="12" t="n"/>
      <c r="F166" s="13" t="n"/>
      <c r="G166" s="13">
        <f>IFERROR(SUMIF('Master FF&amp;E Schedule'!$B:$B,$A166,'Master FF&amp;E Schedule'!$P:$P),0)</f>
        <v/>
      </c>
      <c r="H166" s="13">
        <f>IFERROR(SUMIF('Master FF&amp;E Schedule'!$B:$B,$A166,'Master FF&amp;E Schedule'!$T:$T),0)</f>
        <v/>
      </c>
      <c r="I166" s="13">
        <f>IF($A166="","",$F166-$H166)</f>
        <v/>
      </c>
      <c r="J166" s="12" t="n"/>
      <c r="K166" s="12" t="n"/>
    </row>
    <row r="167">
      <c r="F167" s="10" t="n"/>
      <c r="G167" s="10">
        <f>IFERROR(SUMIF('Master FF&amp;E Schedule'!$B:$B,$A167,'Master FF&amp;E Schedule'!$P:$P),0)</f>
        <v/>
      </c>
      <c r="H167" s="10">
        <f>IFERROR(SUMIF('Master FF&amp;E Schedule'!$B:$B,$A167,'Master FF&amp;E Schedule'!$T:$T),0)</f>
        <v/>
      </c>
      <c r="I167" s="10">
        <f>IF($A167="","",$F167-$H167)</f>
        <v/>
      </c>
    </row>
    <row r="168">
      <c r="A168" s="12" t="n"/>
      <c r="B168" s="12" t="n"/>
      <c r="C168" s="12" t="n"/>
      <c r="D168" s="12" t="n"/>
      <c r="E168" s="12" t="n"/>
      <c r="F168" s="13" t="n"/>
      <c r="G168" s="13">
        <f>IFERROR(SUMIF('Master FF&amp;E Schedule'!$B:$B,$A168,'Master FF&amp;E Schedule'!$P:$P),0)</f>
        <v/>
      </c>
      <c r="H168" s="13">
        <f>IFERROR(SUMIF('Master FF&amp;E Schedule'!$B:$B,$A168,'Master FF&amp;E Schedule'!$T:$T),0)</f>
        <v/>
      </c>
      <c r="I168" s="13">
        <f>IF($A168="","",$F168-$H168)</f>
        <v/>
      </c>
      <c r="J168" s="12" t="n"/>
      <c r="K168" s="12" t="n"/>
    </row>
    <row r="169">
      <c r="F169" s="10" t="n"/>
      <c r="G169" s="10">
        <f>IFERROR(SUMIF('Master FF&amp;E Schedule'!$B:$B,$A169,'Master FF&amp;E Schedule'!$P:$P),0)</f>
        <v/>
      </c>
      <c r="H169" s="10">
        <f>IFERROR(SUMIF('Master FF&amp;E Schedule'!$B:$B,$A169,'Master FF&amp;E Schedule'!$T:$T),0)</f>
        <v/>
      </c>
      <c r="I169" s="10">
        <f>IF($A169="","",$F169-$H169)</f>
        <v/>
      </c>
    </row>
    <row r="170">
      <c r="A170" s="12" t="n"/>
      <c r="B170" s="12" t="n"/>
      <c r="C170" s="12" t="n"/>
      <c r="D170" s="12" t="n"/>
      <c r="E170" s="12" t="n"/>
      <c r="F170" s="13" t="n"/>
      <c r="G170" s="13">
        <f>IFERROR(SUMIF('Master FF&amp;E Schedule'!$B:$B,$A170,'Master FF&amp;E Schedule'!$P:$P),0)</f>
        <v/>
      </c>
      <c r="H170" s="13">
        <f>IFERROR(SUMIF('Master FF&amp;E Schedule'!$B:$B,$A170,'Master FF&amp;E Schedule'!$T:$T),0)</f>
        <v/>
      </c>
      <c r="I170" s="13">
        <f>IF($A170="","",$F170-$H170)</f>
        <v/>
      </c>
      <c r="J170" s="12" t="n"/>
      <c r="K170" s="12" t="n"/>
    </row>
    <row r="171">
      <c r="F171" s="10" t="n"/>
      <c r="G171" s="10">
        <f>IFERROR(SUMIF('Master FF&amp;E Schedule'!$B:$B,$A171,'Master FF&amp;E Schedule'!$P:$P),0)</f>
        <v/>
      </c>
      <c r="H171" s="10">
        <f>IFERROR(SUMIF('Master FF&amp;E Schedule'!$B:$B,$A171,'Master FF&amp;E Schedule'!$T:$T),0)</f>
        <v/>
      </c>
      <c r="I171" s="10">
        <f>IF($A171="","",$F171-$H171)</f>
        <v/>
      </c>
    </row>
    <row r="172">
      <c r="A172" s="12" t="n"/>
      <c r="B172" s="12" t="n"/>
      <c r="C172" s="12" t="n"/>
      <c r="D172" s="12" t="n"/>
      <c r="E172" s="12" t="n"/>
      <c r="F172" s="13" t="n"/>
      <c r="G172" s="13">
        <f>IFERROR(SUMIF('Master FF&amp;E Schedule'!$B:$B,$A172,'Master FF&amp;E Schedule'!$P:$P),0)</f>
        <v/>
      </c>
      <c r="H172" s="13">
        <f>IFERROR(SUMIF('Master FF&amp;E Schedule'!$B:$B,$A172,'Master FF&amp;E Schedule'!$T:$T),0)</f>
        <v/>
      </c>
      <c r="I172" s="13">
        <f>IF($A172="","",$F172-$H172)</f>
        <v/>
      </c>
      <c r="J172" s="12" t="n"/>
      <c r="K172" s="12" t="n"/>
    </row>
    <row r="173">
      <c r="F173" s="10" t="n"/>
      <c r="G173" s="10">
        <f>IFERROR(SUMIF('Master FF&amp;E Schedule'!$B:$B,$A173,'Master FF&amp;E Schedule'!$P:$P),0)</f>
        <v/>
      </c>
      <c r="H173" s="10">
        <f>IFERROR(SUMIF('Master FF&amp;E Schedule'!$B:$B,$A173,'Master FF&amp;E Schedule'!$T:$T),0)</f>
        <v/>
      </c>
      <c r="I173" s="10">
        <f>IF($A173="","",$F173-$H173)</f>
        <v/>
      </c>
    </row>
    <row r="174">
      <c r="A174" s="12" t="n"/>
      <c r="B174" s="12" t="n"/>
      <c r="C174" s="12" t="n"/>
      <c r="D174" s="12" t="n"/>
      <c r="E174" s="12" t="n"/>
      <c r="F174" s="13" t="n"/>
      <c r="G174" s="13">
        <f>IFERROR(SUMIF('Master FF&amp;E Schedule'!$B:$B,$A174,'Master FF&amp;E Schedule'!$P:$P),0)</f>
        <v/>
      </c>
      <c r="H174" s="13">
        <f>IFERROR(SUMIF('Master FF&amp;E Schedule'!$B:$B,$A174,'Master FF&amp;E Schedule'!$T:$T),0)</f>
        <v/>
      </c>
      <c r="I174" s="13">
        <f>IF($A174="","",$F174-$H174)</f>
        <v/>
      </c>
      <c r="J174" s="12" t="n"/>
      <c r="K174" s="12" t="n"/>
    </row>
    <row r="175">
      <c r="F175" s="10" t="n"/>
      <c r="G175" s="10">
        <f>IFERROR(SUMIF('Master FF&amp;E Schedule'!$B:$B,$A175,'Master FF&amp;E Schedule'!$P:$P),0)</f>
        <v/>
      </c>
      <c r="H175" s="10">
        <f>IFERROR(SUMIF('Master FF&amp;E Schedule'!$B:$B,$A175,'Master FF&amp;E Schedule'!$T:$T),0)</f>
        <v/>
      </c>
      <c r="I175" s="10">
        <f>IF($A175="","",$F175-$H175)</f>
        <v/>
      </c>
    </row>
    <row r="176">
      <c r="A176" s="12" t="n"/>
      <c r="B176" s="12" t="n"/>
      <c r="C176" s="12" t="n"/>
      <c r="D176" s="12" t="n"/>
      <c r="E176" s="12" t="n"/>
      <c r="F176" s="13" t="n"/>
      <c r="G176" s="13">
        <f>IFERROR(SUMIF('Master FF&amp;E Schedule'!$B:$B,$A176,'Master FF&amp;E Schedule'!$P:$P),0)</f>
        <v/>
      </c>
      <c r="H176" s="13">
        <f>IFERROR(SUMIF('Master FF&amp;E Schedule'!$B:$B,$A176,'Master FF&amp;E Schedule'!$T:$T),0)</f>
        <v/>
      </c>
      <c r="I176" s="13">
        <f>IF($A176="","",$F176-$H176)</f>
        <v/>
      </c>
      <c r="J176" s="12" t="n"/>
      <c r="K176" s="12" t="n"/>
    </row>
    <row r="177">
      <c r="F177" s="10" t="n"/>
      <c r="G177" s="10">
        <f>IFERROR(SUMIF('Master FF&amp;E Schedule'!$B:$B,$A177,'Master FF&amp;E Schedule'!$P:$P),0)</f>
        <v/>
      </c>
      <c r="H177" s="10">
        <f>IFERROR(SUMIF('Master FF&amp;E Schedule'!$B:$B,$A177,'Master FF&amp;E Schedule'!$T:$T),0)</f>
        <v/>
      </c>
      <c r="I177" s="10">
        <f>IF($A177="","",$F177-$H177)</f>
        <v/>
      </c>
    </row>
    <row r="178">
      <c r="A178" s="12" t="n"/>
      <c r="B178" s="12" t="n"/>
      <c r="C178" s="12" t="n"/>
      <c r="D178" s="12" t="n"/>
      <c r="E178" s="12" t="n"/>
      <c r="F178" s="13" t="n"/>
      <c r="G178" s="13">
        <f>IFERROR(SUMIF('Master FF&amp;E Schedule'!$B:$B,$A178,'Master FF&amp;E Schedule'!$P:$P),0)</f>
        <v/>
      </c>
      <c r="H178" s="13">
        <f>IFERROR(SUMIF('Master FF&amp;E Schedule'!$B:$B,$A178,'Master FF&amp;E Schedule'!$T:$T),0)</f>
        <v/>
      </c>
      <c r="I178" s="13">
        <f>IF($A178="","",$F178-$H178)</f>
        <v/>
      </c>
      <c r="J178" s="12" t="n"/>
      <c r="K178" s="12" t="n"/>
    </row>
    <row r="179">
      <c r="F179" s="10" t="n"/>
      <c r="G179" s="10">
        <f>IFERROR(SUMIF('Master FF&amp;E Schedule'!$B:$B,$A179,'Master FF&amp;E Schedule'!$P:$P),0)</f>
        <v/>
      </c>
      <c r="H179" s="10">
        <f>IFERROR(SUMIF('Master FF&amp;E Schedule'!$B:$B,$A179,'Master FF&amp;E Schedule'!$T:$T),0)</f>
        <v/>
      </c>
      <c r="I179" s="10">
        <f>IF($A179="","",$F179-$H179)</f>
        <v/>
      </c>
    </row>
    <row r="180">
      <c r="A180" s="12" t="n"/>
      <c r="B180" s="12" t="n"/>
      <c r="C180" s="12" t="n"/>
      <c r="D180" s="12" t="n"/>
      <c r="E180" s="12" t="n"/>
      <c r="F180" s="13" t="n"/>
      <c r="G180" s="13">
        <f>IFERROR(SUMIF('Master FF&amp;E Schedule'!$B:$B,$A180,'Master FF&amp;E Schedule'!$P:$P),0)</f>
        <v/>
      </c>
      <c r="H180" s="13">
        <f>IFERROR(SUMIF('Master FF&amp;E Schedule'!$B:$B,$A180,'Master FF&amp;E Schedule'!$T:$T),0)</f>
        <v/>
      </c>
      <c r="I180" s="13">
        <f>IF($A180="","",$F180-$H180)</f>
        <v/>
      </c>
      <c r="J180" s="12" t="n"/>
      <c r="K180" s="12" t="n"/>
    </row>
    <row r="181">
      <c r="F181" s="10" t="n"/>
      <c r="G181" s="10">
        <f>IFERROR(SUMIF('Master FF&amp;E Schedule'!$B:$B,$A181,'Master FF&amp;E Schedule'!$P:$P),0)</f>
        <v/>
      </c>
      <c r="H181" s="10">
        <f>IFERROR(SUMIF('Master FF&amp;E Schedule'!$B:$B,$A181,'Master FF&amp;E Schedule'!$T:$T),0)</f>
        <v/>
      </c>
      <c r="I181" s="10">
        <f>IF($A181="","",$F181-$H181)</f>
        <v/>
      </c>
    </row>
    <row r="182">
      <c r="A182" s="12" t="n"/>
      <c r="B182" s="12" t="n"/>
      <c r="C182" s="12" t="n"/>
      <c r="D182" s="12" t="n"/>
      <c r="E182" s="12" t="n"/>
      <c r="F182" s="13" t="n"/>
      <c r="G182" s="13">
        <f>IFERROR(SUMIF('Master FF&amp;E Schedule'!$B:$B,$A182,'Master FF&amp;E Schedule'!$P:$P),0)</f>
        <v/>
      </c>
      <c r="H182" s="13">
        <f>IFERROR(SUMIF('Master FF&amp;E Schedule'!$B:$B,$A182,'Master FF&amp;E Schedule'!$T:$T),0)</f>
        <v/>
      </c>
      <c r="I182" s="13">
        <f>IF($A182="","",$F182-$H182)</f>
        <v/>
      </c>
      <c r="J182" s="12" t="n"/>
      <c r="K182" s="12" t="n"/>
    </row>
    <row r="183">
      <c r="F183" s="10" t="n"/>
      <c r="G183" s="10">
        <f>IFERROR(SUMIF('Master FF&amp;E Schedule'!$B:$B,$A183,'Master FF&amp;E Schedule'!$P:$P),0)</f>
        <v/>
      </c>
      <c r="H183" s="10">
        <f>IFERROR(SUMIF('Master FF&amp;E Schedule'!$B:$B,$A183,'Master FF&amp;E Schedule'!$T:$T),0)</f>
        <v/>
      </c>
      <c r="I183" s="10">
        <f>IF($A183="","",$F183-$H183)</f>
        <v/>
      </c>
    </row>
    <row r="184">
      <c r="A184" s="12" t="n"/>
      <c r="B184" s="12" t="n"/>
      <c r="C184" s="12" t="n"/>
      <c r="D184" s="12" t="n"/>
      <c r="E184" s="12" t="n"/>
      <c r="F184" s="13" t="n"/>
      <c r="G184" s="13">
        <f>IFERROR(SUMIF('Master FF&amp;E Schedule'!$B:$B,$A184,'Master FF&amp;E Schedule'!$P:$P),0)</f>
        <v/>
      </c>
      <c r="H184" s="13">
        <f>IFERROR(SUMIF('Master FF&amp;E Schedule'!$B:$B,$A184,'Master FF&amp;E Schedule'!$T:$T),0)</f>
        <v/>
      </c>
      <c r="I184" s="13">
        <f>IF($A184="","",$F184-$H184)</f>
        <v/>
      </c>
      <c r="J184" s="12" t="n"/>
      <c r="K184" s="12" t="n"/>
    </row>
    <row r="185">
      <c r="F185" s="10" t="n"/>
      <c r="G185" s="10">
        <f>IFERROR(SUMIF('Master FF&amp;E Schedule'!$B:$B,$A185,'Master FF&amp;E Schedule'!$P:$P),0)</f>
        <v/>
      </c>
      <c r="H185" s="10">
        <f>IFERROR(SUMIF('Master FF&amp;E Schedule'!$B:$B,$A185,'Master FF&amp;E Schedule'!$T:$T),0)</f>
        <v/>
      </c>
      <c r="I185" s="10">
        <f>IF($A185="","",$F185-$H185)</f>
        <v/>
      </c>
    </row>
    <row r="186">
      <c r="A186" s="12" t="n"/>
      <c r="B186" s="12" t="n"/>
      <c r="C186" s="12" t="n"/>
      <c r="D186" s="12" t="n"/>
      <c r="E186" s="12" t="n"/>
      <c r="F186" s="13" t="n"/>
      <c r="G186" s="13">
        <f>IFERROR(SUMIF('Master FF&amp;E Schedule'!$B:$B,$A186,'Master FF&amp;E Schedule'!$P:$P),0)</f>
        <v/>
      </c>
      <c r="H186" s="13">
        <f>IFERROR(SUMIF('Master FF&amp;E Schedule'!$B:$B,$A186,'Master FF&amp;E Schedule'!$T:$T),0)</f>
        <v/>
      </c>
      <c r="I186" s="13">
        <f>IF($A186="","",$F186-$H186)</f>
        <v/>
      </c>
      <c r="J186" s="12" t="n"/>
      <c r="K186" s="12" t="n"/>
    </row>
    <row r="187">
      <c r="F187" s="10" t="n"/>
      <c r="G187" s="10">
        <f>IFERROR(SUMIF('Master FF&amp;E Schedule'!$B:$B,$A187,'Master FF&amp;E Schedule'!$P:$P),0)</f>
        <v/>
      </c>
      <c r="H187" s="10">
        <f>IFERROR(SUMIF('Master FF&amp;E Schedule'!$B:$B,$A187,'Master FF&amp;E Schedule'!$T:$T),0)</f>
        <v/>
      </c>
      <c r="I187" s="10">
        <f>IF($A187="","",$F187-$H187)</f>
        <v/>
      </c>
    </row>
    <row r="188">
      <c r="A188" s="12" t="n"/>
      <c r="B188" s="12" t="n"/>
      <c r="C188" s="12" t="n"/>
      <c r="D188" s="12" t="n"/>
      <c r="E188" s="12" t="n"/>
      <c r="F188" s="13" t="n"/>
      <c r="G188" s="13">
        <f>IFERROR(SUMIF('Master FF&amp;E Schedule'!$B:$B,$A188,'Master FF&amp;E Schedule'!$P:$P),0)</f>
        <v/>
      </c>
      <c r="H188" s="13">
        <f>IFERROR(SUMIF('Master FF&amp;E Schedule'!$B:$B,$A188,'Master FF&amp;E Schedule'!$T:$T),0)</f>
        <v/>
      </c>
      <c r="I188" s="13">
        <f>IF($A188="","",$F188-$H188)</f>
        <v/>
      </c>
      <c r="J188" s="12" t="n"/>
      <c r="K188" s="12" t="n"/>
    </row>
    <row r="189">
      <c r="F189" s="10" t="n"/>
      <c r="G189" s="10">
        <f>IFERROR(SUMIF('Master FF&amp;E Schedule'!$B:$B,$A189,'Master FF&amp;E Schedule'!$P:$P),0)</f>
        <v/>
      </c>
      <c r="H189" s="10">
        <f>IFERROR(SUMIF('Master FF&amp;E Schedule'!$B:$B,$A189,'Master FF&amp;E Schedule'!$T:$T),0)</f>
        <v/>
      </c>
      <c r="I189" s="10">
        <f>IF($A189="","",$F189-$H189)</f>
        <v/>
      </c>
    </row>
    <row r="190">
      <c r="A190" s="12" t="n"/>
      <c r="B190" s="12" t="n"/>
      <c r="C190" s="12" t="n"/>
      <c r="D190" s="12" t="n"/>
      <c r="E190" s="12" t="n"/>
      <c r="F190" s="13" t="n"/>
      <c r="G190" s="13">
        <f>IFERROR(SUMIF('Master FF&amp;E Schedule'!$B:$B,$A190,'Master FF&amp;E Schedule'!$P:$P),0)</f>
        <v/>
      </c>
      <c r="H190" s="13">
        <f>IFERROR(SUMIF('Master FF&amp;E Schedule'!$B:$B,$A190,'Master FF&amp;E Schedule'!$T:$T),0)</f>
        <v/>
      </c>
      <c r="I190" s="13">
        <f>IF($A190="","",$F190-$H190)</f>
        <v/>
      </c>
      <c r="J190" s="12" t="n"/>
      <c r="K190" s="12" t="n"/>
    </row>
    <row r="191">
      <c r="F191" s="10" t="n"/>
      <c r="G191" s="10">
        <f>IFERROR(SUMIF('Master FF&amp;E Schedule'!$B:$B,$A191,'Master FF&amp;E Schedule'!$P:$P),0)</f>
        <v/>
      </c>
      <c r="H191" s="10">
        <f>IFERROR(SUMIF('Master FF&amp;E Schedule'!$B:$B,$A191,'Master FF&amp;E Schedule'!$T:$T),0)</f>
        <v/>
      </c>
      <c r="I191" s="10">
        <f>IF($A191="","",$F191-$H191)</f>
        <v/>
      </c>
    </row>
    <row r="192">
      <c r="A192" s="12" t="n"/>
      <c r="B192" s="12" t="n"/>
      <c r="C192" s="12" t="n"/>
      <c r="D192" s="12" t="n"/>
      <c r="E192" s="12" t="n"/>
      <c r="F192" s="13" t="n"/>
      <c r="G192" s="13">
        <f>IFERROR(SUMIF('Master FF&amp;E Schedule'!$B:$B,$A192,'Master FF&amp;E Schedule'!$P:$P),0)</f>
        <v/>
      </c>
      <c r="H192" s="13">
        <f>IFERROR(SUMIF('Master FF&amp;E Schedule'!$B:$B,$A192,'Master FF&amp;E Schedule'!$T:$T),0)</f>
        <v/>
      </c>
      <c r="I192" s="13">
        <f>IF($A192="","",$F192-$H192)</f>
        <v/>
      </c>
      <c r="J192" s="12" t="n"/>
      <c r="K192" s="12" t="n"/>
    </row>
    <row r="193">
      <c r="F193" s="10" t="n"/>
      <c r="G193" s="10">
        <f>IFERROR(SUMIF('Master FF&amp;E Schedule'!$B:$B,$A193,'Master FF&amp;E Schedule'!$P:$P),0)</f>
        <v/>
      </c>
      <c r="H193" s="10">
        <f>IFERROR(SUMIF('Master FF&amp;E Schedule'!$B:$B,$A193,'Master FF&amp;E Schedule'!$T:$T),0)</f>
        <v/>
      </c>
      <c r="I193" s="10">
        <f>IF($A193="","",$F193-$H193)</f>
        <v/>
      </c>
    </row>
    <row r="194">
      <c r="A194" s="12" t="n"/>
      <c r="B194" s="12" t="n"/>
      <c r="C194" s="12" t="n"/>
      <c r="D194" s="12" t="n"/>
      <c r="E194" s="12" t="n"/>
      <c r="F194" s="13" t="n"/>
      <c r="G194" s="13">
        <f>IFERROR(SUMIF('Master FF&amp;E Schedule'!$B:$B,$A194,'Master FF&amp;E Schedule'!$P:$P),0)</f>
        <v/>
      </c>
      <c r="H194" s="13">
        <f>IFERROR(SUMIF('Master FF&amp;E Schedule'!$B:$B,$A194,'Master FF&amp;E Schedule'!$T:$T),0)</f>
        <v/>
      </c>
      <c r="I194" s="13">
        <f>IF($A194="","",$F194-$H194)</f>
        <v/>
      </c>
      <c r="J194" s="12" t="n"/>
      <c r="K194" s="12" t="n"/>
    </row>
    <row r="195">
      <c r="F195" s="10" t="n"/>
      <c r="G195" s="10">
        <f>IFERROR(SUMIF('Master FF&amp;E Schedule'!$B:$B,$A195,'Master FF&amp;E Schedule'!$P:$P),0)</f>
        <v/>
      </c>
      <c r="H195" s="10">
        <f>IFERROR(SUMIF('Master FF&amp;E Schedule'!$B:$B,$A195,'Master FF&amp;E Schedule'!$T:$T),0)</f>
        <v/>
      </c>
      <c r="I195" s="10">
        <f>IF($A195="","",$F195-$H195)</f>
        <v/>
      </c>
    </row>
    <row r="196">
      <c r="A196" s="12" t="n"/>
      <c r="B196" s="12" t="n"/>
      <c r="C196" s="12" t="n"/>
      <c r="D196" s="12" t="n"/>
      <c r="E196" s="12" t="n"/>
      <c r="F196" s="13" t="n"/>
      <c r="G196" s="13">
        <f>IFERROR(SUMIF('Master FF&amp;E Schedule'!$B:$B,$A196,'Master FF&amp;E Schedule'!$P:$P),0)</f>
        <v/>
      </c>
      <c r="H196" s="13">
        <f>IFERROR(SUMIF('Master FF&amp;E Schedule'!$B:$B,$A196,'Master FF&amp;E Schedule'!$T:$T),0)</f>
        <v/>
      </c>
      <c r="I196" s="13">
        <f>IF($A196="","",$F196-$H196)</f>
        <v/>
      </c>
      <c r="J196" s="12" t="n"/>
      <c r="K196" s="12" t="n"/>
    </row>
    <row r="197">
      <c r="F197" s="10" t="n"/>
      <c r="G197" s="10">
        <f>IFERROR(SUMIF('Master FF&amp;E Schedule'!$B:$B,$A197,'Master FF&amp;E Schedule'!$P:$P),0)</f>
        <v/>
      </c>
      <c r="H197" s="10">
        <f>IFERROR(SUMIF('Master FF&amp;E Schedule'!$B:$B,$A197,'Master FF&amp;E Schedule'!$T:$T),0)</f>
        <v/>
      </c>
      <c r="I197" s="10">
        <f>IF($A197="","",$F197-$H197)</f>
        <v/>
      </c>
    </row>
    <row r="198">
      <c r="A198" s="12" t="n"/>
      <c r="B198" s="12" t="n"/>
      <c r="C198" s="12" t="n"/>
      <c r="D198" s="12" t="n"/>
      <c r="E198" s="12" t="n"/>
      <c r="F198" s="13" t="n"/>
      <c r="G198" s="13">
        <f>IFERROR(SUMIF('Master FF&amp;E Schedule'!$B:$B,$A198,'Master FF&amp;E Schedule'!$P:$P),0)</f>
        <v/>
      </c>
      <c r="H198" s="13">
        <f>IFERROR(SUMIF('Master FF&amp;E Schedule'!$B:$B,$A198,'Master FF&amp;E Schedule'!$T:$T),0)</f>
        <v/>
      </c>
      <c r="I198" s="13">
        <f>IF($A198="","",$F198-$H198)</f>
        <v/>
      </c>
      <c r="J198" s="12" t="n"/>
      <c r="K198" s="12" t="n"/>
    </row>
    <row r="199">
      <c r="F199" s="10" t="n"/>
      <c r="G199" s="10">
        <f>IFERROR(SUMIF('Master FF&amp;E Schedule'!$B:$B,$A199,'Master FF&amp;E Schedule'!$P:$P),0)</f>
        <v/>
      </c>
      <c r="H199" s="10">
        <f>IFERROR(SUMIF('Master FF&amp;E Schedule'!$B:$B,$A199,'Master FF&amp;E Schedule'!$T:$T),0)</f>
        <v/>
      </c>
      <c r="I199" s="10">
        <f>IF($A199="","",$F199-$H199)</f>
        <v/>
      </c>
    </row>
    <row r="200">
      <c r="A200" s="12" t="n"/>
      <c r="B200" s="12" t="n"/>
      <c r="C200" s="12" t="n"/>
      <c r="D200" s="12" t="n"/>
      <c r="E200" s="12" t="n"/>
      <c r="F200" s="13" t="n"/>
      <c r="G200" s="13">
        <f>IFERROR(SUMIF('Master FF&amp;E Schedule'!$B:$B,$A200,'Master FF&amp;E Schedule'!$P:$P),0)</f>
        <v/>
      </c>
      <c r="H200" s="13">
        <f>IFERROR(SUMIF('Master FF&amp;E Schedule'!$B:$B,$A200,'Master FF&amp;E Schedule'!$T:$T),0)</f>
        <v/>
      </c>
      <c r="I200" s="13">
        <f>IF($A200="","",$F200-$H200)</f>
        <v/>
      </c>
      <c r="J200" s="12" t="n"/>
      <c r="K200" s="12" t="n"/>
    </row>
    <row r="201">
      <c r="F201" s="10" t="n"/>
      <c r="G201" s="10">
        <f>IFERROR(SUMIF('Master FF&amp;E Schedule'!$B:$B,$A201,'Master FF&amp;E Schedule'!$P:$P),0)</f>
        <v/>
      </c>
      <c r="H201" s="10">
        <f>IFERROR(SUMIF('Master FF&amp;E Schedule'!$B:$B,$A201,'Master FF&amp;E Schedule'!$T:$T),0)</f>
        <v/>
      </c>
      <c r="I201" s="10">
        <f>IF($A201="","",$F201-$H201)</f>
        <v/>
      </c>
    </row>
    <row r="202">
      <c r="A202" s="12" t="n"/>
      <c r="B202" s="12" t="n"/>
      <c r="C202" s="12" t="n"/>
      <c r="D202" s="12" t="n"/>
      <c r="E202" s="12" t="n"/>
      <c r="F202" s="13" t="n"/>
      <c r="G202" s="13">
        <f>IFERROR(SUMIF('Master FF&amp;E Schedule'!$B:$B,$A202,'Master FF&amp;E Schedule'!$P:$P),0)</f>
        <v/>
      </c>
      <c r="H202" s="13">
        <f>IFERROR(SUMIF('Master FF&amp;E Schedule'!$B:$B,$A202,'Master FF&amp;E Schedule'!$T:$T),0)</f>
        <v/>
      </c>
      <c r="I202" s="13">
        <f>IF($A202="","",$F202-$H202)</f>
        <v/>
      </c>
      <c r="J202" s="12" t="n"/>
      <c r="K202" s="12" t="n"/>
    </row>
    <row r="203">
      <c r="F203" s="10" t="n"/>
      <c r="G203" s="10">
        <f>IFERROR(SUMIF('Master FF&amp;E Schedule'!$B:$B,$A203,'Master FF&amp;E Schedule'!$P:$P),0)</f>
        <v/>
      </c>
      <c r="H203" s="10">
        <f>IFERROR(SUMIF('Master FF&amp;E Schedule'!$B:$B,$A203,'Master FF&amp;E Schedule'!$T:$T),0)</f>
        <v/>
      </c>
      <c r="I203" s="10">
        <f>IF($A203="","",$F203-$H203)</f>
        <v/>
      </c>
    </row>
    <row r="204">
      <c r="A204" s="12" t="n"/>
      <c r="B204" s="12" t="n"/>
      <c r="C204" s="12" t="n"/>
      <c r="D204" s="12" t="n"/>
      <c r="E204" s="12" t="n"/>
      <c r="F204" s="13" t="n"/>
      <c r="G204" s="13">
        <f>IFERROR(SUMIF('Master FF&amp;E Schedule'!$B:$B,$A204,'Master FF&amp;E Schedule'!$P:$P),0)</f>
        <v/>
      </c>
      <c r="H204" s="13">
        <f>IFERROR(SUMIF('Master FF&amp;E Schedule'!$B:$B,$A204,'Master FF&amp;E Schedule'!$T:$T),0)</f>
        <v/>
      </c>
      <c r="I204" s="13">
        <f>IF($A204="","",$F204-$H204)</f>
        <v/>
      </c>
      <c r="J204" s="12" t="n"/>
      <c r="K204" s="12" t="n"/>
    </row>
    <row r="205">
      <c r="F205" s="10" t="n"/>
      <c r="G205" s="10">
        <f>IFERROR(SUMIF('Master FF&amp;E Schedule'!$B:$B,$A205,'Master FF&amp;E Schedule'!$P:$P),0)</f>
        <v/>
      </c>
      <c r="H205" s="10">
        <f>IFERROR(SUMIF('Master FF&amp;E Schedule'!$B:$B,$A205,'Master FF&amp;E Schedule'!$T:$T),0)</f>
        <v/>
      </c>
      <c r="I205" s="10">
        <f>IF($A205="","",$F205-$H205)</f>
        <v/>
      </c>
    </row>
    <row r="206">
      <c r="A206" s="12" t="n"/>
      <c r="B206" s="12" t="n"/>
      <c r="C206" s="12" t="n"/>
      <c r="D206" s="12" t="n"/>
      <c r="E206" s="12" t="n"/>
      <c r="F206" s="13" t="n"/>
      <c r="G206" s="13">
        <f>IFERROR(SUMIF('Master FF&amp;E Schedule'!$B:$B,$A206,'Master FF&amp;E Schedule'!$P:$P),0)</f>
        <v/>
      </c>
      <c r="H206" s="13">
        <f>IFERROR(SUMIF('Master FF&amp;E Schedule'!$B:$B,$A206,'Master FF&amp;E Schedule'!$T:$T),0)</f>
        <v/>
      </c>
      <c r="I206" s="13">
        <f>IF($A206="","",$F206-$H206)</f>
        <v/>
      </c>
      <c r="J206" s="12" t="n"/>
      <c r="K206" s="12" t="n"/>
    </row>
    <row r="207">
      <c r="F207" s="10" t="n"/>
      <c r="G207" s="10">
        <f>IFERROR(SUMIF('Master FF&amp;E Schedule'!$B:$B,$A207,'Master FF&amp;E Schedule'!$P:$P),0)</f>
        <v/>
      </c>
      <c r="H207" s="10">
        <f>IFERROR(SUMIF('Master FF&amp;E Schedule'!$B:$B,$A207,'Master FF&amp;E Schedule'!$T:$T),0)</f>
        <v/>
      </c>
      <c r="I207" s="10">
        <f>IF($A207="","",$F207-$H207)</f>
        <v/>
      </c>
    </row>
    <row r="208">
      <c r="A208" s="12" t="n"/>
      <c r="B208" s="12" t="n"/>
      <c r="C208" s="12" t="n"/>
      <c r="D208" s="12" t="n"/>
      <c r="E208" s="12" t="n"/>
      <c r="F208" s="13" t="n"/>
      <c r="G208" s="13">
        <f>IFERROR(SUMIF('Master FF&amp;E Schedule'!$B:$B,$A208,'Master FF&amp;E Schedule'!$P:$P),0)</f>
        <v/>
      </c>
      <c r="H208" s="13">
        <f>IFERROR(SUMIF('Master FF&amp;E Schedule'!$B:$B,$A208,'Master FF&amp;E Schedule'!$T:$T),0)</f>
        <v/>
      </c>
      <c r="I208" s="13">
        <f>IF($A208="","",$F208-$H208)</f>
        <v/>
      </c>
      <c r="J208" s="12" t="n"/>
      <c r="K208" s="12" t="n"/>
    </row>
    <row r="209">
      <c r="F209" s="10" t="n"/>
      <c r="G209" s="10">
        <f>IFERROR(SUMIF('Master FF&amp;E Schedule'!$B:$B,$A209,'Master FF&amp;E Schedule'!$P:$P),0)</f>
        <v/>
      </c>
      <c r="H209" s="10">
        <f>IFERROR(SUMIF('Master FF&amp;E Schedule'!$B:$B,$A209,'Master FF&amp;E Schedule'!$T:$T),0)</f>
        <v/>
      </c>
      <c r="I209" s="10">
        <f>IF($A209="","",$F209-$H209)</f>
        <v/>
      </c>
    </row>
    <row r="210">
      <c r="A210" s="12" t="n"/>
      <c r="B210" s="12" t="n"/>
      <c r="C210" s="12" t="n"/>
      <c r="D210" s="12" t="n"/>
      <c r="E210" s="12" t="n"/>
      <c r="F210" s="13" t="n"/>
      <c r="G210" s="13">
        <f>IFERROR(SUMIF('Master FF&amp;E Schedule'!$B:$B,$A210,'Master FF&amp;E Schedule'!$P:$P),0)</f>
        <v/>
      </c>
      <c r="H210" s="13">
        <f>IFERROR(SUMIF('Master FF&amp;E Schedule'!$B:$B,$A210,'Master FF&amp;E Schedule'!$T:$T),0)</f>
        <v/>
      </c>
      <c r="I210" s="13">
        <f>IF($A210="","",$F210-$H210)</f>
        <v/>
      </c>
      <c r="J210" s="12" t="n"/>
      <c r="K210" s="12" t="n"/>
    </row>
    <row r="211">
      <c r="F211" s="10" t="n"/>
      <c r="G211" s="10">
        <f>IFERROR(SUMIF('Master FF&amp;E Schedule'!$B:$B,$A211,'Master FF&amp;E Schedule'!$P:$P),0)</f>
        <v/>
      </c>
      <c r="H211" s="10">
        <f>IFERROR(SUMIF('Master FF&amp;E Schedule'!$B:$B,$A211,'Master FF&amp;E Schedule'!$T:$T),0)</f>
        <v/>
      </c>
      <c r="I211" s="10">
        <f>IF($A211="","",$F211-$H211)</f>
        <v/>
      </c>
    </row>
    <row r="212">
      <c r="A212" s="12" t="n"/>
      <c r="B212" s="12" t="n"/>
      <c r="C212" s="12" t="n"/>
      <c r="D212" s="12" t="n"/>
      <c r="E212" s="12" t="n"/>
      <c r="F212" s="13" t="n"/>
      <c r="G212" s="13">
        <f>IFERROR(SUMIF('Master FF&amp;E Schedule'!$B:$B,$A212,'Master FF&amp;E Schedule'!$P:$P),0)</f>
        <v/>
      </c>
      <c r="H212" s="13">
        <f>IFERROR(SUMIF('Master FF&amp;E Schedule'!$B:$B,$A212,'Master FF&amp;E Schedule'!$T:$T),0)</f>
        <v/>
      </c>
      <c r="I212" s="13">
        <f>IF($A212="","",$F212-$H212)</f>
        <v/>
      </c>
      <c r="J212" s="12" t="n"/>
      <c r="K212" s="12" t="n"/>
    </row>
    <row r="213">
      <c r="F213" s="10" t="n"/>
      <c r="G213" s="10">
        <f>IFERROR(SUMIF('Master FF&amp;E Schedule'!$B:$B,$A213,'Master FF&amp;E Schedule'!$P:$P),0)</f>
        <v/>
      </c>
      <c r="H213" s="10">
        <f>IFERROR(SUMIF('Master FF&amp;E Schedule'!$B:$B,$A213,'Master FF&amp;E Schedule'!$T:$T),0)</f>
        <v/>
      </c>
      <c r="I213" s="10">
        <f>IF($A213="","",$F213-$H213)</f>
        <v/>
      </c>
    </row>
    <row r="214">
      <c r="A214" s="12" t="n"/>
      <c r="B214" s="12" t="n"/>
      <c r="C214" s="12" t="n"/>
      <c r="D214" s="12" t="n"/>
      <c r="E214" s="12" t="n"/>
      <c r="F214" s="13" t="n"/>
      <c r="G214" s="13">
        <f>IFERROR(SUMIF('Master FF&amp;E Schedule'!$B:$B,$A214,'Master FF&amp;E Schedule'!$P:$P),0)</f>
        <v/>
      </c>
      <c r="H214" s="13">
        <f>IFERROR(SUMIF('Master FF&amp;E Schedule'!$B:$B,$A214,'Master FF&amp;E Schedule'!$T:$T),0)</f>
        <v/>
      </c>
      <c r="I214" s="13">
        <f>IF($A214="","",$F214-$H214)</f>
        <v/>
      </c>
      <c r="J214" s="12" t="n"/>
      <c r="K214" s="12" t="n"/>
    </row>
    <row r="215">
      <c r="F215" s="10" t="n"/>
      <c r="G215" s="10">
        <f>IFERROR(SUMIF('Master FF&amp;E Schedule'!$B:$B,$A215,'Master FF&amp;E Schedule'!$P:$P),0)</f>
        <v/>
      </c>
      <c r="H215" s="10">
        <f>IFERROR(SUMIF('Master FF&amp;E Schedule'!$B:$B,$A215,'Master FF&amp;E Schedule'!$T:$T),0)</f>
        <v/>
      </c>
      <c r="I215" s="10">
        <f>IF($A215="","",$F215-$H215)</f>
        <v/>
      </c>
    </row>
    <row r="216">
      <c r="A216" s="12" t="n"/>
      <c r="B216" s="12" t="n"/>
      <c r="C216" s="12" t="n"/>
      <c r="D216" s="12" t="n"/>
      <c r="E216" s="12" t="n"/>
      <c r="F216" s="13" t="n"/>
      <c r="G216" s="13">
        <f>IFERROR(SUMIF('Master FF&amp;E Schedule'!$B:$B,$A216,'Master FF&amp;E Schedule'!$P:$P),0)</f>
        <v/>
      </c>
      <c r="H216" s="13">
        <f>IFERROR(SUMIF('Master FF&amp;E Schedule'!$B:$B,$A216,'Master FF&amp;E Schedule'!$T:$T),0)</f>
        <v/>
      </c>
      <c r="I216" s="13">
        <f>IF($A216="","",$F216-$H216)</f>
        <v/>
      </c>
      <c r="J216" s="12" t="n"/>
      <c r="K216" s="12" t="n"/>
    </row>
    <row r="217">
      <c r="F217" s="10" t="n"/>
      <c r="G217" s="10">
        <f>IFERROR(SUMIF('Master FF&amp;E Schedule'!$B:$B,$A217,'Master FF&amp;E Schedule'!$P:$P),0)</f>
        <v/>
      </c>
      <c r="H217" s="10">
        <f>IFERROR(SUMIF('Master FF&amp;E Schedule'!$B:$B,$A217,'Master FF&amp;E Schedule'!$T:$T),0)</f>
        <v/>
      </c>
      <c r="I217" s="10">
        <f>IF($A217="","",$F217-$H217)</f>
        <v/>
      </c>
    </row>
    <row r="218">
      <c r="A218" s="12" t="n"/>
      <c r="B218" s="12" t="n"/>
      <c r="C218" s="12" t="n"/>
      <c r="D218" s="12" t="n"/>
      <c r="E218" s="12" t="n"/>
      <c r="F218" s="13" t="n"/>
      <c r="G218" s="13">
        <f>IFERROR(SUMIF('Master FF&amp;E Schedule'!$B:$B,$A218,'Master FF&amp;E Schedule'!$P:$P),0)</f>
        <v/>
      </c>
      <c r="H218" s="13">
        <f>IFERROR(SUMIF('Master FF&amp;E Schedule'!$B:$B,$A218,'Master FF&amp;E Schedule'!$T:$T),0)</f>
        <v/>
      </c>
      <c r="I218" s="13">
        <f>IF($A218="","",$F218-$H218)</f>
        <v/>
      </c>
      <c r="J218" s="12" t="n"/>
      <c r="K218" s="12" t="n"/>
    </row>
    <row r="219">
      <c r="F219" s="10" t="n"/>
      <c r="G219" s="10">
        <f>IFERROR(SUMIF('Master FF&amp;E Schedule'!$B:$B,$A219,'Master FF&amp;E Schedule'!$P:$P),0)</f>
        <v/>
      </c>
      <c r="H219" s="10">
        <f>IFERROR(SUMIF('Master FF&amp;E Schedule'!$B:$B,$A219,'Master FF&amp;E Schedule'!$T:$T),0)</f>
        <v/>
      </c>
      <c r="I219" s="10">
        <f>IF($A219="","",$F219-$H219)</f>
        <v/>
      </c>
    </row>
    <row r="220">
      <c r="A220" s="12" t="n"/>
      <c r="B220" s="12" t="n"/>
      <c r="C220" s="12" t="n"/>
      <c r="D220" s="12" t="n"/>
      <c r="E220" s="12" t="n"/>
      <c r="F220" s="13" t="n"/>
      <c r="G220" s="13">
        <f>IFERROR(SUMIF('Master FF&amp;E Schedule'!$B:$B,$A220,'Master FF&amp;E Schedule'!$P:$P),0)</f>
        <v/>
      </c>
      <c r="H220" s="13">
        <f>IFERROR(SUMIF('Master FF&amp;E Schedule'!$B:$B,$A220,'Master FF&amp;E Schedule'!$T:$T),0)</f>
        <v/>
      </c>
      <c r="I220" s="13">
        <f>IF($A220="","",$F220-$H220)</f>
        <v/>
      </c>
      <c r="J220" s="12" t="n"/>
      <c r="K220" s="12" t="n"/>
    </row>
    <row r="221">
      <c r="F221" s="10" t="n"/>
      <c r="G221" s="10">
        <f>IFERROR(SUMIF('Master FF&amp;E Schedule'!$B:$B,$A221,'Master FF&amp;E Schedule'!$P:$P),0)</f>
        <v/>
      </c>
      <c r="H221" s="10">
        <f>IFERROR(SUMIF('Master FF&amp;E Schedule'!$B:$B,$A221,'Master FF&amp;E Schedule'!$T:$T),0)</f>
        <v/>
      </c>
      <c r="I221" s="10">
        <f>IF($A221="","",$F221-$H221)</f>
        <v/>
      </c>
    </row>
    <row r="222">
      <c r="A222" s="12" t="n"/>
      <c r="B222" s="12" t="n"/>
      <c r="C222" s="12" t="n"/>
      <c r="D222" s="12" t="n"/>
      <c r="E222" s="12" t="n"/>
      <c r="F222" s="13" t="n"/>
      <c r="G222" s="13">
        <f>IFERROR(SUMIF('Master FF&amp;E Schedule'!$B:$B,$A222,'Master FF&amp;E Schedule'!$P:$P),0)</f>
        <v/>
      </c>
      <c r="H222" s="13">
        <f>IFERROR(SUMIF('Master FF&amp;E Schedule'!$B:$B,$A222,'Master FF&amp;E Schedule'!$T:$T),0)</f>
        <v/>
      </c>
      <c r="I222" s="13">
        <f>IF($A222="","",$F222-$H222)</f>
        <v/>
      </c>
      <c r="J222" s="12" t="n"/>
      <c r="K222" s="12" t="n"/>
    </row>
    <row r="223">
      <c r="F223" s="10" t="n"/>
      <c r="G223" s="10">
        <f>IFERROR(SUMIF('Master FF&amp;E Schedule'!$B:$B,$A223,'Master FF&amp;E Schedule'!$P:$P),0)</f>
        <v/>
      </c>
      <c r="H223" s="10">
        <f>IFERROR(SUMIF('Master FF&amp;E Schedule'!$B:$B,$A223,'Master FF&amp;E Schedule'!$T:$T),0)</f>
        <v/>
      </c>
      <c r="I223" s="10">
        <f>IF($A223="","",$F223-$H223)</f>
        <v/>
      </c>
    </row>
    <row r="224">
      <c r="A224" s="12" t="n"/>
      <c r="B224" s="12" t="n"/>
      <c r="C224" s="12" t="n"/>
      <c r="D224" s="12" t="n"/>
      <c r="E224" s="12" t="n"/>
      <c r="F224" s="13" t="n"/>
      <c r="G224" s="13">
        <f>IFERROR(SUMIF('Master FF&amp;E Schedule'!$B:$B,$A224,'Master FF&amp;E Schedule'!$P:$P),0)</f>
        <v/>
      </c>
      <c r="H224" s="13">
        <f>IFERROR(SUMIF('Master FF&amp;E Schedule'!$B:$B,$A224,'Master FF&amp;E Schedule'!$T:$T),0)</f>
        <v/>
      </c>
      <c r="I224" s="13">
        <f>IF($A224="","",$F224-$H224)</f>
        <v/>
      </c>
      <c r="J224" s="12" t="n"/>
      <c r="K224" s="12" t="n"/>
    </row>
    <row r="225">
      <c r="F225" s="10" t="n"/>
      <c r="G225" s="10">
        <f>IFERROR(SUMIF('Master FF&amp;E Schedule'!$B:$B,$A225,'Master FF&amp;E Schedule'!$P:$P),0)</f>
        <v/>
      </c>
      <c r="H225" s="10">
        <f>IFERROR(SUMIF('Master FF&amp;E Schedule'!$B:$B,$A225,'Master FF&amp;E Schedule'!$T:$T),0)</f>
        <v/>
      </c>
      <c r="I225" s="10">
        <f>IF($A225="","",$F225-$H225)</f>
        <v/>
      </c>
    </row>
    <row r="226">
      <c r="A226" s="12" t="n"/>
      <c r="B226" s="12" t="n"/>
      <c r="C226" s="12" t="n"/>
      <c r="D226" s="12" t="n"/>
      <c r="E226" s="12" t="n"/>
      <c r="F226" s="13" t="n"/>
      <c r="G226" s="13">
        <f>IFERROR(SUMIF('Master FF&amp;E Schedule'!$B:$B,$A226,'Master FF&amp;E Schedule'!$P:$P),0)</f>
        <v/>
      </c>
      <c r="H226" s="13">
        <f>IFERROR(SUMIF('Master FF&amp;E Schedule'!$B:$B,$A226,'Master FF&amp;E Schedule'!$T:$T),0)</f>
        <v/>
      </c>
      <c r="I226" s="13">
        <f>IF($A226="","",$F226-$H226)</f>
        <v/>
      </c>
      <c r="J226" s="12" t="n"/>
      <c r="K226" s="12" t="n"/>
    </row>
    <row r="227">
      <c r="F227" s="10" t="n"/>
      <c r="G227" s="10">
        <f>IFERROR(SUMIF('Master FF&amp;E Schedule'!$B:$B,$A227,'Master FF&amp;E Schedule'!$P:$P),0)</f>
        <v/>
      </c>
      <c r="H227" s="10">
        <f>IFERROR(SUMIF('Master FF&amp;E Schedule'!$B:$B,$A227,'Master FF&amp;E Schedule'!$T:$T),0)</f>
        <v/>
      </c>
      <c r="I227" s="10">
        <f>IF($A227="","",$F227-$H227)</f>
        <v/>
      </c>
    </row>
    <row r="228">
      <c r="A228" s="12" t="n"/>
      <c r="B228" s="12" t="n"/>
      <c r="C228" s="12" t="n"/>
      <c r="D228" s="12" t="n"/>
      <c r="E228" s="12" t="n"/>
      <c r="F228" s="13" t="n"/>
      <c r="G228" s="13">
        <f>IFERROR(SUMIF('Master FF&amp;E Schedule'!$B:$B,$A228,'Master FF&amp;E Schedule'!$P:$P),0)</f>
        <v/>
      </c>
      <c r="H228" s="13">
        <f>IFERROR(SUMIF('Master FF&amp;E Schedule'!$B:$B,$A228,'Master FF&amp;E Schedule'!$T:$T),0)</f>
        <v/>
      </c>
      <c r="I228" s="13">
        <f>IF($A228="","",$F228-$H228)</f>
        <v/>
      </c>
      <c r="J228" s="12" t="n"/>
      <c r="K228" s="12" t="n"/>
    </row>
    <row r="229">
      <c r="F229" s="10" t="n"/>
      <c r="G229" s="10">
        <f>IFERROR(SUMIF('Master FF&amp;E Schedule'!$B:$B,$A229,'Master FF&amp;E Schedule'!$P:$P),0)</f>
        <v/>
      </c>
      <c r="H229" s="10">
        <f>IFERROR(SUMIF('Master FF&amp;E Schedule'!$B:$B,$A229,'Master FF&amp;E Schedule'!$T:$T),0)</f>
        <v/>
      </c>
      <c r="I229" s="10">
        <f>IF($A229="","",$F229-$H229)</f>
        <v/>
      </c>
    </row>
    <row r="230">
      <c r="A230" s="12" t="n"/>
      <c r="B230" s="12" t="n"/>
      <c r="C230" s="12" t="n"/>
      <c r="D230" s="12" t="n"/>
      <c r="E230" s="12" t="n"/>
      <c r="F230" s="13" t="n"/>
      <c r="G230" s="13">
        <f>IFERROR(SUMIF('Master FF&amp;E Schedule'!$B:$B,$A230,'Master FF&amp;E Schedule'!$P:$P),0)</f>
        <v/>
      </c>
      <c r="H230" s="13">
        <f>IFERROR(SUMIF('Master FF&amp;E Schedule'!$B:$B,$A230,'Master FF&amp;E Schedule'!$T:$T),0)</f>
        <v/>
      </c>
      <c r="I230" s="13">
        <f>IF($A230="","",$F230-$H230)</f>
        <v/>
      </c>
      <c r="J230" s="12" t="n"/>
      <c r="K230" s="12" t="n"/>
    </row>
    <row r="231">
      <c r="F231" s="10" t="n"/>
      <c r="G231" s="10">
        <f>IFERROR(SUMIF('Master FF&amp;E Schedule'!$B:$B,$A231,'Master FF&amp;E Schedule'!$P:$P),0)</f>
        <v/>
      </c>
      <c r="H231" s="10">
        <f>IFERROR(SUMIF('Master FF&amp;E Schedule'!$B:$B,$A231,'Master FF&amp;E Schedule'!$T:$T),0)</f>
        <v/>
      </c>
      <c r="I231" s="10">
        <f>IF($A231="","",$F231-$H231)</f>
        <v/>
      </c>
    </row>
    <row r="232">
      <c r="A232" s="12" t="n"/>
      <c r="B232" s="12" t="n"/>
      <c r="C232" s="12" t="n"/>
      <c r="D232" s="12" t="n"/>
      <c r="E232" s="12" t="n"/>
      <c r="F232" s="13" t="n"/>
      <c r="G232" s="13">
        <f>IFERROR(SUMIF('Master FF&amp;E Schedule'!$B:$B,$A232,'Master FF&amp;E Schedule'!$P:$P),0)</f>
        <v/>
      </c>
      <c r="H232" s="13">
        <f>IFERROR(SUMIF('Master FF&amp;E Schedule'!$B:$B,$A232,'Master FF&amp;E Schedule'!$T:$T),0)</f>
        <v/>
      </c>
      <c r="I232" s="13">
        <f>IF($A232="","",$F232-$H232)</f>
        <v/>
      </c>
      <c r="J232" s="12" t="n"/>
      <c r="K232" s="12" t="n"/>
    </row>
    <row r="233">
      <c r="F233" s="10" t="n"/>
      <c r="G233" s="10">
        <f>IFERROR(SUMIF('Master FF&amp;E Schedule'!$B:$B,$A233,'Master FF&amp;E Schedule'!$P:$P),0)</f>
        <v/>
      </c>
      <c r="H233" s="10">
        <f>IFERROR(SUMIF('Master FF&amp;E Schedule'!$B:$B,$A233,'Master FF&amp;E Schedule'!$T:$T),0)</f>
        <v/>
      </c>
      <c r="I233" s="10">
        <f>IF($A233="","",$F233-$H233)</f>
        <v/>
      </c>
    </row>
    <row r="234">
      <c r="A234" s="12" t="n"/>
      <c r="B234" s="12" t="n"/>
      <c r="C234" s="12" t="n"/>
      <c r="D234" s="12" t="n"/>
      <c r="E234" s="12" t="n"/>
      <c r="F234" s="13" t="n"/>
      <c r="G234" s="13">
        <f>IFERROR(SUMIF('Master FF&amp;E Schedule'!$B:$B,$A234,'Master FF&amp;E Schedule'!$P:$P),0)</f>
        <v/>
      </c>
      <c r="H234" s="13">
        <f>IFERROR(SUMIF('Master FF&amp;E Schedule'!$B:$B,$A234,'Master FF&amp;E Schedule'!$T:$T),0)</f>
        <v/>
      </c>
      <c r="I234" s="13">
        <f>IF($A234="","",$F234-$H234)</f>
        <v/>
      </c>
      <c r="J234" s="12" t="n"/>
      <c r="K234" s="12" t="n"/>
    </row>
    <row r="235">
      <c r="F235" s="10" t="n"/>
      <c r="G235" s="10">
        <f>IFERROR(SUMIF('Master FF&amp;E Schedule'!$B:$B,$A235,'Master FF&amp;E Schedule'!$P:$P),0)</f>
        <v/>
      </c>
      <c r="H235" s="10">
        <f>IFERROR(SUMIF('Master FF&amp;E Schedule'!$B:$B,$A235,'Master FF&amp;E Schedule'!$T:$T),0)</f>
        <v/>
      </c>
      <c r="I235" s="10">
        <f>IF($A235="","",$F235-$H235)</f>
        <v/>
      </c>
    </row>
    <row r="236">
      <c r="A236" s="12" t="n"/>
      <c r="B236" s="12" t="n"/>
      <c r="C236" s="12" t="n"/>
      <c r="D236" s="12" t="n"/>
      <c r="E236" s="12" t="n"/>
      <c r="F236" s="13" t="n"/>
      <c r="G236" s="13">
        <f>IFERROR(SUMIF('Master FF&amp;E Schedule'!$B:$B,$A236,'Master FF&amp;E Schedule'!$P:$P),0)</f>
        <v/>
      </c>
      <c r="H236" s="13">
        <f>IFERROR(SUMIF('Master FF&amp;E Schedule'!$B:$B,$A236,'Master FF&amp;E Schedule'!$T:$T),0)</f>
        <v/>
      </c>
      <c r="I236" s="13">
        <f>IF($A236="","",$F236-$H236)</f>
        <v/>
      </c>
      <c r="J236" s="12" t="n"/>
      <c r="K236" s="12" t="n"/>
    </row>
    <row r="237">
      <c r="F237" s="10" t="n"/>
      <c r="G237" s="10">
        <f>IFERROR(SUMIF('Master FF&amp;E Schedule'!$B:$B,$A237,'Master FF&amp;E Schedule'!$P:$P),0)</f>
        <v/>
      </c>
      <c r="H237" s="10">
        <f>IFERROR(SUMIF('Master FF&amp;E Schedule'!$B:$B,$A237,'Master FF&amp;E Schedule'!$T:$T),0)</f>
        <v/>
      </c>
      <c r="I237" s="10">
        <f>IF($A237="","",$F237-$H237)</f>
        <v/>
      </c>
    </row>
    <row r="238">
      <c r="A238" s="12" t="n"/>
      <c r="B238" s="12" t="n"/>
      <c r="C238" s="12" t="n"/>
      <c r="D238" s="12" t="n"/>
      <c r="E238" s="12" t="n"/>
      <c r="F238" s="13" t="n"/>
      <c r="G238" s="13">
        <f>IFERROR(SUMIF('Master FF&amp;E Schedule'!$B:$B,$A238,'Master FF&amp;E Schedule'!$P:$P),0)</f>
        <v/>
      </c>
      <c r="H238" s="13">
        <f>IFERROR(SUMIF('Master FF&amp;E Schedule'!$B:$B,$A238,'Master FF&amp;E Schedule'!$T:$T),0)</f>
        <v/>
      </c>
      <c r="I238" s="13">
        <f>IF($A238="","",$F238-$H238)</f>
        <v/>
      </c>
      <c r="J238" s="12" t="n"/>
      <c r="K238" s="12" t="n"/>
    </row>
    <row r="239">
      <c r="F239" s="10" t="n"/>
      <c r="G239" s="10">
        <f>IFERROR(SUMIF('Master FF&amp;E Schedule'!$B:$B,$A239,'Master FF&amp;E Schedule'!$P:$P),0)</f>
        <v/>
      </c>
      <c r="H239" s="10">
        <f>IFERROR(SUMIF('Master FF&amp;E Schedule'!$B:$B,$A239,'Master FF&amp;E Schedule'!$T:$T),0)</f>
        <v/>
      </c>
      <c r="I239" s="10">
        <f>IF($A239="","",$F239-$H239)</f>
        <v/>
      </c>
    </row>
    <row r="240">
      <c r="A240" s="12" t="n"/>
      <c r="B240" s="12" t="n"/>
      <c r="C240" s="12" t="n"/>
      <c r="D240" s="12" t="n"/>
      <c r="E240" s="12" t="n"/>
      <c r="F240" s="13" t="n"/>
      <c r="G240" s="13">
        <f>IFERROR(SUMIF('Master FF&amp;E Schedule'!$B:$B,$A240,'Master FF&amp;E Schedule'!$P:$P),0)</f>
        <v/>
      </c>
      <c r="H240" s="13">
        <f>IFERROR(SUMIF('Master FF&amp;E Schedule'!$B:$B,$A240,'Master FF&amp;E Schedule'!$T:$T),0)</f>
        <v/>
      </c>
      <c r="I240" s="13">
        <f>IF($A240="","",$F240-$H240)</f>
        <v/>
      </c>
      <c r="J240" s="12" t="n"/>
      <c r="K240" s="12" t="n"/>
    </row>
    <row r="241">
      <c r="F241" s="10" t="n"/>
      <c r="G241" s="10">
        <f>IFERROR(SUMIF('Master FF&amp;E Schedule'!$B:$B,$A241,'Master FF&amp;E Schedule'!$P:$P),0)</f>
        <v/>
      </c>
      <c r="H241" s="10">
        <f>IFERROR(SUMIF('Master FF&amp;E Schedule'!$B:$B,$A241,'Master FF&amp;E Schedule'!$T:$T),0)</f>
        <v/>
      </c>
      <c r="I241" s="10">
        <f>IF($A241="","",$F241-$H241)</f>
        <v/>
      </c>
    </row>
    <row r="242">
      <c r="A242" s="12" t="n"/>
      <c r="B242" s="12" t="n"/>
      <c r="C242" s="12" t="n"/>
      <c r="D242" s="12" t="n"/>
      <c r="E242" s="12" t="n"/>
      <c r="F242" s="13" t="n"/>
      <c r="G242" s="13">
        <f>IFERROR(SUMIF('Master FF&amp;E Schedule'!$B:$B,$A242,'Master FF&amp;E Schedule'!$P:$P),0)</f>
        <v/>
      </c>
      <c r="H242" s="13">
        <f>IFERROR(SUMIF('Master FF&amp;E Schedule'!$B:$B,$A242,'Master FF&amp;E Schedule'!$T:$T),0)</f>
        <v/>
      </c>
      <c r="I242" s="13">
        <f>IF($A242="","",$F242-$H242)</f>
        <v/>
      </c>
      <c r="J242" s="12" t="n"/>
      <c r="K242" s="12" t="n"/>
    </row>
    <row r="243">
      <c r="F243" s="10" t="n"/>
      <c r="G243" s="10">
        <f>IFERROR(SUMIF('Master FF&amp;E Schedule'!$B:$B,$A243,'Master FF&amp;E Schedule'!$P:$P),0)</f>
        <v/>
      </c>
      <c r="H243" s="10">
        <f>IFERROR(SUMIF('Master FF&amp;E Schedule'!$B:$B,$A243,'Master FF&amp;E Schedule'!$T:$T),0)</f>
        <v/>
      </c>
      <c r="I243" s="10">
        <f>IF($A243="","",$F243-$H243)</f>
        <v/>
      </c>
    </row>
    <row r="244">
      <c r="A244" s="12" t="n"/>
      <c r="B244" s="12" t="n"/>
      <c r="C244" s="12" t="n"/>
      <c r="D244" s="12" t="n"/>
      <c r="E244" s="12" t="n"/>
      <c r="F244" s="13" t="n"/>
      <c r="G244" s="13">
        <f>IFERROR(SUMIF('Master FF&amp;E Schedule'!$B:$B,$A244,'Master FF&amp;E Schedule'!$P:$P),0)</f>
        <v/>
      </c>
      <c r="H244" s="13">
        <f>IFERROR(SUMIF('Master FF&amp;E Schedule'!$B:$B,$A244,'Master FF&amp;E Schedule'!$T:$T),0)</f>
        <v/>
      </c>
      <c r="I244" s="13">
        <f>IF($A244="","",$F244-$H244)</f>
        <v/>
      </c>
      <c r="J244" s="12" t="n"/>
      <c r="K244" s="12" t="n"/>
    </row>
    <row r="245">
      <c r="F245" s="10" t="n"/>
      <c r="G245" s="10">
        <f>IFERROR(SUMIF('Master FF&amp;E Schedule'!$B:$B,$A245,'Master FF&amp;E Schedule'!$P:$P),0)</f>
        <v/>
      </c>
      <c r="H245" s="10">
        <f>IFERROR(SUMIF('Master FF&amp;E Schedule'!$B:$B,$A245,'Master FF&amp;E Schedule'!$T:$T),0)</f>
        <v/>
      </c>
      <c r="I245" s="10">
        <f>IF($A245="","",$F245-$H245)</f>
        <v/>
      </c>
    </row>
    <row r="246">
      <c r="A246" s="12" t="n"/>
      <c r="B246" s="12" t="n"/>
      <c r="C246" s="12" t="n"/>
      <c r="D246" s="12" t="n"/>
      <c r="E246" s="12" t="n"/>
      <c r="F246" s="13" t="n"/>
      <c r="G246" s="13">
        <f>IFERROR(SUMIF('Master FF&amp;E Schedule'!$B:$B,$A246,'Master FF&amp;E Schedule'!$P:$P),0)</f>
        <v/>
      </c>
      <c r="H246" s="13">
        <f>IFERROR(SUMIF('Master FF&amp;E Schedule'!$B:$B,$A246,'Master FF&amp;E Schedule'!$T:$T),0)</f>
        <v/>
      </c>
      <c r="I246" s="13">
        <f>IF($A246="","",$F246-$H246)</f>
        <v/>
      </c>
      <c r="J246" s="12" t="n"/>
      <c r="K246" s="12" t="n"/>
    </row>
    <row r="247">
      <c r="F247" s="10" t="n"/>
      <c r="G247" s="10">
        <f>IFERROR(SUMIF('Master FF&amp;E Schedule'!$B:$B,$A247,'Master FF&amp;E Schedule'!$P:$P),0)</f>
        <v/>
      </c>
      <c r="H247" s="10">
        <f>IFERROR(SUMIF('Master FF&amp;E Schedule'!$B:$B,$A247,'Master FF&amp;E Schedule'!$T:$T),0)</f>
        <v/>
      </c>
      <c r="I247" s="10">
        <f>IF($A247="","",$F247-$H247)</f>
        <v/>
      </c>
    </row>
    <row r="248">
      <c r="A248" s="12" t="n"/>
      <c r="B248" s="12" t="n"/>
      <c r="C248" s="12" t="n"/>
      <c r="D248" s="12" t="n"/>
      <c r="E248" s="12" t="n"/>
      <c r="F248" s="13" t="n"/>
      <c r="G248" s="13">
        <f>IFERROR(SUMIF('Master FF&amp;E Schedule'!$B:$B,$A248,'Master FF&amp;E Schedule'!$P:$P),0)</f>
        <v/>
      </c>
      <c r="H248" s="13">
        <f>IFERROR(SUMIF('Master FF&amp;E Schedule'!$B:$B,$A248,'Master FF&amp;E Schedule'!$T:$T),0)</f>
        <v/>
      </c>
      <c r="I248" s="13">
        <f>IF($A248="","",$F248-$H248)</f>
        <v/>
      </c>
      <c r="J248" s="12" t="n"/>
      <c r="K248" s="12" t="n"/>
    </row>
    <row r="249">
      <c r="F249" s="10" t="n"/>
      <c r="G249" s="10">
        <f>IFERROR(SUMIF('Master FF&amp;E Schedule'!$B:$B,$A249,'Master FF&amp;E Schedule'!$P:$P),0)</f>
        <v/>
      </c>
      <c r="H249" s="10">
        <f>IFERROR(SUMIF('Master FF&amp;E Schedule'!$B:$B,$A249,'Master FF&amp;E Schedule'!$T:$T),0)</f>
        <v/>
      </c>
      <c r="I249" s="10">
        <f>IF($A249="","",$F249-$H249)</f>
        <v/>
      </c>
    </row>
    <row r="250">
      <c r="A250" s="12" t="n"/>
      <c r="B250" s="12" t="n"/>
      <c r="C250" s="12" t="n"/>
      <c r="D250" s="12" t="n"/>
      <c r="E250" s="12" t="n"/>
      <c r="F250" s="13" t="n"/>
      <c r="G250" s="13">
        <f>IFERROR(SUMIF('Master FF&amp;E Schedule'!$B:$B,$A250,'Master FF&amp;E Schedule'!$P:$P),0)</f>
        <v/>
      </c>
      <c r="H250" s="13">
        <f>IFERROR(SUMIF('Master FF&amp;E Schedule'!$B:$B,$A250,'Master FF&amp;E Schedule'!$T:$T),0)</f>
        <v/>
      </c>
      <c r="I250" s="13">
        <f>IF($A250="","",$F250-$H250)</f>
        <v/>
      </c>
      <c r="J250" s="12" t="n"/>
      <c r="K250" s="12" t="n"/>
    </row>
    <row r="251">
      <c r="F251" s="10" t="n"/>
      <c r="G251" s="10">
        <f>IFERROR(SUMIF('Master FF&amp;E Schedule'!$B:$B,$A251,'Master FF&amp;E Schedule'!$P:$P),0)</f>
        <v/>
      </c>
      <c r="H251" s="10">
        <f>IFERROR(SUMIF('Master FF&amp;E Schedule'!$B:$B,$A251,'Master FF&amp;E Schedule'!$T:$T),0)</f>
        <v/>
      </c>
      <c r="I251" s="10">
        <f>IF($A251="","",$F251-$H251)</f>
        <v/>
      </c>
    </row>
  </sheetData>
  <autoFilter ref="A1:K251"/>
  <conditionalFormatting sqref="A2:K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3">
    <dataValidation sqref="B2:B251" showDropDown="0" showInputMessage="0" showErrorMessage="0" allowBlank="1" type="list">
      <formula1>='Lists'!$G$2:$G$12</formula1>
    </dataValidation>
    <dataValidation sqref="E2:E251" showDropDown="0" showInputMessage="0" showErrorMessage="0" allowBlank="1" type="list">
      <formula1>='Lists'!$E$2:$E$10</formula1>
    </dataValidation>
    <dataValidation sqref="J2:J251" showDropDown="0" showInputMessage="0" showErrorMessage="0" allowBlank="1" type="list">
      <formula1>='Lists'!$F$2:$F$5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42" customHeight="1">
      <c r="A1" s="11" t="inlineStr">
        <is>
          <t>Item ID</t>
        </is>
      </c>
      <c r="B1" s="11" t="inlineStr">
        <is>
          <t>Room</t>
        </is>
      </c>
      <c r="C1" s="11" t="inlineStr">
        <is>
          <t>Category</t>
        </is>
      </c>
      <c r="D1" s="11" t="inlineStr">
        <is>
          <t>Item name</t>
        </is>
      </c>
      <c r="E1" s="11" t="inlineStr">
        <is>
          <t>Description</t>
        </is>
      </c>
      <c r="F1" s="11" t="inlineStr">
        <is>
          <t>Quantity</t>
        </is>
      </c>
      <c r="G1" s="11" t="inlineStr">
        <is>
          <t>Dimensions</t>
        </is>
      </c>
      <c r="H1" s="11" t="inlineStr">
        <is>
          <t>Material</t>
        </is>
      </c>
      <c r="I1" s="11" t="inlineStr">
        <is>
          <t>Finish</t>
        </is>
      </c>
      <c r="J1" s="11" t="inlineStr">
        <is>
          <t>Color</t>
        </is>
      </c>
      <c r="K1" s="11" t="inlineStr">
        <is>
          <t>Vendor</t>
        </is>
      </c>
      <c r="L1" s="11" t="inlineStr">
        <is>
          <t>Brand</t>
        </is>
      </c>
      <c r="M1" s="11" t="inlineStr">
        <is>
          <t>Product link</t>
        </is>
      </c>
      <c r="N1" s="11" t="inlineStr">
        <is>
          <t>SKU/model number</t>
        </is>
      </c>
      <c r="O1" s="11" t="inlineStr">
        <is>
          <t>Unit cost</t>
        </is>
      </c>
      <c r="P1" s="11" t="inlineStr">
        <is>
          <t>Total cost</t>
        </is>
      </c>
      <c r="Q1" s="11" t="inlineStr">
        <is>
          <t>Tax</t>
        </is>
      </c>
      <c r="R1" s="11" t="inlineStr">
        <is>
          <t>Shipping</t>
        </is>
      </c>
      <c r="S1" s="11" t="inlineStr">
        <is>
          <t>Discount</t>
        </is>
      </c>
      <c r="T1" s="11" t="inlineStr">
        <is>
          <t>Final cost</t>
        </is>
      </c>
      <c r="U1" s="11" t="inlineStr">
        <is>
          <t>Lead time</t>
        </is>
      </c>
      <c r="V1" s="11" t="inlineStr">
        <is>
          <t>Order status</t>
        </is>
      </c>
      <c r="W1" s="11" t="inlineStr">
        <is>
          <t>Approval status</t>
        </is>
      </c>
      <c r="X1" s="11" t="inlineStr">
        <is>
          <t>Delivery status</t>
        </is>
      </c>
      <c r="Y1" s="11" t="inlineStr">
        <is>
          <t>Install status</t>
        </is>
      </c>
      <c r="Z1" s="11" t="inlineStr">
        <is>
          <t>Notes</t>
        </is>
      </c>
      <c r="AA1" s="11" t="inlineStr">
        <is>
          <t>Image link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3" t="n"/>
      <c r="P2" s="13">
        <f>IF($F2="","",$F2*$O2)</f>
        <v/>
      </c>
      <c r="Q2" s="13" t="n"/>
      <c r="R2" s="13" t="n"/>
      <c r="S2" s="13" t="n"/>
      <c r="T2" s="13">
        <f>IF($P2="","",$P2+$Q2+$R2-$S2)</f>
        <v/>
      </c>
      <c r="U2" s="12" t="n"/>
      <c r="V2" s="12" t="n"/>
      <c r="W2" s="12" t="n"/>
      <c r="X2" s="12" t="n"/>
      <c r="Y2" s="12" t="n"/>
      <c r="Z2" s="12" t="n"/>
      <c r="AA2" s="12" t="n"/>
    </row>
    <row r="3">
      <c r="O3" s="10" t="n"/>
      <c r="P3" s="10">
        <f>IF($F3="","",$F3*$O3)</f>
        <v/>
      </c>
      <c r="Q3" s="10" t="n"/>
      <c r="R3" s="10" t="n"/>
      <c r="S3" s="10" t="n"/>
      <c r="T3" s="10">
        <f>IF($P3="","",$P3+$Q3+$R3-$S3)</f>
        <v/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3" t="n"/>
      <c r="P4" s="13">
        <f>IF($F4="","",$F4*$O4)</f>
        <v/>
      </c>
      <c r="Q4" s="13" t="n"/>
      <c r="R4" s="13" t="n"/>
      <c r="S4" s="13" t="n"/>
      <c r="T4" s="13">
        <f>IF($P4="","",$P4+$Q4+$R4-$S4)</f>
        <v/>
      </c>
      <c r="U4" s="12" t="n"/>
      <c r="V4" s="12" t="n"/>
      <c r="W4" s="12" t="n"/>
      <c r="X4" s="12" t="n"/>
      <c r="Y4" s="12" t="n"/>
      <c r="Z4" s="12" t="n"/>
      <c r="AA4" s="12" t="n"/>
    </row>
    <row r="5">
      <c r="O5" s="10" t="n"/>
      <c r="P5" s="10">
        <f>IF($F5="","",$F5*$O5)</f>
        <v/>
      </c>
      <c r="Q5" s="10" t="n"/>
      <c r="R5" s="10" t="n"/>
      <c r="S5" s="10" t="n"/>
      <c r="T5" s="10">
        <f>IF($P5="","",$P5+$Q5+$R5-$S5)</f>
        <v/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3" t="n"/>
      <c r="P6" s="13">
        <f>IF($F6="","",$F6*$O6)</f>
        <v/>
      </c>
      <c r="Q6" s="13" t="n"/>
      <c r="R6" s="13" t="n"/>
      <c r="S6" s="13" t="n"/>
      <c r="T6" s="13">
        <f>IF($P6="","",$P6+$Q6+$R6-$S6)</f>
        <v/>
      </c>
      <c r="U6" s="12" t="n"/>
      <c r="V6" s="12" t="n"/>
      <c r="W6" s="12" t="n"/>
      <c r="X6" s="12" t="n"/>
      <c r="Y6" s="12" t="n"/>
      <c r="Z6" s="12" t="n"/>
      <c r="AA6" s="12" t="n"/>
    </row>
    <row r="7">
      <c r="O7" s="10" t="n"/>
      <c r="P7" s="10">
        <f>IF($F7="","",$F7*$O7)</f>
        <v/>
      </c>
      <c r="Q7" s="10" t="n"/>
      <c r="R7" s="10" t="n"/>
      <c r="S7" s="10" t="n"/>
      <c r="T7" s="10">
        <f>IF($P7="","",$P7+$Q7+$R7-$S7)</f>
        <v/>
      </c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3" t="n"/>
      <c r="P8" s="13">
        <f>IF($F8="","",$F8*$O8)</f>
        <v/>
      </c>
      <c r="Q8" s="13" t="n"/>
      <c r="R8" s="13" t="n"/>
      <c r="S8" s="13" t="n"/>
      <c r="T8" s="13">
        <f>IF($P8="","",$P8+$Q8+$R8-$S8)</f>
        <v/>
      </c>
      <c r="U8" s="12" t="n"/>
      <c r="V8" s="12" t="n"/>
      <c r="W8" s="12" t="n"/>
      <c r="X8" s="12" t="n"/>
      <c r="Y8" s="12" t="n"/>
      <c r="Z8" s="12" t="n"/>
      <c r="AA8" s="12" t="n"/>
    </row>
    <row r="9">
      <c r="O9" s="10" t="n"/>
      <c r="P9" s="10">
        <f>IF($F9="","",$F9*$O9)</f>
        <v/>
      </c>
      <c r="Q9" s="10" t="n"/>
      <c r="R9" s="10" t="n"/>
      <c r="S9" s="10" t="n"/>
      <c r="T9" s="10">
        <f>IF($P9="","",$P9+$Q9+$R9-$S9)</f>
        <v/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3" t="n"/>
      <c r="P10" s="13">
        <f>IF($F10="","",$F10*$O10)</f>
        <v/>
      </c>
      <c r="Q10" s="13" t="n"/>
      <c r="R10" s="13" t="n"/>
      <c r="S10" s="13" t="n"/>
      <c r="T10" s="13">
        <f>IF($P10="","",$P10+$Q10+$R10-$S10)</f>
        <v/>
      </c>
      <c r="U10" s="12" t="n"/>
      <c r="V10" s="12" t="n"/>
      <c r="W10" s="12" t="n"/>
      <c r="X10" s="12" t="n"/>
      <c r="Y10" s="12" t="n"/>
      <c r="Z10" s="12" t="n"/>
      <c r="AA10" s="12" t="n"/>
    </row>
    <row r="11">
      <c r="O11" s="10" t="n"/>
      <c r="P11" s="10">
        <f>IF($F11="","",$F11*$O11)</f>
        <v/>
      </c>
      <c r="Q11" s="10" t="n"/>
      <c r="R11" s="10" t="n"/>
      <c r="S11" s="10" t="n"/>
      <c r="T11" s="10">
        <f>IF($P11="","",$P11+$Q11+$R11-$S11)</f>
        <v/>
      </c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3" t="n"/>
      <c r="P12" s="13">
        <f>IF($F12="","",$F12*$O12)</f>
        <v/>
      </c>
      <c r="Q12" s="13" t="n"/>
      <c r="R12" s="13" t="n"/>
      <c r="S12" s="13" t="n"/>
      <c r="T12" s="13">
        <f>IF($P12="","",$P12+$Q12+$R12-$S12)</f>
        <v/>
      </c>
      <c r="U12" s="12" t="n"/>
      <c r="V12" s="12" t="n"/>
      <c r="W12" s="12" t="n"/>
      <c r="X12" s="12" t="n"/>
      <c r="Y12" s="12" t="n"/>
      <c r="Z12" s="12" t="n"/>
      <c r="AA12" s="12" t="n"/>
    </row>
    <row r="13">
      <c r="O13" s="10" t="n"/>
      <c r="P13" s="10">
        <f>IF($F13="","",$F13*$O13)</f>
        <v/>
      </c>
      <c r="Q13" s="10" t="n"/>
      <c r="R13" s="10" t="n"/>
      <c r="S13" s="10" t="n"/>
      <c r="T13" s="10">
        <f>IF($P13="","",$P13+$Q13+$R13-$S13)</f>
        <v/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3" t="n"/>
      <c r="P14" s="13">
        <f>IF($F14="","",$F14*$O14)</f>
        <v/>
      </c>
      <c r="Q14" s="13" t="n"/>
      <c r="R14" s="13" t="n"/>
      <c r="S14" s="13" t="n"/>
      <c r="T14" s="13">
        <f>IF($P14="","",$P14+$Q14+$R14-$S14)</f>
        <v/>
      </c>
      <c r="U14" s="12" t="n"/>
      <c r="V14" s="12" t="n"/>
      <c r="W14" s="12" t="n"/>
      <c r="X14" s="12" t="n"/>
      <c r="Y14" s="12" t="n"/>
      <c r="Z14" s="12" t="n"/>
      <c r="AA14" s="12" t="n"/>
    </row>
    <row r="15">
      <c r="O15" s="10" t="n"/>
      <c r="P15" s="10">
        <f>IF($F15="","",$F15*$O15)</f>
        <v/>
      </c>
      <c r="Q15" s="10" t="n"/>
      <c r="R15" s="10" t="n"/>
      <c r="S15" s="10" t="n"/>
      <c r="T15" s="10">
        <f>IF($P15="","",$P15+$Q15+$R15-$S15)</f>
        <v/>
      </c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3" t="n"/>
      <c r="P16" s="13">
        <f>IF($F16="","",$F16*$O16)</f>
        <v/>
      </c>
      <c r="Q16" s="13" t="n"/>
      <c r="R16" s="13" t="n"/>
      <c r="S16" s="13" t="n"/>
      <c r="T16" s="13">
        <f>IF($P16="","",$P16+$Q16+$R16-$S16)</f>
        <v/>
      </c>
      <c r="U16" s="12" t="n"/>
      <c r="V16" s="12" t="n"/>
      <c r="W16" s="12" t="n"/>
      <c r="X16" s="12" t="n"/>
      <c r="Y16" s="12" t="n"/>
      <c r="Z16" s="12" t="n"/>
      <c r="AA16" s="12" t="n"/>
    </row>
    <row r="17">
      <c r="O17" s="10" t="n"/>
      <c r="P17" s="10">
        <f>IF($F17="","",$F17*$O17)</f>
        <v/>
      </c>
      <c r="Q17" s="10" t="n"/>
      <c r="R17" s="10" t="n"/>
      <c r="S17" s="10" t="n"/>
      <c r="T17" s="10">
        <f>IF($P17="","",$P17+$Q17+$R17-$S17)</f>
        <v/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3" t="n"/>
      <c r="P18" s="13">
        <f>IF($F18="","",$F18*$O18)</f>
        <v/>
      </c>
      <c r="Q18" s="13" t="n"/>
      <c r="R18" s="13" t="n"/>
      <c r="S18" s="13" t="n"/>
      <c r="T18" s="13">
        <f>IF($P18="","",$P18+$Q18+$R18-$S18)</f>
        <v/>
      </c>
      <c r="U18" s="12" t="n"/>
      <c r="V18" s="12" t="n"/>
      <c r="W18" s="12" t="n"/>
      <c r="X18" s="12" t="n"/>
      <c r="Y18" s="12" t="n"/>
      <c r="Z18" s="12" t="n"/>
      <c r="AA18" s="12" t="n"/>
    </row>
    <row r="19">
      <c r="O19" s="10" t="n"/>
      <c r="P19" s="10">
        <f>IF($F19="","",$F19*$O19)</f>
        <v/>
      </c>
      <c r="Q19" s="10" t="n"/>
      <c r="R19" s="10" t="n"/>
      <c r="S19" s="10" t="n"/>
      <c r="T19" s="10">
        <f>IF($P19="","",$P19+$Q19+$R19-$S19)</f>
        <v/>
      </c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3" t="n"/>
      <c r="P20" s="13">
        <f>IF($F20="","",$F20*$O20)</f>
        <v/>
      </c>
      <c r="Q20" s="13" t="n"/>
      <c r="R20" s="13" t="n"/>
      <c r="S20" s="13" t="n"/>
      <c r="T20" s="13">
        <f>IF($P20="","",$P20+$Q20+$R20-$S20)</f>
        <v/>
      </c>
      <c r="U20" s="12" t="n"/>
      <c r="V20" s="12" t="n"/>
      <c r="W20" s="12" t="n"/>
      <c r="X20" s="12" t="n"/>
      <c r="Y20" s="12" t="n"/>
      <c r="Z20" s="12" t="n"/>
      <c r="AA20" s="12" t="n"/>
    </row>
    <row r="21">
      <c r="O21" s="10" t="n"/>
      <c r="P21" s="10">
        <f>IF($F21="","",$F21*$O21)</f>
        <v/>
      </c>
      <c r="Q21" s="10" t="n"/>
      <c r="R21" s="10" t="n"/>
      <c r="S21" s="10" t="n"/>
      <c r="T21" s="10">
        <f>IF($P21="","",$P21+$Q21+$R21-$S21)</f>
        <v/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3" t="n"/>
      <c r="P22" s="13">
        <f>IF($F22="","",$F22*$O22)</f>
        <v/>
      </c>
      <c r="Q22" s="13" t="n"/>
      <c r="R22" s="13" t="n"/>
      <c r="S22" s="13" t="n"/>
      <c r="T22" s="13">
        <f>IF($P22="","",$P22+$Q22+$R22-$S22)</f>
        <v/>
      </c>
      <c r="U22" s="12" t="n"/>
      <c r="V22" s="12" t="n"/>
      <c r="W22" s="12" t="n"/>
      <c r="X22" s="12" t="n"/>
      <c r="Y22" s="12" t="n"/>
      <c r="Z22" s="12" t="n"/>
      <c r="AA22" s="12" t="n"/>
    </row>
    <row r="23">
      <c r="O23" s="10" t="n"/>
      <c r="P23" s="10">
        <f>IF($F23="","",$F23*$O23)</f>
        <v/>
      </c>
      <c r="Q23" s="10" t="n"/>
      <c r="R23" s="10" t="n"/>
      <c r="S23" s="10" t="n"/>
      <c r="T23" s="10">
        <f>IF($P23="","",$P23+$Q23+$R23-$S23)</f>
        <v/>
      </c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3" t="n"/>
      <c r="P24" s="13">
        <f>IF($F24="","",$F24*$O24)</f>
        <v/>
      </c>
      <c r="Q24" s="13" t="n"/>
      <c r="R24" s="13" t="n"/>
      <c r="S24" s="13" t="n"/>
      <c r="T24" s="13">
        <f>IF($P24="","",$P24+$Q24+$R24-$S24)</f>
        <v/>
      </c>
      <c r="U24" s="12" t="n"/>
      <c r="V24" s="12" t="n"/>
      <c r="W24" s="12" t="n"/>
      <c r="X24" s="12" t="n"/>
      <c r="Y24" s="12" t="n"/>
      <c r="Z24" s="12" t="n"/>
      <c r="AA24" s="12" t="n"/>
    </row>
    <row r="25">
      <c r="O25" s="10" t="n"/>
      <c r="P25" s="10">
        <f>IF($F25="","",$F25*$O25)</f>
        <v/>
      </c>
      <c r="Q25" s="10" t="n"/>
      <c r="R25" s="10" t="n"/>
      <c r="S25" s="10" t="n"/>
      <c r="T25" s="10">
        <f>IF($P25="","",$P25+$Q25+$R25-$S25)</f>
        <v/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3" t="n"/>
      <c r="P26" s="13">
        <f>IF($F26="","",$F26*$O26)</f>
        <v/>
      </c>
      <c r="Q26" s="13" t="n"/>
      <c r="R26" s="13" t="n"/>
      <c r="S26" s="13" t="n"/>
      <c r="T26" s="13">
        <f>IF($P26="","",$P26+$Q26+$R26-$S26)</f>
        <v/>
      </c>
      <c r="U26" s="12" t="n"/>
      <c r="V26" s="12" t="n"/>
      <c r="W26" s="12" t="n"/>
      <c r="X26" s="12" t="n"/>
      <c r="Y26" s="12" t="n"/>
      <c r="Z26" s="12" t="n"/>
      <c r="AA26" s="12" t="n"/>
    </row>
    <row r="27">
      <c r="O27" s="10" t="n"/>
      <c r="P27" s="10">
        <f>IF($F27="","",$F27*$O27)</f>
        <v/>
      </c>
      <c r="Q27" s="10" t="n"/>
      <c r="R27" s="10" t="n"/>
      <c r="S27" s="10" t="n"/>
      <c r="T27" s="10">
        <f>IF($P27="","",$P27+$Q27+$R27-$S27)</f>
        <v/>
      </c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3" t="n"/>
      <c r="P28" s="13">
        <f>IF($F28="","",$F28*$O28)</f>
        <v/>
      </c>
      <c r="Q28" s="13" t="n"/>
      <c r="R28" s="13" t="n"/>
      <c r="S28" s="13" t="n"/>
      <c r="T28" s="13">
        <f>IF($P28="","",$P28+$Q28+$R28-$S28)</f>
        <v/>
      </c>
      <c r="U28" s="12" t="n"/>
      <c r="V28" s="12" t="n"/>
      <c r="W28" s="12" t="n"/>
      <c r="X28" s="12" t="n"/>
      <c r="Y28" s="12" t="n"/>
      <c r="Z28" s="12" t="n"/>
      <c r="AA28" s="12" t="n"/>
    </row>
    <row r="29">
      <c r="O29" s="10" t="n"/>
      <c r="P29" s="10">
        <f>IF($F29="","",$F29*$O29)</f>
        <v/>
      </c>
      <c r="Q29" s="10" t="n"/>
      <c r="R29" s="10" t="n"/>
      <c r="S29" s="10" t="n"/>
      <c r="T29" s="10">
        <f>IF($P29="","",$P29+$Q29+$R29-$S29)</f>
        <v/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3" t="n"/>
      <c r="P30" s="13">
        <f>IF($F30="","",$F30*$O30)</f>
        <v/>
      </c>
      <c r="Q30" s="13" t="n"/>
      <c r="R30" s="13" t="n"/>
      <c r="S30" s="13" t="n"/>
      <c r="T30" s="13">
        <f>IF($P30="","",$P30+$Q30+$R30-$S30)</f>
        <v/>
      </c>
      <c r="U30" s="12" t="n"/>
      <c r="V30" s="12" t="n"/>
      <c r="W30" s="12" t="n"/>
      <c r="X30" s="12" t="n"/>
      <c r="Y30" s="12" t="n"/>
      <c r="Z30" s="12" t="n"/>
      <c r="AA30" s="12" t="n"/>
    </row>
    <row r="31">
      <c r="O31" s="10" t="n"/>
      <c r="P31" s="10">
        <f>IF($F31="","",$F31*$O31)</f>
        <v/>
      </c>
      <c r="Q31" s="10" t="n"/>
      <c r="R31" s="10" t="n"/>
      <c r="S31" s="10" t="n"/>
      <c r="T31" s="10">
        <f>IF($P31="","",$P31+$Q31+$R31-$S31)</f>
        <v/>
      </c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3" t="n"/>
      <c r="P32" s="13">
        <f>IF($F32="","",$F32*$O32)</f>
        <v/>
      </c>
      <c r="Q32" s="13" t="n"/>
      <c r="R32" s="13" t="n"/>
      <c r="S32" s="13" t="n"/>
      <c r="T32" s="13">
        <f>IF($P32="","",$P32+$Q32+$R32-$S32)</f>
        <v/>
      </c>
      <c r="U32" s="12" t="n"/>
      <c r="V32" s="12" t="n"/>
      <c r="W32" s="12" t="n"/>
      <c r="X32" s="12" t="n"/>
      <c r="Y32" s="12" t="n"/>
      <c r="Z32" s="12" t="n"/>
      <c r="AA32" s="12" t="n"/>
    </row>
    <row r="33">
      <c r="O33" s="10" t="n"/>
      <c r="P33" s="10">
        <f>IF($F33="","",$F33*$O33)</f>
        <v/>
      </c>
      <c r="Q33" s="10" t="n"/>
      <c r="R33" s="10" t="n"/>
      <c r="S33" s="10" t="n"/>
      <c r="T33" s="10">
        <f>IF($P33="","",$P33+$Q33+$R33-$S33)</f>
        <v/>
      </c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3" t="n"/>
      <c r="P34" s="13">
        <f>IF($F34="","",$F34*$O34)</f>
        <v/>
      </c>
      <c r="Q34" s="13" t="n"/>
      <c r="R34" s="13" t="n"/>
      <c r="S34" s="13" t="n"/>
      <c r="T34" s="13">
        <f>IF($P34="","",$P34+$Q34+$R34-$S34)</f>
        <v/>
      </c>
      <c r="U34" s="12" t="n"/>
      <c r="V34" s="12" t="n"/>
      <c r="W34" s="12" t="n"/>
      <c r="X34" s="12" t="n"/>
      <c r="Y34" s="12" t="n"/>
      <c r="Z34" s="12" t="n"/>
      <c r="AA34" s="12" t="n"/>
    </row>
    <row r="35">
      <c r="O35" s="10" t="n"/>
      <c r="P35" s="10">
        <f>IF($F35="","",$F35*$O35)</f>
        <v/>
      </c>
      <c r="Q35" s="10" t="n"/>
      <c r="R35" s="10" t="n"/>
      <c r="S35" s="10" t="n"/>
      <c r="T35" s="10">
        <f>IF($P35="","",$P35+$Q35+$R35-$S35)</f>
        <v/>
      </c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3" t="n"/>
      <c r="P36" s="13">
        <f>IF($F36="","",$F36*$O36)</f>
        <v/>
      </c>
      <c r="Q36" s="13" t="n"/>
      <c r="R36" s="13" t="n"/>
      <c r="S36" s="13" t="n"/>
      <c r="T36" s="13">
        <f>IF($P36="","",$P36+$Q36+$R36-$S36)</f>
        <v/>
      </c>
      <c r="U36" s="12" t="n"/>
      <c r="V36" s="12" t="n"/>
      <c r="W36" s="12" t="n"/>
      <c r="X36" s="12" t="n"/>
      <c r="Y36" s="12" t="n"/>
      <c r="Z36" s="12" t="n"/>
      <c r="AA36" s="12" t="n"/>
    </row>
    <row r="37">
      <c r="O37" s="10" t="n"/>
      <c r="P37" s="10">
        <f>IF($F37="","",$F37*$O37)</f>
        <v/>
      </c>
      <c r="Q37" s="10" t="n"/>
      <c r="R37" s="10" t="n"/>
      <c r="S37" s="10" t="n"/>
      <c r="T37" s="10">
        <f>IF($P37="","",$P37+$Q37+$R37-$S37)</f>
        <v/>
      </c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3" t="n"/>
      <c r="P38" s="13">
        <f>IF($F38="","",$F38*$O38)</f>
        <v/>
      </c>
      <c r="Q38" s="13" t="n"/>
      <c r="R38" s="13" t="n"/>
      <c r="S38" s="13" t="n"/>
      <c r="T38" s="13">
        <f>IF($P38="","",$P38+$Q38+$R38-$S38)</f>
        <v/>
      </c>
      <c r="U38" s="12" t="n"/>
      <c r="V38" s="12" t="n"/>
      <c r="W38" s="12" t="n"/>
      <c r="X38" s="12" t="n"/>
      <c r="Y38" s="12" t="n"/>
      <c r="Z38" s="12" t="n"/>
      <c r="AA38" s="12" t="n"/>
    </row>
    <row r="39">
      <c r="O39" s="10" t="n"/>
      <c r="P39" s="10">
        <f>IF($F39="","",$F39*$O39)</f>
        <v/>
      </c>
      <c r="Q39" s="10" t="n"/>
      <c r="R39" s="10" t="n"/>
      <c r="S39" s="10" t="n"/>
      <c r="T39" s="10">
        <f>IF($P39="","",$P39+$Q39+$R39-$S39)</f>
        <v/>
      </c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3" t="n"/>
      <c r="P40" s="13">
        <f>IF($F40="","",$F40*$O40)</f>
        <v/>
      </c>
      <c r="Q40" s="13" t="n"/>
      <c r="R40" s="13" t="n"/>
      <c r="S40" s="13" t="n"/>
      <c r="T40" s="13">
        <f>IF($P40="","",$P40+$Q40+$R40-$S40)</f>
        <v/>
      </c>
      <c r="U40" s="12" t="n"/>
      <c r="V40" s="12" t="n"/>
      <c r="W40" s="12" t="n"/>
      <c r="X40" s="12" t="n"/>
      <c r="Y40" s="12" t="n"/>
      <c r="Z40" s="12" t="n"/>
      <c r="AA40" s="12" t="n"/>
    </row>
    <row r="41">
      <c r="O41" s="10" t="n"/>
      <c r="P41" s="10">
        <f>IF($F41="","",$F41*$O41)</f>
        <v/>
      </c>
      <c r="Q41" s="10" t="n"/>
      <c r="R41" s="10" t="n"/>
      <c r="S41" s="10" t="n"/>
      <c r="T41" s="10">
        <f>IF($P41="","",$P41+$Q41+$R41-$S41)</f>
        <v/>
      </c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3" t="n"/>
      <c r="P42" s="13">
        <f>IF($F42="","",$F42*$O42)</f>
        <v/>
      </c>
      <c r="Q42" s="13" t="n"/>
      <c r="R42" s="13" t="n"/>
      <c r="S42" s="13" t="n"/>
      <c r="T42" s="13">
        <f>IF($P42="","",$P42+$Q42+$R42-$S42)</f>
        <v/>
      </c>
      <c r="U42" s="12" t="n"/>
      <c r="V42" s="12" t="n"/>
      <c r="W42" s="12" t="n"/>
      <c r="X42" s="12" t="n"/>
      <c r="Y42" s="12" t="n"/>
      <c r="Z42" s="12" t="n"/>
      <c r="AA42" s="12" t="n"/>
    </row>
    <row r="43">
      <c r="O43" s="10" t="n"/>
      <c r="P43" s="10">
        <f>IF($F43="","",$F43*$O43)</f>
        <v/>
      </c>
      <c r="Q43" s="10" t="n"/>
      <c r="R43" s="10" t="n"/>
      <c r="S43" s="10" t="n"/>
      <c r="T43" s="10">
        <f>IF($P43="","",$P43+$Q43+$R43-$S43)</f>
        <v/>
      </c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3" t="n"/>
      <c r="P44" s="13">
        <f>IF($F44="","",$F44*$O44)</f>
        <v/>
      </c>
      <c r="Q44" s="13" t="n"/>
      <c r="R44" s="13" t="n"/>
      <c r="S44" s="13" t="n"/>
      <c r="T44" s="13">
        <f>IF($P44="","",$P44+$Q44+$R44-$S44)</f>
        <v/>
      </c>
      <c r="U44" s="12" t="n"/>
      <c r="V44" s="12" t="n"/>
      <c r="W44" s="12" t="n"/>
      <c r="X44" s="12" t="n"/>
      <c r="Y44" s="12" t="n"/>
      <c r="Z44" s="12" t="n"/>
      <c r="AA44" s="12" t="n"/>
    </row>
    <row r="45">
      <c r="O45" s="10" t="n"/>
      <c r="P45" s="10">
        <f>IF($F45="","",$F45*$O45)</f>
        <v/>
      </c>
      <c r="Q45" s="10" t="n"/>
      <c r="R45" s="10" t="n"/>
      <c r="S45" s="10" t="n"/>
      <c r="T45" s="10">
        <f>IF($P45="","",$P45+$Q45+$R45-$S45)</f>
        <v/>
      </c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3" t="n"/>
      <c r="P46" s="13">
        <f>IF($F46="","",$F46*$O46)</f>
        <v/>
      </c>
      <c r="Q46" s="13" t="n"/>
      <c r="R46" s="13" t="n"/>
      <c r="S46" s="13" t="n"/>
      <c r="T46" s="13">
        <f>IF($P46="","",$P46+$Q46+$R46-$S46)</f>
        <v/>
      </c>
      <c r="U46" s="12" t="n"/>
      <c r="V46" s="12" t="n"/>
      <c r="W46" s="12" t="n"/>
      <c r="X46" s="12" t="n"/>
      <c r="Y46" s="12" t="n"/>
      <c r="Z46" s="12" t="n"/>
      <c r="AA46" s="12" t="n"/>
    </row>
    <row r="47">
      <c r="O47" s="10" t="n"/>
      <c r="P47" s="10">
        <f>IF($F47="","",$F47*$O47)</f>
        <v/>
      </c>
      <c r="Q47" s="10" t="n"/>
      <c r="R47" s="10" t="n"/>
      <c r="S47" s="10" t="n"/>
      <c r="T47" s="10">
        <f>IF($P47="","",$P47+$Q47+$R47-$S47)</f>
        <v/>
      </c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3" t="n"/>
      <c r="P48" s="13">
        <f>IF($F48="","",$F48*$O48)</f>
        <v/>
      </c>
      <c r="Q48" s="13" t="n"/>
      <c r="R48" s="13" t="n"/>
      <c r="S48" s="13" t="n"/>
      <c r="T48" s="13">
        <f>IF($P48="","",$P48+$Q48+$R48-$S48)</f>
        <v/>
      </c>
      <c r="U48" s="12" t="n"/>
      <c r="V48" s="12" t="n"/>
      <c r="W48" s="12" t="n"/>
      <c r="X48" s="12" t="n"/>
      <c r="Y48" s="12" t="n"/>
      <c r="Z48" s="12" t="n"/>
      <c r="AA48" s="12" t="n"/>
    </row>
    <row r="49">
      <c r="O49" s="10" t="n"/>
      <c r="P49" s="10">
        <f>IF($F49="","",$F49*$O49)</f>
        <v/>
      </c>
      <c r="Q49" s="10" t="n"/>
      <c r="R49" s="10" t="n"/>
      <c r="S49" s="10" t="n"/>
      <c r="T49" s="10">
        <f>IF($P49="","",$P49+$Q49+$R49-$S49)</f>
        <v/>
      </c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3" t="n"/>
      <c r="P50" s="13">
        <f>IF($F50="","",$F50*$O50)</f>
        <v/>
      </c>
      <c r="Q50" s="13" t="n"/>
      <c r="R50" s="13" t="n"/>
      <c r="S50" s="13" t="n"/>
      <c r="T50" s="13">
        <f>IF($P50="","",$P50+$Q50+$R50-$S50)</f>
        <v/>
      </c>
      <c r="U50" s="12" t="n"/>
      <c r="V50" s="12" t="n"/>
      <c r="W50" s="12" t="n"/>
      <c r="X50" s="12" t="n"/>
      <c r="Y50" s="12" t="n"/>
      <c r="Z50" s="12" t="n"/>
      <c r="AA50" s="12" t="n"/>
    </row>
    <row r="51">
      <c r="O51" s="10" t="n"/>
      <c r="P51" s="10">
        <f>IF($F51="","",$F51*$O51)</f>
        <v/>
      </c>
      <c r="Q51" s="10" t="n"/>
      <c r="R51" s="10" t="n"/>
      <c r="S51" s="10" t="n"/>
      <c r="T51" s="10">
        <f>IF($P51="","",$P51+$Q51+$R51-$S51)</f>
        <v/>
      </c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3" t="n"/>
      <c r="P52" s="13">
        <f>IF($F52="","",$F52*$O52)</f>
        <v/>
      </c>
      <c r="Q52" s="13" t="n"/>
      <c r="R52" s="13" t="n"/>
      <c r="S52" s="13" t="n"/>
      <c r="T52" s="13">
        <f>IF($P52="","",$P52+$Q52+$R52-$S52)</f>
        <v/>
      </c>
      <c r="U52" s="12" t="n"/>
      <c r="V52" s="12" t="n"/>
      <c r="W52" s="12" t="n"/>
      <c r="X52" s="12" t="n"/>
      <c r="Y52" s="12" t="n"/>
      <c r="Z52" s="12" t="n"/>
      <c r="AA52" s="12" t="n"/>
    </row>
    <row r="53">
      <c r="O53" s="10" t="n"/>
      <c r="P53" s="10">
        <f>IF($F53="","",$F53*$O53)</f>
        <v/>
      </c>
      <c r="Q53" s="10" t="n"/>
      <c r="R53" s="10" t="n"/>
      <c r="S53" s="10" t="n"/>
      <c r="T53" s="10">
        <f>IF($P53="","",$P53+$Q53+$R53-$S53)</f>
        <v/>
      </c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3" t="n"/>
      <c r="P54" s="13">
        <f>IF($F54="","",$F54*$O54)</f>
        <v/>
      </c>
      <c r="Q54" s="13" t="n"/>
      <c r="R54" s="13" t="n"/>
      <c r="S54" s="13" t="n"/>
      <c r="T54" s="13">
        <f>IF($P54="","",$P54+$Q54+$R54-$S54)</f>
        <v/>
      </c>
      <c r="U54" s="12" t="n"/>
      <c r="V54" s="12" t="n"/>
      <c r="W54" s="12" t="n"/>
      <c r="X54" s="12" t="n"/>
      <c r="Y54" s="12" t="n"/>
      <c r="Z54" s="12" t="n"/>
      <c r="AA54" s="12" t="n"/>
    </row>
    <row r="55">
      <c r="O55" s="10" t="n"/>
      <c r="P55" s="10">
        <f>IF($F55="","",$F55*$O55)</f>
        <v/>
      </c>
      <c r="Q55" s="10" t="n"/>
      <c r="R55" s="10" t="n"/>
      <c r="S55" s="10" t="n"/>
      <c r="T55" s="10">
        <f>IF($P55="","",$P55+$Q55+$R55-$S55)</f>
        <v/>
      </c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3" t="n"/>
      <c r="P56" s="13">
        <f>IF($F56="","",$F56*$O56)</f>
        <v/>
      </c>
      <c r="Q56" s="13" t="n"/>
      <c r="R56" s="13" t="n"/>
      <c r="S56" s="13" t="n"/>
      <c r="T56" s="13">
        <f>IF($P56="","",$P56+$Q56+$R56-$S56)</f>
        <v/>
      </c>
      <c r="U56" s="12" t="n"/>
      <c r="V56" s="12" t="n"/>
      <c r="W56" s="12" t="n"/>
      <c r="X56" s="12" t="n"/>
      <c r="Y56" s="12" t="n"/>
      <c r="Z56" s="12" t="n"/>
      <c r="AA56" s="12" t="n"/>
    </row>
    <row r="57">
      <c r="O57" s="10" t="n"/>
      <c r="P57" s="10">
        <f>IF($F57="","",$F57*$O57)</f>
        <v/>
      </c>
      <c r="Q57" s="10" t="n"/>
      <c r="R57" s="10" t="n"/>
      <c r="S57" s="10" t="n"/>
      <c r="T57" s="10">
        <f>IF($P57="","",$P57+$Q57+$R57-$S57)</f>
        <v/>
      </c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3" t="n"/>
      <c r="P58" s="13">
        <f>IF($F58="","",$F58*$O58)</f>
        <v/>
      </c>
      <c r="Q58" s="13" t="n"/>
      <c r="R58" s="13" t="n"/>
      <c r="S58" s="13" t="n"/>
      <c r="T58" s="13">
        <f>IF($P58="","",$P58+$Q58+$R58-$S58)</f>
        <v/>
      </c>
      <c r="U58" s="12" t="n"/>
      <c r="V58" s="12" t="n"/>
      <c r="W58" s="12" t="n"/>
      <c r="X58" s="12" t="n"/>
      <c r="Y58" s="12" t="n"/>
      <c r="Z58" s="12" t="n"/>
      <c r="AA58" s="12" t="n"/>
    </row>
    <row r="59">
      <c r="O59" s="10" t="n"/>
      <c r="P59" s="10">
        <f>IF($F59="","",$F59*$O59)</f>
        <v/>
      </c>
      <c r="Q59" s="10" t="n"/>
      <c r="R59" s="10" t="n"/>
      <c r="S59" s="10" t="n"/>
      <c r="T59" s="10">
        <f>IF($P59="","",$P59+$Q59+$R59-$S59)</f>
        <v/>
      </c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3" t="n"/>
      <c r="P60" s="13">
        <f>IF($F60="","",$F60*$O60)</f>
        <v/>
      </c>
      <c r="Q60" s="13" t="n"/>
      <c r="R60" s="13" t="n"/>
      <c r="S60" s="13" t="n"/>
      <c r="T60" s="13">
        <f>IF($P60="","",$P60+$Q60+$R60-$S60)</f>
        <v/>
      </c>
      <c r="U60" s="12" t="n"/>
      <c r="V60" s="12" t="n"/>
      <c r="W60" s="12" t="n"/>
      <c r="X60" s="12" t="n"/>
      <c r="Y60" s="12" t="n"/>
      <c r="Z60" s="12" t="n"/>
      <c r="AA60" s="12" t="n"/>
    </row>
    <row r="61">
      <c r="O61" s="10" t="n"/>
      <c r="P61" s="10">
        <f>IF($F61="","",$F61*$O61)</f>
        <v/>
      </c>
      <c r="Q61" s="10" t="n"/>
      <c r="R61" s="10" t="n"/>
      <c r="S61" s="10" t="n"/>
      <c r="T61" s="10">
        <f>IF($P61="","",$P61+$Q61+$R61-$S61)</f>
        <v/>
      </c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3" t="n"/>
      <c r="P62" s="13">
        <f>IF($F62="","",$F62*$O62)</f>
        <v/>
      </c>
      <c r="Q62" s="13" t="n"/>
      <c r="R62" s="13" t="n"/>
      <c r="S62" s="13" t="n"/>
      <c r="T62" s="13">
        <f>IF($P62="","",$P62+$Q62+$R62-$S62)</f>
        <v/>
      </c>
      <c r="U62" s="12" t="n"/>
      <c r="V62" s="12" t="n"/>
      <c r="W62" s="12" t="n"/>
      <c r="X62" s="12" t="n"/>
      <c r="Y62" s="12" t="n"/>
      <c r="Z62" s="12" t="n"/>
      <c r="AA62" s="12" t="n"/>
    </row>
    <row r="63">
      <c r="O63" s="10" t="n"/>
      <c r="P63" s="10">
        <f>IF($F63="","",$F63*$O63)</f>
        <v/>
      </c>
      <c r="Q63" s="10" t="n"/>
      <c r="R63" s="10" t="n"/>
      <c r="S63" s="10" t="n"/>
      <c r="T63" s="10">
        <f>IF($P63="","",$P63+$Q63+$R63-$S63)</f>
        <v/>
      </c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3" t="n"/>
      <c r="P64" s="13">
        <f>IF($F64="","",$F64*$O64)</f>
        <v/>
      </c>
      <c r="Q64" s="13" t="n"/>
      <c r="R64" s="13" t="n"/>
      <c r="S64" s="13" t="n"/>
      <c r="T64" s="13">
        <f>IF($P64="","",$P64+$Q64+$R64-$S64)</f>
        <v/>
      </c>
      <c r="U64" s="12" t="n"/>
      <c r="V64" s="12" t="n"/>
      <c r="W64" s="12" t="n"/>
      <c r="X64" s="12" t="n"/>
      <c r="Y64" s="12" t="n"/>
      <c r="Z64" s="12" t="n"/>
      <c r="AA64" s="12" t="n"/>
    </row>
    <row r="65">
      <c r="O65" s="10" t="n"/>
      <c r="P65" s="10">
        <f>IF($F65="","",$F65*$O65)</f>
        <v/>
      </c>
      <c r="Q65" s="10" t="n"/>
      <c r="R65" s="10" t="n"/>
      <c r="S65" s="10" t="n"/>
      <c r="T65" s="10">
        <f>IF($P65="","",$P65+$Q65+$R65-$S65)</f>
        <v/>
      </c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3" t="n"/>
      <c r="P66" s="13">
        <f>IF($F66="","",$F66*$O66)</f>
        <v/>
      </c>
      <c r="Q66" s="13" t="n"/>
      <c r="R66" s="13" t="n"/>
      <c r="S66" s="13" t="n"/>
      <c r="T66" s="13">
        <f>IF($P66="","",$P66+$Q66+$R66-$S66)</f>
        <v/>
      </c>
      <c r="U66" s="12" t="n"/>
      <c r="V66" s="12" t="n"/>
      <c r="W66" s="12" t="n"/>
      <c r="X66" s="12" t="n"/>
      <c r="Y66" s="12" t="n"/>
      <c r="Z66" s="12" t="n"/>
      <c r="AA66" s="12" t="n"/>
    </row>
    <row r="67">
      <c r="O67" s="10" t="n"/>
      <c r="P67" s="10">
        <f>IF($F67="","",$F67*$O67)</f>
        <v/>
      </c>
      <c r="Q67" s="10" t="n"/>
      <c r="R67" s="10" t="n"/>
      <c r="S67" s="10" t="n"/>
      <c r="T67" s="10">
        <f>IF($P67="","",$P67+$Q67+$R67-$S67)</f>
        <v/>
      </c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3" t="n"/>
      <c r="P68" s="13">
        <f>IF($F68="","",$F68*$O68)</f>
        <v/>
      </c>
      <c r="Q68" s="13" t="n"/>
      <c r="R68" s="13" t="n"/>
      <c r="S68" s="13" t="n"/>
      <c r="T68" s="13">
        <f>IF($P68="","",$P68+$Q68+$R68-$S68)</f>
        <v/>
      </c>
      <c r="U68" s="12" t="n"/>
      <c r="V68" s="12" t="n"/>
      <c r="W68" s="12" t="n"/>
      <c r="X68" s="12" t="n"/>
      <c r="Y68" s="12" t="n"/>
      <c r="Z68" s="12" t="n"/>
      <c r="AA68" s="12" t="n"/>
    </row>
    <row r="69">
      <c r="O69" s="10" t="n"/>
      <c r="P69" s="10">
        <f>IF($F69="","",$F69*$O69)</f>
        <v/>
      </c>
      <c r="Q69" s="10" t="n"/>
      <c r="R69" s="10" t="n"/>
      <c r="S69" s="10" t="n"/>
      <c r="T69" s="10">
        <f>IF($P69="","",$P69+$Q69+$R69-$S69)</f>
        <v/>
      </c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3" t="n"/>
      <c r="P70" s="13">
        <f>IF($F70="","",$F70*$O70)</f>
        <v/>
      </c>
      <c r="Q70" s="13" t="n"/>
      <c r="R70" s="13" t="n"/>
      <c r="S70" s="13" t="n"/>
      <c r="T70" s="13">
        <f>IF($P70="","",$P70+$Q70+$R70-$S70)</f>
        <v/>
      </c>
      <c r="U70" s="12" t="n"/>
      <c r="V70" s="12" t="n"/>
      <c r="W70" s="12" t="n"/>
      <c r="X70" s="12" t="n"/>
      <c r="Y70" s="12" t="n"/>
      <c r="Z70" s="12" t="n"/>
      <c r="AA70" s="12" t="n"/>
    </row>
    <row r="71">
      <c r="O71" s="10" t="n"/>
      <c r="P71" s="10">
        <f>IF($F71="","",$F71*$O71)</f>
        <v/>
      </c>
      <c r="Q71" s="10" t="n"/>
      <c r="R71" s="10" t="n"/>
      <c r="S71" s="10" t="n"/>
      <c r="T71" s="10">
        <f>IF($P71="","",$P71+$Q71+$R71-$S71)</f>
        <v/>
      </c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3" t="n"/>
      <c r="P72" s="13">
        <f>IF($F72="","",$F72*$O72)</f>
        <v/>
      </c>
      <c r="Q72" s="13" t="n"/>
      <c r="R72" s="13" t="n"/>
      <c r="S72" s="13" t="n"/>
      <c r="T72" s="13">
        <f>IF($P72="","",$P72+$Q72+$R72-$S72)</f>
        <v/>
      </c>
      <c r="U72" s="12" t="n"/>
      <c r="V72" s="12" t="n"/>
      <c r="W72" s="12" t="n"/>
      <c r="X72" s="12" t="n"/>
      <c r="Y72" s="12" t="n"/>
      <c r="Z72" s="12" t="n"/>
      <c r="AA72" s="12" t="n"/>
    </row>
    <row r="73">
      <c r="O73" s="10" t="n"/>
      <c r="P73" s="10">
        <f>IF($F73="","",$F73*$O73)</f>
        <v/>
      </c>
      <c r="Q73" s="10" t="n"/>
      <c r="R73" s="10" t="n"/>
      <c r="S73" s="10" t="n"/>
      <c r="T73" s="10">
        <f>IF($P73="","",$P73+$Q73+$R73-$S73)</f>
        <v/>
      </c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3" t="n"/>
      <c r="P74" s="13">
        <f>IF($F74="","",$F74*$O74)</f>
        <v/>
      </c>
      <c r="Q74" s="13" t="n"/>
      <c r="R74" s="13" t="n"/>
      <c r="S74" s="13" t="n"/>
      <c r="T74" s="13">
        <f>IF($P74="","",$P74+$Q74+$R74-$S74)</f>
        <v/>
      </c>
      <c r="U74" s="12" t="n"/>
      <c r="V74" s="12" t="n"/>
      <c r="W74" s="12" t="n"/>
      <c r="X74" s="12" t="n"/>
      <c r="Y74" s="12" t="n"/>
      <c r="Z74" s="12" t="n"/>
      <c r="AA74" s="12" t="n"/>
    </row>
    <row r="75">
      <c r="O75" s="10" t="n"/>
      <c r="P75" s="10">
        <f>IF($F75="","",$F75*$O75)</f>
        <v/>
      </c>
      <c r="Q75" s="10" t="n"/>
      <c r="R75" s="10" t="n"/>
      <c r="S75" s="10" t="n"/>
      <c r="T75" s="10">
        <f>IF($P75="","",$P75+$Q75+$R75-$S75)</f>
        <v/>
      </c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3" t="n"/>
      <c r="P76" s="13">
        <f>IF($F76="","",$F76*$O76)</f>
        <v/>
      </c>
      <c r="Q76" s="13" t="n"/>
      <c r="R76" s="13" t="n"/>
      <c r="S76" s="13" t="n"/>
      <c r="T76" s="13">
        <f>IF($P76="","",$P76+$Q76+$R76-$S76)</f>
        <v/>
      </c>
      <c r="U76" s="12" t="n"/>
      <c r="V76" s="12" t="n"/>
      <c r="W76" s="12" t="n"/>
      <c r="X76" s="12" t="n"/>
      <c r="Y76" s="12" t="n"/>
      <c r="Z76" s="12" t="n"/>
      <c r="AA76" s="12" t="n"/>
    </row>
    <row r="77">
      <c r="O77" s="10" t="n"/>
      <c r="P77" s="10">
        <f>IF($F77="","",$F77*$O77)</f>
        <v/>
      </c>
      <c r="Q77" s="10" t="n"/>
      <c r="R77" s="10" t="n"/>
      <c r="S77" s="10" t="n"/>
      <c r="T77" s="10">
        <f>IF($P77="","",$P77+$Q77+$R77-$S77)</f>
        <v/>
      </c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3" t="n"/>
      <c r="P78" s="13">
        <f>IF($F78="","",$F78*$O78)</f>
        <v/>
      </c>
      <c r="Q78" s="13" t="n"/>
      <c r="R78" s="13" t="n"/>
      <c r="S78" s="13" t="n"/>
      <c r="T78" s="13">
        <f>IF($P78="","",$P78+$Q78+$R78-$S78)</f>
        <v/>
      </c>
      <c r="U78" s="12" t="n"/>
      <c r="V78" s="12" t="n"/>
      <c r="W78" s="12" t="n"/>
      <c r="X78" s="12" t="n"/>
      <c r="Y78" s="12" t="n"/>
      <c r="Z78" s="12" t="n"/>
      <c r="AA78" s="12" t="n"/>
    </row>
    <row r="79">
      <c r="O79" s="10" t="n"/>
      <c r="P79" s="10">
        <f>IF($F79="","",$F79*$O79)</f>
        <v/>
      </c>
      <c r="Q79" s="10" t="n"/>
      <c r="R79" s="10" t="n"/>
      <c r="S79" s="10" t="n"/>
      <c r="T79" s="10">
        <f>IF($P79="","",$P79+$Q79+$R79-$S79)</f>
        <v/>
      </c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3" t="n"/>
      <c r="P80" s="13">
        <f>IF($F80="","",$F80*$O80)</f>
        <v/>
      </c>
      <c r="Q80" s="13" t="n"/>
      <c r="R80" s="13" t="n"/>
      <c r="S80" s="13" t="n"/>
      <c r="T80" s="13">
        <f>IF($P80="","",$P80+$Q80+$R80-$S80)</f>
        <v/>
      </c>
      <c r="U80" s="12" t="n"/>
      <c r="V80" s="12" t="n"/>
      <c r="W80" s="12" t="n"/>
      <c r="X80" s="12" t="n"/>
      <c r="Y80" s="12" t="n"/>
      <c r="Z80" s="12" t="n"/>
      <c r="AA80" s="12" t="n"/>
    </row>
    <row r="81">
      <c r="O81" s="10" t="n"/>
      <c r="P81" s="10">
        <f>IF($F81="","",$F81*$O81)</f>
        <v/>
      </c>
      <c r="Q81" s="10" t="n"/>
      <c r="R81" s="10" t="n"/>
      <c r="S81" s="10" t="n"/>
      <c r="T81" s="10">
        <f>IF($P81="","",$P81+$Q81+$R81-$S81)</f>
        <v/>
      </c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3" t="n"/>
      <c r="P82" s="13">
        <f>IF($F82="","",$F82*$O82)</f>
        <v/>
      </c>
      <c r="Q82" s="13" t="n"/>
      <c r="R82" s="13" t="n"/>
      <c r="S82" s="13" t="n"/>
      <c r="T82" s="13">
        <f>IF($P82="","",$P82+$Q82+$R82-$S82)</f>
        <v/>
      </c>
      <c r="U82" s="12" t="n"/>
      <c r="V82" s="12" t="n"/>
      <c r="W82" s="12" t="n"/>
      <c r="X82" s="12" t="n"/>
      <c r="Y82" s="12" t="n"/>
      <c r="Z82" s="12" t="n"/>
      <c r="AA82" s="12" t="n"/>
    </row>
    <row r="83">
      <c r="O83" s="10" t="n"/>
      <c r="P83" s="10">
        <f>IF($F83="","",$F83*$O83)</f>
        <v/>
      </c>
      <c r="Q83" s="10" t="n"/>
      <c r="R83" s="10" t="n"/>
      <c r="S83" s="10" t="n"/>
      <c r="T83" s="10">
        <f>IF($P83="","",$P83+$Q83+$R83-$S83)</f>
        <v/>
      </c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3" t="n"/>
      <c r="P84" s="13">
        <f>IF($F84="","",$F84*$O84)</f>
        <v/>
      </c>
      <c r="Q84" s="13" t="n"/>
      <c r="R84" s="13" t="n"/>
      <c r="S84" s="13" t="n"/>
      <c r="T84" s="13">
        <f>IF($P84="","",$P84+$Q84+$R84-$S84)</f>
        <v/>
      </c>
      <c r="U84" s="12" t="n"/>
      <c r="V84" s="12" t="n"/>
      <c r="W84" s="12" t="n"/>
      <c r="X84" s="12" t="n"/>
      <c r="Y84" s="12" t="n"/>
      <c r="Z84" s="12" t="n"/>
      <c r="AA84" s="12" t="n"/>
    </row>
    <row r="85">
      <c r="O85" s="10" t="n"/>
      <c r="P85" s="10">
        <f>IF($F85="","",$F85*$O85)</f>
        <v/>
      </c>
      <c r="Q85" s="10" t="n"/>
      <c r="R85" s="10" t="n"/>
      <c r="S85" s="10" t="n"/>
      <c r="T85" s="10">
        <f>IF($P85="","",$P85+$Q85+$R85-$S85)</f>
        <v/>
      </c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3" t="n"/>
      <c r="P86" s="13">
        <f>IF($F86="","",$F86*$O86)</f>
        <v/>
      </c>
      <c r="Q86" s="13" t="n"/>
      <c r="R86" s="13" t="n"/>
      <c r="S86" s="13" t="n"/>
      <c r="T86" s="13">
        <f>IF($P86="","",$P86+$Q86+$R86-$S86)</f>
        <v/>
      </c>
      <c r="U86" s="12" t="n"/>
      <c r="V86" s="12" t="n"/>
      <c r="W86" s="12" t="n"/>
      <c r="X86" s="12" t="n"/>
      <c r="Y86" s="12" t="n"/>
      <c r="Z86" s="12" t="n"/>
      <c r="AA86" s="12" t="n"/>
    </row>
    <row r="87">
      <c r="O87" s="10" t="n"/>
      <c r="P87" s="10">
        <f>IF($F87="","",$F87*$O87)</f>
        <v/>
      </c>
      <c r="Q87" s="10" t="n"/>
      <c r="R87" s="10" t="n"/>
      <c r="S87" s="10" t="n"/>
      <c r="T87" s="10">
        <f>IF($P87="","",$P87+$Q87+$R87-$S87)</f>
        <v/>
      </c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3" t="n"/>
      <c r="P88" s="13">
        <f>IF($F88="","",$F88*$O88)</f>
        <v/>
      </c>
      <c r="Q88" s="13" t="n"/>
      <c r="R88" s="13" t="n"/>
      <c r="S88" s="13" t="n"/>
      <c r="T88" s="13">
        <f>IF($P88="","",$P88+$Q88+$R88-$S88)</f>
        <v/>
      </c>
      <c r="U88" s="12" t="n"/>
      <c r="V88" s="12" t="n"/>
      <c r="W88" s="12" t="n"/>
      <c r="X88" s="12" t="n"/>
      <c r="Y88" s="12" t="n"/>
      <c r="Z88" s="12" t="n"/>
      <c r="AA88" s="12" t="n"/>
    </row>
    <row r="89">
      <c r="O89" s="10" t="n"/>
      <c r="P89" s="10">
        <f>IF($F89="","",$F89*$O89)</f>
        <v/>
      </c>
      <c r="Q89" s="10" t="n"/>
      <c r="R89" s="10" t="n"/>
      <c r="S89" s="10" t="n"/>
      <c r="T89" s="10">
        <f>IF($P89="","",$P89+$Q89+$R89-$S89)</f>
        <v/>
      </c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3" t="n"/>
      <c r="P90" s="13">
        <f>IF($F90="","",$F90*$O90)</f>
        <v/>
      </c>
      <c r="Q90" s="13" t="n"/>
      <c r="R90" s="13" t="n"/>
      <c r="S90" s="13" t="n"/>
      <c r="T90" s="13">
        <f>IF($P90="","",$P90+$Q90+$R90-$S90)</f>
        <v/>
      </c>
      <c r="U90" s="12" t="n"/>
      <c r="V90" s="12" t="n"/>
      <c r="W90" s="12" t="n"/>
      <c r="X90" s="12" t="n"/>
      <c r="Y90" s="12" t="n"/>
      <c r="Z90" s="12" t="n"/>
      <c r="AA90" s="12" t="n"/>
    </row>
    <row r="91">
      <c r="O91" s="10" t="n"/>
      <c r="P91" s="10">
        <f>IF($F91="","",$F91*$O91)</f>
        <v/>
      </c>
      <c r="Q91" s="10" t="n"/>
      <c r="R91" s="10" t="n"/>
      <c r="S91" s="10" t="n"/>
      <c r="T91" s="10">
        <f>IF($P91="","",$P91+$Q91+$R91-$S91)</f>
        <v/>
      </c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3" t="n"/>
      <c r="P92" s="13">
        <f>IF($F92="","",$F92*$O92)</f>
        <v/>
      </c>
      <c r="Q92" s="13" t="n"/>
      <c r="R92" s="13" t="n"/>
      <c r="S92" s="13" t="n"/>
      <c r="T92" s="13">
        <f>IF($P92="","",$P92+$Q92+$R92-$S92)</f>
        <v/>
      </c>
      <c r="U92" s="12" t="n"/>
      <c r="V92" s="12" t="n"/>
      <c r="W92" s="12" t="n"/>
      <c r="X92" s="12" t="n"/>
      <c r="Y92" s="12" t="n"/>
      <c r="Z92" s="12" t="n"/>
      <c r="AA92" s="12" t="n"/>
    </row>
    <row r="93">
      <c r="O93" s="10" t="n"/>
      <c r="P93" s="10">
        <f>IF($F93="","",$F93*$O93)</f>
        <v/>
      </c>
      <c r="Q93" s="10" t="n"/>
      <c r="R93" s="10" t="n"/>
      <c r="S93" s="10" t="n"/>
      <c r="T93" s="10">
        <f>IF($P93="","",$P93+$Q93+$R93-$S93)</f>
        <v/>
      </c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3" t="n"/>
      <c r="P94" s="13">
        <f>IF($F94="","",$F94*$O94)</f>
        <v/>
      </c>
      <c r="Q94" s="13" t="n"/>
      <c r="R94" s="13" t="n"/>
      <c r="S94" s="13" t="n"/>
      <c r="T94" s="13">
        <f>IF($P94="","",$P94+$Q94+$R94-$S94)</f>
        <v/>
      </c>
      <c r="U94" s="12" t="n"/>
      <c r="V94" s="12" t="n"/>
      <c r="W94" s="12" t="n"/>
      <c r="X94" s="12" t="n"/>
      <c r="Y94" s="12" t="n"/>
      <c r="Z94" s="12" t="n"/>
      <c r="AA94" s="12" t="n"/>
    </row>
    <row r="95">
      <c r="O95" s="10" t="n"/>
      <c r="P95" s="10">
        <f>IF($F95="","",$F95*$O95)</f>
        <v/>
      </c>
      <c r="Q95" s="10" t="n"/>
      <c r="R95" s="10" t="n"/>
      <c r="S95" s="10" t="n"/>
      <c r="T95" s="10">
        <f>IF($P95="","",$P95+$Q95+$R95-$S95)</f>
        <v/>
      </c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3" t="n"/>
      <c r="P96" s="13">
        <f>IF($F96="","",$F96*$O96)</f>
        <v/>
      </c>
      <c r="Q96" s="13" t="n"/>
      <c r="R96" s="13" t="n"/>
      <c r="S96" s="13" t="n"/>
      <c r="T96" s="13">
        <f>IF($P96="","",$P96+$Q96+$R96-$S96)</f>
        <v/>
      </c>
      <c r="U96" s="12" t="n"/>
      <c r="V96" s="12" t="n"/>
      <c r="W96" s="12" t="n"/>
      <c r="X96" s="12" t="n"/>
      <c r="Y96" s="12" t="n"/>
      <c r="Z96" s="12" t="n"/>
      <c r="AA96" s="12" t="n"/>
    </row>
    <row r="97">
      <c r="O97" s="10" t="n"/>
      <c r="P97" s="10">
        <f>IF($F97="","",$F97*$O97)</f>
        <v/>
      </c>
      <c r="Q97" s="10" t="n"/>
      <c r="R97" s="10" t="n"/>
      <c r="S97" s="10" t="n"/>
      <c r="T97" s="10">
        <f>IF($P97="","",$P97+$Q97+$R97-$S97)</f>
        <v/>
      </c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3" t="n"/>
      <c r="P98" s="13">
        <f>IF($F98="","",$F98*$O98)</f>
        <v/>
      </c>
      <c r="Q98" s="13" t="n"/>
      <c r="R98" s="13" t="n"/>
      <c r="S98" s="13" t="n"/>
      <c r="T98" s="13">
        <f>IF($P98="","",$P98+$Q98+$R98-$S98)</f>
        <v/>
      </c>
      <c r="U98" s="12" t="n"/>
      <c r="V98" s="12" t="n"/>
      <c r="W98" s="12" t="n"/>
      <c r="X98" s="12" t="n"/>
      <c r="Y98" s="12" t="n"/>
      <c r="Z98" s="12" t="n"/>
      <c r="AA98" s="12" t="n"/>
    </row>
    <row r="99">
      <c r="O99" s="10" t="n"/>
      <c r="P99" s="10">
        <f>IF($F99="","",$F99*$O99)</f>
        <v/>
      </c>
      <c r="Q99" s="10" t="n"/>
      <c r="R99" s="10" t="n"/>
      <c r="S99" s="10" t="n"/>
      <c r="T99" s="10">
        <f>IF($P99="","",$P99+$Q99+$R99-$S99)</f>
        <v/>
      </c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3" t="n"/>
      <c r="P100" s="13">
        <f>IF($F100="","",$F100*$O100)</f>
        <v/>
      </c>
      <c r="Q100" s="13" t="n"/>
      <c r="R100" s="13" t="n"/>
      <c r="S100" s="13" t="n"/>
      <c r="T100" s="13">
        <f>IF($P100="","",$P100+$Q100+$R100-$S100)</f>
        <v/>
      </c>
      <c r="U100" s="12" t="n"/>
      <c r="V100" s="12" t="n"/>
      <c r="W100" s="12" t="n"/>
      <c r="X100" s="12" t="n"/>
      <c r="Y100" s="12" t="n"/>
      <c r="Z100" s="12" t="n"/>
      <c r="AA100" s="12" t="n"/>
    </row>
    <row r="101">
      <c r="O101" s="10" t="n"/>
      <c r="P101" s="10">
        <f>IF($F101="","",$F101*$O101)</f>
        <v/>
      </c>
      <c r="Q101" s="10" t="n"/>
      <c r="R101" s="10" t="n"/>
      <c r="S101" s="10" t="n"/>
      <c r="T101" s="10">
        <f>IF($P101="","",$P101+$Q101+$R101-$S101)</f>
        <v/>
      </c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3" t="n"/>
      <c r="P102" s="13">
        <f>IF($F102="","",$F102*$O102)</f>
        <v/>
      </c>
      <c r="Q102" s="13" t="n"/>
      <c r="R102" s="13" t="n"/>
      <c r="S102" s="13" t="n"/>
      <c r="T102" s="13">
        <f>IF($P102="","",$P102+$Q102+$R102-$S102)</f>
        <v/>
      </c>
      <c r="U102" s="12" t="n"/>
      <c r="V102" s="12" t="n"/>
      <c r="W102" s="12" t="n"/>
      <c r="X102" s="12" t="n"/>
      <c r="Y102" s="12" t="n"/>
      <c r="Z102" s="12" t="n"/>
      <c r="AA102" s="12" t="n"/>
    </row>
    <row r="103">
      <c r="O103" s="10" t="n"/>
      <c r="P103" s="10">
        <f>IF($F103="","",$F103*$O103)</f>
        <v/>
      </c>
      <c r="Q103" s="10" t="n"/>
      <c r="R103" s="10" t="n"/>
      <c r="S103" s="10" t="n"/>
      <c r="T103" s="10">
        <f>IF($P103="","",$P103+$Q103+$R103-$S103)</f>
        <v/>
      </c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3" t="n"/>
      <c r="P104" s="13">
        <f>IF($F104="","",$F104*$O104)</f>
        <v/>
      </c>
      <c r="Q104" s="13" t="n"/>
      <c r="R104" s="13" t="n"/>
      <c r="S104" s="13" t="n"/>
      <c r="T104" s="13">
        <f>IF($P104="","",$P104+$Q104+$R104-$S104)</f>
        <v/>
      </c>
      <c r="U104" s="12" t="n"/>
      <c r="V104" s="12" t="n"/>
      <c r="W104" s="12" t="n"/>
      <c r="X104" s="12" t="n"/>
      <c r="Y104" s="12" t="n"/>
      <c r="Z104" s="12" t="n"/>
      <c r="AA104" s="12" t="n"/>
    </row>
    <row r="105">
      <c r="O105" s="10" t="n"/>
      <c r="P105" s="10">
        <f>IF($F105="","",$F105*$O105)</f>
        <v/>
      </c>
      <c r="Q105" s="10" t="n"/>
      <c r="R105" s="10" t="n"/>
      <c r="S105" s="10" t="n"/>
      <c r="T105" s="10">
        <f>IF($P105="","",$P105+$Q105+$R105-$S105)</f>
        <v/>
      </c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3" t="n"/>
      <c r="P106" s="13">
        <f>IF($F106="","",$F106*$O106)</f>
        <v/>
      </c>
      <c r="Q106" s="13" t="n"/>
      <c r="R106" s="13" t="n"/>
      <c r="S106" s="13" t="n"/>
      <c r="T106" s="13">
        <f>IF($P106="","",$P106+$Q106+$R106-$S106)</f>
        <v/>
      </c>
      <c r="U106" s="12" t="n"/>
      <c r="V106" s="12" t="n"/>
      <c r="W106" s="12" t="n"/>
      <c r="X106" s="12" t="n"/>
      <c r="Y106" s="12" t="n"/>
      <c r="Z106" s="12" t="n"/>
      <c r="AA106" s="12" t="n"/>
    </row>
    <row r="107">
      <c r="O107" s="10" t="n"/>
      <c r="P107" s="10">
        <f>IF($F107="","",$F107*$O107)</f>
        <v/>
      </c>
      <c r="Q107" s="10" t="n"/>
      <c r="R107" s="10" t="n"/>
      <c r="S107" s="10" t="n"/>
      <c r="T107" s="10">
        <f>IF($P107="","",$P107+$Q107+$R107-$S107)</f>
        <v/>
      </c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3" t="n"/>
      <c r="P108" s="13">
        <f>IF($F108="","",$F108*$O108)</f>
        <v/>
      </c>
      <c r="Q108" s="13" t="n"/>
      <c r="R108" s="13" t="n"/>
      <c r="S108" s="13" t="n"/>
      <c r="T108" s="13">
        <f>IF($P108="","",$P108+$Q108+$R108-$S108)</f>
        <v/>
      </c>
      <c r="U108" s="12" t="n"/>
      <c r="V108" s="12" t="n"/>
      <c r="W108" s="12" t="n"/>
      <c r="X108" s="12" t="n"/>
      <c r="Y108" s="12" t="n"/>
      <c r="Z108" s="12" t="n"/>
      <c r="AA108" s="12" t="n"/>
    </row>
    <row r="109">
      <c r="O109" s="10" t="n"/>
      <c r="P109" s="10">
        <f>IF($F109="","",$F109*$O109)</f>
        <v/>
      </c>
      <c r="Q109" s="10" t="n"/>
      <c r="R109" s="10" t="n"/>
      <c r="S109" s="10" t="n"/>
      <c r="T109" s="10">
        <f>IF($P109="","",$P109+$Q109+$R109-$S109)</f>
        <v/>
      </c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3" t="n"/>
      <c r="P110" s="13">
        <f>IF($F110="","",$F110*$O110)</f>
        <v/>
      </c>
      <c r="Q110" s="13" t="n"/>
      <c r="R110" s="13" t="n"/>
      <c r="S110" s="13" t="n"/>
      <c r="T110" s="13">
        <f>IF($P110="","",$P110+$Q110+$R110-$S110)</f>
        <v/>
      </c>
      <c r="U110" s="12" t="n"/>
      <c r="V110" s="12" t="n"/>
      <c r="W110" s="12" t="n"/>
      <c r="X110" s="12" t="n"/>
      <c r="Y110" s="12" t="n"/>
      <c r="Z110" s="12" t="n"/>
      <c r="AA110" s="12" t="n"/>
    </row>
    <row r="111">
      <c r="O111" s="10" t="n"/>
      <c r="P111" s="10">
        <f>IF($F111="","",$F111*$O111)</f>
        <v/>
      </c>
      <c r="Q111" s="10" t="n"/>
      <c r="R111" s="10" t="n"/>
      <c r="S111" s="10" t="n"/>
      <c r="T111" s="10">
        <f>IF($P111="","",$P111+$Q111+$R111-$S111)</f>
        <v/>
      </c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3" t="n"/>
      <c r="P112" s="13">
        <f>IF($F112="","",$F112*$O112)</f>
        <v/>
      </c>
      <c r="Q112" s="13" t="n"/>
      <c r="R112" s="13" t="n"/>
      <c r="S112" s="13" t="n"/>
      <c r="T112" s="13">
        <f>IF($P112="","",$P112+$Q112+$R112-$S112)</f>
        <v/>
      </c>
      <c r="U112" s="12" t="n"/>
      <c r="V112" s="12" t="n"/>
      <c r="W112" s="12" t="n"/>
      <c r="X112" s="12" t="n"/>
      <c r="Y112" s="12" t="n"/>
      <c r="Z112" s="12" t="n"/>
      <c r="AA112" s="12" t="n"/>
    </row>
    <row r="113">
      <c r="O113" s="10" t="n"/>
      <c r="P113" s="10">
        <f>IF($F113="","",$F113*$O113)</f>
        <v/>
      </c>
      <c r="Q113" s="10" t="n"/>
      <c r="R113" s="10" t="n"/>
      <c r="S113" s="10" t="n"/>
      <c r="T113" s="10">
        <f>IF($P113="","",$P113+$Q113+$R113-$S113)</f>
        <v/>
      </c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3" t="n"/>
      <c r="P114" s="13">
        <f>IF($F114="","",$F114*$O114)</f>
        <v/>
      </c>
      <c r="Q114" s="13" t="n"/>
      <c r="R114" s="13" t="n"/>
      <c r="S114" s="13" t="n"/>
      <c r="T114" s="13">
        <f>IF($P114="","",$P114+$Q114+$R114-$S114)</f>
        <v/>
      </c>
      <c r="U114" s="12" t="n"/>
      <c r="V114" s="12" t="n"/>
      <c r="W114" s="12" t="n"/>
      <c r="X114" s="12" t="n"/>
      <c r="Y114" s="12" t="n"/>
      <c r="Z114" s="12" t="n"/>
      <c r="AA114" s="12" t="n"/>
    </row>
    <row r="115">
      <c r="O115" s="10" t="n"/>
      <c r="P115" s="10">
        <f>IF($F115="","",$F115*$O115)</f>
        <v/>
      </c>
      <c r="Q115" s="10" t="n"/>
      <c r="R115" s="10" t="n"/>
      <c r="S115" s="10" t="n"/>
      <c r="T115" s="10">
        <f>IF($P115="","",$P115+$Q115+$R115-$S115)</f>
        <v/>
      </c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3" t="n"/>
      <c r="P116" s="13">
        <f>IF($F116="","",$F116*$O116)</f>
        <v/>
      </c>
      <c r="Q116" s="13" t="n"/>
      <c r="R116" s="13" t="n"/>
      <c r="S116" s="13" t="n"/>
      <c r="T116" s="13">
        <f>IF($P116="","",$P116+$Q116+$R116-$S116)</f>
        <v/>
      </c>
      <c r="U116" s="12" t="n"/>
      <c r="V116" s="12" t="n"/>
      <c r="W116" s="12" t="n"/>
      <c r="X116" s="12" t="n"/>
      <c r="Y116" s="12" t="n"/>
      <c r="Z116" s="12" t="n"/>
      <c r="AA116" s="12" t="n"/>
    </row>
    <row r="117">
      <c r="O117" s="10" t="n"/>
      <c r="P117" s="10">
        <f>IF($F117="","",$F117*$O117)</f>
        <v/>
      </c>
      <c r="Q117" s="10" t="n"/>
      <c r="R117" s="10" t="n"/>
      <c r="S117" s="10" t="n"/>
      <c r="T117" s="10">
        <f>IF($P117="","",$P117+$Q117+$R117-$S117)</f>
        <v/>
      </c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3" t="n"/>
      <c r="P118" s="13">
        <f>IF($F118="","",$F118*$O118)</f>
        <v/>
      </c>
      <c r="Q118" s="13" t="n"/>
      <c r="R118" s="13" t="n"/>
      <c r="S118" s="13" t="n"/>
      <c r="T118" s="13">
        <f>IF($P118="","",$P118+$Q118+$R118-$S118)</f>
        <v/>
      </c>
      <c r="U118" s="12" t="n"/>
      <c r="V118" s="12" t="n"/>
      <c r="W118" s="12" t="n"/>
      <c r="X118" s="12" t="n"/>
      <c r="Y118" s="12" t="n"/>
      <c r="Z118" s="12" t="n"/>
      <c r="AA118" s="12" t="n"/>
    </row>
    <row r="119">
      <c r="O119" s="10" t="n"/>
      <c r="P119" s="10">
        <f>IF($F119="","",$F119*$O119)</f>
        <v/>
      </c>
      <c r="Q119" s="10" t="n"/>
      <c r="R119" s="10" t="n"/>
      <c r="S119" s="10" t="n"/>
      <c r="T119" s="10">
        <f>IF($P119="","",$P119+$Q119+$R119-$S119)</f>
        <v/>
      </c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3" t="n"/>
      <c r="P120" s="13">
        <f>IF($F120="","",$F120*$O120)</f>
        <v/>
      </c>
      <c r="Q120" s="13" t="n"/>
      <c r="R120" s="13" t="n"/>
      <c r="S120" s="13" t="n"/>
      <c r="T120" s="13">
        <f>IF($P120="","",$P120+$Q120+$R120-$S120)</f>
        <v/>
      </c>
      <c r="U120" s="12" t="n"/>
      <c r="V120" s="12" t="n"/>
      <c r="W120" s="12" t="n"/>
      <c r="X120" s="12" t="n"/>
      <c r="Y120" s="12" t="n"/>
      <c r="Z120" s="12" t="n"/>
      <c r="AA120" s="12" t="n"/>
    </row>
    <row r="121">
      <c r="O121" s="10" t="n"/>
      <c r="P121" s="10">
        <f>IF($F121="","",$F121*$O121)</f>
        <v/>
      </c>
      <c r="Q121" s="10" t="n"/>
      <c r="R121" s="10" t="n"/>
      <c r="S121" s="10" t="n"/>
      <c r="T121" s="10">
        <f>IF($P121="","",$P121+$Q121+$R121-$S121)</f>
        <v/>
      </c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3" t="n"/>
      <c r="P122" s="13">
        <f>IF($F122="","",$F122*$O122)</f>
        <v/>
      </c>
      <c r="Q122" s="13" t="n"/>
      <c r="R122" s="13" t="n"/>
      <c r="S122" s="13" t="n"/>
      <c r="T122" s="13">
        <f>IF($P122="","",$P122+$Q122+$R122-$S122)</f>
        <v/>
      </c>
      <c r="U122" s="12" t="n"/>
      <c r="V122" s="12" t="n"/>
      <c r="W122" s="12" t="n"/>
      <c r="X122" s="12" t="n"/>
      <c r="Y122" s="12" t="n"/>
      <c r="Z122" s="12" t="n"/>
      <c r="AA122" s="12" t="n"/>
    </row>
    <row r="123">
      <c r="O123" s="10" t="n"/>
      <c r="P123" s="10">
        <f>IF($F123="","",$F123*$O123)</f>
        <v/>
      </c>
      <c r="Q123" s="10" t="n"/>
      <c r="R123" s="10" t="n"/>
      <c r="S123" s="10" t="n"/>
      <c r="T123" s="10">
        <f>IF($P123="","",$P123+$Q123+$R123-$S123)</f>
        <v/>
      </c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3" t="n"/>
      <c r="P124" s="13">
        <f>IF($F124="","",$F124*$O124)</f>
        <v/>
      </c>
      <c r="Q124" s="13" t="n"/>
      <c r="R124" s="13" t="n"/>
      <c r="S124" s="13" t="n"/>
      <c r="T124" s="13">
        <f>IF($P124="","",$P124+$Q124+$R124-$S124)</f>
        <v/>
      </c>
      <c r="U124" s="12" t="n"/>
      <c r="V124" s="12" t="n"/>
      <c r="W124" s="12" t="n"/>
      <c r="X124" s="12" t="n"/>
      <c r="Y124" s="12" t="n"/>
      <c r="Z124" s="12" t="n"/>
      <c r="AA124" s="12" t="n"/>
    </row>
    <row r="125">
      <c r="O125" s="10" t="n"/>
      <c r="P125" s="10">
        <f>IF($F125="","",$F125*$O125)</f>
        <v/>
      </c>
      <c r="Q125" s="10" t="n"/>
      <c r="R125" s="10" t="n"/>
      <c r="S125" s="10" t="n"/>
      <c r="T125" s="10">
        <f>IF($P125="","",$P125+$Q125+$R125-$S125)</f>
        <v/>
      </c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3" t="n"/>
      <c r="P126" s="13">
        <f>IF($F126="","",$F126*$O126)</f>
        <v/>
      </c>
      <c r="Q126" s="13" t="n"/>
      <c r="R126" s="13" t="n"/>
      <c r="S126" s="13" t="n"/>
      <c r="T126" s="13">
        <f>IF($P126="","",$P126+$Q126+$R126-$S126)</f>
        <v/>
      </c>
      <c r="U126" s="12" t="n"/>
      <c r="V126" s="12" t="n"/>
      <c r="W126" s="12" t="n"/>
      <c r="X126" s="12" t="n"/>
      <c r="Y126" s="12" t="n"/>
      <c r="Z126" s="12" t="n"/>
      <c r="AA126" s="12" t="n"/>
    </row>
    <row r="127">
      <c r="O127" s="10" t="n"/>
      <c r="P127" s="10">
        <f>IF($F127="","",$F127*$O127)</f>
        <v/>
      </c>
      <c r="Q127" s="10" t="n"/>
      <c r="R127" s="10" t="n"/>
      <c r="S127" s="10" t="n"/>
      <c r="T127" s="10">
        <f>IF($P127="","",$P127+$Q127+$R127-$S127)</f>
        <v/>
      </c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3" t="n"/>
      <c r="P128" s="13">
        <f>IF($F128="","",$F128*$O128)</f>
        <v/>
      </c>
      <c r="Q128" s="13" t="n"/>
      <c r="R128" s="13" t="n"/>
      <c r="S128" s="13" t="n"/>
      <c r="T128" s="13">
        <f>IF($P128="","",$P128+$Q128+$R128-$S128)</f>
        <v/>
      </c>
      <c r="U128" s="12" t="n"/>
      <c r="V128" s="12" t="n"/>
      <c r="W128" s="12" t="n"/>
      <c r="X128" s="12" t="n"/>
      <c r="Y128" s="12" t="n"/>
      <c r="Z128" s="12" t="n"/>
      <c r="AA128" s="12" t="n"/>
    </row>
    <row r="129">
      <c r="O129" s="10" t="n"/>
      <c r="P129" s="10">
        <f>IF($F129="","",$F129*$O129)</f>
        <v/>
      </c>
      <c r="Q129" s="10" t="n"/>
      <c r="R129" s="10" t="n"/>
      <c r="S129" s="10" t="n"/>
      <c r="T129" s="10">
        <f>IF($P129="","",$P129+$Q129+$R129-$S129)</f>
        <v/>
      </c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3" t="n"/>
      <c r="P130" s="13">
        <f>IF($F130="","",$F130*$O130)</f>
        <v/>
      </c>
      <c r="Q130" s="13" t="n"/>
      <c r="R130" s="13" t="n"/>
      <c r="S130" s="13" t="n"/>
      <c r="T130" s="13">
        <f>IF($P130="","",$P130+$Q130+$R130-$S130)</f>
        <v/>
      </c>
      <c r="U130" s="12" t="n"/>
      <c r="V130" s="12" t="n"/>
      <c r="W130" s="12" t="n"/>
      <c r="X130" s="12" t="n"/>
      <c r="Y130" s="12" t="n"/>
      <c r="Z130" s="12" t="n"/>
      <c r="AA130" s="12" t="n"/>
    </row>
    <row r="131">
      <c r="O131" s="10" t="n"/>
      <c r="P131" s="10">
        <f>IF($F131="","",$F131*$O131)</f>
        <v/>
      </c>
      <c r="Q131" s="10" t="n"/>
      <c r="R131" s="10" t="n"/>
      <c r="S131" s="10" t="n"/>
      <c r="T131" s="10">
        <f>IF($P131="","",$P131+$Q131+$R131-$S131)</f>
        <v/>
      </c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3" t="n"/>
      <c r="P132" s="13">
        <f>IF($F132="","",$F132*$O132)</f>
        <v/>
      </c>
      <c r="Q132" s="13" t="n"/>
      <c r="R132" s="13" t="n"/>
      <c r="S132" s="13" t="n"/>
      <c r="T132" s="13">
        <f>IF($P132="","",$P132+$Q132+$R132-$S132)</f>
        <v/>
      </c>
      <c r="U132" s="12" t="n"/>
      <c r="V132" s="12" t="n"/>
      <c r="W132" s="12" t="n"/>
      <c r="X132" s="12" t="n"/>
      <c r="Y132" s="12" t="n"/>
      <c r="Z132" s="12" t="n"/>
      <c r="AA132" s="12" t="n"/>
    </row>
    <row r="133">
      <c r="O133" s="10" t="n"/>
      <c r="P133" s="10">
        <f>IF($F133="","",$F133*$O133)</f>
        <v/>
      </c>
      <c r="Q133" s="10" t="n"/>
      <c r="R133" s="10" t="n"/>
      <c r="S133" s="10" t="n"/>
      <c r="T133" s="10">
        <f>IF($P133="","",$P133+$Q133+$R133-$S133)</f>
        <v/>
      </c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3" t="n"/>
      <c r="P134" s="13">
        <f>IF($F134="","",$F134*$O134)</f>
        <v/>
      </c>
      <c r="Q134" s="13" t="n"/>
      <c r="R134" s="13" t="n"/>
      <c r="S134" s="13" t="n"/>
      <c r="T134" s="13">
        <f>IF($P134="","",$P134+$Q134+$R134-$S134)</f>
        <v/>
      </c>
      <c r="U134" s="12" t="n"/>
      <c r="V134" s="12" t="n"/>
      <c r="W134" s="12" t="n"/>
      <c r="X134" s="12" t="n"/>
      <c r="Y134" s="12" t="n"/>
      <c r="Z134" s="12" t="n"/>
      <c r="AA134" s="12" t="n"/>
    </row>
    <row r="135">
      <c r="O135" s="10" t="n"/>
      <c r="P135" s="10">
        <f>IF($F135="","",$F135*$O135)</f>
        <v/>
      </c>
      <c r="Q135" s="10" t="n"/>
      <c r="R135" s="10" t="n"/>
      <c r="S135" s="10" t="n"/>
      <c r="T135" s="10">
        <f>IF($P135="","",$P135+$Q135+$R135-$S135)</f>
        <v/>
      </c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3" t="n"/>
      <c r="P136" s="13">
        <f>IF($F136="","",$F136*$O136)</f>
        <v/>
      </c>
      <c r="Q136" s="13" t="n"/>
      <c r="R136" s="13" t="n"/>
      <c r="S136" s="13" t="n"/>
      <c r="T136" s="13">
        <f>IF($P136="","",$P136+$Q136+$R136-$S136)</f>
        <v/>
      </c>
      <c r="U136" s="12" t="n"/>
      <c r="V136" s="12" t="n"/>
      <c r="W136" s="12" t="n"/>
      <c r="X136" s="12" t="n"/>
      <c r="Y136" s="12" t="n"/>
      <c r="Z136" s="12" t="n"/>
      <c r="AA136" s="12" t="n"/>
    </row>
    <row r="137">
      <c r="O137" s="10" t="n"/>
      <c r="P137" s="10">
        <f>IF($F137="","",$F137*$O137)</f>
        <v/>
      </c>
      <c r="Q137" s="10" t="n"/>
      <c r="R137" s="10" t="n"/>
      <c r="S137" s="10" t="n"/>
      <c r="T137" s="10">
        <f>IF($P137="","",$P137+$Q137+$R137-$S137)</f>
        <v/>
      </c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3" t="n"/>
      <c r="P138" s="13">
        <f>IF($F138="","",$F138*$O138)</f>
        <v/>
      </c>
      <c r="Q138" s="13" t="n"/>
      <c r="R138" s="13" t="n"/>
      <c r="S138" s="13" t="n"/>
      <c r="T138" s="13">
        <f>IF($P138="","",$P138+$Q138+$R138-$S138)</f>
        <v/>
      </c>
      <c r="U138" s="12" t="n"/>
      <c r="V138" s="12" t="n"/>
      <c r="W138" s="12" t="n"/>
      <c r="X138" s="12" t="n"/>
      <c r="Y138" s="12" t="n"/>
      <c r="Z138" s="12" t="n"/>
      <c r="AA138" s="12" t="n"/>
    </row>
    <row r="139">
      <c r="O139" s="10" t="n"/>
      <c r="P139" s="10">
        <f>IF($F139="","",$F139*$O139)</f>
        <v/>
      </c>
      <c r="Q139" s="10" t="n"/>
      <c r="R139" s="10" t="n"/>
      <c r="S139" s="10" t="n"/>
      <c r="T139" s="10">
        <f>IF($P139="","",$P139+$Q139+$R139-$S139)</f>
        <v/>
      </c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3" t="n"/>
      <c r="P140" s="13">
        <f>IF($F140="","",$F140*$O140)</f>
        <v/>
      </c>
      <c r="Q140" s="13" t="n"/>
      <c r="R140" s="13" t="n"/>
      <c r="S140" s="13" t="n"/>
      <c r="T140" s="13">
        <f>IF($P140="","",$P140+$Q140+$R140-$S140)</f>
        <v/>
      </c>
      <c r="U140" s="12" t="n"/>
      <c r="V140" s="12" t="n"/>
      <c r="W140" s="12" t="n"/>
      <c r="X140" s="12" t="n"/>
      <c r="Y140" s="12" t="n"/>
      <c r="Z140" s="12" t="n"/>
      <c r="AA140" s="12" t="n"/>
    </row>
    <row r="141">
      <c r="O141" s="10" t="n"/>
      <c r="P141" s="10">
        <f>IF($F141="","",$F141*$O141)</f>
        <v/>
      </c>
      <c r="Q141" s="10" t="n"/>
      <c r="R141" s="10" t="n"/>
      <c r="S141" s="10" t="n"/>
      <c r="T141" s="10">
        <f>IF($P141="","",$P141+$Q141+$R141-$S141)</f>
        <v/>
      </c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3" t="n"/>
      <c r="P142" s="13">
        <f>IF($F142="","",$F142*$O142)</f>
        <v/>
      </c>
      <c r="Q142" s="13" t="n"/>
      <c r="R142" s="13" t="n"/>
      <c r="S142" s="13" t="n"/>
      <c r="T142" s="13">
        <f>IF($P142="","",$P142+$Q142+$R142-$S142)</f>
        <v/>
      </c>
      <c r="U142" s="12" t="n"/>
      <c r="V142" s="12" t="n"/>
      <c r="W142" s="12" t="n"/>
      <c r="X142" s="12" t="n"/>
      <c r="Y142" s="12" t="n"/>
      <c r="Z142" s="12" t="n"/>
      <c r="AA142" s="12" t="n"/>
    </row>
    <row r="143">
      <c r="O143" s="10" t="n"/>
      <c r="P143" s="10">
        <f>IF($F143="","",$F143*$O143)</f>
        <v/>
      </c>
      <c r="Q143" s="10" t="n"/>
      <c r="R143" s="10" t="n"/>
      <c r="S143" s="10" t="n"/>
      <c r="T143" s="10">
        <f>IF($P143="","",$P143+$Q143+$R143-$S143)</f>
        <v/>
      </c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3" t="n"/>
      <c r="P144" s="13">
        <f>IF($F144="","",$F144*$O144)</f>
        <v/>
      </c>
      <c r="Q144" s="13" t="n"/>
      <c r="R144" s="13" t="n"/>
      <c r="S144" s="13" t="n"/>
      <c r="T144" s="13">
        <f>IF($P144="","",$P144+$Q144+$R144-$S144)</f>
        <v/>
      </c>
      <c r="U144" s="12" t="n"/>
      <c r="V144" s="12" t="n"/>
      <c r="W144" s="12" t="n"/>
      <c r="X144" s="12" t="n"/>
      <c r="Y144" s="12" t="n"/>
      <c r="Z144" s="12" t="n"/>
      <c r="AA144" s="12" t="n"/>
    </row>
    <row r="145">
      <c r="O145" s="10" t="n"/>
      <c r="P145" s="10">
        <f>IF($F145="","",$F145*$O145)</f>
        <v/>
      </c>
      <c r="Q145" s="10" t="n"/>
      <c r="R145" s="10" t="n"/>
      <c r="S145" s="10" t="n"/>
      <c r="T145" s="10">
        <f>IF($P145="","",$P145+$Q145+$R145-$S145)</f>
        <v/>
      </c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3" t="n"/>
      <c r="P146" s="13">
        <f>IF($F146="","",$F146*$O146)</f>
        <v/>
      </c>
      <c r="Q146" s="13" t="n"/>
      <c r="R146" s="13" t="n"/>
      <c r="S146" s="13" t="n"/>
      <c r="T146" s="13">
        <f>IF($P146="","",$P146+$Q146+$R146-$S146)</f>
        <v/>
      </c>
      <c r="U146" s="12" t="n"/>
      <c r="V146" s="12" t="n"/>
      <c r="W146" s="12" t="n"/>
      <c r="X146" s="12" t="n"/>
      <c r="Y146" s="12" t="n"/>
      <c r="Z146" s="12" t="n"/>
      <c r="AA146" s="12" t="n"/>
    </row>
    <row r="147">
      <c r="O147" s="10" t="n"/>
      <c r="P147" s="10">
        <f>IF($F147="","",$F147*$O147)</f>
        <v/>
      </c>
      <c r="Q147" s="10" t="n"/>
      <c r="R147" s="10" t="n"/>
      <c r="S147" s="10" t="n"/>
      <c r="T147" s="10">
        <f>IF($P147="","",$P147+$Q147+$R147-$S147)</f>
        <v/>
      </c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3" t="n"/>
      <c r="P148" s="13">
        <f>IF($F148="","",$F148*$O148)</f>
        <v/>
      </c>
      <c r="Q148" s="13" t="n"/>
      <c r="R148" s="13" t="n"/>
      <c r="S148" s="13" t="n"/>
      <c r="T148" s="13">
        <f>IF($P148="","",$P148+$Q148+$R148-$S148)</f>
        <v/>
      </c>
      <c r="U148" s="12" t="n"/>
      <c r="V148" s="12" t="n"/>
      <c r="W148" s="12" t="n"/>
      <c r="X148" s="12" t="n"/>
      <c r="Y148" s="12" t="n"/>
      <c r="Z148" s="12" t="n"/>
      <c r="AA148" s="12" t="n"/>
    </row>
    <row r="149">
      <c r="O149" s="10" t="n"/>
      <c r="P149" s="10">
        <f>IF($F149="","",$F149*$O149)</f>
        <v/>
      </c>
      <c r="Q149" s="10" t="n"/>
      <c r="R149" s="10" t="n"/>
      <c r="S149" s="10" t="n"/>
      <c r="T149" s="10">
        <f>IF($P149="","",$P149+$Q149+$R149-$S149)</f>
        <v/>
      </c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3" t="n"/>
      <c r="P150" s="13">
        <f>IF($F150="","",$F150*$O150)</f>
        <v/>
      </c>
      <c r="Q150" s="13" t="n"/>
      <c r="R150" s="13" t="n"/>
      <c r="S150" s="13" t="n"/>
      <c r="T150" s="13">
        <f>IF($P150="","",$P150+$Q150+$R150-$S150)</f>
        <v/>
      </c>
      <c r="U150" s="12" t="n"/>
      <c r="V150" s="12" t="n"/>
      <c r="W150" s="12" t="n"/>
      <c r="X150" s="12" t="n"/>
      <c r="Y150" s="12" t="n"/>
      <c r="Z150" s="12" t="n"/>
      <c r="AA150" s="12" t="n"/>
    </row>
    <row r="151">
      <c r="O151" s="10" t="n"/>
      <c r="P151" s="10">
        <f>IF($F151="","",$F151*$O151)</f>
        <v/>
      </c>
      <c r="Q151" s="10" t="n"/>
      <c r="R151" s="10" t="n"/>
      <c r="S151" s="10" t="n"/>
      <c r="T151" s="10">
        <f>IF($P151="","",$P151+$Q151+$R151-$S151)</f>
        <v/>
      </c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3" t="n"/>
      <c r="P152" s="13">
        <f>IF($F152="","",$F152*$O152)</f>
        <v/>
      </c>
      <c r="Q152" s="13" t="n"/>
      <c r="R152" s="13" t="n"/>
      <c r="S152" s="13" t="n"/>
      <c r="T152" s="13">
        <f>IF($P152="","",$P152+$Q152+$R152-$S152)</f>
        <v/>
      </c>
      <c r="U152" s="12" t="n"/>
      <c r="V152" s="12" t="n"/>
      <c r="W152" s="12" t="n"/>
      <c r="X152" s="12" t="n"/>
      <c r="Y152" s="12" t="n"/>
      <c r="Z152" s="12" t="n"/>
      <c r="AA152" s="12" t="n"/>
    </row>
    <row r="153">
      <c r="O153" s="10" t="n"/>
      <c r="P153" s="10">
        <f>IF($F153="","",$F153*$O153)</f>
        <v/>
      </c>
      <c r="Q153" s="10" t="n"/>
      <c r="R153" s="10" t="n"/>
      <c r="S153" s="10" t="n"/>
      <c r="T153" s="10">
        <f>IF($P153="","",$P153+$Q153+$R153-$S153)</f>
        <v/>
      </c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3" t="n"/>
      <c r="P154" s="13">
        <f>IF($F154="","",$F154*$O154)</f>
        <v/>
      </c>
      <c r="Q154" s="13" t="n"/>
      <c r="R154" s="13" t="n"/>
      <c r="S154" s="13" t="n"/>
      <c r="T154" s="13">
        <f>IF($P154="","",$P154+$Q154+$R154-$S154)</f>
        <v/>
      </c>
      <c r="U154" s="12" t="n"/>
      <c r="V154" s="12" t="n"/>
      <c r="W154" s="12" t="n"/>
      <c r="X154" s="12" t="n"/>
      <c r="Y154" s="12" t="n"/>
      <c r="Z154" s="12" t="n"/>
      <c r="AA154" s="12" t="n"/>
    </row>
    <row r="155">
      <c r="O155" s="10" t="n"/>
      <c r="P155" s="10">
        <f>IF($F155="","",$F155*$O155)</f>
        <v/>
      </c>
      <c r="Q155" s="10" t="n"/>
      <c r="R155" s="10" t="n"/>
      <c r="S155" s="10" t="n"/>
      <c r="T155" s="10">
        <f>IF($P155="","",$P155+$Q155+$R155-$S155)</f>
        <v/>
      </c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3" t="n"/>
      <c r="P156" s="13">
        <f>IF($F156="","",$F156*$O156)</f>
        <v/>
      </c>
      <c r="Q156" s="13" t="n"/>
      <c r="R156" s="13" t="n"/>
      <c r="S156" s="13" t="n"/>
      <c r="T156" s="13">
        <f>IF($P156="","",$P156+$Q156+$R156-$S156)</f>
        <v/>
      </c>
      <c r="U156" s="12" t="n"/>
      <c r="V156" s="12" t="n"/>
      <c r="W156" s="12" t="n"/>
      <c r="X156" s="12" t="n"/>
      <c r="Y156" s="12" t="n"/>
      <c r="Z156" s="12" t="n"/>
      <c r="AA156" s="12" t="n"/>
    </row>
    <row r="157">
      <c r="O157" s="10" t="n"/>
      <c r="P157" s="10">
        <f>IF($F157="","",$F157*$O157)</f>
        <v/>
      </c>
      <c r="Q157" s="10" t="n"/>
      <c r="R157" s="10" t="n"/>
      <c r="S157" s="10" t="n"/>
      <c r="T157" s="10">
        <f>IF($P157="","",$P157+$Q157+$R157-$S157)</f>
        <v/>
      </c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3" t="n"/>
      <c r="P158" s="13">
        <f>IF($F158="","",$F158*$O158)</f>
        <v/>
      </c>
      <c r="Q158" s="13" t="n"/>
      <c r="R158" s="13" t="n"/>
      <c r="S158" s="13" t="n"/>
      <c r="T158" s="13">
        <f>IF($P158="","",$P158+$Q158+$R158-$S158)</f>
        <v/>
      </c>
      <c r="U158" s="12" t="n"/>
      <c r="V158" s="12" t="n"/>
      <c r="W158" s="12" t="n"/>
      <c r="X158" s="12" t="n"/>
      <c r="Y158" s="12" t="n"/>
      <c r="Z158" s="12" t="n"/>
      <c r="AA158" s="12" t="n"/>
    </row>
    <row r="159">
      <c r="O159" s="10" t="n"/>
      <c r="P159" s="10">
        <f>IF($F159="","",$F159*$O159)</f>
        <v/>
      </c>
      <c r="Q159" s="10" t="n"/>
      <c r="R159" s="10" t="n"/>
      <c r="S159" s="10" t="n"/>
      <c r="T159" s="10">
        <f>IF($P159="","",$P159+$Q159+$R159-$S159)</f>
        <v/>
      </c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3" t="n"/>
      <c r="P160" s="13">
        <f>IF($F160="","",$F160*$O160)</f>
        <v/>
      </c>
      <c r="Q160" s="13" t="n"/>
      <c r="R160" s="13" t="n"/>
      <c r="S160" s="13" t="n"/>
      <c r="T160" s="13">
        <f>IF($P160="","",$P160+$Q160+$R160-$S160)</f>
        <v/>
      </c>
      <c r="U160" s="12" t="n"/>
      <c r="V160" s="12" t="n"/>
      <c r="W160" s="12" t="n"/>
      <c r="X160" s="12" t="n"/>
      <c r="Y160" s="12" t="n"/>
      <c r="Z160" s="12" t="n"/>
      <c r="AA160" s="12" t="n"/>
    </row>
    <row r="161">
      <c r="O161" s="10" t="n"/>
      <c r="P161" s="10">
        <f>IF($F161="","",$F161*$O161)</f>
        <v/>
      </c>
      <c r="Q161" s="10" t="n"/>
      <c r="R161" s="10" t="n"/>
      <c r="S161" s="10" t="n"/>
      <c r="T161" s="10">
        <f>IF($P161="","",$P161+$Q161+$R161-$S161)</f>
        <v/>
      </c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3" t="n"/>
      <c r="P162" s="13">
        <f>IF($F162="","",$F162*$O162)</f>
        <v/>
      </c>
      <c r="Q162" s="13" t="n"/>
      <c r="R162" s="13" t="n"/>
      <c r="S162" s="13" t="n"/>
      <c r="T162" s="13">
        <f>IF($P162="","",$P162+$Q162+$R162-$S162)</f>
        <v/>
      </c>
      <c r="U162" s="12" t="n"/>
      <c r="V162" s="12" t="n"/>
      <c r="W162" s="12" t="n"/>
      <c r="X162" s="12" t="n"/>
      <c r="Y162" s="12" t="n"/>
      <c r="Z162" s="12" t="n"/>
      <c r="AA162" s="12" t="n"/>
    </row>
    <row r="163">
      <c r="O163" s="10" t="n"/>
      <c r="P163" s="10">
        <f>IF($F163="","",$F163*$O163)</f>
        <v/>
      </c>
      <c r="Q163" s="10" t="n"/>
      <c r="R163" s="10" t="n"/>
      <c r="S163" s="10" t="n"/>
      <c r="T163" s="10">
        <f>IF($P163="","",$P163+$Q163+$R163-$S163)</f>
        <v/>
      </c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3" t="n"/>
      <c r="P164" s="13">
        <f>IF($F164="","",$F164*$O164)</f>
        <v/>
      </c>
      <c r="Q164" s="13" t="n"/>
      <c r="R164" s="13" t="n"/>
      <c r="S164" s="13" t="n"/>
      <c r="T164" s="13">
        <f>IF($P164="","",$P164+$Q164+$R164-$S164)</f>
        <v/>
      </c>
      <c r="U164" s="12" t="n"/>
      <c r="V164" s="12" t="n"/>
      <c r="W164" s="12" t="n"/>
      <c r="X164" s="12" t="n"/>
      <c r="Y164" s="12" t="n"/>
      <c r="Z164" s="12" t="n"/>
      <c r="AA164" s="12" t="n"/>
    </row>
    <row r="165">
      <c r="O165" s="10" t="n"/>
      <c r="P165" s="10">
        <f>IF($F165="","",$F165*$O165)</f>
        <v/>
      </c>
      <c r="Q165" s="10" t="n"/>
      <c r="R165" s="10" t="n"/>
      <c r="S165" s="10" t="n"/>
      <c r="T165" s="10">
        <f>IF($P165="","",$P165+$Q165+$R165-$S165)</f>
        <v/>
      </c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3" t="n"/>
      <c r="P166" s="13">
        <f>IF($F166="","",$F166*$O166)</f>
        <v/>
      </c>
      <c r="Q166" s="13" t="n"/>
      <c r="R166" s="13" t="n"/>
      <c r="S166" s="13" t="n"/>
      <c r="T166" s="13">
        <f>IF($P166="","",$P166+$Q166+$R166-$S166)</f>
        <v/>
      </c>
      <c r="U166" s="12" t="n"/>
      <c r="V166" s="12" t="n"/>
      <c r="W166" s="12" t="n"/>
      <c r="X166" s="12" t="n"/>
      <c r="Y166" s="12" t="n"/>
      <c r="Z166" s="12" t="n"/>
      <c r="AA166" s="12" t="n"/>
    </row>
    <row r="167">
      <c r="O167" s="10" t="n"/>
      <c r="P167" s="10">
        <f>IF($F167="","",$F167*$O167)</f>
        <v/>
      </c>
      <c r="Q167" s="10" t="n"/>
      <c r="R167" s="10" t="n"/>
      <c r="S167" s="10" t="n"/>
      <c r="T167" s="10">
        <f>IF($P167="","",$P167+$Q167+$R167-$S167)</f>
        <v/>
      </c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3" t="n"/>
      <c r="P168" s="13">
        <f>IF($F168="","",$F168*$O168)</f>
        <v/>
      </c>
      <c r="Q168" s="13" t="n"/>
      <c r="R168" s="13" t="n"/>
      <c r="S168" s="13" t="n"/>
      <c r="T168" s="13">
        <f>IF($P168="","",$P168+$Q168+$R168-$S168)</f>
        <v/>
      </c>
      <c r="U168" s="12" t="n"/>
      <c r="V168" s="12" t="n"/>
      <c r="W168" s="12" t="n"/>
      <c r="X168" s="12" t="n"/>
      <c r="Y168" s="12" t="n"/>
      <c r="Z168" s="12" t="n"/>
      <c r="AA168" s="12" t="n"/>
    </row>
    <row r="169">
      <c r="O169" s="10" t="n"/>
      <c r="P169" s="10">
        <f>IF($F169="","",$F169*$O169)</f>
        <v/>
      </c>
      <c r="Q169" s="10" t="n"/>
      <c r="R169" s="10" t="n"/>
      <c r="S169" s="10" t="n"/>
      <c r="T169" s="10">
        <f>IF($P169="","",$P169+$Q169+$R169-$S169)</f>
        <v/>
      </c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3" t="n"/>
      <c r="P170" s="13">
        <f>IF($F170="","",$F170*$O170)</f>
        <v/>
      </c>
      <c r="Q170" s="13" t="n"/>
      <c r="R170" s="13" t="n"/>
      <c r="S170" s="13" t="n"/>
      <c r="T170" s="13">
        <f>IF($P170="","",$P170+$Q170+$R170-$S170)</f>
        <v/>
      </c>
      <c r="U170" s="12" t="n"/>
      <c r="V170" s="12" t="n"/>
      <c r="W170" s="12" t="n"/>
      <c r="X170" s="12" t="n"/>
      <c r="Y170" s="12" t="n"/>
      <c r="Z170" s="12" t="n"/>
      <c r="AA170" s="12" t="n"/>
    </row>
    <row r="171">
      <c r="O171" s="10" t="n"/>
      <c r="P171" s="10">
        <f>IF($F171="","",$F171*$O171)</f>
        <v/>
      </c>
      <c r="Q171" s="10" t="n"/>
      <c r="R171" s="10" t="n"/>
      <c r="S171" s="10" t="n"/>
      <c r="T171" s="10">
        <f>IF($P171="","",$P171+$Q171+$R171-$S171)</f>
        <v/>
      </c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3" t="n"/>
      <c r="P172" s="13">
        <f>IF($F172="","",$F172*$O172)</f>
        <v/>
      </c>
      <c r="Q172" s="13" t="n"/>
      <c r="R172" s="13" t="n"/>
      <c r="S172" s="13" t="n"/>
      <c r="T172" s="13">
        <f>IF($P172="","",$P172+$Q172+$R172-$S172)</f>
        <v/>
      </c>
      <c r="U172" s="12" t="n"/>
      <c r="V172" s="12" t="n"/>
      <c r="W172" s="12" t="n"/>
      <c r="X172" s="12" t="n"/>
      <c r="Y172" s="12" t="n"/>
      <c r="Z172" s="12" t="n"/>
      <c r="AA172" s="12" t="n"/>
    </row>
    <row r="173">
      <c r="O173" s="10" t="n"/>
      <c r="P173" s="10">
        <f>IF($F173="","",$F173*$O173)</f>
        <v/>
      </c>
      <c r="Q173" s="10" t="n"/>
      <c r="R173" s="10" t="n"/>
      <c r="S173" s="10" t="n"/>
      <c r="T173" s="10">
        <f>IF($P173="","",$P173+$Q173+$R173-$S173)</f>
        <v/>
      </c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3" t="n"/>
      <c r="P174" s="13">
        <f>IF($F174="","",$F174*$O174)</f>
        <v/>
      </c>
      <c r="Q174" s="13" t="n"/>
      <c r="R174" s="13" t="n"/>
      <c r="S174" s="13" t="n"/>
      <c r="T174" s="13">
        <f>IF($P174="","",$P174+$Q174+$R174-$S174)</f>
        <v/>
      </c>
      <c r="U174" s="12" t="n"/>
      <c r="V174" s="12" t="n"/>
      <c r="W174" s="12" t="n"/>
      <c r="X174" s="12" t="n"/>
      <c r="Y174" s="12" t="n"/>
      <c r="Z174" s="12" t="n"/>
      <c r="AA174" s="12" t="n"/>
    </row>
    <row r="175">
      <c r="O175" s="10" t="n"/>
      <c r="P175" s="10">
        <f>IF($F175="","",$F175*$O175)</f>
        <v/>
      </c>
      <c r="Q175" s="10" t="n"/>
      <c r="R175" s="10" t="n"/>
      <c r="S175" s="10" t="n"/>
      <c r="T175" s="10">
        <f>IF($P175="","",$P175+$Q175+$R175-$S175)</f>
        <v/>
      </c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3" t="n"/>
      <c r="P176" s="13">
        <f>IF($F176="","",$F176*$O176)</f>
        <v/>
      </c>
      <c r="Q176" s="13" t="n"/>
      <c r="R176" s="13" t="n"/>
      <c r="S176" s="13" t="n"/>
      <c r="T176" s="13">
        <f>IF($P176="","",$P176+$Q176+$R176-$S176)</f>
        <v/>
      </c>
      <c r="U176" s="12" t="n"/>
      <c r="V176" s="12" t="n"/>
      <c r="W176" s="12" t="n"/>
      <c r="X176" s="12" t="n"/>
      <c r="Y176" s="12" t="n"/>
      <c r="Z176" s="12" t="n"/>
      <c r="AA176" s="12" t="n"/>
    </row>
    <row r="177">
      <c r="O177" s="10" t="n"/>
      <c r="P177" s="10">
        <f>IF($F177="","",$F177*$O177)</f>
        <v/>
      </c>
      <c r="Q177" s="10" t="n"/>
      <c r="R177" s="10" t="n"/>
      <c r="S177" s="10" t="n"/>
      <c r="T177" s="10">
        <f>IF($P177="","",$P177+$Q177+$R177-$S177)</f>
        <v/>
      </c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3" t="n"/>
      <c r="P178" s="13">
        <f>IF($F178="","",$F178*$O178)</f>
        <v/>
      </c>
      <c r="Q178" s="13" t="n"/>
      <c r="R178" s="13" t="n"/>
      <c r="S178" s="13" t="n"/>
      <c r="T178" s="13">
        <f>IF($P178="","",$P178+$Q178+$R178-$S178)</f>
        <v/>
      </c>
      <c r="U178" s="12" t="n"/>
      <c r="V178" s="12" t="n"/>
      <c r="W178" s="12" t="n"/>
      <c r="X178" s="12" t="n"/>
      <c r="Y178" s="12" t="n"/>
      <c r="Z178" s="12" t="n"/>
      <c r="AA178" s="12" t="n"/>
    </row>
    <row r="179">
      <c r="O179" s="10" t="n"/>
      <c r="P179" s="10">
        <f>IF($F179="","",$F179*$O179)</f>
        <v/>
      </c>
      <c r="Q179" s="10" t="n"/>
      <c r="R179" s="10" t="n"/>
      <c r="S179" s="10" t="n"/>
      <c r="T179" s="10">
        <f>IF($P179="","",$P179+$Q179+$R179-$S179)</f>
        <v/>
      </c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3" t="n"/>
      <c r="P180" s="13">
        <f>IF($F180="","",$F180*$O180)</f>
        <v/>
      </c>
      <c r="Q180" s="13" t="n"/>
      <c r="R180" s="13" t="n"/>
      <c r="S180" s="13" t="n"/>
      <c r="T180" s="13">
        <f>IF($P180="","",$P180+$Q180+$R180-$S180)</f>
        <v/>
      </c>
      <c r="U180" s="12" t="n"/>
      <c r="V180" s="12" t="n"/>
      <c r="W180" s="12" t="n"/>
      <c r="X180" s="12" t="n"/>
      <c r="Y180" s="12" t="n"/>
      <c r="Z180" s="12" t="n"/>
      <c r="AA180" s="12" t="n"/>
    </row>
    <row r="181">
      <c r="O181" s="10" t="n"/>
      <c r="P181" s="10">
        <f>IF($F181="","",$F181*$O181)</f>
        <v/>
      </c>
      <c r="Q181" s="10" t="n"/>
      <c r="R181" s="10" t="n"/>
      <c r="S181" s="10" t="n"/>
      <c r="T181" s="10">
        <f>IF($P181="","",$P181+$Q181+$R181-$S181)</f>
        <v/>
      </c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3" t="n"/>
      <c r="P182" s="13">
        <f>IF($F182="","",$F182*$O182)</f>
        <v/>
      </c>
      <c r="Q182" s="13" t="n"/>
      <c r="R182" s="13" t="n"/>
      <c r="S182" s="13" t="n"/>
      <c r="T182" s="13">
        <f>IF($P182="","",$P182+$Q182+$R182-$S182)</f>
        <v/>
      </c>
      <c r="U182" s="12" t="n"/>
      <c r="V182" s="12" t="n"/>
      <c r="W182" s="12" t="n"/>
      <c r="X182" s="12" t="n"/>
      <c r="Y182" s="12" t="n"/>
      <c r="Z182" s="12" t="n"/>
      <c r="AA182" s="12" t="n"/>
    </row>
    <row r="183">
      <c r="O183" s="10" t="n"/>
      <c r="P183" s="10">
        <f>IF($F183="","",$F183*$O183)</f>
        <v/>
      </c>
      <c r="Q183" s="10" t="n"/>
      <c r="R183" s="10" t="n"/>
      <c r="S183" s="10" t="n"/>
      <c r="T183" s="10">
        <f>IF($P183="","",$P183+$Q183+$R183-$S183)</f>
        <v/>
      </c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3" t="n"/>
      <c r="P184" s="13">
        <f>IF($F184="","",$F184*$O184)</f>
        <v/>
      </c>
      <c r="Q184" s="13" t="n"/>
      <c r="R184" s="13" t="n"/>
      <c r="S184" s="13" t="n"/>
      <c r="T184" s="13">
        <f>IF($P184="","",$P184+$Q184+$R184-$S184)</f>
        <v/>
      </c>
      <c r="U184" s="12" t="n"/>
      <c r="V184" s="12" t="n"/>
      <c r="W184" s="12" t="n"/>
      <c r="X184" s="12" t="n"/>
      <c r="Y184" s="12" t="n"/>
      <c r="Z184" s="12" t="n"/>
      <c r="AA184" s="12" t="n"/>
    </row>
    <row r="185">
      <c r="O185" s="10" t="n"/>
      <c r="P185" s="10">
        <f>IF($F185="","",$F185*$O185)</f>
        <v/>
      </c>
      <c r="Q185" s="10" t="n"/>
      <c r="R185" s="10" t="n"/>
      <c r="S185" s="10" t="n"/>
      <c r="T185" s="10">
        <f>IF($P185="","",$P185+$Q185+$R185-$S185)</f>
        <v/>
      </c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3" t="n"/>
      <c r="P186" s="13">
        <f>IF($F186="","",$F186*$O186)</f>
        <v/>
      </c>
      <c r="Q186" s="13" t="n"/>
      <c r="R186" s="13" t="n"/>
      <c r="S186" s="13" t="n"/>
      <c r="T186" s="13">
        <f>IF($P186="","",$P186+$Q186+$R186-$S186)</f>
        <v/>
      </c>
      <c r="U186" s="12" t="n"/>
      <c r="V186" s="12" t="n"/>
      <c r="W186" s="12" t="n"/>
      <c r="X186" s="12" t="n"/>
      <c r="Y186" s="12" t="n"/>
      <c r="Z186" s="12" t="n"/>
      <c r="AA186" s="12" t="n"/>
    </row>
    <row r="187">
      <c r="O187" s="10" t="n"/>
      <c r="P187" s="10">
        <f>IF($F187="","",$F187*$O187)</f>
        <v/>
      </c>
      <c r="Q187" s="10" t="n"/>
      <c r="R187" s="10" t="n"/>
      <c r="S187" s="10" t="n"/>
      <c r="T187" s="10">
        <f>IF($P187="","",$P187+$Q187+$R187-$S187)</f>
        <v/>
      </c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3" t="n"/>
      <c r="P188" s="13">
        <f>IF($F188="","",$F188*$O188)</f>
        <v/>
      </c>
      <c r="Q188" s="13" t="n"/>
      <c r="R188" s="13" t="n"/>
      <c r="S188" s="13" t="n"/>
      <c r="T188" s="13">
        <f>IF($P188="","",$P188+$Q188+$R188-$S188)</f>
        <v/>
      </c>
      <c r="U188" s="12" t="n"/>
      <c r="V188" s="12" t="n"/>
      <c r="W188" s="12" t="n"/>
      <c r="X188" s="12" t="n"/>
      <c r="Y188" s="12" t="n"/>
      <c r="Z188" s="12" t="n"/>
      <c r="AA188" s="12" t="n"/>
    </row>
    <row r="189">
      <c r="O189" s="10" t="n"/>
      <c r="P189" s="10">
        <f>IF($F189="","",$F189*$O189)</f>
        <v/>
      </c>
      <c r="Q189" s="10" t="n"/>
      <c r="R189" s="10" t="n"/>
      <c r="S189" s="10" t="n"/>
      <c r="T189" s="10">
        <f>IF($P189="","",$P189+$Q189+$R189-$S189)</f>
        <v/>
      </c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3" t="n"/>
      <c r="P190" s="13">
        <f>IF($F190="","",$F190*$O190)</f>
        <v/>
      </c>
      <c r="Q190" s="13" t="n"/>
      <c r="R190" s="13" t="n"/>
      <c r="S190" s="13" t="n"/>
      <c r="T190" s="13">
        <f>IF($P190="","",$P190+$Q190+$R190-$S190)</f>
        <v/>
      </c>
      <c r="U190" s="12" t="n"/>
      <c r="V190" s="12" t="n"/>
      <c r="W190" s="12" t="n"/>
      <c r="X190" s="12" t="n"/>
      <c r="Y190" s="12" t="n"/>
      <c r="Z190" s="12" t="n"/>
      <c r="AA190" s="12" t="n"/>
    </row>
    <row r="191">
      <c r="O191" s="10" t="n"/>
      <c r="P191" s="10">
        <f>IF($F191="","",$F191*$O191)</f>
        <v/>
      </c>
      <c r="Q191" s="10" t="n"/>
      <c r="R191" s="10" t="n"/>
      <c r="S191" s="10" t="n"/>
      <c r="T191" s="10">
        <f>IF($P191="","",$P191+$Q191+$R191-$S191)</f>
        <v/>
      </c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3" t="n"/>
      <c r="P192" s="13">
        <f>IF($F192="","",$F192*$O192)</f>
        <v/>
      </c>
      <c r="Q192" s="13" t="n"/>
      <c r="R192" s="13" t="n"/>
      <c r="S192" s="13" t="n"/>
      <c r="T192" s="13">
        <f>IF($P192="","",$P192+$Q192+$R192-$S192)</f>
        <v/>
      </c>
      <c r="U192" s="12" t="n"/>
      <c r="V192" s="12" t="n"/>
      <c r="W192" s="12" t="n"/>
      <c r="X192" s="12" t="n"/>
      <c r="Y192" s="12" t="n"/>
      <c r="Z192" s="12" t="n"/>
      <c r="AA192" s="12" t="n"/>
    </row>
    <row r="193">
      <c r="O193" s="10" t="n"/>
      <c r="P193" s="10">
        <f>IF($F193="","",$F193*$O193)</f>
        <v/>
      </c>
      <c r="Q193" s="10" t="n"/>
      <c r="R193" s="10" t="n"/>
      <c r="S193" s="10" t="n"/>
      <c r="T193" s="10">
        <f>IF($P193="","",$P193+$Q193+$R193-$S193)</f>
        <v/>
      </c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3" t="n"/>
      <c r="P194" s="13">
        <f>IF($F194="","",$F194*$O194)</f>
        <v/>
      </c>
      <c r="Q194" s="13" t="n"/>
      <c r="R194" s="13" t="n"/>
      <c r="S194" s="13" t="n"/>
      <c r="T194" s="13">
        <f>IF($P194="","",$P194+$Q194+$R194-$S194)</f>
        <v/>
      </c>
      <c r="U194" s="12" t="n"/>
      <c r="V194" s="12" t="n"/>
      <c r="W194" s="12" t="n"/>
      <c r="X194" s="12" t="n"/>
      <c r="Y194" s="12" t="n"/>
      <c r="Z194" s="12" t="n"/>
      <c r="AA194" s="12" t="n"/>
    </row>
    <row r="195">
      <c r="O195" s="10" t="n"/>
      <c r="P195" s="10">
        <f>IF($F195="","",$F195*$O195)</f>
        <v/>
      </c>
      <c r="Q195" s="10" t="n"/>
      <c r="R195" s="10" t="n"/>
      <c r="S195" s="10" t="n"/>
      <c r="T195" s="10">
        <f>IF($P195="","",$P195+$Q195+$R195-$S195)</f>
        <v/>
      </c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3" t="n"/>
      <c r="P196" s="13">
        <f>IF($F196="","",$F196*$O196)</f>
        <v/>
      </c>
      <c r="Q196" s="13" t="n"/>
      <c r="R196" s="13" t="n"/>
      <c r="S196" s="13" t="n"/>
      <c r="T196" s="13">
        <f>IF($P196="","",$P196+$Q196+$R196-$S196)</f>
        <v/>
      </c>
      <c r="U196" s="12" t="n"/>
      <c r="V196" s="12" t="n"/>
      <c r="W196" s="12" t="n"/>
      <c r="X196" s="12" t="n"/>
      <c r="Y196" s="12" t="n"/>
      <c r="Z196" s="12" t="n"/>
      <c r="AA196" s="12" t="n"/>
    </row>
    <row r="197">
      <c r="O197" s="10" t="n"/>
      <c r="P197" s="10">
        <f>IF($F197="","",$F197*$O197)</f>
        <v/>
      </c>
      <c r="Q197" s="10" t="n"/>
      <c r="R197" s="10" t="n"/>
      <c r="S197" s="10" t="n"/>
      <c r="T197" s="10">
        <f>IF($P197="","",$P197+$Q197+$R197-$S197)</f>
        <v/>
      </c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3" t="n"/>
      <c r="P198" s="13">
        <f>IF($F198="","",$F198*$O198)</f>
        <v/>
      </c>
      <c r="Q198" s="13" t="n"/>
      <c r="R198" s="13" t="n"/>
      <c r="S198" s="13" t="n"/>
      <c r="T198" s="13">
        <f>IF($P198="","",$P198+$Q198+$R198-$S198)</f>
        <v/>
      </c>
      <c r="U198" s="12" t="n"/>
      <c r="V198" s="12" t="n"/>
      <c r="W198" s="12" t="n"/>
      <c r="X198" s="12" t="n"/>
      <c r="Y198" s="12" t="n"/>
      <c r="Z198" s="12" t="n"/>
      <c r="AA198" s="12" t="n"/>
    </row>
    <row r="199">
      <c r="O199" s="10" t="n"/>
      <c r="P199" s="10">
        <f>IF($F199="","",$F199*$O199)</f>
        <v/>
      </c>
      <c r="Q199" s="10" t="n"/>
      <c r="R199" s="10" t="n"/>
      <c r="S199" s="10" t="n"/>
      <c r="T199" s="10">
        <f>IF($P199="","",$P199+$Q199+$R199-$S199)</f>
        <v/>
      </c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3" t="n"/>
      <c r="P200" s="13">
        <f>IF($F200="","",$F200*$O200)</f>
        <v/>
      </c>
      <c r="Q200" s="13" t="n"/>
      <c r="R200" s="13" t="n"/>
      <c r="S200" s="13" t="n"/>
      <c r="T200" s="13">
        <f>IF($P200="","",$P200+$Q200+$R200-$S200)</f>
        <v/>
      </c>
      <c r="U200" s="12" t="n"/>
      <c r="V200" s="12" t="n"/>
      <c r="W200" s="12" t="n"/>
      <c r="X200" s="12" t="n"/>
      <c r="Y200" s="12" t="n"/>
      <c r="Z200" s="12" t="n"/>
      <c r="AA200" s="12" t="n"/>
    </row>
    <row r="201">
      <c r="O201" s="10" t="n"/>
      <c r="P201" s="10">
        <f>IF($F201="","",$F201*$O201)</f>
        <v/>
      </c>
      <c r="Q201" s="10" t="n"/>
      <c r="R201" s="10" t="n"/>
      <c r="S201" s="10" t="n"/>
      <c r="T201" s="10">
        <f>IF($P201="","",$P201+$Q201+$R201-$S201)</f>
        <v/>
      </c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3" t="n"/>
      <c r="P202" s="13">
        <f>IF($F202="","",$F202*$O202)</f>
        <v/>
      </c>
      <c r="Q202" s="13" t="n"/>
      <c r="R202" s="13" t="n"/>
      <c r="S202" s="13" t="n"/>
      <c r="T202" s="13">
        <f>IF($P202="","",$P202+$Q202+$R202-$S202)</f>
        <v/>
      </c>
      <c r="U202" s="12" t="n"/>
      <c r="V202" s="12" t="n"/>
      <c r="W202" s="12" t="n"/>
      <c r="X202" s="12" t="n"/>
      <c r="Y202" s="12" t="n"/>
      <c r="Z202" s="12" t="n"/>
      <c r="AA202" s="12" t="n"/>
    </row>
    <row r="203">
      <c r="O203" s="10" t="n"/>
      <c r="P203" s="10">
        <f>IF($F203="","",$F203*$O203)</f>
        <v/>
      </c>
      <c r="Q203" s="10" t="n"/>
      <c r="R203" s="10" t="n"/>
      <c r="S203" s="10" t="n"/>
      <c r="T203" s="10">
        <f>IF($P203="","",$P203+$Q203+$R203-$S203)</f>
        <v/>
      </c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3" t="n"/>
      <c r="P204" s="13">
        <f>IF($F204="","",$F204*$O204)</f>
        <v/>
      </c>
      <c r="Q204" s="13" t="n"/>
      <c r="R204" s="13" t="n"/>
      <c r="S204" s="13" t="n"/>
      <c r="T204" s="13">
        <f>IF($P204="","",$P204+$Q204+$R204-$S204)</f>
        <v/>
      </c>
      <c r="U204" s="12" t="n"/>
      <c r="V204" s="12" t="n"/>
      <c r="W204" s="12" t="n"/>
      <c r="X204" s="12" t="n"/>
      <c r="Y204" s="12" t="n"/>
      <c r="Z204" s="12" t="n"/>
      <c r="AA204" s="12" t="n"/>
    </row>
    <row r="205">
      <c r="O205" s="10" t="n"/>
      <c r="P205" s="10">
        <f>IF($F205="","",$F205*$O205)</f>
        <v/>
      </c>
      <c r="Q205" s="10" t="n"/>
      <c r="R205" s="10" t="n"/>
      <c r="S205" s="10" t="n"/>
      <c r="T205" s="10">
        <f>IF($P205="","",$P205+$Q205+$R205-$S205)</f>
        <v/>
      </c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3" t="n"/>
      <c r="P206" s="13">
        <f>IF($F206="","",$F206*$O206)</f>
        <v/>
      </c>
      <c r="Q206" s="13" t="n"/>
      <c r="R206" s="13" t="n"/>
      <c r="S206" s="13" t="n"/>
      <c r="T206" s="13">
        <f>IF($P206="","",$P206+$Q206+$R206-$S206)</f>
        <v/>
      </c>
      <c r="U206" s="12" t="n"/>
      <c r="V206" s="12" t="n"/>
      <c r="W206" s="12" t="n"/>
      <c r="X206" s="12" t="n"/>
      <c r="Y206" s="12" t="n"/>
      <c r="Z206" s="12" t="n"/>
      <c r="AA206" s="12" t="n"/>
    </row>
    <row r="207">
      <c r="O207" s="10" t="n"/>
      <c r="P207" s="10">
        <f>IF($F207="","",$F207*$O207)</f>
        <v/>
      </c>
      <c r="Q207" s="10" t="n"/>
      <c r="R207" s="10" t="n"/>
      <c r="S207" s="10" t="n"/>
      <c r="T207" s="10">
        <f>IF($P207="","",$P207+$Q207+$R207-$S207)</f>
        <v/>
      </c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3" t="n"/>
      <c r="P208" s="13">
        <f>IF($F208="","",$F208*$O208)</f>
        <v/>
      </c>
      <c r="Q208" s="13" t="n"/>
      <c r="R208" s="13" t="n"/>
      <c r="S208" s="13" t="n"/>
      <c r="T208" s="13">
        <f>IF($P208="","",$P208+$Q208+$R208-$S208)</f>
        <v/>
      </c>
      <c r="U208" s="12" t="n"/>
      <c r="V208" s="12" t="n"/>
      <c r="W208" s="12" t="n"/>
      <c r="X208" s="12" t="n"/>
      <c r="Y208" s="12" t="n"/>
      <c r="Z208" s="12" t="n"/>
      <c r="AA208" s="12" t="n"/>
    </row>
    <row r="209">
      <c r="O209" s="10" t="n"/>
      <c r="P209" s="10">
        <f>IF($F209="","",$F209*$O209)</f>
        <v/>
      </c>
      <c r="Q209" s="10" t="n"/>
      <c r="R209" s="10" t="n"/>
      <c r="S209" s="10" t="n"/>
      <c r="T209" s="10">
        <f>IF($P209="","",$P209+$Q209+$R209-$S209)</f>
        <v/>
      </c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3" t="n"/>
      <c r="P210" s="13">
        <f>IF($F210="","",$F210*$O210)</f>
        <v/>
      </c>
      <c r="Q210" s="13" t="n"/>
      <c r="R210" s="13" t="n"/>
      <c r="S210" s="13" t="n"/>
      <c r="T210" s="13">
        <f>IF($P210="","",$P210+$Q210+$R210-$S210)</f>
        <v/>
      </c>
      <c r="U210" s="12" t="n"/>
      <c r="V210" s="12" t="n"/>
      <c r="W210" s="12" t="n"/>
      <c r="X210" s="12" t="n"/>
      <c r="Y210" s="12" t="n"/>
      <c r="Z210" s="12" t="n"/>
      <c r="AA210" s="12" t="n"/>
    </row>
    <row r="211">
      <c r="O211" s="10" t="n"/>
      <c r="P211" s="10">
        <f>IF($F211="","",$F211*$O211)</f>
        <v/>
      </c>
      <c r="Q211" s="10" t="n"/>
      <c r="R211" s="10" t="n"/>
      <c r="S211" s="10" t="n"/>
      <c r="T211" s="10">
        <f>IF($P211="","",$P211+$Q211+$R211-$S211)</f>
        <v/>
      </c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3" t="n"/>
      <c r="P212" s="13">
        <f>IF($F212="","",$F212*$O212)</f>
        <v/>
      </c>
      <c r="Q212" s="13" t="n"/>
      <c r="R212" s="13" t="n"/>
      <c r="S212" s="13" t="n"/>
      <c r="T212" s="13">
        <f>IF($P212="","",$P212+$Q212+$R212-$S212)</f>
        <v/>
      </c>
      <c r="U212" s="12" t="n"/>
      <c r="V212" s="12" t="n"/>
      <c r="W212" s="12" t="n"/>
      <c r="X212" s="12" t="n"/>
      <c r="Y212" s="12" t="n"/>
      <c r="Z212" s="12" t="n"/>
      <c r="AA212" s="12" t="n"/>
    </row>
    <row r="213">
      <c r="O213" s="10" t="n"/>
      <c r="P213" s="10">
        <f>IF($F213="","",$F213*$O213)</f>
        <v/>
      </c>
      <c r="Q213" s="10" t="n"/>
      <c r="R213" s="10" t="n"/>
      <c r="S213" s="10" t="n"/>
      <c r="T213" s="10">
        <f>IF($P213="","",$P213+$Q213+$R213-$S213)</f>
        <v/>
      </c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3" t="n"/>
      <c r="P214" s="13">
        <f>IF($F214="","",$F214*$O214)</f>
        <v/>
      </c>
      <c r="Q214" s="13" t="n"/>
      <c r="R214" s="13" t="n"/>
      <c r="S214" s="13" t="n"/>
      <c r="T214" s="13">
        <f>IF($P214="","",$P214+$Q214+$R214-$S214)</f>
        <v/>
      </c>
      <c r="U214" s="12" t="n"/>
      <c r="V214" s="12" t="n"/>
      <c r="W214" s="12" t="n"/>
      <c r="X214" s="12" t="n"/>
      <c r="Y214" s="12" t="n"/>
      <c r="Z214" s="12" t="n"/>
      <c r="AA214" s="12" t="n"/>
    </row>
    <row r="215">
      <c r="O215" s="10" t="n"/>
      <c r="P215" s="10">
        <f>IF($F215="","",$F215*$O215)</f>
        <v/>
      </c>
      <c r="Q215" s="10" t="n"/>
      <c r="R215" s="10" t="n"/>
      <c r="S215" s="10" t="n"/>
      <c r="T215" s="10">
        <f>IF($P215="","",$P215+$Q215+$R215-$S215)</f>
        <v/>
      </c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3" t="n"/>
      <c r="P216" s="13">
        <f>IF($F216="","",$F216*$O216)</f>
        <v/>
      </c>
      <c r="Q216" s="13" t="n"/>
      <c r="R216" s="13" t="n"/>
      <c r="S216" s="13" t="n"/>
      <c r="T216" s="13">
        <f>IF($P216="","",$P216+$Q216+$R216-$S216)</f>
        <v/>
      </c>
      <c r="U216" s="12" t="n"/>
      <c r="V216" s="12" t="n"/>
      <c r="W216" s="12" t="n"/>
      <c r="X216" s="12" t="n"/>
      <c r="Y216" s="12" t="n"/>
      <c r="Z216" s="12" t="n"/>
      <c r="AA216" s="12" t="n"/>
    </row>
    <row r="217">
      <c r="O217" s="10" t="n"/>
      <c r="P217" s="10">
        <f>IF($F217="","",$F217*$O217)</f>
        <v/>
      </c>
      <c r="Q217" s="10" t="n"/>
      <c r="R217" s="10" t="n"/>
      <c r="S217" s="10" t="n"/>
      <c r="T217" s="10">
        <f>IF($P217="","",$P217+$Q217+$R217-$S217)</f>
        <v/>
      </c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3" t="n"/>
      <c r="P218" s="13">
        <f>IF($F218="","",$F218*$O218)</f>
        <v/>
      </c>
      <c r="Q218" s="13" t="n"/>
      <c r="R218" s="13" t="n"/>
      <c r="S218" s="13" t="n"/>
      <c r="T218" s="13">
        <f>IF($P218="","",$P218+$Q218+$R218-$S218)</f>
        <v/>
      </c>
      <c r="U218" s="12" t="n"/>
      <c r="V218" s="12" t="n"/>
      <c r="W218" s="12" t="n"/>
      <c r="X218" s="12" t="n"/>
      <c r="Y218" s="12" t="n"/>
      <c r="Z218" s="12" t="n"/>
      <c r="AA218" s="12" t="n"/>
    </row>
    <row r="219">
      <c r="O219" s="10" t="n"/>
      <c r="P219" s="10">
        <f>IF($F219="","",$F219*$O219)</f>
        <v/>
      </c>
      <c r="Q219" s="10" t="n"/>
      <c r="R219" s="10" t="n"/>
      <c r="S219" s="10" t="n"/>
      <c r="T219" s="10">
        <f>IF($P219="","",$P219+$Q219+$R219-$S219)</f>
        <v/>
      </c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3" t="n"/>
      <c r="P220" s="13">
        <f>IF($F220="","",$F220*$O220)</f>
        <v/>
      </c>
      <c r="Q220" s="13" t="n"/>
      <c r="R220" s="13" t="n"/>
      <c r="S220" s="13" t="n"/>
      <c r="T220" s="13">
        <f>IF($P220="","",$P220+$Q220+$R220-$S220)</f>
        <v/>
      </c>
      <c r="U220" s="12" t="n"/>
      <c r="V220" s="12" t="n"/>
      <c r="W220" s="12" t="n"/>
      <c r="X220" s="12" t="n"/>
      <c r="Y220" s="12" t="n"/>
      <c r="Z220" s="12" t="n"/>
      <c r="AA220" s="12" t="n"/>
    </row>
    <row r="221">
      <c r="O221" s="10" t="n"/>
      <c r="P221" s="10">
        <f>IF($F221="","",$F221*$O221)</f>
        <v/>
      </c>
      <c r="Q221" s="10" t="n"/>
      <c r="R221" s="10" t="n"/>
      <c r="S221" s="10" t="n"/>
      <c r="T221" s="10">
        <f>IF($P221="","",$P221+$Q221+$R221-$S221)</f>
        <v/>
      </c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3" t="n"/>
      <c r="P222" s="13">
        <f>IF($F222="","",$F222*$O222)</f>
        <v/>
      </c>
      <c r="Q222" s="13" t="n"/>
      <c r="R222" s="13" t="n"/>
      <c r="S222" s="13" t="n"/>
      <c r="T222" s="13">
        <f>IF($P222="","",$P222+$Q222+$R222-$S222)</f>
        <v/>
      </c>
      <c r="U222" s="12" t="n"/>
      <c r="V222" s="12" t="n"/>
      <c r="W222" s="12" t="n"/>
      <c r="X222" s="12" t="n"/>
      <c r="Y222" s="12" t="n"/>
      <c r="Z222" s="12" t="n"/>
      <c r="AA222" s="12" t="n"/>
    </row>
    <row r="223">
      <c r="O223" s="10" t="n"/>
      <c r="P223" s="10">
        <f>IF($F223="","",$F223*$O223)</f>
        <v/>
      </c>
      <c r="Q223" s="10" t="n"/>
      <c r="R223" s="10" t="n"/>
      <c r="S223" s="10" t="n"/>
      <c r="T223" s="10">
        <f>IF($P223="","",$P223+$Q223+$R223-$S223)</f>
        <v/>
      </c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3" t="n"/>
      <c r="P224" s="13">
        <f>IF($F224="","",$F224*$O224)</f>
        <v/>
      </c>
      <c r="Q224" s="13" t="n"/>
      <c r="R224" s="13" t="n"/>
      <c r="S224" s="13" t="n"/>
      <c r="T224" s="13">
        <f>IF($P224="","",$P224+$Q224+$R224-$S224)</f>
        <v/>
      </c>
      <c r="U224" s="12" t="n"/>
      <c r="V224" s="12" t="n"/>
      <c r="W224" s="12" t="n"/>
      <c r="X224" s="12" t="n"/>
      <c r="Y224" s="12" t="n"/>
      <c r="Z224" s="12" t="n"/>
      <c r="AA224" s="12" t="n"/>
    </row>
    <row r="225">
      <c r="O225" s="10" t="n"/>
      <c r="P225" s="10">
        <f>IF($F225="","",$F225*$O225)</f>
        <v/>
      </c>
      <c r="Q225" s="10" t="n"/>
      <c r="R225" s="10" t="n"/>
      <c r="S225" s="10" t="n"/>
      <c r="T225" s="10">
        <f>IF($P225="","",$P225+$Q225+$R225-$S225)</f>
        <v/>
      </c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3" t="n"/>
      <c r="P226" s="13">
        <f>IF($F226="","",$F226*$O226)</f>
        <v/>
      </c>
      <c r="Q226" s="13" t="n"/>
      <c r="R226" s="13" t="n"/>
      <c r="S226" s="13" t="n"/>
      <c r="T226" s="13">
        <f>IF($P226="","",$P226+$Q226+$R226-$S226)</f>
        <v/>
      </c>
      <c r="U226" s="12" t="n"/>
      <c r="V226" s="12" t="n"/>
      <c r="W226" s="12" t="n"/>
      <c r="X226" s="12" t="n"/>
      <c r="Y226" s="12" t="n"/>
      <c r="Z226" s="12" t="n"/>
      <c r="AA226" s="12" t="n"/>
    </row>
    <row r="227">
      <c r="O227" s="10" t="n"/>
      <c r="P227" s="10">
        <f>IF($F227="","",$F227*$O227)</f>
        <v/>
      </c>
      <c r="Q227" s="10" t="n"/>
      <c r="R227" s="10" t="n"/>
      <c r="S227" s="10" t="n"/>
      <c r="T227" s="10">
        <f>IF($P227="","",$P227+$Q227+$R227-$S227)</f>
        <v/>
      </c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3" t="n"/>
      <c r="P228" s="13">
        <f>IF($F228="","",$F228*$O228)</f>
        <v/>
      </c>
      <c r="Q228" s="13" t="n"/>
      <c r="R228" s="13" t="n"/>
      <c r="S228" s="13" t="n"/>
      <c r="T228" s="13">
        <f>IF($P228="","",$P228+$Q228+$R228-$S228)</f>
        <v/>
      </c>
      <c r="U228" s="12" t="n"/>
      <c r="V228" s="12" t="n"/>
      <c r="W228" s="12" t="n"/>
      <c r="X228" s="12" t="n"/>
      <c r="Y228" s="12" t="n"/>
      <c r="Z228" s="12" t="n"/>
      <c r="AA228" s="12" t="n"/>
    </row>
    <row r="229">
      <c r="O229" s="10" t="n"/>
      <c r="P229" s="10">
        <f>IF($F229="","",$F229*$O229)</f>
        <v/>
      </c>
      <c r="Q229" s="10" t="n"/>
      <c r="R229" s="10" t="n"/>
      <c r="S229" s="10" t="n"/>
      <c r="T229" s="10">
        <f>IF($P229="","",$P229+$Q229+$R229-$S229)</f>
        <v/>
      </c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3" t="n"/>
      <c r="P230" s="13">
        <f>IF($F230="","",$F230*$O230)</f>
        <v/>
      </c>
      <c r="Q230" s="13" t="n"/>
      <c r="R230" s="13" t="n"/>
      <c r="S230" s="13" t="n"/>
      <c r="T230" s="13">
        <f>IF($P230="","",$P230+$Q230+$R230-$S230)</f>
        <v/>
      </c>
      <c r="U230" s="12" t="n"/>
      <c r="V230" s="12" t="n"/>
      <c r="W230" s="12" t="n"/>
      <c r="X230" s="12" t="n"/>
      <c r="Y230" s="12" t="n"/>
      <c r="Z230" s="12" t="n"/>
      <c r="AA230" s="12" t="n"/>
    </row>
    <row r="231">
      <c r="O231" s="10" t="n"/>
      <c r="P231" s="10">
        <f>IF($F231="","",$F231*$O231)</f>
        <v/>
      </c>
      <c r="Q231" s="10" t="n"/>
      <c r="R231" s="10" t="n"/>
      <c r="S231" s="10" t="n"/>
      <c r="T231" s="10">
        <f>IF($P231="","",$P231+$Q231+$R231-$S231)</f>
        <v/>
      </c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3" t="n"/>
      <c r="P232" s="13">
        <f>IF($F232="","",$F232*$O232)</f>
        <v/>
      </c>
      <c r="Q232" s="13" t="n"/>
      <c r="R232" s="13" t="n"/>
      <c r="S232" s="13" t="n"/>
      <c r="T232" s="13">
        <f>IF($P232="","",$P232+$Q232+$R232-$S232)</f>
        <v/>
      </c>
      <c r="U232" s="12" t="n"/>
      <c r="V232" s="12" t="n"/>
      <c r="W232" s="12" t="n"/>
      <c r="X232" s="12" t="n"/>
      <c r="Y232" s="12" t="n"/>
      <c r="Z232" s="12" t="n"/>
      <c r="AA232" s="12" t="n"/>
    </row>
    <row r="233">
      <c r="O233" s="10" t="n"/>
      <c r="P233" s="10">
        <f>IF($F233="","",$F233*$O233)</f>
        <v/>
      </c>
      <c r="Q233" s="10" t="n"/>
      <c r="R233" s="10" t="n"/>
      <c r="S233" s="10" t="n"/>
      <c r="T233" s="10">
        <f>IF($P233="","",$P233+$Q233+$R233-$S233)</f>
        <v/>
      </c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3" t="n"/>
      <c r="P234" s="13">
        <f>IF($F234="","",$F234*$O234)</f>
        <v/>
      </c>
      <c r="Q234" s="13" t="n"/>
      <c r="R234" s="13" t="n"/>
      <c r="S234" s="13" t="n"/>
      <c r="T234" s="13">
        <f>IF($P234="","",$P234+$Q234+$R234-$S234)</f>
        <v/>
      </c>
      <c r="U234" s="12" t="n"/>
      <c r="V234" s="12" t="n"/>
      <c r="W234" s="12" t="n"/>
      <c r="X234" s="12" t="n"/>
      <c r="Y234" s="12" t="n"/>
      <c r="Z234" s="12" t="n"/>
      <c r="AA234" s="12" t="n"/>
    </row>
    <row r="235">
      <c r="O235" s="10" t="n"/>
      <c r="P235" s="10">
        <f>IF($F235="","",$F235*$O235)</f>
        <v/>
      </c>
      <c r="Q235" s="10" t="n"/>
      <c r="R235" s="10" t="n"/>
      <c r="S235" s="10" t="n"/>
      <c r="T235" s="10">
        <f>IF($P235="","",$P235+$Q235+$R235-$S235)</f>
        <v/>
      </c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3" t="n"/>
      <c r="P236" s="13">
        <f>IF($F236="","",$F236*$O236)</f>
        <v/>
      </c>
      <c r="Q236" s="13" t="n"/>
      <c r="R236" s="13" t="n"/>
      <c r="S236" s="13" t="n"/>
      <c r="T236" s="13">
        <f>IF($P236="","",$P236+$Q236+$R236-$S236)</f>
        <v/>
      </c>
      <c r="U236" s="12" t="n"/>
      <c r="V236" s="12" t="n"/>
      <c r="W236" s="12" t="n"/>
      <c r="X236" s="12" t="n"/>
      <c r="Y236" s="12" t="n"/>
      <c r="Z236" s="12" t="n"/>
      <c r="AA236" s="12" t="n"/>
    </row>
    <row r="237">
      <c r="O237" s="10" t="n"/>
      <c r="P237" s="10">
        <f>IF($F237="","",$F237*$O237)</f>
        <v/>
      </c>
      <c r="Q237" s="10" t="n"/>
      <c r="R237" s="10" t="n"/>
      <c r="S237" s="10" t="n"/>
      <c r="T237" s="10">
        <f>IF($P237="","",$P237+$Q237+$R237-$S237)</f>
        <v/>
      </c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3" t="n"/>
      <c r="P238" s="13">
        <f>IF($F238="","",$F238*$O238)</f>
        <v/>
      </c>
      <c r="Q238" s="13" t="n"/>
      <c r="R238" s="13" t="n"/>
      <c r="S238" s="13" t="n"/>
      <c r="T238" s="13">
        <f>IF($P238="","",$P238+$Q238+$R238-$S238)</f>
        <v/>
      </c>
      <c r="U238" s="12" t="n"/>
      <c r="V238" s="12" t="n"/>
      <c r="W238" s="12" t="n"/>
      <c r="X238" s="12" t="n"/>
      <c r="Y238" s="12" t="n"/>
      <c r="Z238" s="12" t="n"/>
      <c r="AA238" s="12" t="n"/>
    </row>
    <row r="239">
      <c r="O239" s="10" t="n"/>
      <c r="P239" s="10">
        <f>IF($F239="","",$F239*$O239)</f>
        <v/>
      </c>
      <c r="Q239" s="10" t="n"/>
      <c r="R239" s="10" t="n"/>
      <c r="S239" s="10" t="n"/>
      <c r="T239" s="10">
        <f>IF($P239="","",$P239+$Q239+$R239-$S239)</f>
        <v/>
      </c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3" t="n"/>
      <c r="P240" s="13">
        <f>IF($F240="","",$F240*$O240)</f>
        <v/>
      </c>
      <c r="Q240" s="13" t="n"/>
      <c r="R240" s="13" t="n"/>
      <c r="S240" s="13" t="n"/>
      <c r="T240" s="13">
        <f>IF($P240="","",$P240+$Q240+$R240-$S240)</f>
        <v/>
      </c>
      <c r="U240" s="12" t="n"/>
      <c r="V240" s="12" t="n"/>
      <c r="W240" s="12" t="n"/>
      <c r="X240" s="12" t="n"/>
      <c r="Y240" s="12" t="n"/>
      <c r="Z240" s="12" t="n"/>
      <c r="AA240" s="12" t="n"/>
    </row>
    <row r="241">
      <c r="O241" s="10" t="n"/>
      <c r="P241" s="10">
        <f>IF($F241="","",$F241*$O241)</f>
        <v/>
      </c>
      <c r="Q241" s="10" t="n"/>
      <c r="R241" s="10" t="n"/>
      <c r="S241" s="10" t="n"/>
      <c r="T241" s="10">
        <f>IF($P241="","",$P241+$Q241+$R241-$S241)</f>
        <v/>
      </c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3" t="n"/>
      <c r="P242" s="13">
        <f>IF($F242="","",$F242*$O242)</f>
        <v/>
      </c>
      <c r="Q242" s="13" t="n"/>
      <c r="R242" s="13" t="n"/>
      <c r="S242" s="13" t="n"/>
      <c r="T242" s="13">
        <f>IF($P242="","",$P242+$Q242+$R242-$S242)</f>
        <v/>
      </c>
      <c r="U242" s="12" t="n"/>
      <c r="V242" s="12" t="n"/>
      <c r="W242" s="12" t="n"/>
      <c r="X242" s="12" t="n"/>
      <c r="Y242" s="12" t="n"/>
      <c r="Z242" s="12" t="n"/>
      <c r="AA242" s="12" t="n"/>
    </row>
    <row r="243">
      <c r="O243" s="10" t="n"/>
      <c r="P243" s="10">
        <f>IF($F243="","",$F243*$O243)</f>
        <v/>
      </c>
      <c r="Q243" s="10" t="n"/>
      <c r="R243" s="10" t="n"/>
      <c r="S243" s="10" t="n"/>
      <c r="T243" s="10">
        <f>IF($P243="","",$P243+$Q243+$R243-$S243)</f>
        <v/>
      </c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3" t="n"/>
      <c r="P244" s="13">
        <f>IF($F244="","",$F244*$O244)</f>
        <v/>
      </c>
      <c r="Q244" s="13" t="n"/>
      <c r="R244" s="13" t="n"/>
      <c r="S244" s="13" t="n"/>
      <c r="T244" s="13">
        <f>IF($P244="","",$P244+$Q244+$R244-$S244)</f>
        <v/>
      </c>
      <c r="U244" s="12" t="n"/>
      <c r="V244" s="12" t="n"/>
      <c r="W244" s="12" t="n"/>
      <c r="X244" s="12" t="n"/>
      <c r="Y244" s="12" t="n"/>
      <c r="Z244" s="12" t="n"/>
      <c r="AA244" s="12" t="n"/>
    </row>
    <row r="245">
      <c r="O245" s="10" t="n"/>
      <c r="P245" s="10">
        <f>IF($F245="","",$F245*$O245)</f>
        <v/>
      </c>
      <c r="Q245" s="10" t="n"/>
      <c r="R245" s="10" t="n"/>
      <c r="S245" s="10" t="n"/>
      <c r="T245" s="10">
        <f>IF($P245="","",$P245+$Q245+$R245-$S245)</f>
        <v/>
      </c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3" t="n"/>
      <c r="P246" s="13">
        <f>IF($F246="","",$F246*$O246)</f>
        <v/>
      </c>
      <c r="Q246" s="13" t="n"/>
      <c r="R246" s="13" t="n"/>
      <c r="S246" s="13" t="n"/>
      <c r="T246" s="13">
        <f>IF($P246="","",$P246+$Q246+$R246-$S246)</f>
        <v/>
      </c>
      <c r="U246" s="12" t="n"/>
      <c r="V246" s="12" t="n"/>
      <c r="W246" s="12" t="n"/>
      <c r="X246" s="12" t="n"/>
      <c r="Y246" s="12" t="n"/>
      <c r="Z246" s="12" t="n"/>
      <c r="AA246" s="12" t="n"/>
    </row>
    <row r="247">
      <c r="O247" s="10" t="n"/>
      <c r="P247" s="10">
        <f>IF($F247="","",$F247*$O247)</f>
        <v/>
      </c>
      <c r="Q247" s="10" t="n"/>
      <c r="R247" s="10" t="n"/>
      <c r="S247" s="10" t="n"/>
      <c r="T247" s="10">
        <f>IF($P247="","",$P247+$Q247+$R247-$S247)</f>
        <v/>
      </c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3" t="n"/>
      <c r="P248" s="13">
        <f>IF($F248="","",$F248*$O248)</f>
        <v/>
      </c>
      <c r="Q248" s="13" t="n"/>
      <c r="R248" s="13" t="n"/>
      <c r="S248" s="13" t="n"/>
      <c r="T248" s="13">
        <f>IF($P248="","",$P248+$Q248+$R248-$S248)</f>
        <v/>
      </c>
      <c r="U248" s="12" t="n"/>
      <c r="V248" s="12" t="n"/>
      <c r="W248" s="12" t="n"/>
      <c r="X248" s="12" t="n"/>
      <c r="Y248" s="12" t="n"/>
      <c r="Z248" s="12" t="n"/>
      <c r="AA248" s="12" t="n"/>
    </row>
    <row r="249">
      <c r="O249" s="10" t="n"/>
      <c r="P249" s="10">
        <f>IF($F249="","",$F249*$O249)</f>
        <v/>
      </c>
      <c r="Q249" s="10" t="n"/>
      <c r="R249" s="10" t="n"/>
      <c r="S249" s="10" t="n"/>
      <c r="T249" s="10">
        <f>IF($P249="","",$P249+$Q249+$R249-$S249)</f>
        <v/>
      </c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3" t="n"/>
      <c r="P250" s="13">
        <f>IF($F250="","",$F250*$O250)</f>
        <v/>
      </c>
      <c r="Q250" s="13" t="n"/>
      <c r="R250" s="13" t="n"/>
      <c r="S250" s="13" t="n"/>
      <c r="T250" s="13">
        <f>IF($P250="","",$P250+$Q250+$R250-$S250)</f>
        <v/>
      </c>
      <c r="U250" s="12" t="n"/>
      <c r="V250" s="12" t="n"/>
      <c r="W250" s="12" t="n"/>
      <c r="X250" s="12" t="n"/>
      <c r="Y250" s="12" t="n"/>
      <c r="Z250" s="12" t="n"/>
      <c r="AA250" s="12" t="n"/>
    </row>
    <row r="251">
      <c r="O251" s="10" t="n"/>
      <c r="P251" s="10">
        <f>IF($F251="","",$F251*$O251)</f>
        <v/>
      </c>
      <c r="Q251" s="10" t="n"/>
      <c r="R251" s="10" t="n"/>
      <c r="S251" s="10" t="n"/>
      <c r="T251" s="10">
        <f>IF($P251="","",$P251+$Q251+$R251-$S251)</f>
        <v/>
      </c>
    </row>
  </sheetData>
  <autoFilter ref="A1:AA251"/>
  <conditionalFormatting sqref="A2:AA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7">
    <dataValidation sqref="C2:C251" showDropDown="0" showInputMessage="0" showErrorMessage="0" allowBlank="1" type="list">
      <formula1>='Lists'!$H$2:$H$19</formula1>
    </dataValidation>
    <dataValidation sqref="V2:V251" showDropDown="0" showInputMessage="0" showErrorMessage="0" allowBlank="1" type="list">
      <formula1>='Lists'!$J$2:$J$10</formula1>
    </dataValidation>
    <dataValidation sqref="W2:W251" showDropDown="0" showInputMessage="0" showErrorMessage="0" allowBlank="1" type="list">
      <formula1>='Lists'!$K$2:$K$8</formula1>
    </dataValidation>
    <dataValidation sqref="X2:X251" showDropDown="0" showInputMessage="0" showErrorMessage="0" allowBlank="1" type="list">
      <formula1>='Lists'!$L$2:$L$9</formula1>
    </dataValidation>
    <dataValidation sqref="Y2:Y251" showDropDown="0" showInputMessage="0" showErrorMessage="0" allowBlank="1" type="list">
      <formula1>='Lists'!$M$2:$M$7</formula1>
    </dataValidation>
    <dataValidation sqref="B2:B251" showDropDown="0" showInputMessage="0" showErrorMessage="0" allowBlank="1" type="list">
      <formula1>='Room List'!$A$2:$A$251</formula1>
    </dataValidation>
    <dataValidation sqref="K2:K251" showDropDown="0" showInputMessage="0" showErrorMessage="0" allowBlank="1" type="list">
      <formula1>='Vendor &amp; Supplier Database'!$A$2:$A$251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42" customHeight="1">
      <c r="A1" s="11" t="inlineStr">
        <is>
          <t>Room</t>
        </is>
      </c>
      <c r="B1" s="11" t="inlineStr">
        <is>
          <t>Furniture item</t>
        </is>
      </c>
      <c r="C1" s="11" t="inlineStr">
        <is>
          <t>Dimensions</t>
        </is>
      </c>
      <c r="D1" s="11" t="inlineStr">
        <is>
          <t>Quantity</t>
        </is>
      </c>
      <c r="E1" s="11" t="inlineStr">
        <is>
          <t>Vendor</t>
        </is>
      </c>
      <c r="F1" s="11" t="inlineStr">
        <is>
          <t>Product link</t>
        </is>
      </c>
      <c r="G1" s="11" t="inlineStr">
        <is>
          <t>Fabric/material</t>
        </is>
      </c>
      <c r="H1" s="11" t="inlineStr">
        <is>
          <t>Finish</t>
        </is>
      </c>
      <c r="I1" s="11" t="inlineStr">
        <is>
          <t>Cost</t>
        </is>
      </c>
      <c r="J1" s="11" t="inlineStr">
        <is>
          <t>Approval status</t>
        </is>
      </c>
      <c r="K1" s="11" t="inlineStr">
        <is>
          <t>Order status</t>
        </is>
      </c>
      <c r="L1" s="11" t="inlineStr">
        <is>
          <t>Delivery date</t>
        </is>
      </c>
      <c r="M1" s="11" t="inlineStr">
        <is>
          <t>Install date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3" t="n"/>
      <c r="J2" s="12" t="n"/>
      <c r="K2" s="12" t="n"/>
      <c r="L2" s="14" t="n"/>
      <c r="M2" s="14" t="n"/>
    </row>
    <row r="3">
      <c r="I3" s="10" t="n"/>
      <c r="L3" s="9" t="n"/>
      <c r="M3" s="9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3" t="n"/>
      <c r="J4" s="12" t="n"/>
      <c r="K4" s="12" t="n"/>
      <c r="L4" s="14" t="n"/>
      <c r="M4" s="14" t="n"/>
    </row>
    <row r="5">
      <c r="I5" s="10" t="n"/>
      <c r="L5" s="9" t="n"/>
      <c r="M5" s="9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3" t="n"/>
      <c r="J6" s="12" t="n"/>
      <c r="K6" s="12" t="n"/>
      <c r="L6" s="14" t="n"/>
      <c r="M6" s="14" t="n"/>
    </row>
    <row r="7">
      <c r="I7" s="10" t="n"/>
      <c r="L7" s="9" t="n"/>
      <c r="M7" s="9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3" t="n"/>
      <c r="J8" s="12" t="n"/>
      <c r="K8" s="12" t="n"/>
      <c r="L8" s="14" t="n"/>
      <c r="M8" s="14" t="n"/>
    </row>
    <row r="9">
      <c r="I9" s="10" t="n"/>
      <c r="L9" s="9" t="n"/>
      <c r="M9" s="9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3" t="n"/>
      <c r="J10" s="12" t="n"/>
      <c r="K10" s="12" t="n"/>
      <c r="L10" s="14" t="n"/>
      <c r="M10" s="14" t="n"/>
    </row>
    <row r="11">
      <c r="I11" s="10" t="n"/>
      <c r="L11" s="9" t="n"/>
      <c r="M11" s="9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3" t="n"/>
      <c r="J12" s="12" t="n"/>
      <c r="K12" s="12" t="n"/>
      <c r="L12" s="14" t="n"/>
      <c r="M12" s="14" t="n"/>
    </row>
    <row r="13">
      <c r="I13" s="10" t="n"/>
      <c r="L13" s="9" t="n"/>
      <c r="M13" s="9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3" t="n"/>
      <c r="J14" s="12" t="n"/>
      <c r="K14" s="12" t="n"/>
      <c r="L14" s="14" t="n"/>
      <c r="M14" s="14" t="n"/>
    </row>
    <row r="15">
      <c r="I15" s="10" t="n"/>
      <c r="L15" s="9" t="n"/>
      <c r="M15" s="9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3" t="n"/>
      <c r="J16" s="12" t="n"/>
      <c r="K16" s="12" t="n"/>
      <c r="L16" s="14" t="n"/>
      <c r="M16" s="14" t="n"/>
    </row>
    <row r="17">
      <c r="I17" s="10" t="n"/>
      <c r="L17" s="9" t="n"/>
      <c r="M17" s="9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3" t="n"/>
      <c r="J18" s="12" t="n"/>
      <c r="K18" s="12" t="n"/>
      <c r="L18" s="14" t="n"/>
      <c r="M18" s="14" t="n"/>
    </row>
    <row r="19">
      <c r="I19" s="10" t="n"/>
      <c r="L19" s="9" t="n"/>
      <c r="M19" s="9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3" t="n"/>
      <c r="J20" s="12" t="n"/>
      <c r="K20" s="12" t="n"/>
      <c r="L20" s="14" t="n"/>
      <c r="M20" s="14" t="n"/>
    </row>
    <row r="21">
      <c r="I21" s="10" t="n"/>
      <c r="L21" s="9" t="n"/>
      <c r="M21" s="9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3" t="n"/>
      <c r="J22" s="12" t="n"/>
      <c r="K22" s="12" t="n"/>
      <c r="L22" s="14" t="n"/>
      <c r="M22" s="14" t="n"/>
    </row>
    <row r="23">
      <c r="I23" s="10" t="n"/>
      <c r="L23" s="9" t="n"/>
      <c r="M23" s="9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3" t="n"/>
      <c r="J24" s="12" t="n"/>
      <c r="K24" s="12" t="n"/>
      <c r="L24" s="14" t="n"/>
      <c r="M24" s="14" t="n"/>
    </row>
    <row r="25">
      <c r="I25" s="10" t="n"/>
      <c r="L25" s="9" t="n"/>
      <c r="M25" s="9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3" t="n"/>
      <c r="J26" s="12" t="n"/>
      <c r="K26" s="12" t="n"/>
      <c r="L26" s="14" t="n"/>
      <c r="M26" s="14" t="n"/>
    </row>
    <row r="27">
      <c r="I27" s="10" t="n"/>
      <c r="L27" s="9" t="n"/>
      <c r="M27" s="9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3" t="n"/>
      <c r="J28" s="12" t="n"/>
      <c r="K28" s="12" t="n"/>
      <c r="L28" s="14" t="n"/>
      <c r="M28" s="14" t="n"/>
    </row>
    <row r="29">
      <c r="I29" s="10" t="n"/>
      <c r="L29" s="9" t="n"/>
      <c r="M29" s="9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3" t="n"/>
      <c r="J30" s="12" t="n"/>
      <c r="K30" s="12" t="n"/>
      <c r="L30" s="14" t="n"/>
      <c r="M30" s="14" t="n"/>
    </row>
    <row r="31">
      <c r="I31" s="10" t="n"/>
      <c r="L31" s="9" t="n"/>
      <c r="M31" s="9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3" t="n"/>
      <c r="J32" s="12" t="n"/>
      <c r="K32" s="12" t="n"/>
      <c r="L32" s="14" t="n"/>
      <c r="M32" s="14" t="n"/>
    </row>
    <row r="33">
      <c r="I33" s="10" t="n"/>
      <c r="L33" s="9" t="n"/>
      <c r="M33" s="9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3" t="n"/>
      <c r="J34" s="12" t="n"/>
      <c r="K34" s="12" t="n"/>
      <c r="L34" s="14" t="n"/>
      <c r="M34" s="14" t="n"/>
    </row>
    <row r="35">
      <c r="I35" s="10" t="n"/>
      <c r="L35" s="9" t="n"/>
      <c r="M35" s="9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3" t="n"/>
      <c r="J36" s="12" t="n"/>
      <c r="K36" s="12" t="n"/>
      <c r="L36" s="14" t="n"/>
      <c r="M36" s="14" t="n"/>
    </row>
    <row r="37">
      <c r="I37" s="10" t="n"/>
      <c r="L37" s="9" t="n"/>
      <c r="M37" s="9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3" t="n"/>
      <c r="J38" s="12" t="n"/>
      <c r="K38" s="12" t="n"/>
      <c r="L38" s="14" t="n"/>
      <c r="M38" s="14" t="n"/>
    </row>
    <row r="39">
      <c r="I39" s="10" t="n"/>
      <c r="L39" s="9" t="n"/>
      <c r="M39" s="9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3" t="n"/>
      <c r="J40" s="12" t="n"/>
      <c r="K40" s="12" t="n"/>
      <c r="L40" s="14" t="n"/>
      <c r="M40" s="14" t="n"/>
    </row>
    <row r="41">
      <c r="I41" s="10" t="n"/>
      <c r="L41" s="9" t="n"/>
      <c r="M41" s="9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3" t="n"/>
      <c r="J42" s="12" t="n"/>
      <c r="K42" s="12" t="n"/>
      <c r="L42" s="14" t="n"/>
      <c r="M42" s="14" t="n"/>
    </row>
    <row r="43">
      <c r="I43" s="10" t="n"/>
      <c r="L43" s="9" t="n"/>
      <c r="M43" s="9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3" t="n"/>
      <c r="J44" s="12" t="n"/>
      <c r="K44" s="12" t="n"/>
      <c r="L44" s="14" t="n"/>
      <c r="M44" s="14" t="n"/>
    </row>
    <row r="45">
      <c r="I45" s="10" t="n"/>
      <c r="L45" s="9" t="n"/>
      <c r="M45" s="9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3" t="n"/>
      <c r="J46" s="12" t="n"/>
      <c r="K46" s="12" t="n"/>
      <c r="L46" s="14" t="n"/>
      <c r="M46" s="14" t="n"/>
    </row>
    <row r="47">
      <c r="I47" s="10" t="n"/>
      <c r="L47" s="9" t="n"/>
      <c r="M47" s="9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3" t="n"/>
      <c r="J48" s="12" t="n"/>
      <c r="K48" s="12" t="n"/>
      <c r="L48" s="14" t="n"/>
      <c r="M48" s="14" t="n"/>
    </row>
    <row r="49">
      <c r="I49" s="10" t="n"/>
      <c r="L49" s="9" t="n"/>
      <c r="M49" s="9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3" t="n"/>
      <c r="J50" s="12" t="n"/>
      <c r="K50" s="12" t="n"/>
      <c r="L50" s="14" t="n"/>
      <c r="M50" s="14" t="n"/>
    </row>
    <row r="51">
      <c r="I51" s="10" t="n"/>
      <c r="L51" s="9" t="n"/>
      <c r="M51" s="9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3" t="n"/>
      <c r="J52" s="12" t="n"/>
      <c r="K52" s="12" t="n"/>
      <c r="L52" s="14" t="n"/>
      <c r="M52" s="14" t="n"/>
    </row>
    <row r="53">
      <c r="I53" s="10" t="n"/>
      <c r="L53" s="9" t="n"/>
      <c r="M53" s="9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3" t="n"/>
      <c r="J54" s="12" t="n"/>
      <c r="K54" s="12" t="n"/>
      <c r="L54" s="14" t="n"/>
      <c r="M54" s="14" t="n"/>
    </row>
    <row r="55">
      <c r="I55" s="10" t="n"/>
      <c r="L55" s="9" t="n"/>
      <c r="M55" s="9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3" t="n"/>
      <c r="J56" s="12" t="n"/>
      <c r="K56" s="12" t="n"/>
      <c r="L56" s="14" t="n"/>
      <c r="M56" s="14" t="n"/>
    </row>
    <row r="57">
      <c r="I57" s="10" t="n"/>
      <c r="L57" s="9" t="n"/>
      <c r="M57" s="9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3" t="n"/>
      <c r="J58" s="12" t="n"/>
      <c r="K58" s="12" t="n"/>
      <c r="L58" s="14" t="n"/>
      <c r="M58" s="14" t="n"/>
    </row>
    <row r="59">
      <c r="I59" s="10" t="n"/>
      <c r="L59" s="9" t="n"/>
      <c r="M59" s="9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3" t="n"/>
      <c r="J60" s="12" t="n"/>
      <c r="K60" s="12" t="n"/>
      <c r="L60" s="14" t="n"/>
      <c r="M60" s="14" t="n"/>
    </row>
    <row r="61">
      <c r="I61" s="10" t="n"/>
      <c r="L61" s="9" t="n"/>
      <c r="M61" s="9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3" t="n"/>
      <c r="J62" s="12" t="n"/>
      <c r="K62" s="12" t="n"/>
      <c r="L62" s="14" t="n"/>
      <c r="M62" s="14" t="n"/>
    </row>
    <row r="63">
      <c r="I63" s="10" t="n"/>
      <c r="L63" s="9" t="n"/>
      <c r="M63" s="9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3" t="n"/>
      <c r="J64" s="12" t="n"/>
      <c r="K64" s="12" t="n"/>
      <c r="L64" s="14" t="n"/>
      <c r="M64" s="14" t="n"/>
    </row>
    <row r="65">
      <c r="I65" s="10" t="n"/>
      <c r="L65" s="9" t="n"/>
      <c r="M65" s="9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3" t="n"/>
      <c r="J66" s="12" t="n"/>
      <c r="K66" s="12" t="n"/>
      <c r="L66" s="14" t="n"/>
      <c r="M66" s="14" t="n"/>
    </row>
    <row r="67">
      <c r="I67" s="10" t="n"/>
      <c r="L67" s="9" t="n"/>
      <c r="M67" s="9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3" t="n"/>
      <c r="J68" s="12" t="n"/>
      <c r="K68" s="12" t="n"/>
      <c r="L68" s="14" t="n"/>
      <c r="M68" s="14" t="n"/>
    </row>
    <row r="69">
      <c r="I69" s="10" t="n"/>
      <c r="L69" s="9" t="n"/>
      <c r="M69" s="9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3" t="n"/>
      <c r="J70" s="12" t="n"/>
      <c r="K70" s="12" t="n"/>
      <c r="L70" s="14" t="n"/>
      <c r="M70" s="14" t="n"/>
    </row>
    <row r="71">
      <c r="I71" s="10" t="n"/>
      <c r="L71" s="9" t="n"/>
      <c r="M71" s="9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3" t="n"/>
      <c r="J72" s="12" t="n"/>
      <c r="K72" s="12" t="n"/>
      <c r="L72" s="14" t="n"/>
      <c r="M72" s="14" t="n"/>
    </row>
    <row r="73">
      <c r="I73" s="10" t="n"/>
      <c r="L73" s="9" t="n"/>
      <c r="M73" s="9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3" t="n"/>
      <c r="J74" s="12" t="n"/>
      <c r="K74" s="12" t="n"/>
      <c r="L74" s="14" t="n"/>
      <c r="M74" s="14" t="n"/>
    </row>
    <row r="75">
      <c r="I75" s="10" t="n"/>
      <c r="L75" s="9" t="n"/>
      <c r="M75" s="9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3" t="n"/>
      <c r="J76" s="12" t="n"/>
      <c r="K76" s="12" t="n"/>
      <c r="L76" s="14" t="n"/>
      <c r="M76" s="14" t="n"/>
    </row>
    <row r="77">
      <c r="I77" s="10" t="n"/>
      <c r="L77" s="9" t="n"/>
      <c r="M77" s="9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3" t="n"/>
      <c r="J78" s="12" t="n"/>
      <c r="K78" s="12" t="n"/>
      <c r="L78" s="14" t="n"/>
      <c r="M78" s="14" t="n"/>
    </row>
    <row r="79">
      <c r="I79" s="10" t="n"/>
      <c r="L79" s="9" t="n"/>
      <c r="M79" s="9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3" t="n"/>
      <c r="J80" s="12" t="n"/>
      <c r="K80" s="12" t="n"/>
      <c r="L80" s="14" t="n"/>
      <c r="M80" s="14" t="n"/>
    </row>
    <row r="81">
      <c r="I81" s="10" t="n"/>
      <c r="L81" s="9" t="n"/>
      <c r="M81" s="9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3" t="n"/>
      <c r="J82" s="12" t="n"/>
      <c r="K82" s="12" t="n"/>
      <c r="L82" s="14" t="n"/>
      <c r="M82" s="14" t="n"/>
    </row>
    <row r="83">
      <c r="I83" s="10" t="n"/>
      <c r="L83" s="9" t="n"/>
      <c r="M83" s="9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3" t="n"/>
      <c r="J84" s="12" t="n"/>
      <c r="K84" s="12" t="n"/>
      <c r="L84" s="14" t="n"/>
      <c r="M84" s="14" t="n"/>
    </row>
    <row r="85">
      <c r="I85" s="10" t="n"/>
      <c r="L85" s="9" t="n"/>
      <c r="M85" s="9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3" t="n"/>
      <c r="J86" s="12" t="n"/>
      <c r="K86" s="12" t="n"/>
      <c r="L86" s="14" t="n"/>
      <c r="M86" s="14" t="n"/>
    </row>
    <row r="87">
      <c r="I87" s="10" t="n"/>
      <c r="L87" s="9" t="n"/>
      <c r="M87" s="9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3" t="n"/>
      <c r="J88" s="12" t="n"/>
      <c r="K88" s="12" t="n"/>
      <c r="L88" s="14" t="n"/>
      <c r="M88" s="14" t="n"/>
    </row>
    <row r="89">
      <c r="I89" s="10" t="n"/>
      <c r="L89" s="9" t="n"/>
      <c r="M89" s="9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3" t="n"/>
      <c r="J90" s="12" t="n"/>
      <c r="K90" s="12" t="n"/>
      <c r="L90" s="14" t="n"/>
      <c r="M90" s="14" t="n"/>
    </row>
    <row r="91">
      <c r="I91" s="10" t="n"/>
      <c r="L91" s="9" t="n"/>
      <c r="M91" s="9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3" t="n"/>
      <c r="J92" s="12" t="n"/>
      <c r="K92" s="12" t="n"/>
      <c r="L92" s="14" t="n"/>
      <c r="M92" s="14" t="n"/>
    </row>
    <row r="93">
      <c r="I93" s="10" t="n"/>
      <c r="L93" s="9" t="n"/>
      <c r="M93" s="9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3" t="n"/>
      <c r="J94" s="12" t="n"/>
      <c r="K94" s="12" t="n"/>
      <c r="L94" s="14" t="n"/>
      <c r="M94" s="14" t="n"/>
    </row>
    <row r="95">
      <c r="I95" s="10" t="n"/>
      <c r="L95" s="9" t="n"/>
      <c r="M95" s="9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3" t="n"/>
      <c r="J96" s="12" t="n"/>
      <c r="K96" s="12" t="n"/>
      <c r="L96" s="14" t="n"/>
      <c r="M96" s="14" t="n"/>
    </row>
    <row r="97">
      <c r="I97" s="10" t="n"/>
      <c r="L97" s="9" t="n"/>
      <c r="M97" s="9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3" t="n"/>
      <c r="J98" s="12" t="n"/>
      <c r="K98" s="12" t="n"/>
      <c r="L98" s="14" t="n"/>
      <c r="M98" s="14" t="n"/>
    </row>
    <row r="99">
      <c r="I99" s="10" t="n"/>
      <c r="L99" s="9" t="n"/>
      <c r="M99" s="9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3" t="n"/>
      <c r="J100" s="12" t="n"/>
      <c r="K100" s="12" t="n"/>
      <c r="L100" s="14" t="n"/>
      <c r="M100" s="14" t="n"/>
    </row>
    <row r="101">
      <c r="I101" s="10" t="n"/>
      <c r="L101" s="9" t="n"/>
      <c r="M101" s="9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3" t="n"/>
      <c r="J102" s="12" t="n"/>
      <c r="K102" s="12" t="n"/>
      <c r="L102" s="14" t="n"/>
      <c r="M102" s="14" t="n"/>
    </row>
    <row r="103">
      <c r="I103" s="10" t="n"/>
      <c r="L103" s="9" t="n"/>
      <c r="M103" s="9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3" t="n"/>
      <c r="J104" s="12" t="n"/>
      <c r="K104" s="12" t="n"/>
      <c r="L104" s="14" t="n"/>
      <c r="M104" s="14" t="n"/>
    </row>
    <row r="105">
      <c r="I105" s="10" t="n"/>
      <c r="L105" s="9" t="n"/>
      <c r="M105" s="9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3" t="n"/>
      <c r="J106" s="12" t="n"/>
      <c r="K106" s="12" t="n"/>
      <c r="L106" s="14" t="n"/>
      <c r="M106" s="14" t="n"/>
    </row>
    <row r="107">
      <c r="I107" s="10" t="n"/>
      <c r="L107" s="9" t="n"/>
      <c r="M107" s="9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3" t="n"/>
      <c r="J108" s="12" t="n"/>
      <c r="K108" s="12" t="n"/>
      <c r="L108" s="14" t="n"/>
      <c r="M108" s="14" t="n"/>
    </row>
    <row r="109">
      <c r="I109" s="10" t="n"/>
      <c r="L109" s="9" t="n"/>
      <c r="M109" s="9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3" t="n"/>
      <c r="J110" s="12" t="n"/>
      <c r="K110" s="12" t="n"/>
      <c r="L110" s="14" t="n"/>
      <c r="M110" s="14" t="n"/>
    </row>
    <row r="111">
      <c r="I111" s="10" t="n"/>
      <c r="L111" s="9" t="n"/>
      <c r="M111" s="9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3" t="n"/>
      <c r="J112" s="12" t="n"/>
      <c r="K112" s="12" t="n"/>
      <c r="L112" s="14" t="n"/>
      <c r="M112" s="14" t="n"/>
    </row>
    <row r="113">
      <c r="I113" s="10" t="n"/>
      <c r="L113" s="9" t="n"/>
      <c r="M113" s="9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3" t="n"/>
      <c r="J114" s="12" t="n"/>
      <c r="K114" s="12" t="n"/>
      <c r="L114" s="14" t="n"/>
      <c r="M114" s="14" t="n"/>
    </row>
    <row r="115">
      <c r="I115" s="10" t="n"/>
      <c r="L115" s="9" t="n"/>
      <c r="M115" s="9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3" t="n"/>
      <c r="J116" s="12" t="n"/>
      <c r="K116" s="12" t="n"/>
      <c r="L116" s="14" t="n"/>
      <c r="M116" s="14" t="n"/>
    </row>
    <row r="117">
      <c r="I117" s="10" t="n"/>
      <c r="L117" s="9" t="n"/>
      <c r="M117" s="9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3" t="n"/>
      <c r="J118" s="12" t="n"/>
      <c r="K118" s="12" t="n"/>
      <c r="L118" s="14" t="n"/>
      <c r="M118" s="14" t="n"/>
    </row>
    <row r="119">
      <c r="I119" s="10" t="n"/>
      <c r="L119" s="9" t="n"/>
      <c r="M119" s="9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3" t="n"/>
      <c r="J120" s="12" t="n"/>
      <c r="K120" s="12" t="n"/>
      <c r="L120" s="14" t="n"/>
      <c r="M120" s="14" t="n"/>
    </row>
    <row r="121">
      <c r="I121" s="10" t="n"/>
      <c r="L121" s="9" t="n"/>
      <c r="M121" s="9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3" t="n"/>
      <c r="J122" s="12" t="n"/>
      <c r="K122" s="12" t="n"/>
      <c r="L122" s="14" t="n"/>
      <c r="M122" s="14" t="n"/>
    </row>
    <row r="123">
      <c r="I123" s="10" t="n"/>
      <c r="L123" s="9" t="n"/>
      <c r="M123" s="9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3" t="n"/>
      <c r="J124" s="12" t="n"/>
      <c r="K124" s="12" t="n"/>
      <c r="L124" s="14" t="n"/>
      <c r="M124" s="14" t="n"/>
    </row>
    <row r="125">
      <c r="I125" s="10" t="n"/>
      <c r="L125" s="9" t="n"/>
      <c r="M125" s="9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3" t="n"/>
      <c r="J126" s="12" t="n"/>
      <c r="K126" s="12" t="n"/>
      <c r="L126" s="14" t="n"/>
      <c r="M126" s="14" t="n"/>
    </row>
    <row r="127">
      <c r="I127" s="10" t="n"/>
      <c r="L127" s="9" t="n"/>
      <c r="M127" s="9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3" t="n"/>
      <c r="J128" s="12" t="n"/>
      <c r="K128" s="12" t="n"/>
      <c r="L128" s="14" t="n"/>
      <c r="M128" s="14" t="n"/>
    </row>
    <row r="129">
      <c r="I129" s="10" t="n"/>
      <c r="L129" s="9" t="n"/>
      <c r="M129" s="9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3" t="n"/>
      <c r="J130" s="12" t="n"/>
      <c r="K130" s="12" t="n"/>
      <c r="L130" s="14" t="n"/>
      <c r="M130" s="14" t="n"/>
    </row>
    <row r="131">
      <c r="I131" s="10" t="n"/>
      <c r="L131" s="9" t="n"/>
      <c r="M131" s="9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3" t="n"/>
      <c r="J132" s="12" t="n"/>
      <c r="K132" s="12" t="n"/>
      <c r="L132" s="14" t="n"/>
      <c r="M132" s="14" t="n"/>
    </row>
    <row r="133">
      <c r="I133" s="10" t="n"/>
      <c r="L133" s="9" t="n"/>
      <c r="M133" s="9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3" t="n"/>
      <c r="J134" s="12" t="n"/>
      <c r="K134" s="12" t="n"/>
      <c r="L134" s="14" t="n"/>
      <c r="M134" s="14" t="n"/>
    </row>
    <row r="135">
      <c r="I135" s="10" t="n"/>
      <c r="L135" s="9" t="n"/>
      <c r="M135" s="9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3" t="n"/>
      <c r="J136" s="12" t="n"/>
      <c r="K136" s="12" t="n"/>
      <c r="L136" s="14" t="n"/>
      <c r="M136" s="14" t="n"/>
    </row>
    <row r="137">
      <c r="I137" s="10" t="n"/>
      <c r="L137" s="9" t="n"/>
      <c r="M137" s="9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3" t="n"/>
      <c r="J138" s="12" t="n"/>
      <c r="K138" s="12" t="n"/>
      <c r="L138" s="14" t="n"/>
      <c r="M138" s="14" t="n"/>
    </row>
    <row r="139">
      <c r="I139" s="10" t="n"/>
      <c r="L139" s="9" t="n"/>
      <c r="M139" s="9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3" t="n"/>
      <c r="J140" s="12" t="n"/>
      <c r="K140" s="12" t="n"/>
      <c r="L140" s="14" t="n"/>
      <c r="M140" s="14" t="n"/>
    </row>
    <row r="141">
      <c r="I141" s="10" t="n"/>
      <c r="L141" s="9" t="n"/>
      <c r="M141" s="9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3" t="n"/>
      <c r="J142" s="12" t="n"/>
      <c r="K142" s="12" t="n"/>
      <c r="L142" s="14" t="n"/>
      <c r="M142" s="14" t="n"/>
    </row>
    <row r="143">
      <c r="I143" s="10" t="n"/>
      <c r="L143" s="9" t="n"/>
      <c r="M143" s="9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3" t="n"/>
      <c r="J144" s="12" t="n"/>
      <c r="K144" s="12" t="n"/>
      <c r="L144" s="14" t="n"/>
      <c r="M144" s="14" t="n"/>
    </row>
    <row r="145">
      <c r="I145" s="10" t="n"/>
      <c r="L145" s="9" t="n"/>
      <c r="M145" s="9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3" t="n"/>
      <c r="J146" s="12" t="n"/>
      <c r="K146" s="12" t="n"/>
      <c r="L146" s="14" t="n"/>
      <c r="M146" s="14" t="n"/>
    </row>
    <row r="147">
      <c r="I147" s="10" t="n"/>
      <c r="L147" s="9" t="n"/>
      <c r="M147" s="9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3" t="n"/>
      <c r="J148" s="12" t="n"/>
      <c r="K148" s="12" t="n"/>
      <c r="L148" s="14" t="n"/>
      <c r="M148" s="14" t="n"/>
    </row>
    <row r="149">
      <c r="I149" s="10" t="n"/>
      <c r="L149" s="9" t="n"/>
      <c r="M149" s="9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3" t="n"/>
      <c r="J150" s="12" t="n"/>
      <c r="K150" s="12" t="n"/>
      <c r="L150" s="14" t="n"/>
      <c r="M150" s="14" t="n"/>
    </row>
    <row r="151">
      <c r="I151" s="10" t="n"/>
      <c r="L151" s="9" t="n"/>
      <c r="M151" s="9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3" t="n"/>
      <c r="J152" s="12" t="n"/>
      <c r="K152" s="12" t="n"/>
      <c r="L152" s="14" t="n"/>
      <c r="M152" s="14" t="n"/>
    </row>
    <row r="153">
      <c r="I153" s="10" t="n"/>
      <c r="L153" s="9" t="n"/>
      <c r="M153" s="9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3" t="n"/>
      <c r="J154" s="12" t="n"/>
      <c r="K154" s="12" t="n"/>
      <c r="L154" s="14" t="n"/>
      <c r="M154" s="14" t="n"/>
    </row>
    <row r="155">
      <c r="I155" s="10" t="n"/>
      <c r="L155" s="9" t="n"/>
      <c r="M155" s="9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3" t="n"/>
      <c r="J156" s="12" t="n"/>
      <c r="K156" s="12" t="n"/>
      <c r="L156" s="14" t="n"/>
      <c r="M156" s="14" t="n"/>
    </row>
    <row r="157">
      <c r="I157" s="10" t="n"/>
      <c r="L157" s="9" t="n"/>
      <c r="M157" s="9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3" t="n"/>
      <c r="J158" s="12" t="n"/>
      <c r="K158" s="12" t="n"/>
      <c r="L158" s="14" t="n"/>
      <c r="M158" s="14" t="n"/>
    </row>
    <row r="159">
      <c r="I159" s="10" t="n"/>
      <c r="L159" s="9" t="n"/>
      <c r="M159" s="9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3" t="n"/>
      <c r="J160" s="12" t="n"/>
      <c r="K160" s="12" t="n"/>
      <c r="L160" s="14" t="n"/>
      <c r="M160" s="14" t="n"/>
    </row>
    <row r="161">
      <c r="I161" s="10" t="n"/>
      <c r="L161" s="9" t="n"/>
      <c r="M161" s="9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3" t="n"/>
      <c r="J162" s="12" t="n"/>
      <c r="K162" s="12" t="n"/>
      <c r="L162" s="14" t="n"/>
      <c r="M162" s="14" t="n"/>
    </row>
    <row r="163">
      <c r="I163" s="10" t="n"/>
      <c r="L163" s="9" t="n"/>
      <c r="M163" s="9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3" t="n"/>
      <c r="J164" s="12" t="n"/>
      <c r="K164" s="12" t="n"/>
      <c r="L164" s="14" t="n"/>
      <c r="M164" s="14" t="n"/>
    </row>
    <row r="165">
      <c r="I165" s="10" t="n"/>
      <c r="L165" s="9" t="n"/>
      <c r="M165" s="9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3" t="n"/>
      <c r="J166" s="12" t="n"/>
      <c r="K166" s="12" t="n"/>
      <c r="L166" s="14" t="n"/>
      <c r="M166" s="14" t="n"/>
    </row>
    <row r="167">
      <c r="I167" s="10" t="n"/>
      <c r="L167" s="9" t="n"/>
      <c r="M167" s="9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3" t="n"/>
      <c r="J168" s="12" t="n"/>
      <c r="K168" s="12" t="n"/>
      <c r="L168" s="14" t="n"/>
      <c r="M168" s="14" t="n"/>
    </row>
    <row r="169">
      <c r="I169" s="10" t="n"/>
      <c r="L169" s="9" t="n"/>
      <c r="M169" s="9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3" t="n"/>
      <c r="J170" s="12" t="n"/>
      <c r="K170" s="12" t="n"/>
      <c r="L170" s="14" t="n"/>
      <c r="M170" s="14" t="n"/>
    </row>
    <row r="171">
      <c r="I171" s="10" t="n"/>
      <c r="L171" s="9" t="n"/>
      <c r="M171" s="9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3" t="n"/>
      <c r="J172" s="12" t="n"/>
      <c r="K172" s="12" t="n"/>
      <c r="L172" s="14" t="n"/>
      <c r="M172" s="14" t="n"/>
    </row>
    <row r="173">
      <c r="I173" s="10" t="n"/>
      <c r="L173" s="9" t="n"/>
      <c r="M173" s="9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3" t="n"/>
      <c r="J174" s="12" t="n"/>
      <c r="K174" s="12" t="n"/>
      <c r="L174" s="14" t="n"/>
      <c r="M174" s="14" t="n"/>
    </row>
    <row r="175">
      <c r="I175" s="10" t="n"/>
      <c r="L175" s="9" t="n"/>
      <c r="M175" s="9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3" t="n"/>
      <c r="J176" s="12" t="n"/>
      <c r="K176" s="12" t="n"/>
      <c r="L176" s="14" t="n"/>
      <c r="M176" s="14" t="n"/>
    </row>
    <row r="177">
      <c r="I177" s="10" t="n"/>
      <c r="L177" s="9" t="n"/>
      <c r="M177" s="9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3" t="n"/>
      <c r="J178" s="12" t="n"/>
      <c r="K178" s="12" t="n"/>
      <c r="L178" s="14" t="n"/>
      <c r="M178" s="14" t="n"/>
    </row>
    <row r="179">
      <c r="I179" s="10" t="n"/>
      <c r="L179" s="9" t="n"/>
      <c r="M179" s="9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3" t="n"/>
      <c r="J180" s="12" t="n"/>
      <c r="K180" s="12" t="n"/>
      <c r="L180" s="14" t="n"/>
      <c r="M180" s="14" t="n"/>
    </row>
    <row r="181">
      <c r="I181" s="10" t="n"/>
      <c r="L181" s="9" t="n"/>
      <c r="M181" s="9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3" t="n"/>
      <c r="J182" s="12" t="n"/>
      <c r="K182" s="12" t="n"/>
      <c r="L182" s="14" t="n"/>
      <c r="M182" s="14" t="n"/>
    </row>
    <row r="183">
      <c r="I183" s="10" t="n"/>
      <c r="L183" s="9" t="n"/>
      <c r="M183" s="9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3" t="n"/>
      <c r="J184" s="12" t="n"/>
      <c r="K184" s="12" t="n"/>
      <c r="L184" s="14" t="n"/>
      <c r="M184" s="14" t="n"/>
    </row>
    <row r="185">
      <c r="I185" s="10" t="n"/>
      <c r="L185" s="9" t="n"/>
      <c r="M185" s="9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3" t="n"/>
      <c r="J186" s="12" t="n"/>
      <c r="K186" s="12" t="n"/>
      <c r="L186" s="14" t="n"/>
      <c r="M186" s="14" t="n"/>
    </row>
    <row r="187">
      <c r="I187" s="10" t="n"/>
      <c r="L187" s="9" t="n"/>
      <c r="M187" s="9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3" t="n"/>
      <c r="J188" s="12" t="n"/>
      <c r="K188" s="12" t="n"/>
      <c r="L188" s="14" t="n"/>
      <c r="M188" s="14" t="n"/>
    </row>
    <row r="189">
      <c r="I189" s="10" t="n"/>
      <c r="L189" s="9" t="n"/>
      <c r="M189" s="9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3" t="n"/>
      <c r="J190" s="12" t="n"/>
      <c r="K190" s="12" t="n"/>
      <c r="L190" s="14" t="n"/>
      <c r="M190" s="14" t="n"/>
    </row>
    <row r="191">
      <c r="I191" s="10" t="n"/>
      <c r="L191" s="9" t="n"/>
      <c r="M191" s="9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3" t="n"/>
      <c r="J192" s="12" t="n"/>
      <c r="K192" s="12" t="n"/>
      <c r="L192" s="14" t="n"/>
      <c r="M192" s="14" t="n"/>
    </row>
    <row r="193">
      <c r="I193" s="10" t="n"/>
      <c r="L193" s="9" t="n"/>
      <c r="M193" s="9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3" t="n"/>
      <c r="J194" s="12" t="n"/>
      <c r="K194" s="12" t="n"/>
      <c r="L194" s="14" t="n"/>
      <c r="M194" s="14" t="n"/>
    </row>
    <row r="195">
      <c r="I195" s="10" t="n"/>
      <c r="L195" s="9" t="n"/>
      <c r="M195" s="9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3" t="n"/>
      <c r="J196" s="12" t="n"/>
      <c r="K196" s="12" t="n"/>
      <c r="L196" s="14" t="n"/>
      <c r="M196" s="14" t="n"/>
    </row>
    <row r="197">
      <c r="I197" s="10" t="n"/>
      <c r="L197" s="9" t="n"/>
      <c r="M197" s="9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3" t="n"/>
      <c r="J198" s="12" t="n"/>
      <c r="K198" s="12" t="n"/>
      <c r="L198" s="14" t="n"/>
      <c r="M198" s="14" t="n"/>
    </row>
    <row r="199">
      <c r="I199" s="10" t="n"/>
      <c r="L199" s="9" t="n"/>
      <c r="M199" s="9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3" t="n"/>
      <c r="J200" s="12" t="n"/>
      <c r="K200" s="12" t="n"/>
      <c r="L200" s="14" t="n"/>
      <c r="M200" s="14" t="n"/>
    </row>
    <row r="201">
      <c r="I201" s="10" t="n"/>
      <c r="L201" s="9" t="n"/>
      <c r="M201" s="9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3" t="n"/>
      <c r="J202" s="12" t="n"/>
      <c r="K202" s="12" t="n"/>
      <c r="L202" s="14" t="n"/>
      <c r="M202" s="14" t="n"/>
    </row>
    <row r="203">
      <c r="I203" s="10" t="n"/>
      <c r="L203" s="9" t="n"/>
      <c r="M203" s="9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3" t="n"/>
      <c r="J204" s="12" t="n"/>
      <c r="K204" s="12" t="n"/>
      <c r="L204" s="14" t="n"/>
      <c r="M204" s="14" t="n"/>
    </row>
    <row r="205">
      <c r="I205" s="10" t="n"/>
      <c r="L205" s="9" t="n"/>
      <c r="M205" s="9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3" t="n"/>
      <c r="J206" s="12" t="n"/>
      <c r="K206" s="12" t="n"/>
      <c r="L206" s="14" t="n"/>
      <c r="M206" s="14" t="n"/>
    </row>
    <row r="207">
      <c r="I207" s="10" t="n"/>
      <c r="L207" s="9" t="n"/>
      <c r="M207" s="9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3" t="n"/>
      <c r="J208" s="12" t="n"/>
      <c r="K208" s="12" t="n"/>
      <c r="L208" s="14" t="n"/>
      <c r="M208" s="14" t="n"/>
    </row>
    <row r="209">
      <c r="I209" s="10" t="n"/>
      <c r="L209" s="9" t="n"/>
      <c r="M209" s="9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3" t="n"/>
      <c r="J210" s="12" t="n"/>
      <c r="K210" s="12" t="n"/>
      <c r="L210" s="14" t="n"/>
      <c r="M210" s="14" t="n"/>
    </row>
    <row r="211">
      <c r="I211" s="10" t="n"/>
      <c r="L211" s="9" t="n"/>
      <c r="M211" s="9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3" t="n"/>
      <c r="J212" s="12" t="n"/>
      <c r="K212" s="12" t="n"/>
      <c r="L212" s="14" t="n"/>
      <c r="M212" s="14" t="n"/>
    </row>
    <row r="213">
      <c r="I213" s="10" t="n"/>
      <c r="L213" s="9" t="n"/>
      <c r="M213" s="9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3" t="n"/>
      <c r="J214" s="12" t="n"/>
      <c r="K214" s="12" t="n"/>
      <c r="L214" s="14" t="n"/>
      <c r="M214" s="14" t="n"/>
    </row>
    <row r="215">
      <c r="I215" s="10" t="n"/>
      <c r="L215" s="9" t="n"/>
      <c r="M215" s="9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3" t="n"/>
      <c r="J216" s="12" t="n"/>
      <c r="K216" s="12" t="n"/>
      <c r="L216" s="14" t="n"/>
      <c r="M216" s="14" t="n"/>
    </row>
    <row r="217">
      <c r="I217" s="10" t="n"/>
      <c r="L217" s="9" t="n"/>
      <c r="M217" s="9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3" t="n"/>
      <c r="J218" s="12" t="n"/>
      <c r="K218" s="12" t="n"/>
      <c r="L218" s="14" t="n"/>
      <c r="M218" s="14" t="n"/>
    </row>
    <row r="219">
      <c r="I219" s="10" t="n"/>
      <c r="L219" s="9" t="n"/>
      <c r="M219" s="9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3" t="n"/>
      <c r="J220" s="12" t="n"/>
      <c r="K220" s="12" t="n"/>
      <c r="L220" s="14" t="n"/>
      <c r="M220" s="14" t="n"/>
    </row>
    <row r="221">
      <c r="I221" s="10" t="n"/>
      <c r="L221" s="9" t="n"/>
      <c r="M221" s="9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3" t="n"/>
      <c r="J222" s="12" t="n"/>
      <c r="K222" s="12" t="n"/>
      <c r="L222" s="14" t="n"/>
      <c r="M222" s="14" t="n"/>
    </row>
    <row r="223">
      <c r="I223" s="10" t="n"/>
      <c r="L223" s="9" t="n"/>
      <c r="M223" s="9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3" t="n"/>
      <c r="J224" s="12" t="n"/>
      <c r="K224" s="12" t="n"/>
      <c r="L224" s="14" t="n"/>
      <c r="M224" s="14" t="n"/>
    </row>
    <row r="225">
      <c r="I225" s="10" t="n"/>
      <c r="L225" s="9" t="n"/>
      <c r="M225" s="9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3" t="n"/>
      <c r="J226" s="12" t="n"/>
      <c r="K226" s="12" t="n"/>
      <c r="L226" s="14" t="n"/>
      <c r="M226" s="14" t="n"/>
    </row>
    <row r="227">
      <c r="I227" s="10" t="n"/>
      <c r="L227" s="9" t="n"/>
      <c r="M227" s="9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3" t="n"/>
      <c r="J228" s="12" t="n"/>
      <c r="K228" s="12" t="n"/>
      <c r="L228" s="14" t="n"/>
      <c r="M228" s="14" t="n"/>
    </row>
    <row r="229">
      <c r="I229" s="10" t="n"/>
      <c r="L229" s="9" t="n"/>
      <c r="M229" s="9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3" t="n"/>
      <c r="J230" s="12" t="n"/>
      <c r="K230" s="12" t="n"/>
      <c r="L230" s="14" t="n"/>
      <c r="M230" s="14" t="n"/>
    </row>
    <row r="231">
      <c r="I231" s="10" t="n"/>
      <c r="L231" s="9" t="n"/>
      <c r="M231" s="9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3" t="n"/>
      <c r="J232" s="12" t="n"/>
      <c r="K232" s="12" t="n"/>
      <c r="L232" s="14" t="n"/>
      <c r="M232" s="14" t="n"/>
    </row>
    <row r="233">
      <c r="I233" s="10" t="n"/>
      <c r="L233" s="9" t="n"/>
      <c r="M233" s="9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3" t="n"/>
      <c r="J234" s="12" t="n"/>
      <c r="K234" s="12" t="n"/>
      <c r="L234" s="14" t="n"/>
      <c r="M234" s="14" t="n"/>
    </row>
    <row r="235">
      <c r="I235" s="10" t="n"/>
      <c r="L235" s="9" t="n"/>
      <c r="M235" s="9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3" t="n"/>
      <c r="J236" s="12" t="n"/>
      <c r="K236" s="12" t="n"/>
      <c r="L236" s="14" t="n"/>
      <c r="M236" s="14" t="n"/>
    </row>
    <row r="237">
      <c r="I237" s="10" t="n"/>
      <c r="L237" s="9" t="n"/>
      <c r="M237" s="9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3" t="n"/>
      <c r="J238" s="12" t="n"/>
      <c r="K238" s="12" t="n"/>
      <c r="L238" s="14" t="n"/>
      <c r="M238" s="14" t="n"/>
    </row>
    <row r="239">
      <c r="I239" s="10" t="n"/>
      <c r="L239" s="9" t="n"/>
      <c r="M239" s="9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3" t="n"/>
      <c r="J240" s="12" t="n"/>
      <c r="K240" s="12" t="n"/>
      <c r="L240" s="14" t="n"/>
      <c r="M240" s="14" t="n"/>
    </row>
    <row r="241">
      <c r="I241" s="10" t="n"/>
      <c r="L241" s="9" t="n"/>
      <c r="M241" s="9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3" t="n"/>
      <c r="J242" s="12" t="n"/>
      <c r="K242" s="12" t="n"/>
      <c r="L242" s="14" t="n"/>
      <c r="M242" s="14" t="n"/>
    </row>
    <row r="243">
      <c r="I243" s="10" t="n"/>
      <c r="L243" s="9" t="n"/>
      <c r="M243" s="9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3" t="n"/>
      <c r="J244" s="12" t="n"/>
      <c r="K244" s="12" t="n"/>
      <c r="L244" s="14" t="n"/>
      <c r="M244" s="14" t="n"/>
    </row>
    <row r="245">
      <c r="I245" s="10" t="n"/>
      <c r="L245" s="9" t="n"/>
      <c r="M245" s="9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3" t="n"/>
      <c r="J246" s="12" t="n"/>
      <c r="K246" s="12" t="n"/>
      <c r="L246" s="14" t="n"/>
      <c r="M246" s="14" t="n"/>
    </row>
    <row r="247">
      <c r="I247" s="10" t="n"/>
      <c r="L247" s="9" t="n"/>
      <c r="M247" s="9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3" t="n"/>
      <c r="J248" s="12" t="n"/>
      <c r="K248" s="12" t="n"/>
      <c r="L248" s="14" t="n"/>
      <c r="M248" s="14" t="n"/>
    </row>
    <row r="249">
      <c r="I249" s="10" t="n"/>
      <c r="L249" s="9" t="n"/>
      <c r="M249" s="9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3" t="n"/>
      <c r="J250" s="12" t="n"/>
      <c r="K250" s="12" t="n"/>
      <c r="L250" s="14" t="n"/>
      <c r="M250" s="14" t="n"/>
    </row>
    <row r="251">
      <c r="I251" s="10" t="n"/>
      <c r="L251" s="9" t="n"/>
      <c r="M251" s="9" t="n"/>
    </row>
  </sheetData>
  <autoFilter ref="A1:M251"/>
  <conditionalFormatting sqref="A2:M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4">
    <dataValidation sqref="J2:J251" showDropDown="0" showInputMessage="0" showErrorMessage="0" allowBlank="1" type="list">
      <formula1>='Lists'!$K$2:$K$8</formula1>
    </dataValidation>
    <dataValidation sqref="K2:K251" showDropDown="0" showInputMessage="0" showErrorMessage="0" allowBlank="1" type="list">
      <formula1>='Lists'!$J$2:$J$10</formula1>
    </dataValidation>
    <dataValidation sqref="A2:A251" showDropDown="0" showInputMessage="0" showErrorMessage="0" allowBlank="1" type="list">
      <formula1>='Room List'!$A$2:$A$251</formula1>
    </dataValidation>
    <dataValidation sqref="E2:E251" showDropDown="0" showInputMessage="0" showErrorMessage="0" allowBlank="1" type="list">
      <formula1>='Vendor &amp; Supplier Database'!$A$2:$A$251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42" customHeight="1">
      <c r="A1" s="11" t="inlineStr">
        <is>
          <t>Room</t>
        </is>
      </c>
      <c r="B1" s="11" t="inlineStr">
        <is>
          <t>Fixture type</t>
        </is>
      </c>
      <c r="C1" s="11" t="inlineStr">
        <is>
          <t>Item name</t>
        </is>
      </c>
      <c r="D1" s="11" t="inlineStr">
        <is>
          <t>Finish</t>
        </is>
      </c>
      <c r="E1" s="11" t="inlineStr">
        <is>
          <t>Size</t>
        </is>
      </c>
      <c r="F1" s="11" t="inlineStr">
        <is>
          <t>Vendor</t>
        </is>
      </c>
      <c r="G1" s="11" t="inlineStr">
        <is>
          <t>Model/SKU</t>
        </is>
      </c>
      <c r="H1" s="11" t="inlineStr">
        <is>
          <t>Quantity</t>
        </is>
      </c>
      <c r="I1" s="11" t="inlineStr">
        <is>
          <t>Unit cost</t>
        </is>
      </c>
      <c r="J1" s="11" t="inlineStr">
        <is>
          <t>Total cost</t>
        </is>
      </c>
      <c r="K1" s="11" t="inlineStr">
        <is>
          <t>Required rough-in date</t>
        </is>
      </c>
      <c r="L1" s="11" t="inlineStr">
        <is>
          <t>Order deadline</t>
        </is>
      </c>
      <c r="M1" s="11" t="inlineStr">
        <is>
          <t>Delivery date</t>
        </is>
      </c>
      <c r="N1" s="11" t="inlineStr">
        <is>
          <t>Installer notes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3" t="n"/>
      <c r="J2" s="13">
        <f>IF($H2="","",$H2*$I2)</f>
        <v/>
      </c>
      <c r="K2" s="14" t="n"/>
      <c r="L2" s="14" t="n"/>
      <c r="M2" s="14" t="n"/>
      <c r="N2" s="12" t="n"/>
    </row>
    <row r="3">
      <c r="I3" s="10" t="n"/>
      <c r="J3" s="10">
        <f>IF($H3="","",$H3*$I3)</f>
        <v/>
      </c>
      <c r="K3" s="9" t="n"/>
      <c r="L3" s="9" t="n"/>
      <c r="M3" s="9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3" t="n"/>
      <c r="J4" s="13">
        <f>IF($H4="","",$H4*$I4)</f>
        <v/>
      </c>
      <c r="K4" s="14" t="n"/>
      <c r="L4" s="14" t="n"/>
      <c r="M4" s="14" t="n"/>
      <c r="N4" s="12" t="n"/>
    </row>
    <row r="5">
      <c r="I5" s="10" t="n"/>
      <c r="J5" s="10">
        <f>IF($H5="","",$H5*$I5)</f>
        <v/>
      </c>
      <c r="K5" s="9" t="n"/>
      <c r="L5" s="9" t="n"/>
      <c r="M5" s="9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3" t="n"/>
      <c r="J6" s="13">
        <f>IF($H6="","",$H6*$I6)</f>
        <v/>
      </c>
      <c r="K6" s="14" t="n"/>
      <c r="L6" s="14" t="n"/>
      <c r="M6" s="14" t="n"/>
      <c r="N6" s="12" t="n"/>
    </row>
    <row r="7">
      <c r="I7" s="10" t="n"/>
      <c r="J7" s="10">
        <f>IF($H7="","",$H7*$I7)</f>
        <v/>
      </c>
      <c r="K7" s="9" t="n"/>
      <c r="L7" s="9" t="n"/>
      <c r="M7" s="9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3" t="n"/>
      <c r="J8" s="13">
        <f>IF($H8="","",$H8*$I8)</f>
        <v/>
      </c>
      <c r="K8" s="14" t="n"/>
      <c r="L8" s="14" t="n"/>
      <c r="M8" s="14" t="n"/>
      <c r="N8" s="12" t="n"/>
    </row>
    <row r="9">
      <c r="I9" s="10" t="n"/>
      <c r="J9" s="10">
        <f>IF($H9="","",$H9*$I9)</f>
        <v/>
      </c>
      <c r="K9" s="9" t="n"/>
      <c r="L9" s="9" t="n"/>
      <c r="M9" s="9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3" t="n"/>
      <c r="J10" s="13">
        <f>IF($H10="","",$H10*$I10)</f>
        <v/>
      </c>
      <c r="K10" s="14" t="n"/>
      <c r="L10" s="14" t="n"/>
      <c r="M10" s="14" t="n"/>
      <c r="N10" s="12" t="n"/>
    </row>
    <row r="11">
      <c r="I11" s="10" t="n"/>
      <c r="J11" s="10">
        <f>IF($H11="","",$H11*$I11)</f>
        <v/>
      </c>
      <c r="K11" s="9" t="n"/>
      <c r="L11" s="9" t="n"/>
      <c r="M11" s="9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3" t="n"/>
      <c r="J12" s="13">
        <f>IF($H12="","",$H12*$I12)</f>
        <v/>
      </c>
      <c r="K12" s="14" t="n"/>
      <c r="L12" s="14" t="n"/>
      <c r="M12" s="14" t="n"/>
      <c r="N12" s="12" t="n"/>
    </row>
    <row r="13">
      <c r="I13" s="10" t="n"/>
      <c r="J13" s="10">
        <f>IF($H13="","",$H13*$I13)</f>
        <v/>
      </c>
      <c r="K13" s="9" t="n"/>
      <c r="L13" s="9" t="n"/>
      <c r="M13" s="9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3" t="n"/>
      <c r="J14" s="13">
        <f>IF($H14="","",$H14*$I14)</f>
        <v/>
      </c>
      <c r="K14" s="14" t="n"/>
      <c r="L14" s="14" t="n"/>
      <c r="M14" s="14" t="n"/>
      <c r="N14" s="12" t="n"/>
    </row>
    <row r="15">
      <c r="I15" s="10" t="n"/>
      <c r="J15" s="10">
        <f>IF($H15="","",$H15*$I15)</f>
        <v/>
      </c>
      <c r="K15" s="9" t="n"/>
      <c r="L15" s="9" t="n"/>
      <c r="M15" s="9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3" t="n"/>
      <c r="J16" s="13">
        <f>IF($H16="","",$H16*$I16)</f>
        <v/>
      </c>
      <c r="K16" s="14" t="n"/>
      <c r="L16" s="14" t="n"/>
      <c r="M16" s="14" t="n"/>
      <c r="N16" s="12" t="n"/>
    </row>
    <row r="17">
      <c r="I17" s="10" t="n"/>
      <c r="J17" s="10">
        <f>IF($H17="","",$H17*$I17)</f>
        <v/>
      </c>
      <c r="K17" s="9" t="n"/>
      <c r="L17" s="9" t="n"/>
      <c r="M17" s="9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3" t="n"/>
      <c r="J18" s="13">
        <f>IF($H18="","",$H18*$I18)</f>
        <v/>
      </c>
      <c r="K18" s="14" t="n"/>
      <c r="L18" s="14" t="n"/>
      <c r="M18" s="14" t="n"/>
      <c r="N18" s="12" t="n"/>
    </row>
    <row r="19">
      <c r="I19" s="10" t="n"/>
      <c r="J19" s="10">
        <f>IF($H19="","",$H19*$I19)</f>
        <v/>
      </c>
      <c r="K19" s="9" t="n"/>
      <c r="L19" s="9" t="n"/>
      <c r="M19" s="9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3" t="n"/>
      <c r="J20" s="13">
        <f>IF($H20="","",$H20*$I20)</f>
        <v/>
      </c>
      <c r="K20" s="14" t="n"/>
      <c r="L20" s="14" t="n"/>
      <c r="M20" s="14" t="n"/>
      <c r="N20" s="12" t="n"/>
    </row>
    <row r="21">
      <c r="I21" s="10" t="n"/>
      <c r="J21" s="10">
        <f>IF($H21="","",$H21*$I21)</f>
        <v/>
      </c>
      <c r="K21" s="9" t="n"/>
      <c r="L21" s="9" t="n"/>
      <c r="M21" s="9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3" t="n"/>
      <c r="J22" s="13">
        <f>IF($H22="","",$H22*$I22)</f>
        <v/>
      </c>
      <c r="K22" s="14" t="n"/>
      <c r="L22" s="14" t="n"/>
      <c r="M22" s="14" t="n"/>
      <c r="N22" s="12" t="n"/>
    </row>
    <row r="23">
      <c r="I23" s="10" t="n"/>
      <c r="J23" s="10">
        <f>IF($H23="","",$H23*$I23)</f>
        <v/>
      </c>
      <c r="K23" s="9" t="n"/>
      <c r="L23" s="9" t="n"/>
      <c r="M23" s="9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3" t="n"/>
      <c r="J24" s="13">
        <f>IF($H24="","",$H24*$I24)</f>
        <v/>
      </c>
      <c r="K24" s="14" t="n"/>
      <c r="L24" s="14" t="n"/>
      <c r="M24" s="14" t="n"/>
      <c r="N24" s="12" t="n"/>
    </row>
    <row r="25">
      <c r="I25" s="10" t="n"/>
      <c r="J25" s="10">
        <f>IF($H25="","",$H25*$I25)</f>
        <v/>
      </c>
      <c r="K25" s="9" t="n"/>
      <c r="L25" s="9" t="n"/>
      <c r="M25" s="9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3" t="n"/>
      <c r="J26" s="13">
        <f>IF($H26="","",$H26*$I26)</f>
        <v/>
      </c>
      <c r="K26" s="14" t="n"/>
      <c r="L26" s="14" t="n"/>
      <c r="M26" s="14" t="n"/>
      <c r="N26" s="12" t="n"/>
    </row>
    <row r="27">
      <c r="I27" s="10" t="n"/>
      <c r="J27" s="10">
        <f>IF($H27="","",$H27*$I27)</f>
        <v/>
      </c>
      <c r="K27" s="9" t="n"/>
      <c r="L27" s="9" t="n"/>
      <c r="M27" s="9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3" t="n"/>
      <c r="J28" s="13">
        <f>IF($H28="","",$H28*$I28)</f>
        <v/>
      </c>
      <c r="K28" s="14" t="n"/>
      <c r="L28" s="14" t="n"/>
      <c r="M28" s="14" t="n"/>
      <c r="N28" s="12" t="n"/>
    </row>
    <row r="29">
      <c r="I29" s="10" t="n"/>
      <c r="J29" s="10">
        <f>IF($H29="","",$H29*$I29)</f>
        <v/>
      </c>
      <c r="K29" s="9" t="n"/>
      <c r="L29" s="9" t="n"/>
      <c r="M29" s="9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3" t="n"/>
      <c r="J30" s="13">
        <f>IF($H30="","",$H30*$I30)</f>
        <v/>
      </c>
      <c r="K30" s="14" t="n"/>
      <c r="L30" s="14" t="n"/>
      <c r="M30" s="14" t="n"/>
      <c r="N30" s="12" t="n"/>
    </row>
    <row r="31">
      <c r="I31" s="10" t="n"/>
      <c r="J31" s="10">
        <f>IF($H31="","",$H31*$I31)</f>
        <v/>
      </c>
      <c r="K31" s="9" t="n"/>
      <c r="L31" s="9" t="n"/>
      <c r="M31" s="9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3" t="n"/>
      <c r="J32" s="13">
        <f>IF($H32="","",$H32*$I32)</f>
        <v/>
      </c>
      <c r="K32" s="14" t="n"/>
      <c r="L32" s="14" t="n"/>
      <c r="M32" s="14" t="n"/>
      <c r="N32" s="12" t="n"/>
    </row>
    <row r="33">
      <c r="I33" s="10" t="n"/>
      <c r="J33" s="10">
        <f>IF($H33="","",$H33*$I33)</f>
        <v/>
      </c>
      <c r="K33" s="9" t="n"/>
      <c r="L33" s="9" t="n"/>
      <c r="M33" s="9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3" t="n"/>
      <c r="J34" s="13">
        <f>IF($H34="","",$H34*$I34)</f>
        <v/>
      </c>
      <c r="K34" s="14" t="n"/>
      <c r="L34" s="14" t="n"/>
      <c r="M34" s="14" t="n"/>
      <c r="N34" s="12" t="n"/>
    </row>
    <row r="35">
      <c r="I35" s="10" t="n"/>
      <c r="J35" s="10">
        <f>IF($H35="","",$H35*$I35)</f>
        <v/>
      </c>
      <c r="K35" s="9" t="n"/>
      <c r="L35" s="9" t="n"/>
      <c r="M35" s="9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3" t="n"/>
      <c r="J36" s="13">
        <f>IF($H36="","",$H36*$I36)</f>
        <v/>
      </c>
      <c r="K36" s="14" t="n"/>
      <c r="L36" s="14" t="n"/>
      <c r="M36" s="14" t="n"/>
      <c r="N36" s="12" t="n"/>
    </row>
    <row r="37">
      <c r="I37" s="10" t="n"/>
      <c r="J37" s="10">
        <f>IF($H37="","",$H37*$I37)</f>
        <v/>
      </c>
      <c r="K37" s="9" t="n"/>
      <c r="L37" s="9" t="n"/>
      <c r="M37" s="9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3" t="n"/>
      <c r="J38" s="13">
        <f>IF($H38="","",$H38*$I38)</f>
        <v/>
      </c>
      <c r="K38" s="14" t="n"/>
      <c r="L38" s="14" t="n"/>
      <c r="M38" s="14" t="n"/>
      <c r="N38" s="12" t="n"/>
    </row>
    <row r="39">
      <c r="I39" s="10" t="n"/>
      <c r="J39" s="10">
        <f>IF($H39="","",$H39*$I39)</f>
        <v/>
      </c>
      <c r="K39" s="9" t="n"/>
      <c r="L39" s="9" t="n"/>
      <c r="M39" s="9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3" t="n"/>
      <c r="J40" s="13">
        <f>IF($H40="","",$H40*$I40)</f>
        <v/>
      </c>
      <c r="K40" s="14" t="n"/>
      <c r="L40" s="14" t="n"/>
      <c r="M40" s="14" t="n"/>
      <c r="N40" s="12" t="n"/>
    </row>
    <row r="41">
      <c r="I41" s="10" t="n"/>
      <c r="J41" s="10">
        <f>IF($H41="","",$H41*$I41)</f>
        <v/>
      </c>
      <c r="K41" s="9" t="n"/>
      <c r="L41" s="9" t="n"/>
      <c r="M41" s="9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3" t="n"/>
      <c r="J42" s="13">
        <f>IF($H42="","",$H42*$I42)</f>
        <v/>
      </c>
      <c r="K42" s="14" t="n"/>
      <c r="L42" s="14" t="n"/>
      <c r="M42" s="14" t="n"/>
      <c r="N42" s="12" t="n"/>
    </row>
    <row r="43">
      <c r="I43" s="10" t="n"/>
      <c r="J43" s="10">
        <f>IF($H43="","",$H43*$I43)</f>
        <v/>
      </c>
      <c r="K43" s="9" t="n"/>
      <c r="L43" s="9" t="n"/>
      <c r="M43" s="9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3" t="n"/>
      <c r="J44" s="13">
        <f>IF($H44="","",$H44*$I44)</f>
        <v/>
      </c>
      <c r="K44" s="14" t="n"/>
      <c r="L44" s="14" t="n"/>
      <c r="M44" s="14" t="n"/>
      <c r="N44" s="12" t="n"/>
    </row>
    <row r="45">
      <c r="I45" s="10" t="n"/>
      <c r="J45" s="10">
        <f>IF($H45="","",$H45*$I45)</f>
        <v/>
      </c>
      <c r="K45" s="9" t="n"/>
      <c r="L45" s="9" t="n"/>
      <c r="M45" s="9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3" t="n"/>
      <c r="J46" s="13">
        <f>IF($H46="","",$H46*$I46)</f>
        <v/>
      </c>
      <c r="K46" s="14" t="n"/>
      <c r="L46" s="14" t="n"/>
      <c r="M46" s="14" t="n"/>
      <c r="N46" s="12" t="n"/>
    </row>
    <row r="47">
      <c r="I47" s="10" t="n"/>
      <c r="J47" s="10">
        <f>IF($H47="","",$H47*$I47)</f>
        <v/>
      </c>
      <c r="K47" s="9" t="n"/>
      <c r="L47" s="9" t="n"/>
      <c r="M47" s="9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3" t="n"/>
      <c r="J48" s="13">
        <f>IF($H48="","",$H48*$I48)</f>
        <v/>
      </c>
      <c r="K48" s="14" t="n"/>
      <c r="L48" s="14" t="n"/>
      <c r="M48" s="14" t="n"/>
      <c r="N48" s="12" t="n"/>
    </row>
    <row r="49">
      <c r="I49" s="10" t="n"/>
      <c r="J49" s="10">
        <f>IF($H49="","",$H49*$I49)</f>
        <v/>
      </c>
      <c r="K49" s="9" t="n"/>
      <c r="L49" s="9" t="n"/>
      <c r="M49" s="9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3" t="n"/>
      <c r="J50" s="13">
        <f>IF($H50="","",$H50*$I50)</f>
        <v/>
      </c>
      <c r="K50" s="14" t="n"/>
      <c r="L50" s="14" t="n"/>
      <c r="M50" s="14" t="n"/>
      <c r="N50" s="12" t="n"/>
    </row>
    <row r="51">
      <c r="I51" s="10" t="n"/>
      <c r="J51" s="10">
        <f>IF($H51="","",$H51*$I51)</f>
        <v/>
      </c>
      <c r="K51" s="9" t="n"/>
      <c r="L51" s="9" t="n"/>
      <c r="M51" s="9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3" t="n"/>
      <c r="J52" s="13">
        <f>IF($H52="","",$H52*$I52)</f>
        <v/>
      </c>
      <c r="K52" s="14" t="n"/>
      <c r="L52" s="14" t="n"/>
      <c r="M52" s="14" t="n"/>
      <c r="N52" s="12" t="n"/>
    </row>
    <row r="53">
      <c r="I53" s="10" t="n"/>
      <c r="J53" s="10">
        <f>IF($H53="","",$H53*$I53)</f>
        <v/>
      </c>
      <c r="K53" s="9" t="n"/>
      <c r="L53" s="9" t="n"/>
      <c r="M53" s="9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3" t="n"/>
      <c r="J54" s="13">
        <f>IF($H54="","",$H54*$I54)</f>
        <v/>
      </c>
      <c r="K54" s="14" t="n"/>
      <c r="L54" s="14" t="n"/>
      <c r="M54" s="14" t="n"/>
      <c r="N54" s="12" t="n"/>
    </row>
    <row r="55">
      <c r="I55" s="10" t="n"/>
      <c r="J55" s="10">
        <f>IF($H55="","",$H55*$I55)</f>
        <v/>
      </c>
      <c r="K55" s="9" t="n"/>
      <c r="L55" s="9" t="n"/>
      <c r="M55" s="9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3" t="n"/>
      <c r="J56" s="13">
        <f>IF($H56="","",$H56*$I56)</f>
        <v/>
      </c>
      <c r="K56" s="14" t="n"/>
      <c r="L56" s="14" t="n"/>
      <c r="M56" s="14" t="n"/>
      <c r="N56" s="12" t="n"/>
    </row>
    <row r="57">
      <c r="I57" s="10" t="n"/>
      <c r="J57" s="10">
        <f>IF($H57="","",$H57*$I57)</f>
        <v/>
      </c>
      <c r="K57" s="9" t="n"/>
      <c r="L57" s="9" t="n"/>
      <c r="M57" s="9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3" t="n"/>
      <c r="J58" s="13">
        <f>IF($H58="","",$H58*$I58)</f>
        <v/>
      </c>
      <c r="K58" s="14" t="n"/>
      <c r="L58" s="14" t="n"/>
      <c r="M58" s="14" t="n"/>
      <c r="N58" s="12" t="n"/>
    </row>
    <row r="59">
      <c r="I59" s="10" t="n"/>
      <c r="J59" s="10">
        <f>IF($H59="","",$H59*$I59)</f>
        <v/>
      </c>
      <c r="K59" s="9" t="n"/>
      <c r="L59" s="9" t="n"/>
      <c r="M59" s="9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3" t="n"/>
      <c r="J60" s="13">
        <f>IF($H60="","",$H60*$I60)</f>
        <v/>
      </c>
      <c r="K60" s="14" t="n"/>
      <c r="L60" s="14" t="n"/>
      <c r="M60" s="14" t="n"/>
      <c r="N60" s="12" t="n"/>
    </row>
    <row r="61">
      <c r="I61" s="10" t="n"/>
      <c r="J61" s="10">
        <f>IF($H61="","",$H61*$I61)</f>
        <v/>
      </c>
      <c r="K61" s="9" t="n"/>
      <c r="L61" s="9" t="n"/>
      <c r="M61" s="9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3" t="n"/>
      <c r="J62" s="13">
        <f>IF($H62="","",$H62*$I62)</f>
        <v/>
      </c>
      <c r="K62" s="14" t="n"/>
      <c r="L62" s="14" t="n"/>
      <c r="M62" s="14" t="n"/>
      <c r="N62" s="12" t="n"/>
    </row>
    <row r="63">
      <c r="I63" s="10" t="n"/>
      <c r="J63" s="10">
        <f>IF($H63="","",$H63*$I63)</f>
        <v/>
      </c>
      <c r="K63" s="9" t="n"/>
      <c r="L63" s="9" t="n"/>
      <c r="M63" s="9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3" t="n"/>
      <c r="J64" s="13">
        <f>IF($H64="","",$H64*$I64)</f>
        <v/>
      </c>
      <c r="K64" s="14" t="n"/>
      <c r="L64" s="14" t="n"/>
      <c r="M64" s="14" t="n"/>
      <c r="N64" s="12" t="n"/>
    </row>
    <row r="65">
      <c r="I65" s="10" t="n"/>
      <c r="J65" s="10">
        <f>IF($H65="","",$H65*$I65)</f>
        <v/>
      </c>
      <c r="K65" s="9" t="n"/>
      <c r="L65" s="9" t="n"/>
      <c r="M65" s="9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3" t="n"/>
      <c r="J66" s="13">
        <f>IF($H66="","",$H66*$I66)</f>
        <v/>
      </c>
      <c r="K66" s="14" t="n"/>
      <c r="L66" s="14" t="n"/>
      <c r="M66" s="14" t="n"/>
      <c r="N66" s="12" t="n"/>
    </row>
    <row r="67">
      <c r="I67" s="10" t="n"/>
      <c r="J67" s="10">
        <f>IF($H67="","",$H67*$I67)</f>
        <v/>
      </c>
      <c r="K67" s="9" t="n"/>
      <c r="L67" s="9" t="n"/>
      <c r="M67" s="9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3" t="n"/>
      <c r="J68" s="13">
        <f>IF($H68="","",$H68*$I68)</f>
        <v/>
      </c>
      <c r="K68" s="14" t="n"/>
      <c r="L68" s="14" t="n"/>
      <c r="M68" s="14" t="n"/>
      <c r="N68" s="12" t="n"/>
    </row>
    <row r="69">
      <c r="I69" s="10" t="n"/>
      <c r="J69" s="10">
        <f>IF($H69="","",$H69*$I69)</f>
        <v/>
      </c>
      <c r="K69" s="9" t="n"/>
      <c r="L69" s="9" t="n"/>
      <c r="M69" s="9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3" t="n"/>
      <c r="J70" s="13">
        <f>IF($H70="","",$H70*$I70)</f>
        <v/>
      </c>
      <c r="K70" s="14" t="n"/>
      <c r="L70" s="14" t="n"/>
      <c r="M70" s="14" t="n"/>
      <c r="N70" s="12" t="n"/>
    </row>
    <row r="71">
      <c r="I71" s="10" t="n"/>
      <c r="J71" s="10">
        <f>IF($H71="","",$H71*$I71)</f>
        <v/>
      </c>
      <c r="K71" s="9" t="n"/>
      <c r="L71" s="9" t="n"/>
      <c r="M71" s="9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3" t="n"/>
      <c r="J72" s="13">
        <f>IF($H72="","",$H72*$I72)</f>
        <v/>
      </c>
      <c r="K72" s="14" t="n"/>
      <c r="L72" s="14" t="n"/>
      <c r="M72" s="14" t="n"/>
      <c r="N72" s="12" t="n"/>
    </row>
    <row r="73">
      <c r="I73" s="10" t="n"/>
      <c r="J73" s="10">
        <f>IF($H73="","",$H73*$I73)</f>
        <v/>
      </c>
      <c r="K73" s="9" t="n"/>
      <c r="L73" s="9" t="n"/>
      <c r="M73" s="9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3" t="n"/>
      <c r="J74" s="13">
        <f>IF($H74="","",$H74*$I74)</f>
        <v/>
      </c>
      <c r="K74" s="14" t="n"/>
      <c r="L74" s="14" t="n"/>
      <c r="M74" s="14" t="n"/>
      <c r="N74" s="12" t="n"/>
    </row>
    <row r="75">
      <c r="I75" s="10" t="n"/>
      <c r="J75" s="10">
        <f>IF($H75="","",$H75*$I75)</f>
        <v/>
      </c>
      <c r="K75" s="9" t="n"/>
      <c r="L75" s="9" t="n"/>
      <c r="M75" s="9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3" t="n"/>
      <c r="J76" s="13">
        <f>IF($H76="","",$H76*$I76)</f>
        <v/>
      </c>
      <c r="K76" s="14" t="n"/>
      <c r="L76" s="14" t="n"/>
      <c r="M76" s="14" t="n"/>
      <c r="N76" s="12" t="n"/>
    </row>
    <row r="77">
      <c r="I77" s="10" t="n"/>
      <c r="J77" s="10">
        <f>IF($H77="","",$H77*$I77)</f>
        <v/>
      </c>
      <c r="K77" s="9" t="n"/>
      <c r="L77" s="9" t="n"/>
      <c r="M77" s="9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3" t="n"/>
      <c r="J78" s="13">
        <f>IF($H78="","",$H78*$I78)</f>
        <v/>
      </c>
      <c r="K78" s="14" t="n"/>
      <c r="L78" s="14" t="n"/>
      <c r="M78" s="14" t="n"/>
      <c r="N78" s="12" t="n"/>
    </row>
    <row r="79">
      <c r="I79" s="10" t="n"/>
      <c r="J79" s="10">
        <f>IF($H79="","",$H79*$I79)</f>
        <v/>
      </c>
      <c r="K79" s="9" t="n"/>
      <c r="L79" s="9" t="n"/>
      <c r="M79" s="9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3" t="n"/>
      <c r="J80" s="13">
        <f>IF($H80="","",$H80*$I80)</f>
        <v/>
      </c>
      <c r="K80" s="14" t="n"/>
      <c r="L80" s="14" t="n"/>
      <c r="M80" s="14" t="n"/>
      <c r="N80" s="12" t="n"/>
    </row>
    <row r="81">
      <c r="I81" s="10" t="n"/>
      <c r="J81" s="10">
        <f>IF($H81="","",$H81*$I81)</f>
        <v/>
      </c>
      <c r="K81" s="9" t="n"/>
      <c r="L81" s="9" t="n"/>
      <c r="M81" s="9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3" t="n"/>
      <c r="J82" s="13">
        <f>IF($H82="","",$H82*$I82)</f>
        <v/>
      </c>
      <c r="K82" s="14" t="n"/>
      <c r="L82" s="14" t="n"/>
      <c r="M82" s="14" t="n"/>
      <c r="N82" s="12" t="n"/>
    </row>
    <row r="83">
      <c r="I83" s="10" t="n"/>
      <c r="J83" s="10">
        <f>IF($H83="","",$H83*$I83)</f>
        <v/>
      </c>
      <c r="K83" s="9" t="n"/>
      <c r="L83" s="9" t="n"/>
      <c r="M83" s="9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3" t="n"/>
      <c r="J84" s="13">
        <f>IF($H84="","",$H84*$I84)</f>
        <v/>
      </c>
      <c r="K84" s="14" t="n"/>
      <c r="L84" s="14" t="n"/>
      <c r="M84" s="14" t="n"/>
      <c r="N84" s="12" t="n"/>
    </row>
    <row r="85">
      <c r="I85" s="10" t="n"/>
      <c r="J85" s="10">
        <f>IF($H85="","",$H85*$I85)</f>
        <v/>
      </c>
      <c r="K85" s="9" t="n"/>
      <c r="L85" s="9" t="n"/>
      <c r="M85" s="9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3" t="n"/>
      <c r="J86" s="13">
        <f>IF($H86="","",$H86*$I86)</f>
        <v/>
      </c>
      <c r="K86" s="14" t="n"/>
      <c r="L86" s="14" t="n"/>
      <c r="M86" s="14" t="n"/>
      <c r="N86" s="12" t="n"/>
    </row>
    <row r="87">
      <c r="I87" s="10" t="n"/>
      <c r="J87" s="10">
        <f>IF($H87="","",$H87*$I87)</f>
        <v/>
      </c>
      <c r="K87" s="9" t="n"/>
      <c r="L87" s="9" t="n"/>
      <c r="M87" s="9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3" t="n"/>
      <c r="J88" s="13">
        <f>IF($H88="","",$H88*$I88)</f>
        <v/>
      </c>
      <c r="K88" s="14" t="n"/>
      <c r="L88" s="14" t="n"/>
      <c r="M88" s="14" t="n"/>
      <c r="N88" s="12" t="n"/>
    </row>
    <row r="89">
      <c r="I89" s="10" t="n"/>
      <c r="J89" s="10">
        <f>IF($H89="","",$H89*$I89)</f>
        <v/>
      </c>
      <c r="K89" s="9" t="n"/>
      <c r="L89" s="9" t="n"/>
      <c r="M89" s="9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3" t="n"/>
      <c r="J90" s="13">
        <f>IF($H90="","",$H90*$I90)</f>
        <v/>
      </c>
      <c r="K90" s="14" t="n"/>
      <c r="L90" s="14" t="n"/>
      <c r="M90" s="14" t="n"/>
      <c r="N90" s="12" t="n"/>
    </row>
    <row r="91">
      <c r="I91" s="10" t="n"/>
      <c r="J91" s="10">
        <f>IF($H91="","",$H91*$I91)</f>
        <v/>
      </c>
      <c r="K91" s="9" t="n"/>
      <c r="L91" s="9" t="n"/>
      <c r="M91" s="9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3" t="n"/>
      <c r="J92" s="13">
        <f>IF($H92="","",$H92*$I92)</f>
        <v/>
      </c>
      <c r="K92" s="14" t="n"/>
      <c r="L92" s="14" t="n"/>
      <c r="M92" s="14" t="n"/>
      <c r="N92" s="12" t="n"/>
    </row>
    <row r="93">
      <c r="I93" s="10" t="n"/>
      <c r="J93" s="10">
        <f>IF($H93="","",$H93*$I93)</f>
        <v/>
      </c>
      <c r="K93" s="9" t="n"/>
      <c r="L93" s="9" t="n"/>
      <c r="M93" s="9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3" t="n"/>
      <c r="J94" s="13">
        <f>IF($H94="","",$H94*$I94)</f>
        <v/>
      </c>
      <c r="K94" s="14" t="n"/>
      <c r="L94" s="14" t="n"/>
      <c r="M94" s="14" t="n"/>
      <c r="N94" s="12" t="n"/>
    </row>
    <row r="95">
      <c r="I95" s="10" t="n"/>
      <c r="J95" s="10">
        <f>IF($H95="","",$H95*$I95)</f>
        <v/>
      </c>
      <c r="K95" s="9" t="n"/>
      <c r="L95" s="9" t="n"/>
      <c r="M95" s="9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3" t="n"/>
      <c r="J96" s="13">
        <f>IF($H96="","",$H96*$I96)</f>
        <v/>
      </c>
      <c r="K96" s="14" t="n"/>
      <c r="L96" s="14" t="n"/>
      <c r="M96" s="14" t="n"/>
      <c r="N96" s="12" t="n"/>
    </row>
    <row r="97">
      <c r="I97" s="10" t="n"/>
      <c r="J97" s="10">
        <f>IF($H97="","",$H97*$I97)</f>
        <v/>
      </c>
      <c r="K97" s="9" t="n"/>
      <c r="L97" s="9" t="n"/>
      <c r="M97" s="9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3" t="n"/>
      <c r="J98" s="13">
        <f>IF($H98="","",$H98*$I98)</f>
        <v/>
      </c>
      <c r="K98" s="14" t="n"/>
      <c r="L98" s="14" t="n"/>
      <c r="M98" s="14" t="n"/>
      <c r="N98" s="12" t="n"/>
    </row>
    <row r="99">
      <c r="I99" s="10" t="n"/>
      <c r="J99" s="10">
        <f>IF($H99="","",$H99*$I99)</f>
        <v/>
      </c>
      <c r="K99" s="9" t="n"/>
      <c r="L99" s="9" t="n"/>
      <c r="M99" s="9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3" t="n"/>
      <c r="J100" s="13">
        <f>IF($H100="","",$H100*$I100)</f>
        <v/>
      </c>
      <c r="K100" s="14" t="n"/>
      <c r="L100" s="14" t="n"/>
      <c r="M100" s="14" t="n"/>
      <c r="N100" s="12" t="n"/>
    </row>
    <row r="101">
      <c r="I101" s="10" t="n"/>
      <c r="J101" s="10">
        <f>IF($H101="","",$H101*$I101)</f>
        <v/>
      </c>
      <c r="K101" s="9" t="n"/>
      <c r="L101" s="9" t="n"/>
      <c r="M101" s="9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3" t="n"/>
      <c r="J102" s="13">
        <f>IF($H102="","",$H102*$I102)</f>
        <v/>
      </c>
      <c r="K102" s="14" t="n"/>
      <c r="L102" s="14" t="n"/>
      <c r="M102" s="14" t="n"/>
      <c r="N102" s="12" t="n"/>
    </row>
    <row r="103">
      <c r="I103" s="10" t="n"/>
      <c r="J103" s="10">
        <f>IF($H103="","",$H103*$I103)</f>
        <v/>
      </c>
      <c r="K103" s="9" t="n"/>
      <c r="L103" s="9" t="n"/>
      <c r="M103" s="9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3" t="n"/>
      <c r="J104" s="13">
        <f>IF($H104="","",$H104*$I104)</f>
        <v/>
      </c>
      <c r="K104" s="14" t="n"/>
      <c r="L104" s="14" t="n"/>
      <c r="M104" s="14" t="n"/>
      <c r="N104" s="12" t="n"/>
    </row>
    <row r="105">
      <c r="I105" s="10" t="n"/>
      <c r="J105" s="10">
        <f>IF($H105="","",$H105*$I105)</f>
        <v/>
      </c>
      <c r="K105" s="9" t="n"/>
      <c r="L105" s="9" t="n"/>
      <c r="M105" s="9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3" t="n"/>
      <c r="J106" s="13">
        <f>IF($H106="","",$H106*$I106)</f>
        <v/>
      </c>
      <c r="K106" s="14" t="n"/>
      <c r="L106" s="14" t="n"/>
      <c r="M106" s="14" t="n"/>
      <c r="N106" s="12" t="n"/>
    </row>
    <row r="107">
      <c r="I107" s="10" t="n"/>
      <c r="J107" s="10">
        <f>IF($H107="","",$H107*$I107)</f>
        <v/>
      </c>
      <c r="K107" s="9" t="n"/>
      <c r="L107" s="9" t="n"/>
      <c r="M107" s="9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3" t="n"/>
      <c r="J108" s="13">
        <f>IF($H108="","",$H108*$I108)</f>
        <v/>
      </c>
      <c r="K108" s="14" t="n"/>
      <c r="L108" s="14" t="n"/>
      <c r="M108" s="14" t="n"/>
      <c r="N108" s="12" t="n"/>
    </row>
    <row r="109">
      <c r="I109" s="10" t="n"/>
      <c r="J109" s="10">
        <f>IF($H109="","",$H109*$I109)</f>
        <v/>
      </c>
      <c r="K109" s="9" t="n"/>
      <c r="L109" s="9" t="n"/>
      <c r="M109" s="9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3" t="n"/>
      <c r="J110" s="13">
        <f>IF($H110="","",$H110*$I110)</f>
        <v/>
      </c>
      <c r="K110" s="14" t="n"/>
      <c r="L110" s="14" t="n"/>
      <c r="M110" s="14" t="n"/>
      <c r="N110" s="12" t="n"/>
    </row>
    <row r="111">
      <c r="I111" s="10" t="n"/>
      <c r="J111" s="10">
        <f>IF($H111="","",$H111*$I111)</f>
        <v/>
      </c>
      <c r="K111" s="9" t="n"/>
      <c r="L111" s="9" t="n"/>
      <c r="M111" s="9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3" t="n"/>
      <c r="J112" s="13">
        <f>IF($H112="","",$H112*$I112)</f>
        <v/>
      </c>
      <c r="K112" s="14" t="n"/>
      <c r="L112" s="14" t="n"/>
      <c r="M112" s="14" t="n"/>
      <c r="N112" s="12" t="n"/>
    </row>
    <row r="113">
      <c r="I113" s="10" t="n"/>
      <c r="J113" s="10">
        <f>IF($H113="","",$H113*$I113)</f>
        <v/>
      </c>
      <c r="K113" s="9" t="n"/>
      <c r="L113" s="9" t="n"/>
      <c r="M113" s="9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3" t="n"/>
      <c r="J114" s="13">
        <f>IF($H114="","",$H114*$I114)</f>
        <v/>
      </c>
      <c r="K114" s="14" t="n"/>
      <c r="L114" s="14" t="n"/>
      <c r="M114" s="14" t="n"/>
      <c r="N114" s="12" t="n"/>
    </row>
    <row r="115">
      <c r="I115" s="10" t="n"/>
      <c r="J115" s="10">
        <f>IF($H115="","",$H115*$I115)</f>
        <v/>
      </c>
      <c r="K115" s="9" t="n"/>
      <c r="L115" s="9" t="n"/>
      <c r="M115" s="9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3" t="n"/>
      <c r="J116" s="13">
        <f>IF($H116="","",$H116*$I116)</f>
        <v/>
      </c>
      <c r="K116" s="14" t="n"/>
      <c r="L116" s="14" t="n"/>
      <c r="M116" s="14" t="n"/>
      <c r="N116" s="12" t="n"/>
    </row>
    <row r="117">
      <c r="I117" s="10" t="n"/>
      <c r="J117" s="10">
        <f>IF($H117="","",$H117*$I117)</f>
        <v/>
      </c>
      <c r="K117" s="9" t="n"/>
      <c r="L117" s="9" t="n"/>
      <c r="M117" s="9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3" t="n"/>
      <c r="J118" s="13">
        <f>IF($H118="","",$H118*$I118)</f>
        <v/>
      </c>
      <c r="K118" s="14" t="n"/>
      <c r="L118" s="14" t="n"/>
      <c r="M118" s="14" t="n"/>
      <c r="N118" s="12" t="n"/>
    </row>
    <row r="119">
      <c r="I119" s="10" t="n"/>
      <c r="J119" s="10">
        <f>IF($H119="","",$H119*$I119)</f>
        <v/>
      </c>
      <c r="K119" s="9" t="n"/>
      <c r="L119" s="9" t="n"/>
      <c r="M119" s="9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3" t="n"/>
      <c r="J120" s="13">
        <f>IF($H120="","",$H120*$I120)</f>
        <v/>
      </c>
      <c r="K120" s="14" t="n"/>
      <c r="L120" s="14" t="n"/>
      <c r="M120" s="14" t="n"/>
      <c r="N120" s="12" t="n"/>
    </row>
    <row r="121">
      <c r="I121" s="10" t="n"/>
      <c r="J121" s="10">
        <f>IF($H121="","",$H121*$I121)</f>
        <v/>
      </c>
      <c r="K121" s="9" t="n"/>
      <c r="L121" s="9" t="n"/>
      <c r="M121" s="9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3" t="n"/>
      <c r="J122" s="13">
        <f>IF($H122="","",$H122*$I122)</f>
        <v/>
      </c>
      <c r="K122" s="14" t="n"/>
      <c r="L122" s="14" t="n"/>
      <c r="M122" s="14" t="n"/>
      <c r="N122" s="12" t="n"/>
    </row>
    <row r="123">
      <c r="I123" s="10" t="n"/>
      <c r="J123" s="10">
        <f>IF($H123="","",$H123*$I123)</f>
        <v/>
      </c>
      <c r="K123" s="9" t="n"/>
      <c r="L123" s="9" t="n"/>
      <c r="M123" s="9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3" t="n"/>
      <c r="J124" s="13">
        <f>IF($H124="","",$H124*$I124)</f>
        <v/>
      </c>
      <c r="K124" s="14" t="n"/>
      <c r="L124" s="14" t="n"/>
      <c r="M124" s="14" t="n"/>
      <c r="N124" s="12" t="n"/>
    </row>
    <row r="125">
      <c r="I125" s="10" t="n"/>
      <c r="J125" s="10">
        <f>IF($H125="","",$H125*$I125)</f>
        <v/>
      </c>
      <c r="K125" s="9" t="n"/>
      <c r="L125" s="9" t="n"/>
      <c r="M125" s="9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3" t="n"/>
      <c r="J126" s="13">
        <f>IF($H126="","",$H126*$I126)</f>
        <v/>
      </c>
      <c r="K126" s="14" t="n"/>
      <c r="L126" s="14" t="n"/>
      <c r="M126" s="14" t="n"/>
      <c r="N126" s="12" t="n"/>
    </row>
    <row r="127">
      <c r="I127" s="10" t="n"/>
      <c r="J127" s="10">
        <f>IF($H127="","",$H127*$I127)</f>
        <v/>
      </c>
      <c r="K127" s="9" t="n"/>
      <c r="L127" s="9" t="n"/>
      <c r="M127" s="9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3" t="n"/>
      <c r="J128" s="13">
        <f>IF($H128="","",$H128*$I128)</f>
        <v/>
      </c>
      <c r="K128" s="14" t="n"/>
      <c r="L128" s="14" t="n"/>
      <c r="M128" s="14" t="n"/>
      <c r="N128" s="12" t="n"/>
    </row>
    <row r="129">
      <c r="I129" s="10" t="n"/>
      <c r="J129" s="10">
        <f>IF($H129="","",$H129*$I129)</f>
        <v/>
      </c>
      <c r="K129" s="9" t="n"/>
      <c r="L129" s="9" t="n"/>
      <c r="M129" s="9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3" t="n"/>
      <c r="J130" s="13">
        <f>IF($H130="","",$H130*$I130)</f>
        <v/>
      </c>
      <c r="K130" s="14" t="n"/>
      <c r="L130" s="14" t="n"/>
      <c r="M130" s="14" t="n"/>
      <c r="N130" s="12" t="n"/>
    </row>
    <row r="131">
      <c r="I131" s="10" t="n"/>
      <c r="J131" s="10">
        <f>IF($H131="","",$H131*$I131)</f>
        <v/>
      </c>
      <c r="K131" s="9" t="n"/>
      <c r="L131" s="9" t="n"/>
      <c r="M131" s="9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3" t="n"/>
      <c r="J132" s="13">
        <f>IF($H132="","",$H132*$I132)</f>
        <v/>
      </c>
      <c r="K132" s="14" t="n"/>
      <c r="L132" s="14" t="n"/>
      <c r="M132" s="14" t="n"/>
      <c r="N132" s="12" t="n"/>
    </row>
    <row r="133">
      <c r="I133" s="10" t="n"/>
      <c r="J133" s="10">
        <f>IF($H133="","",$H133*$I133)</f>
        <v/>
      </c>
      <c r="K133" s="9" t="n"/>
      <c r="L133" s="9" t="n"/>
      <c r="M133" s="9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3" t="n"/>
      <c r="J134" s="13">
        <f>IF($H134="","",$H134*$I134)</f>
        <v/>
      </c>
      <c r="K134" s="14" t="n"/>
      <c r="L134" s="14" t="n"/>
      <c r="M134" s="14" t="n"/>
      <c r="N134" s="12" t="n"/>
    </row>
    <row r="135">
      <c r="I135" s="10" t="n"/>
      <c r="J135" s="10">
        <f>IF($H135="","",$H135*$I135)</f>
        <v/>
      </c>
      <c r="K135" s="9" t="n"/>
      <c r="L135" s="9" t="n"/>
      <c r="M135" s="9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3" t="n"/>
      <c r="J136" s="13">
        <f>IF($H136="","",$H136*$I136)</f>
        <v/>
      </c>
      <c r="K136" s="14" t="n"/>
      <c r="L136" s="14" t="n"/>
      <c r="M136" s="14" t="n"/>
      <c r="N136" s="12" t="n"/>
    </row>
    <row r="137">
      <c r="I137" s="10" t="n"/>
      <c r="J137" s="10">
        <f>IF($H137="","",$H137*$I137)</f>
        <v/>
      </c>
      <c r="K137" s="9" t="n"/>
      <c r="L137" s="9" t="n"/>
      <c r="M137" s="9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3" t="n"/>
      <c r="J138" s="13">
        <f>IF($H138="","",$H138*$I138)</f>
        <v/>
      </c>
      <c r="K138" s="14" t="n"/>
      <c r="L138" s="14" t="n"/>
      <c r="M138" s="14" t="n"/>
      <c r="N138" s="12" t="n"/>
    </row>
    <row r="139">
      <c r="I139" s="10" t="n"/>
      <c r="J139" s="10">
        <f>IF($H139="","",$H139*$I139)</f>
        <v/>
      </c>
      <c r="K139" s="9" t="n"/>
      <c r="L139" s="9" t="n"/>
      <c r="M139" s="9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3" t="n"/>
      <c r="J140" s="13">
        <f>IF($H140="","",$H140*$I140)</f>
        <v/>
      </c>
      <c r="K140" s="14" t="n"/>
      <c r="L140" s="14" t="n"/>
      <c r="M140" s="14" t="n"/>
      <c r="N140" s="12" t="n"/>
    </row>
    <row r="141">
      <c r="I141" s="10" t="n"/>
      <c r="J141" s="10">
        <f>IF($H141="","",$H141*$I141)</f>
        <v/>
      </c>
      <c r="K141" s="9" t="n"/>
      <c r="L141" s="9" t="n"/>
      <c r="M141" s="9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3" t="n"/>
      <c r="J142" s="13">
        <f>IF($H142="","",$H142*$I142)</f>
        <v/>
      </c>
      <c r="K142" s="14" t="n"/>
      <c r="L142" s="14" t="n"/>
      <c r="M142" s="14" t="n"/>
      <c r="N142" s="12" t="n"/>
    </row>
    <row r="143">
      <c r="I143" s="10" t="n"/>
      <c r="J143" s="10">
        <f>IF($H143="","",$H143*$I143)</f>
        <v/>
      </c>
      <c r="K143" s="9" t="n"/>
      <c r="L143" s="9" t="n"/>
      <c r="M143" s="9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3" t="n"/>
      <c r="J144" s="13">
        <f>IF($H144="","",$H144*$I144)</f>
        <v/>
      </c>
      <c r="K144" s="14" t="n"/>
      <c r="L144" s="14" t="n"/>
      <c r="M144" s="14" t="n"/>
      <c r="N144" s="12" t="n"/>
    </row>
    <row r="145">
      <c r="I145" s="10" t="n"/>
      <c r="J145" s="10">
        <f>IF($H145="","",$H145*$I145)</f>
        <v/>
      </c>
      <c r="K145" s="9" t="n"/>
      <c r="L145" s="9" t="n"/>
      <c r="M145" s="9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3" t="n"/>
      <c r="J146" s="13">
        <f>IF($H146="","",$H146*$I146)</f>
        <v/>
      </c>
      <c r="K146" s="14" t="n"/>
      <c r="L146" s="14" t="n"/>
      <c r="M146" s="14" t="n"/>
      <c r="N146" s="12" t="n"/>
    </row>
    <row r="147">
      <c r="I147" s="10" t="n"/>
      <c r="J147" s="10">
        <f>IF($H147="","",$H147*$I147)</f>
        <v/>
      </c>
      <c r="K147" s="9" t="n"/>
      <c r="L147" s="9" t="n"/>
      <c r="M147" s="9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3" t="n"/>
      <c r="J148" s="13">
        <f>IF($H148="","",$H148*$I148)</f>
        <v/>
      </c>
      <c r="K148" s="14" t="n"/>
      <c r="L148" s="14" t="n"/>
      <c r="M148" s="14" t="n"/>
      <c r="N148" s="12" t="n"/>
    </row>
    <row r="149">
      <c r="I149" s="10" t="n"/>
      <c r="J149" s="10">
        <f>IF($H149="","",$H149*$I149)</f>
        <v/>
      </c>
      <c r="K149" s="9" t="n"/>
      <c r="L149" s="9" t="n"/>
      <c r="M149" s="9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3" t="n"/>
      <c r="J150" s="13">
        <f>IF($H150="","",$H150*$I150)</f>
        <v/>
      </c>
      <c r="K150" s="14" t="n"/>
      <c r="L150" s="14" t="n"/>
      <c r="M150" s="14" t="n"/>
      <c r="N150" s="12" t="n"/>
    </row>
    <row r="151">
      <c r="I151" s="10" t="n"/>
      <c r="J151" s="10">
        <f>IF($H151="","",$H151*$I151)</f>
        <v/>
      </c>
      <c r="K151" s="9" t="n"/>
      <c r="L151" s="9" t="n"/>
      <c r="M151" s="9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3" t="n"/>
      <c r="J152" s="13">
        <f>IF($H152="","",$H152*$I152)</f>
        <v/>
      </c>
      <c r="K152" s="14" t="n"/>
      <c r="L152" s="14" t="n"/>
      <c r="M152" s="14" t="n"/>
      <c r="N152" s="12" t="n"/>
    </row>
    <row r="153">
      <c r="I153" s="10" t="n"/>
      <c r="J153" s="10">
        <f>IF($H153="","",$H153*$I153)</f>
        <v/>
      </c>
      <c r="K153" s="9" t="n"/>
      <c r="L153" s="9" t="n"/>
      <c r="M153" s="9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3" t="n"/>
      <c r="J154" s="13">
        <f>IF($H154="","",$H154*$I154)</f>
        <v/>
      </c>
      <c r="K154" s="14" t="n"/>
      <c r="L154" s="14" t="n"/>
      <c r="M154" s="14" t="n"/>
      <c r="N154" s="12" t="n"/>
    </row>
    <row r="155">
      <c r="I155" s="10" t="n"/>
      <c r="J155" s="10">
        <f>IF($H155="","",$H155*$I155)</f>
        <v/>
      </c>
      <c r="K155" s="9" t="n"/>
      <c r="L155" s="9" t="n"/>
      <c r="M155" s="9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3" t="n"/>
      <c r="J156" s="13">
        <f>IF($H156="","",$H156*$I156)</f>
        <v/>
      </c>
      <c r="K156" s="14" t="n"/>
      <c r="L156" s="14" t="n"/>
      <c r="M156" s="14" t="n"/>
      <c r="N156" s="12" t="n"/>
    </row>
    <row r="157">
      <c r="I157" s="10" t="n"/>
      <c r="J157" s="10">
        <f>IF($H157="","",$H157*$I157)</f>
        <v/>
      </c>
      <c r="K157" s="9" t="n"/>
      <c r="L157" s="9" t="n"/>
      <c r="M157" s="9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3" t="n"/>
      <c r="J158" s="13">
        <f>IF($H158="","",$H158*$I158)</f>
        <v/>
      </c>
      <c r="K158" s="14" t="n"/>
      <c r="L158" s="14" t="n"/>
      <c r="M158" s="14" t="n"/>
      <c r="N158" s="12" t="n"/>
    </row>
    <row r="159">
      <c r="I159" s="10" t="n"/>
      <c r="J159" s="10">
        <f>IF($H159="","",$H159*$I159)</f>
        <v/>
      </c>
      <c r="K159" s="9" t="n"/>
      <c r="L159" s="9" t="n"/>
      <c r="M159" s="9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3" t="n"/>
      <c r="J160" s="13">
        <f>IF($H160="","",$H160*$I160)</f>
        <v/>
      </c>
      <c r="K160" s="14" t="n"/>
      <c r="L160" s="14" t="n"/>
      <c r="M160" s="14" t="n"/>
      <c r="N160" s="12" t="n"/>
    </row>
    <row r="161">
      <c r="I161" s="10" t="n"/>
      <c r="J161" s="10">
        <f>IF($H161="","",$H161*$I161)</f>
        <v/>
      </c>
      <c r="K161" s="9" t="n"/>
      <c r="L161" s="9" t="n"/>
      <c r="M161" s="9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3" t="n"/>
      <c r="J162" s="13">
        <f>IF($H162="","",$H162*$I162)</f>
        <v/>
      </c>
      <c r="K162" s="14" t="n"/>
      <c r="L162" s="14" t="n"/>
      <c r="M162" s="14" t="n"/>
      <c r="N162" s="12" t="n"/>
    </row>
    <row r="163">
      <c r="I163" s="10" t="n"/>
      <c r="J163" s="10">
        <f>IF($H163="","",$H163*$I163)</f>
        <v/>
      </c>
      <c r="K163" s="9" t="n"/>
      <c r="L163" s="9" t="n"/>
      <c r="M163" s="9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3" t="n"/>
      <c r="J164" s="13">
        <f>IF($H164="","",$H164*$I164)</f>
        <v/>
      </c>
      <c r="K164" s="14" t="n"/>
      <c r="L164" s="14" t="n"/>
      <c r="M164" s="14" t="n"/>
      <c r="N164" s="12" t="n"/>
    </row>
    <row r="165">
      <c r="I165" s="10" t="n"/>
      <c r="J165" s="10">
        <f>IF($H165="","",$H165*$I165)</f>
        <v/>
      </c>
      <c r="K165" s="9" t="n"/>
      <c r="L165" s="9" t="n"/>
      <c r="M165" s="9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3" t="n"/>
      <c r="J166" s="13">
        <f>IF($H166="","",$H166*$I166)</f>
        <v/>
      </c>
      <c r="K166" s="14" t="n"/>
      <c r="L166" s="14" t="n"/>
      <c r="M166" s="14" t="n"/>
      <c r="N166" s="12" t="n"/>
    </row>
    <row r="167">
      <c r="I167" s="10" t="n"/>
      <c r="J167" s="10">
        <f>IF($H167="","",$H167*$I167)</f>
        <v/>
      </c>
      <c r="K167" s="9" t="n"/>
      <c r="L167" s="9" t="n"/>
      <c r="M167" s="9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3" t="n"/>
      <c r="J168" s="13">
        <f>IF($H168="","",$H168*$I168)</f>
        <v/>
      </c>
      <c r="K168" s="14" t="n"/>
      <c r="L168" s="14" t="n"/>
      <c r="M168" s="14" t="n"/>
      <c r="N168" s="12" t="n"/>
    </row>
    <row r="169">
      <c r="I169" s="10" t="n"/>
      <c r="J169" s="10">
        <f>IF($H169="","",$H169*$I169)</f>
        <v/>
      </c>
      <c r="K169" s="9" t="n"/>
      <c r="L169" s="9" t="n"/>
      <c r="M169" s="9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3" t="n"/>
      <c r="J170" s="13">
        <f>IF($H170="","",$H170*$I170)</f>
        <v/>
      </c>
      <c r="K170" s="14" t="n"/>
      <c r="L170" s="14" t="n"/>
      <c r="M170" s="14" t="n"/>
      <c r="N170" s="12" t="n"/>
    </row>
    <row r="171">
      <c r="I171" s="10" t="n"/>
      <c r="J171" s="10">
        <f>IF($H171="","",$H171*$I171)</f>
        <v/>
      </c>
      <c r="K171" s="9" t="n"/>
      <c r="L171" s="9" t="n"/>
      <c r="M171" s="9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3" t="n"/>
      <c r="J172" s="13">
        <f>IF($H172="","",$H172*$I172)</f>
        <v/>
      </c>
      <c r="K172" s="14" t="n"/>
      <c r="L172" s="14" t="n"/>
      <c r="M172" s="14" t="n"/>
      <c r="N172" s="12" t="n"/>
    </row>
    <row r="173">
      <c r="I173" s="10" t="n"/>
      <c r="J173" s="10">
        <f>IF($H173="","",$H173*$I173)</f>
        <v/>
      </c>
      <c r="K173" s="9" t="n"/>
      <c r="L173" s="9" t="n"/>
      <c r="M173" s="9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3" t="n"/>
      <c r="J174" s="13">
        <f>IF($H174="","",$H174*$I174)</f>
        <v/>
      </c>
      <c r="K174" s="14" t="n"/>
      <c r="L174" s="14" t="n"/>
      <c r="M174" s="14" t="n"/>
      <c r="N174" s="12" t="n"/>
    </row>
    <row r="175">
      <c r="I175" s="10" t="n"/>
      <c r="J175" s="10">
        <f>IF($H175="","",$H175*$I175)</f>
        <v/>
      </c>
      <c r="K175" s="9" t="n"/>
      <c r="L175" s="9" t="n"/>
      <c r="M175" s="9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3" t="n"/>
      <c r="J176" s="13">
        <f>IF($H176="","",$H176*$I176)</f>
        <v/>
      </c>
      <c r="K176" s="14" t="n"/>
      <c r="L176" s="14" t="n"/>
      <c r="M176" s="14" t="n"/>
      <c r="N176" s="12" t="n"/>
    </row>
    <row r="177">
      <c r="I177" s="10" t="n"/>
      <c r="J177" s="10">
        <f>IF($H177="","",$H177*$I177)</f>
        <v/>
      </c>
      <c r="K177" s="9" t="n"/>
      <c r="L177" s="9" t="n"/>
      <c r="M177" s="9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3" t="n"/>
      <c r="J178" s="13">
        <f>IF($H178="","",$H178*$I178)</f>
        <v/>
      </c>
      <c r="K178" s="14" t="n"/>
      <c r="L178" s="14" t="n"/>
      <c r="M178" s="14" t="n"/>
      <c r="N178" s="12" t="n"/>
    </row>
    <row r="179">
      <c r="I179" s="10" t="n"/>
      <c r="J179" s="10">
        <f>IF($H179="","",$H179*$I179)</f>
        <v/>
      </c>
      <c r="K179" s="9" t="n"/>
      <c r="L179" s="9" t="n"/>
      <c r="M179" s="9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3" t="n"/>
      <c r="J180" s="13">
        <f>IF($H180="","",$H180*$I180)</f>
        <v/>
      </c>
      <c r="K180" s="14" t="n"/>
      <c r="L180" s="14" t="n"/>
      <c r="M180" s="14" t="n"/>
      <c r="N180" s="12" t="n"/>
    </row>
    <row r="181">
      <c r="I181" s="10" t="n"/>
      <c r="J181" s="10">
        <f>IF($H181="","",$H181*$I181)</f>
        <v/>
      </c>
      <c r="K181" s="9" t="n"/>
      <c r="L181" s="9" t="n"/>
      <c r="M181" s="9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3" t="n"/>
      <c r="J182" s="13">
        <f>IF($H182="","",$H182*$I182)</f>
        <v/>
      </c>
      <c r="K182" s="14" t="n"/>
      <c r="L182" s="14" t="n"/>
      <c r="M182" s="14" t="n"/>
      <c r="N182" s="12" t="n"/>
    </row>
    <row r="183">
      <c r="I183" s="10" t="n"/>
      <c r="J183" s="10">
        <f>IF($H183="","",$H183*$I183)</f>
        <v/>
      </c>
      <c r="K183" s="9" t="n"/>
      <c r="L183" s="9" t="n"/>
      <c r="M183" s="9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3" t="n"/>
      <c r="J184" s="13">
        <f>IF($H184="","",$H184*$I184)</f>
        <v/>
      </c>
      <c r="K184" s="14" t="n"/>
      <c r="L184" s="14" t="n"/>
      <c r="M184" s="14" t="n"/>
      <c r="N184" s="12" t="n"/>
    </row>
    <row r="185">
      <c r="I185" s="10" t="n"/>
      <c r="J185" s="10">
        <f>IF($H185="","",$H185*$I185)</f>
        <v/>
      </c>
      <c r="K185" s="9" t="n"/>
      <c r="L185" s="9" t="n"/>
      <c r="M185" s="9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3" t="n"/>
      <c r="J186" s="13">
        <f>IF($H186="","",$H186*$I186)</f>
        <v/>
      </c>
      <c r="K186" s="14" t="n"/>
      <c r="L186" s="14" t="n"/>
      <c r="M186" s="14" t="n"/>
      <c r="N186" s="12" t="n"/>
    </row>
    <row r="187">
      <c r="I187" s="10" t="n"/>
      <c r="J187" s="10">
        <f>IF($H187="","",$H187*$I187)</f>
        <v/>
      </c>
      <c r="K187" s="9" t="n"/>
      <c r="L187" s="9" t="n"/>
      <c r="M187" s="9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3" t="n"/>
      <c r="J188" s="13">
        <f>IF($H188="","",$H188*$I188)</f>
        <v/>
      </c>
      <c r="K188" s="14" t="n"/>
      <c r="L188" s="14" t="n"/>
      <c r="M188" s="14" t="n"/>
      <c r="N188" s="12" t="n"/>
    </row>
    <row r="189">
      <c r="I189" s="10" t="n"/>
      <c r="J189" s="10">
        <f>IF($H189="","",$H189*$I189)</f>
        <v/>
      </c>
      <c r="K189" s="9" t="n"/>
      <c r="L189" s="9" t="n"/>
      <c r="M189" s="9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3" t="n"/>
      <c r="J190" s="13">
        <f>IF($H190="","",$H190*$I190)</f>
        <v/>
      </c>
      <c r="K190" s="14" t="n"/>
      <c r="L190" s="14" t="n"/>
      <c r="M190" s="14" t="n"/>
      <c r="N190" s="12" t="n"/>
    </row>
    <row r="191">
      <c r="I191" s="10" t="n"/>
      <c r="J191" s="10">
        <f>IF($H191="","",$H191*$I191)</f>
        <v/>
      </c>
      <c r="K191" s="9" t="n"/>
      <c r="L191" s="9" t="n"/>
      <c r="M191" s="9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3" t="n"/>
      <c r="J192" s="13">
        <f>IF($H192="","",$H192*$I192)</f>
        <v/>
      </c>
      <c r="K192" s="14" t="n"/>
      <c r="L192" s="14" t="n"/>
      <c r="M192" s="14" t="n"/>
      <c r="N192" s="12" t="n"/>
    </row>
    <row r="193">
      <c r="I193" s="10" t="n"/>
      <c r="J193" s="10">
        <f>IF($H193="","",$H193*$I193)</f>
        <v/>
      </c>
      <c r="K193" s="9" t="n"/>
      <c r="L193" s="9" t="n"/>
      <c r="M193" s="9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3" t="n"/>
      <c r="J194" s="13">
        <f>IF($H194="","",$H194*$I194)</f>
        <v/>
      </c>
      <c r="K194" s="14" t="n"/>
      <c r="L194" s="14" t="n"/>
      <c r="M194" s="14" t="n"/>
      <c r="N194" s="12" t="n"/>
    </row>
    <row r="195">
      <c r="I195" s="10" t="n"/>
      <c r="J195" s="10">
        <f>IF($H195="","",$H195*$I195)</f>
        <v/>
      </c>
      <c r="K195" s="9" t="n"/>
      <c r="L195" s="9" t="n"/>
      <c r="M195" s="9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3" t="n"/>
      <c r="J196" s="13">
        <f>IF($H196="","",$H196*$I196)</f>
        <v/>
      </c>
      <c r="K196" s="14" t="n"/>
      <c r="L196" s="14" t="n"/>
      <c r="M196" s="14" t="n"/>
      <c r="N196" s="12" t="n"/>
    </row>
    <row r="197">
      <c r="I197" s="10" t="n"/>
      <c r="J197" s="10">
        <f>IF($H197="","",$H197*$I197)</f>
        <v/>
      </c>
      <c r="K197" s="9" t="n"/>
      <c r="L197" s="9" t="n"/>
      <c r="M197" s="9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3" t="n"/>
      <c r="J198" s="13">
        <f>IF($H198="","",$H198*$I198)</f>
        <v/>
      </c>
      <c r="K198" s="14" t="n"/>
      <c r="L198" s="14" t="n"/>
      <c r="M198" s="14" t="n"/>
      <c r="N198" s="12" t="n"/>
    </row>
    <row r="199">
      <c r="I199" s="10" t="n"/>
      <c r="J199" s="10">
        <f>IF($H199="","",$H199*$I199)</f>
        <v/>
      </c>
      <c r="K199" s="9" t="n"/>
      <c r="L199" s="9" t="n"/>
      <c r="M199" s="9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3" t="n"/>
      <c r="J200" s="13">
        <f>IF($H200="","",$H200*$I200)</f>
        <v/>
      </c>
      <c r="K200" s="14" t="n"/>
      <c r="L200" s="14" t="n"/>
      <c r="M200" s="14" t="n"/>
      <c r="N200" s="12" t="n"/>
    </row>
    <row r="201">
      <c r="I201" s="10" t="n"/>
      <c r="J201" s="10">
        <f>IF($H201="","",$H201*$I201)</f>
        <v/>
      </c>
      <c r="K201" s="9" t="n"/>
      <c r="L201" s="9" t="n"/>
      <c r="M201" s="9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3" t="n"/>
      <c r="J202" s="13">
        <f>IF($H202="","",$H202*$I202)</f>
        <v/>
      </c>
      <c r="K202" s="14" t="n"/>
      <c r="L202" s="14" t="n"/>
      <c r="M202" s="14" t="n"/>
      <c r="N202" s="12" t="n"/>
    </row>
    <row r="203">
      <c r="I203" s="10" t="n"/>
      <c r="J203" s="10">
        <f>IF($H203="","",$H203*$I203)</f>
        <v/>
      </c>
      <c r="K203" s="9" t="n"/>
      <c r="L203" s="9" t="n"/>
      <c r="M203" s="9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3" t="n"/>
      <c r="J204" s="13">
        <f>IF($H204="","",$H204*$I204)</f>
        <v/>
      </c>
      <c r="K204" s="14" t="n"/>
      <c r="L204" s="14" t="n"/>
      <c r="M204" s="14" t="n"/>
      <c r="N204" s="12" t="n"/>
    </row>
    <row r="205">
      <c r="I205" s="10" t="n"/>
      <c r="J205" s="10">
        <f>IF($H205="","",$H205*$I205)</f>
        <v/>
      </c>
      <c r="K205" s="9" t="n"/>
      <c r="L205" s="9" t="n"/>
      <c r="M205" s="9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3" t="n"/>
      <c r="J206" s="13">
        <f>IF($H206="","",$H206*$I206)</f>
        <v/>
      </c>
      <c r="K206" s="14" t="n"/>
      <c r="L206" s="14" t="n"/>
      <c r="M206" s="14" t="n"/>
      <c r="N206" s="12" t="n"/>
    </row>
    <row r="207">
      <c r="I207" s="10" t="n"/>
      <c r="J207" s="10">
        <f>IF($H207="","",$H207*$I207)</f>
        <v/>
      </c>
      <c r="K207" s="9" t="n"/>
      <c r="L207" s="9" t="n"/>
      <c r="M207" s="9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3" t="n"/>
      <c r="J208" s="13">
        <f>IF($H208="","",$H208*$I208)</f>
        <v/>
      </c>
      <c r="K208" s="14" t="n"/>
      <c r="L208" s="14" t="n"/>
      <c r="M208" s="14" t="n"/>
      <c r="N208" s="12" t="n"/>
    </row>
    <row r="209">
      <c r="I209" s="10" t="n"/>
      <c r="J209" s="10">
        <f>IF($H209="","",$H209*$I209)</f>
        <v/>
      </c>
      <c r="K209" s="9" t="n"/>
      <c r="L209" s="9" t="n"/>
      <c r="M209" s="9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3" t="n"/>
      <c r="J210" s="13">
        <f>IF($H210="","",$H210*$I210)</f>
        <v/>
      </c>
      <c r="K210" s="14" t="n"/>
      <c r="L210" s="14" t="n"/>
      <c r="M210" s="14" t="n"/>
      <c r="N210" s="12" t="n"/>
    </row>
    <row r="211">
      <c r="I211" s="10" t="n"/>
      <c r="J211" s="10">
        <f>IF($H211="","",$H211*$I211)</f>
        <v/>
      </c>
      <c r="K211" s="9" t="n"/>
      <c r="L211" s="9" t="n"/>
      <c r="M211" s="9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3" t="n"/>
      <c r="J212" s="13">
        <f>IF($H212="","",$H212*$I212)</f>
        <v/>
      </c>
      <c r="K212" s="14" t="n"/>
      <c r="L212" s="14" t="n"/>
      <c r="M212" s="14" t="n"/>
      <c r="N212" s="12" t="n"/>
    </row>
    <row r="213">
      <c r="I213" s="10" t="n"/>
      <c r="J213" s="10">
        <f>IF($H213="","",$H213*$I213)</f>
        <v/>
      </c>
      <c r="K213" s="9" t="n"/>
      <c r="L213" s="9" t="n"/>
      <c r="M213" s="9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3" t="n"/>
      <c r="J214" s="13">
        <f>IF($H214="","",$H214*$I214)</f>
        <v/>
      </c>
      <c r="K214" s="14" t="n"/>
      <c r="L214" s="14" t="n"/>
      <c r="M214" s="14" t="n"/>
      <c r="N214" s="12" t="n"/>
    </row>
    <row r="215">
      <c r="I215" s="10" t="n"/>
      <c r="J215" s="10">
        <f>IF($H215="","",$H215*$I215)</f>
        <v/>
      </c>
      <c r="K215" s="9" t="n"/>
      <c r="L215" s="9" t="n"/>
      <c r="M215" s="9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3" t="n"/>
      <c r="J216" s="13">
        <f>IF($H216="","",$H216*$I216)</f>
        <v/>
      </c>
      <c r="K216" s="14" t="n"/>
      <c r="L216" s="14" t="n"/>
      <c r="M216" s="14" t="n"/>
      <c r="N216" s="12" t="n"/>
    </row>
    <row r="217">
      <c r="I217" s="10" t="n"/>
      <c r="J217" s="10">
        <f>IF($H217="","",$H217*$I217)</f>
        <v/>
      </c>
      <c r="K217" s="9" t="n"/>
      <c r="L217" s="9" t="n"/>
      <c r="M217" s="9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3" t="n"/>
      <c r="J218" s="13">
        <f>IF($H218="","",$H218*$I218)</f>
        <v/>
      </c>
      <c r="K218" s="14" t="n"/>
      <c r="L218" s="14" t="n"/>
      <c r="M218" s="14" t="n"/>
      <c r="N218" s="12" t="n"/>
    </row>
    <row r="219">
      <c r="I219" s="10" t="n"/>
      <c r="J219" s="10">
        <f>IF($H219="","",$H219*$I219)</f>
        <v/>
      </c>
      <c r="K219" s="9" t="n"/>
      <c r="L219" s="9" t="n"/>
      <c r="M219" s="9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3" t="n"/>
      <c r="J220" s="13">
        <f>IF($H220="","",$H220*$I220)</f>
        <v/>
      </c>
      <c r="K220" s="14" t="n"/>
      <c r="L220" s="14" t="n"/>
      <c r="M220" s="14" t="n"/>
      <c r="N220" s="12" t="n"/>
    </row>
    <row r="221">
      <c r="I221" s="10" t="n"/>
      <c r="J221" s="10">
        <f>IF($H221="","",$H221*$I221)</f>
        <v/>
      </c>
      <c r="K221" s="9" t="n"/>
      <c r="L221" s="9" t="n"/>
      <c r="M221" s="9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3" t="n"/>
      <c r="J222" s="13">
        <f>IF($H222="","",$H222*$I222)</f>
        <v/>
      </c>
      <c r="K222" s="14" t="n"/>
      <c r="L222" s="14" t="n"/>
      <c r="M222" s="14" t="n"/>
      <c r="N222" s="12" t="n"/>
    </row>
    <row r="223">
      <c r="I223" s="10" t="n"/>
      <c r="J223" s="10">
        <f>IF($H223="","",$H223*$I223)</f>
        <v/>
      </c>
      <c r="K223" s="9" t="n"/>
      <c r="L223" s="9" t="n"/>
      <c r="M223" s="9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3" t="n"/>
      <c r="J224" s="13">
        <f>IF($H224="","",$H224*$I224)</f>
        <v/>
      </c>
      <c r="K224" s="14" t="n"/>
      <c r="L224" s="14" t="n"/>
      <c r="M224" s="14" t="n"/>
      <c r="N224" s="12" t="n"/>
    </row>
    <row r="225">
      <c r="I225" s="10" t="n"/>
      <c r="J225" s="10">
        <f>IF($H225="","",$H225*$I225)</f>
        <v/>
      </c>
      <c r="K225" s="9" t="n"/>
      <c r="L225" s="9" t="n"/>
      <c r="M225" s="9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3" t="n"/>
      <c r="J226" s="13">
        <f>IF($H226="","",$H226*$I226)</f>
        <v/>
      </c>
      <c r="K226" s="14" t="n"/>
      <c r="L226" s="14" t="n"/>
      <c r="M226" s="14" t="n"/>
      <c r="N226" s="12" t="n"/>
    </row>
    <row r="227">
      <c r="I227" s="10" t="n"/>
      <c r="J227" s="10">
        <f>IF($H227="","",$H227*$I227)</f>
        <v/>
      </c>
      <c r="K227" s="9" t="n"/>
      <c r="L227" s="9" t="n"/>
      <c r="M227" s="9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3" t="n"/>
      <c r="J228" s="13">
        <f>IF($H228="","",$H228*$I228)</f>
        <v/>
      </c>
      <c r="K228" s="14" t="n"/>
      <c r="L228" s="14" t="n"/>
      <c r="M228" s="14" t="n"/>
      <c r="N228" s="12" t="n"/>
    </row>
    <row r="229">
      <c r="I229" s="10" t="n"/>
      <c r="J229" s="10">
        <f>IF($H229="","",$H229*$I229)</f>
        <v/>
      </c>
      <c r="K229" s="9" t="n"/>
      <c r="L229" s="9" t="n"/>
      <c r="M229" s="9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3" t="n"/>
      <c r="J230" s="13">
        <f>IF($H230="","",$H230*$I230)</f>
        <v/>
      </c>
      <c r="K230" s="14" t="n"/>
      <c r="L230" s="14" t="n"/>
      <c r="M230" s="14" t="n"/>
      <c r="N230" s="12" t="n"/>
    </row>
    <row r="231">
      <c r="I231" s="10" t="n"/>
      <c r="J231" s="10">
        <f>IF($H231="","",$H231*$I231)</f>
        <v/>
      </c>
      <c r="K231" s="9" t="n"/>
      <c r="L231" s="9" t="n"/>
      <c r="M231" s="9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3" t="n"/>
      <c r="J232" s="13">
        <f>IF($H232="","",$H232*$I232)</f>
        <v/>
      </c>
      <c r="K232" s="14" t="n"/>
      <c r="L232" s="14" t="n"/>
      <c r="M232" s="14" t="n"/>
      <c r="N232" s="12" t="n"/>
    </row>
    <row r="233">
      <c r="I233" s="10" t="n"/>
      <c r="J233" s="10">
        <f>IF($H233="","",$H233*$I233)</f>
        <v/>
      </c>
      <c r="K233" s="9" t="n"/>
      <c r="L233" s="9" t="n"/>
      <c r="M233" s="9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3" t="n"/>
      <c r="J234" s="13">
        <f>IF($H234="","",$H234*$I234)</f>
        <v/>
      </c>
      <c r="K234" s="14" t="n"/>
      <c r="L234" s="14" t="n"/>
      <c r="M234" s="14" t="n"/>
      <c r="N234" s="12" t="n"/>
    </row>
    <row r="235">
      <c r="I235" s="10" t="n"/>
      <c r="J235" s="10">
        <f>IF($H235="","",$H235*$I235)</f>
        <v/>
      </c>
      <c r="K235" s="9" t="n"/>
      <c r="L235" s="9" t="n"/>
      <c r="M235" s="9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3" t="n"/>
      <c r="J236" s="13">
        <f>IF($H236="","",$H236*$I236)</f>
        <v/>
      </c>
      <c r="K236" s="14" t="n"/>
      <c r="L236" s="14" t="n"/>
      <c r="M236" s="14" t="n"/>
      <c r="N236" s="12" t="n"/>
    </row>
    <row r="237">
      <c r="I237" s="10" t="n"/>
      <c r="J237" s="10">
        <f>IF($H237="","",$H237*$I237)</f>
        <v/>
      </c>
      <c r="K237" s="9" t="n"/>
      <c r="L237" s="9" t="n"/>
      <c r="M237" s="9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3" t="n"/>
      <c r="J238" s="13">
        <f>IF($H238="","",$H238*$I238)</f>
        <v/>
      </c>
      <c r="K238" s="14" t="n"/>
      <c r="L238" s="14" t="n"/>
      <c r="M238" s="14" t="n"/>
      <c r="N238" s="12" t="n"/>
    </row>
    <row r="239">
      <c r="I239" s="10" t="n"/>
      <c r="J239" s="10">
        <f>IF($H239="","",$H239*$I239)</f>
        <v/>
      </c>
      <c r="K239" s="9" t="n"/>
      <c r="L239" s="9" t="n"/>
      <c r="M239" s="9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3" t="n"/>
      <c r="J240" s="13">
        <f>IF($H240="","",$H240*$I240)</f>
        <v/>
      </c>
      <c r="K240" s="14" t="n"/>
      <c r="L240" s="14" t="n"/>
      <c r="M240" s="14" t="n"/>
      <c r="N240" s="12" t="n"/>
    </row>
    <row r="241">
      <c r="I241" s="10" t="n"/>
      <c r="J241" s="10">
        <f>IF($H241="","",$H241*$I241)</f>
        <v/>
      </c>
      <c r="K241" s="9" t="n"/>
      <c r="L241" s="9" t="n"/>
      <c r="M241" s="9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3" t="n"/>
      <c r="J242" s="13">
        <f>IF($H242="","",$H242*$I242)</f>
        <v/>
      </c>
      <c r="K242" s="14" t="n"/>
      <c r="L242" s="14" t="n"/>
      <c r="M242" s="14" t="n"/>
      <c r="N242" s="12" t="n"/>
    </row>
    <row r="243">
      <c r="I243" s="10" t="n"/>
      <c r="J243" s="10">
        <f>IF($H243="","",$H243*$I243)</f>
        <v/>
      </c>
      <c r="K243" s="9" t="n"/>
      <c r="L243" s="9" t="n"/>
      <c r="M243" s="9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3" t="n"/>
      <c r="J244" s="13">
        <f>IF($H244="","",$H244*$I244)</f>
        <v/>
      </c>
      <c r="K244" s="14" t="n"/>
      <c r="L244" s="14" t="n"/>
      <c r="M244" s="14" t="n"/>
      <c r="N244" s="12" t="n"/>
    </row>
    <row r="245">
      <c r="I245" s="10" t="n"/>
      <c r="J245" s="10">
        <f>IF($H245="","",$H245*$I245)</f>
        <v/>
      </c>
      <c r="K245" s="9" t="n"/>
      <c r="L245" s="9" t="n"/>
      <c r="M245" s="9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3" t="n"/>
      <c r="J246" s="13">
        <f>IF($H246="","",$H246*$I246)</f>
        <v/>
      </c>
      <c r="K246" s="14" t="n"/>
      <c r="L246" s="14" t="n"/>
      <c r="M246" s="14" t="n"/>
      <c r="N246" s="12" t="n"/>
    </row>
    <row r="247">
      <c r="I247" s="10" t="n"/>
      <c r="J247" s="10">
        <f>IF($H247="","",$H247*$I247)</f>
        <v/>
      </c>
      <c r="K247" s="9" t="n"/>
      <c r="L247" s="9" t="n"/>
      <c r="M247" s="9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3" t="n"/>
      <c r="J248" s="13">
        <f>IF($H248="","",$H248*$I248)</f>
        <v/>
      </c>
      <c r="K248" s="14" t="n"/>
      <c r="L248" s="14" t="n"/>
      <c r="M248" s="14" t="n"/>
      <c r="N248" s="12" t="n"/>
    </row>
    <row r="249">
      <c r="I249" s="10" t="n"/>
      <c r="J249" s="10">
        <f>IF($H249="","",$H249*$I249)</f>
        <v/>
      </c>
      <c r="K249" s="9" t="n"/>
      <c r="L249" s="9" t="n"/>
      <c r="M249" s="9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3" t="n"/>
      <c r="J250" s="13">
        <f>IF($H250="","",$H250*$I250)</f>
        <v/>
      </c>
      <c r="K250" s="14" t="n"/>
      <c r="L250" s="14" t="n"/>
      <c r="M250" s="14" t="n"/>
      <c r="N250" s="12" t="n"/>
    </row>
    <row r="251">
      <c r="I251" s="10" t="n"/>
      <c r="J251" s="10">
        <f>IF($H251="","",$H251*$I251)</f>
        <v/>
      </c>
      <c r="K251" s="9" t="n"/>
      <c r="L251" s="9" t="n"/>
      <c r="M251" s="9" t="n"/>
    </row>
  </sheetData>
  <autoFilter ref="A1:N251"/>
  <conditionalFormatting sqref="A2:N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3">
    <dataValidation sqref="B2:B251" showDropDown="0" showInputMessage="0" showErrorMessage="0" allowBlank="1" type="list">
      <formula1>='Lists'!$N$2:$N$12</formula1>
    </dataValidation>
    <dataValidation sqref="A2:A251" showDropDown="0" showInputMessage="0" showErrorMessage="0" allowBlank="1" type="list">
      <formula1>='Room List'!$A$2:$A$251</formula1>
    </dataValidation>
    <dataValidation sqref="F2:F251" showDropDown="0" showInputMessage="0" showErrorMessage="0" allowBlank="1" type="list">
      <formula1>='Vendor &amp; Supplier Database'!$A$2:$A$251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42" customHeight="1">
      <c r="A1" s="11" t="inlineStr">
        <is>
          <t>Room</t>
        </is>
      </c>
      <c r="B1" s="11" t="inlineStr">
        <is>
          <t>Surface/application</t>
        </is>
      </c>
      <c r="C1" s="11" t="inlineStr">
        <is>
          <t>Finish type</t>
        </is>
      </c>
      <c r="D1" s="11" t="inlineStr">
        <is>
          <t>Product name</t>
        </is>
      </c>
      <c r="E1" s="11" t="inlineStr">
        <is>
          <t>Color/finish</t>
        </is>
      </c>
      <c r="F1" s="11" t="inlineStr">
        <is>
          <t>Material</t>
        </is>
      </c>
      <c r="G1" s="11" t="inlineStr">
        <is>
          <t>Vendor</t>
        </is>
      </c>
      <c r="H1" s="11" t="inlineStr">
        <is>
          <t>Product link</t>
        </is>
      </c>
      <c r="I1" s="11" t="inlineStr">
        <is>
          <t>SKU</t>
        </is>
      </c>
      <c r="J1" s="11" t="inlineStr">
        <is>
          <t>Quantity needed</t>
        </is>
      </c>
      <c r="K1" s="11" t="inlineStr">
        <is>
          <t>Unit cost</t>
        </is>
      </c>
      <c r="L1" s="11" t="inlineStr">
        <is>
          <t>Total cost</t>
        </is>
      </c>
      <c r="M1" s="11" t="inlineStr">
        <is>
          <t>Sample ordered</t>
        </is>
      </c>
      <c r="N1" s="11" t="inlineStr">
        <is>
          <t>Sample approved</t>
        </is>
      </c>
      <c r="O1" s="11" t="inlineStr">
        <is>
          <t>Installer notes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  <c r="L2" s="13">
        <f>IF($J2="","",$J2*$K2)</f>
        <v/>
      </c>
      <c r="M2" s="12" t="n"/>
      <c r="N2" s="12" t="n"/>
      <c r="O2" s="12" t="n"/>
    </row>
    <row r="3">
      <c r="K3" s="10" t="n"/>
      <c r="L3" s="10">
        <f>IF($J3="","",$J3*$K3)</f>
        <v/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3" t="n"/>
      <c r="L4" s="13">
        <f>IF($J4="","",$J4*$K4)</f>
        <v/>
      </c>
      <c r="M4" s="12" t="n"/>
      <c r="N4" s="12" t="n"/>
      <c r="O4" s="12" t="n"/>
    </row>
    <row r="5">
      <c r="K5" s="10" t="n"/>
      <c r="L5" s="10">
        <f>IF($J5="","",$J5*$K5)</f>
        <v/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3" t="n"/>
      <c r="L6" s="13">
        <f>IF($J6="","",$J6*$K6)</f>
        <v/>
      </c>
      <c r="M6" s="12" t="n"/>
      <c r="N6" s="12" t="n"/>
      <c r="O6" s="12" t="n"/>
    </row>
    <row r="7">
      <c r="K7" s="10" t="n"/>
      <c r="L7" s="10">
        <f>IF($J7="","",$J7*$K7)</f>
        <v/>
      </c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3" t="n"/>
      <c r="L8" s="13">
        <f>IF($J8="","",$J8*$K8)</f>
        <v/>
      </c>
      <c r="M8" s="12" t="n"/>
      <c r="N8" s="12" t="n"/>
      <c r="O8" s="12" t="n"/>
    </row>
    <row r="9">
      <c r="K9" s="10" t="n"/>
      <c r="L9" s="10">
        <f>IF($J9="","",$J9*$K9)</f>
        <v/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3" t="n"/>
      <c r="L10" s="13">
        <f>IF($J10="","",$J10*$K10)</f>
        <v/>
      </c>
      <c r="M10" s="12" t="n"/>
      <c r="N10" s="12" t="n"/>
      <c r="O10" s="12" t="n"/>
    </row>
    <row r="11">
      <c r="K11" s="10" t="n"/>
      <c r="L11" s="10">
        <f>IF($J11="","",$J11*$K11)</f>
        <v/>
      </c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3" t="n"/>
      <c r="L12" s="13">
        <f>IF($J12="","",$J12*$K12)</f>
        <v/>
      </c>
      <c r="M12" s="12" t="n"/>
      <c r="N12" s="12" t="n"/>
      <c r="O12" s="12" t="n"/>
    </row>
    <row r="13">
      <c r="K13" s="10" t="n"/>
      <c r="L13" s="10">
        <f>IF($J13="","",$J13*$K13)</f>
        <v/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3" t="n"/>
      <c r="L14" s="13">
        <f>IF($J14="","",$J14*$K14)</f>
        <v/>
      </c>
      <c r="M14" s="12" t="n"/>
      <c r="N14" s="12" t="n"/>
      <c r="O14" s="12" t="n"/>
    </row>
    <row r="15">
      <c r="K15" s="10" t="n"/>
      <c r="L15" s="10">
        <f>IF($J15="","",$J15*$K15)</f>
        <v/>
      </c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3" t="n"/>
      <c r="L16" s="13">
        <f>IF($J16="","",$J16*$K16)</f>
        <v/>
      </c>
      <c r="M16" s="12" t="n"/>
      <c r="N16" s="12" t="n"/>
      <c r="O16" s="12" t="n"/>
    </row>
    <row r="17">
      <c r="K17" s="10" t="n"/>
      <c r="L17" s="10">
        <f>IF($J17="","",$J17*$K17)</f>
        <v/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3" t="n"/>
      <c r="L18" s="13">
        <f>IF($J18="","",$J18*$K18)</f>
        <v/>
      </c>
      <c r="M18" s="12" t="n"/>
      <c r="N18" s="12" t="n"/>
      <c r="O18" s="12" t="n"/>
    </row>
    <row r="19">
      <c r="K19" s="10" t="n"/>
      <c r="L19" s="10">
        <f>IF($J19="","",$J19*$K19)</f>
        <v/>
      </c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3" t="n"/>
      <c r="L20" s="13">
        <f>IF($J20="","",$J20*$K20)</f>
        <v/>
      </c>
      <c r="M20" s="12" t="n"/>
      <c r="N20" s="12" t="n"/>
      <c r="O20" s="12" t="n"/>
    </row>
    <row r="21">
      <c r="K21" s="10" t="n"/>
      <c r="L21" s="10">
        <f>IF($J21="","",$J21*$K21)</f>
        <v/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3" t="n"/>
      <c r="L22" s="13">
        <f>IF($J22="","",$J22*$K22)</f>
        <v/>
      </c>
      <c r="M22" s="12" t="n"/>
      <c r="N22" s="12" t="n"/>
      <c r="O22" s="12" t="n"/>
    </row>
    <row r="23">
      <c r="K23" s="10" t="n"/>
      <c r="L23" s="10">
        <f>IF($J23="","",$J23*$K23)</f>
        <v/>
      </c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3" t="n"/>
      <c r="L24" s="13">
        <f>IF($J24="","",$J24*$K24)</f>
        <v/>
      </c>
      <c r="M24" s="12" t="n"/>
      <c r="N24" s="12" t="n"/>
      <c r="O24" s="12" t="n"/>
    </row>
    <row r="25">
      <c r="K25" s="10" t="n"/>
      <c r="L25" s="10">
        <f>IF($J25="","",$J25*$K25)</f>
        <v/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3" t="n"/>
      <c r="L26" s="13">
        <f>IF($J26="","",$J26*$K26)</f>
        <v/>
      </c>
      <c r="M26" s="12" t="n"/>
      <c r="N26" s="12" t="n"/>
      <c r="O26" s="12" t="n"/>
    </row>
    <row r="27">
      <c r="K27" s="10" t="n"/>
      <c r="L27" s="10">
        <f>IF($J27="","",$J27*$K27)</f>
        <v/>
      </c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3" t="n"/>
      <c r="L28" s="13">
        <f>IF($J28="","",$J28*$K28)</f>
        <v/>
      </c>
      <c r="M28" s="12" t="n"/>
      <c r="N28" s="12" t="n"/>
      <c r="O28" s="12" t="n"/>
    </row>
    <row r="29">
      <c r="K29" s="10" t="n"/>
      <c r="L29" s="10">
        <f>IF($J29="","",$J29*$K29)</f>
        <v/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3" t="n"/>
      <c r="L30" s="13">
        <f>IF($J30="","",$J30*$K30)</f>
        <v/>
      </c>
      <c r="M30" s="12" t="n"/>
      <c r="N30" s="12" t="n"/>
      <c r="O30" s="12" t="n"/>
    </row>
    <row r="31">
      <c r="K31" s="10" t="n"/>
      <c r="L31" s="10">
        <f>IF($J31="","",$J31*$K31)</f>
        <v/>
      </c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3" t="n"/>
      <c r="L32" s="13">
        <f>IF($J32="","",$J32*$K32)</f>
        <v/>
      </c>
      <c r="M32" s="12" t="n"/>
      <c r="N32" s="12" t="n"/>
      <c r="O32" s="12" t="n"/>
    </row>
    <row r="33">
      <c r="K33" s="10" t="n"/>
      <c r="L33" s="10">
        <f>IF($J33="","",$J33*$K33)</f>
        <v/>
      </c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3" t="n"/>
      <c r="L34" s="13">
        <f>IF($J34="","",$J34*$K34)</f>
        <v/>
      </c>
      <c r="M34" s="12" t="n"/>
      <c r="N34" s="12" t="n"/>
      <c r="O34" s="12" t="n"/>
    </row>
    <row r="35">
      <c r="K35" s="10" t="n"/>
      <c r="L35" s="10">
        <f>IF($J35="","",$J35*$K35)</f>
        <v/>
      </c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/>
      <c r="L36" s="13">
        <f>IF($J36="","",$J36*$K36)</f>
        <v/>
      </c>
      <c r="M36" s="12" t="n"/>
      <c r="N36" s="12" t="n"/>
      <c r="O36" s="12" t="n"/>
    </row>
    <row r="37">
      <c r="K37" s="10" t="n"/>
      <c r="L37" s="10">
        <f>IF($J37="","",$J37*$K37)</f>
        <v/>
      </c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3" t="n"/>
      <c r="L38" s="13">
        <f>IF($J38="","",$J38*$K38)</f>
        <v/>
      </c>
      <c r="M38" s="12" t="n"/>
      <c r="N38" s="12" t="n"/>
      <c r="O38" s="12" t="n"/>
    </row>
    <row r="39">
      <c r="K39" s="10" t="n"/>
      <c r="L39" s="10">
        <f>IF($J39="","",$J39*$K39)</f>
        <v/>
      </c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3" t="n"/>
      <c r="L40" s="13">
        <f>IF($J40="","",$J40*$K40)</f>
        <v/>
      </c>
      <c r="M40" s="12" t="n"/>
      <c r="N40" s="12" t="n"/>
      <c r="O40" s="12" t="n"/>
    </row>
    <row r="41">
      <c r="K41" s="10" t="n"/>
      <c r="L41" s="10">
        <f>IF($J41="","",$J41*$K41)</f>
        <v/>
      </c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3" t="n"/>
      <c r="L42" s="13">
        <f>IF($J42="","",$J42*$K42)</f>
        <v/>
      </c>
      <c r="M42" s="12" t="n"/>
      <c r="N42" s="12" t="n"/>
      <c r="O42" s="12" t="n"/>
    </row>
    <row r="43">
      <c r="K43" s="10" t="n"/>
      <c r="L43" s="10">
        <f>IF($J43="","",$J43*$K43)</f>
        <v/>
      </c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3" t="n"/>
      <c r="L44" s="13">
        <f>IF($J44="","",$J44*$K44)</f>
        <v/>
      </c>
      <c r="M44" s="12" t="n"/>
      <c r="N44" s="12" t="n"/>
      <c r="O44" s="12" t="n"/>
    </row>
    <row r="45">
      <c r="K45" s="10" t="n"/>
      <c r="L45" s="10">
        <f>IF($J45="","",$J45*$K45)</f>
        <v/>
      </c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3" t="n"/>
      <c r="L46" s="13">
        <f>IF($J46="","",$J46*$K46)</f>
        <v/>
      </c>
      <c r="M46" s="12" t="n"/>
      <c r="N46" s="12" t="n"/>
      <c r="O46" s="12" t="n"/>
    </row>
    <row r="47">
      <c r="K47" s="10" t="n"/>
      <c r="L47" s="10">
        <f>IF($J47="","",$J47*$K47)</f>
        <v/>
      </c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3" t="n"/>
      <c r="L48" s="13">
        <f>IF($J48="","",$J48*$K48)</f>
        <v/>
      </c>
      <c r="M48" s="12" t="n"/>
      <c r="N48" s="12" t="n"/>
      <c r="O48" s="12" t="n"/>
    </row>
    <row r="49">
      <c r="K49" s="10" t="n"/>
      <c r="L49" s="10">
        <f>IF($J49="","",$J49*$K49)</f>
        <v/>
      </c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3" t="n"/>
      <c r="L50" s="13">
        <f>IF($J50="","",$J50*$K50)</f>
        <v/>
      </c>
      <c r="M50" s="12" t="n"/>
      <c r="N50" s="12" t="n"/>
      <c r="O50" s="12" t="n"/>
    </row>
    <row r="51">
      <c r="K51" s="10" t="n"/>
      <c r="L51" s="10">
        <f>IF($J51="","",$J51*$K51)</f>
        <v/>
      </c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3" t="n"/>
      <c r="L52" s="13">
        <f>IF($J52="","",$J52*$K52)</f>
        <v/>
      </c>
      <c r="M52" s="12" t="n"/>
      <c r="N52" s="12" t="n"/>
      <c r="O52" s="12" t="n"/>
    </row>
    <row r="53">
      <c r="K53" s="10" t="n"/>
      <c r="L53" s="10">
        <f>IF($J53="","",$J53*$K53)</f>
        <v/>
      </c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3" t="n"/>
      <c r="L54" s="13">
        <f>IF($J54="","",$J54*$K54)</f>
        <v/>
      </c>
      <c r="M54" s="12" t="n"/>
      <c r="N54" s="12" t="n"/>
      <c r="O54" s="12" t="n"/>
    </row>
    <row r="55">
      <c r="K55" s="10" t="n"/>
      <c r="L55" s="10">
        <f>IF($J55="","",$J55*$K55)</f>
        <v/>
      </c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3" t="n"/>
      <c r="L56" s="13">
        <f>IF($J56="","",$J56*$K56)</f>
        <v/>
      </c>
      <c r="M56" s="12" t="n"/>
      <c r="N56" s="12" t="n"/>
      <c r="O56" s="12" t="n"/>
    </row>
    <row r="57">
      <c r="K57" s="10" t="n"/>
      <c r="L57" s="10">
        <f>IF($J57="","",$J57*$K57)</f>
        <v/>
      </c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3" t="n"/>
      <c r="L58" s="13">
        <f>IF($J58="","",$J58*$K58)</f>
        <v/>
      </c>
      <c r="M58" s="12" t="n"/>
      <c r="N58" s="12" t="n"/>
      <c r="O58" s="12" t="n"/>
    </row>
    <row r="59">
      <c r="K59" s="10" t="n"/>
      <c r="L59" s="10">
        <f>IF($J59="","",$J59*$K59)</f>
        <v/>
      </c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3" t="n"/>
      <c r="L60" s="13">
        <f>IF($J60="","",$J60*$K60)</f>
        <v/>
      </c>
      <c r="M60" s="12" t="n"/>
      <c r="N60" s="12" t="n"/>
      <c r="O60" s="12" t="n"/>
    </row>
    <row r="61">
      <c r="K61" s="10" t="n"/>
      <c r="L61" s="10">
        <f>IF($J61="","",$J61*$K61)</f>
        <v/>
      </c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3" t="n"/>
      <c r="L62" s="13">
        <f>IF($J62="","",$J62*$K62)</f>
        <v/>
      </c>
      <c r="M62" s="12" t="n"/>
      <c r="N62" s="12" t="n"/>
      <c r="O62" s="12" t="n"/>
    </row>
    <row r="63">
      <c r="K63" s="10" t="n"/>
      <c r="L63" s="10">
        <f>IF($J63="","",$J63*$K63)</f>
        <v/>
      </c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3" t="n"/>
      <c r="L64" s="13">
        <f>IF($J64="","",$J64*$K64)</f>
        <v/>
      </c>
      <c r="M64" s="12" t="n"/>
      <c r="N64" s="12" t="n"/>
      <c r="O64" s="12" t="n"/>
    </row>
    <row r="65">
      <c r="K65" s="10" t="n"/>
      <c r="L65" s="10">
        <f>IF($J65="","",$J65*$K65)</f>
        <v/>
      </c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3" t="n"/>
      <c r="L66" s="13">
        <f>IF($J66="","",$J66*$K66)</f>
        <v/>
      </c>
      <c r="M66" s="12" t="n"/>
      <c r="N66" s="12" t="n"/>
      <c r="O66" s="12" t="n"/>
    </row>
    <row r="67">
      <c r="K67" s="10" t="n"/>
      <c r="L67" s="10">
        <f>IF($J67="","",$J67*$K67)</f>
        <v/>
      </c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3" t="n"/>
      <c r="L68" s="13">
        <f>IF($J68="","",$J68*$K68)</f>
        <v/>
      </c>
      <c r="M68" s="12" t="n"/>
      <c r="N68" s="12" t="n"/>
      <c r="O68" s="12" t="n"/>
    </row>
    <row r="69">
      <c r="K69" s="10" t="n"/>
      <c r="L69" s="10">
        <f>IF($J69="","",$J69*$K69)</f>
        <v/>
      </c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3" t="n"/>
      <c r="L70" s="13">
        <f>IF($J70="","",$J70*$K70)</f>
        <v/>
      </c>
      <c r="M70" s="12" t="n"/>
      <c r="N70" s="12" t="n"/>
      <c r="O70" s="12" t="n"/>
    </row>
    <row r="71">
      <c r="K71" s="10" t="n"/>
      <c r="L71" s="10">
        <f>IF($J71="","",$J71*$K71)</f>
        <v/>
      </c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3" t="n"/>
      <c r="L72" s="13">
        <f>IF($J72="","",$J72*$K72)</f>
        <v/>
      </c>
      <c r="M72" s="12" t="n"/>
      <c r="N72" s="12" t="n"/>
      <c r="O72" s="12" t="n"/>
    </row>
    <row r="73">
      <c r="K73" s="10" t="n"/>
      <c r="L73" s="10">
        <f>IF($J73="","",$J73*$K73)</f>
        <v/>
      </c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3" t="n"/>
      <c r="L74" s="13">
        <f>IF($J74="","",$J74*$K74)</f>
        <v/>
      </c>
      <c r="M74" s="12" t="n"/>
      <c r="N74" s="12" t="n"/>
      <c r="O74" s="12" t="n"/>
    </row>
    <row r="75">
      <c r="K75" s="10" t="n"/>
      <c r="L75" s="10">
        <f>IF($J75="","",$J75*$K75)</f>
        <v/>
      </c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3" t="n"/>
      <c r="L76" s="13">
        <f>IF($J76="","",$J76*$K76)</f>
        <v/>
      </c>
      <c r="M76" s="12" t="n"/>
      <c r="N76" s="12" t="n"/>
      <c r="O76" s="12" t="n"/>
    </row>
    <row r="77">
      <c r="K77" s="10" t="n"/>
      <c r="L77" s="10">
        <f>IF($J77="","",$J77*$K77)</f>
        <v/>
      </c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3" t="n"/>
      <c r="L78" s="13">
        <f>IF($J78="","",$J78*$K78)</f>
        <v/>
      </c>
      <c r="M78" s="12" t="n"/>
      <c r="N78" s="12" t="n"/>
      <c r="O78" s="12" t="n"/>
    </row>
    <row r="79">
      <c r="K79" s="10" t="n"/>
      <c r="L79" s="10">
        <f>IF($J79="","",$J79*$K79)</f>
        <v/>
      </c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3" t="n"/>
      <c r="L80" s="13">
        <f>IF($J80="","",$J80*$K80)</f>
        <v/>
      </c>
      <c r="M80" s="12" t="n"/>
      <c r="N80" s="12" t="n"/>
      <c r="O80" s="12" t="n"/>
    </row>
    <row r="81">
      <c r="K81" s="10" t="n"/>
      <c r="L81" s="10">
        <f>IF($J81="","",$J81*$K81)</f>
        <v/>
      </c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3" t="n"/>
      <c r="L82" s="13">
        <f>IF($J82="","",$J82*$K82)</f>
        <v/>
      </c>
      <c r="M82" s="12" t="n"/>
      <c r="N82" s="12" t="n"/>
      <c r="O82" s="12" t="n"/>
    </row>
    <row r="83">
      <c r="K83" s="10" t="n"/>
      <c r="L83" s="10">
        <f>IF($J83="","",$J83*$K83)</f>
        <v/>
      </c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3" t="n"/>
      <c r="L84" s="13">
        <f>IF($J84="","",$J84*$K84)</f>
        <v/>
      </c>
      <c r="M84" s="12" t="n"/>
      <c r="N84" s="12" t="n"/>
      <c r="O84" s="12" t="n"/>
    </row>
    <row r="85">
      <c r="K85" s="10" t="n"/>
      <c r="L85" s="10">
        <f>IF($J85="","",$J85*$K85)</f>
        <v/>
      </c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3" t="n"/>
      <c r="L86" s="13">
        <f>IF($J86="","",$J86*$K86)</f>
        <v/>
      </c>
      <c r="M86" s="12" t="n"/>
      <c r="N86" s="12" t="n"/>
      <c r="O86" s="12" t="n"/>
    </row>
    <row r="87">
      <c r="K87" s="10" t="n"/>
      <c r="L87" s="10">
        <f>IF($J87="","",$J87*$K87)</f>
        <v/>
      </c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3" t="n"/>
      <c r="L88" s="13">
        <f>IF($J88="","",$J88*$K88)</f>
        <v/>
      </c>
      <c r="M88" s="12" t="n"/>
      <c r="N88" s="12" t="n"/>
      <c r="O88" s="12" t="n"/>
    </row>
    <row r="89">
      <c r="K89" s="10" t="n"/>
      <c r="L89" s="10">
        <f>IF($J89="","",$J89*$K89)</f>
        <v/>
      </c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3" t="n"/>
      <c r="L90" s="13">
        <f>IF($J90="","",$J90*$K90)</f>
        <v/>
      </c>
      <c r="M90" s="12" t="n"/>
      <c r="N90" s="12" t="n"/>
      <c r="O90" s="12" t="n"/>
    </row>
    <row r="91">
      <c r="K91" s="10" t="n"/>
      <c r="L91" s="10">
        <f>IF($J91="","",$J91*$K91)</f>
        <v/>
      </c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3" t="n"/>
      <c r="L92" s="13">
        <f>IF($J92="","",$J92*$K92)</f>
        <v/>
      </c>
      <c r="M92" s="12" t="n"/>
      <c r="N92" s="12" t="n"/>
      <c r="O92" s="12" t="n"/>
    </row>
    <row r="93">
      <c r="K93" s="10" t="n"/>
      <c r="L93" s="10">
        <f>IF($J93="","",$J93*$K93)</f>
        <v/>
      </c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3" t="n"/>
      <c r="L94" s="13">
        <f>IF($J94="","",$J94*$K94)</f>
        <v/>
      </c>
      <c r="M94" s="12" t="n"/>
      <c r="N94" s="12" t="n"/>
      <c r="O94" s="12" t="n"/>
    </row>
    <row r="95">
      <c r="K95" s="10" t="n"/>
      <c r="L95" s="10">
        <f>IF($J95="","",$J95*$K95)</f>
        <v/>
      </c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3" t="n"/>
      <c r="L96" s="13">
        <f>IF($J96="","",$J96*$K96)</f>
        <v/>
      </c>
      <c r="M96" s="12" t="n"/>
      <c r="N96" s="12" t="n"/>
      <c r="O96" s="12" t="n"/>
    </row>
    <row r="97">
      <c r="K97" s="10" t="n"/>
      <c r="L97" s="10">
        <f>IF($J97="","",$J97*$K97)</f>
        <v/>
      </c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3" t="n"/>
      <c r="L98" s="13">
        <f>IF($J98="","",$J98*$K98)</f>
        <v/>
      </c>
      <c r="M98" s="12" t="n"/>
      <c r="N98" s="12" t="n"/>
      <c r="O98" s="12" t="n"/>
    </row>
    <row r="99">
      <c r="K99" s="10" t="n"/>
      <c r="L99" s="10">
        <f>IF($J99="","",$J99*$K99)</f>
        <v/>
      </c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3" t="n"/>
      <c r="L100" s="13">
        <f>IF($J100="","",$J100*$K100)</f>
        <v/>
      </c>
      <c r="M100" s="12" t="n"/>
      <c r="N100" s="12" t="n"/>
      <c r="O100" s="12" t="n"/>
    </row>
    <row r="101">
      <c r="K101" s="10" t="n"/>
      <c r="L101" s="10">
        <f>IF($J101="","",$J101*$K101)</f>
        <v/>
      </c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3" t="n"/>
      <c r="L102" s="13">
        <f>IF($J102="","",$J102*$K102)</f>
        <v/>
      </c>
      <c r="M102" s="12" t="n"/>
      <c r="N102" s="12" t="n"/>
      <c r="O102" s="12" t="n"/>
    </row>
    <row r="103">
      <c r="K103" s="10" t="n"/>
      <c r="L103" s="10">
        <f>IF($J103="","",$J103*$K103)</f>
        <v/>
      </c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3" t="n"/>
      <c r="L104" s="13">
        <f>IF($J104="","",$J104*$K104)</f>
        <v/>
      </c>
      <c r="M104" s="12" t="n"/>
      <c r="N104" s="12" t="n"/>
      <c r="O104" s="12" t="n"/>
    </row>
    <row r="105">
      <c r="K105" s="10" t="n"/>
      <c r="L105" s="10">
        <f>IF($J105="","",$J105*$K105)</f>
        <v/>
      </c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3" t="n"/>
      <c r="L106" s="13">
        <f>IF($J106="","",$J106*$K106)</f>
        <v/>
      </c>
      <c r="M106" s="12" t="n"/>
      <c r="N106" s="12" t="n"/>
      <c r="O106" s="12" t="n"/>
    </row>
    <row r="107">
      <c r="K107" s="10" t="n"/>
      <c r="L107" s="10">
        <f>IF($J107="","",$J107*$K107)</f>
        <v/>
      </c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3" t="n"/>
      <c r="L108" s="13">
        <f>IF($J108="","",$J108*$K108)</f>
        <v/>
      </c>
      <c r="M108" s="12" t="n"/>
      <c r="N108" s="12" t="n"/>
      <c r="O108" s="12" t="n"/>
    </row>
    <row r="109">
      <c r="K109" s="10" t="n"/>
      <c r="L109" s="10">
        <f>IF($J109="","",$J109*$K109)</f>
        <v/>
      </c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3" t="n"/>
      <c r="L110" s="13">
        <f>IF($J110="","",$J110*$K110)</f>
        <v/>
      </c>
      <c r="M110" s="12" t="n"/>
      <c r="N110" s="12" t="n"/>
      <c r="O110" s="12" t="n"/>
    </row>
    <row r="111">
      <c r="K111" s="10" t="n"/>
      <c r="L111" s="10">
        <f>IF($J111="","",$J111*$K111)</f>
        <v/>
      </c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3" t="n"/>
      <c r="L112" s="13">
        <f>IF($J112="","",$J112*$K112)</f>
        <v/>
      </c>
      <c r="M112" s="12" t="n"/>
      <c r="N112" s="12" t="n"/>
      <c r="O112" s="12" t="n"/>
    </row>
    <row r="113">
      <c r="K113" s="10" t="n"/>
      <c r="L113" s="10">
        <f>IF($J113="","",$J113*$K113)</f>
        <v/>
      </c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3" t="n"/>
      <c r="L114" s="13">
        <f>IF($J114="","",$J114*$K114)</f>
        <v/>
      </c>
      <c r="M114" s="12" t="n"/>
      <c r="N114" s="12" t="n"/>
      <c r="O114" s="12" t="n"/>
    </row>
    <row r="115">
      <c r="K115" s="10" t="n"/>
      <c r="L115" s="10">
        <f>IF($J115="","",$J115*$K115)</f>
        <v/>
      </c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3" t="n"/>
      <c r="L116" s="13">
        <f>IF($J116="","",$J116*$K116)</f>
        <v/>
      </c>
      <c r="M116" s="12" t="n"/>
      <c r="N116" s="12" t="n"/>
      <c r="O116" s="12" t="n"/>
    </row>
    <row r="117">
      <c r="K117" s="10" t="n"/>
      <c r="L117" s="10">
        <f>IF($J117="","",$J117*$K117)</f>
        <v/>
      </c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3" t="n"/>
      <c r="L118" s="13">
        <f>IF($J118="","",$J118*$K118)</f>
        <v/>
      </c>
      <c r="M118" s="12" t="n"/>
      <c r="N118" s="12" t="n"/>
      <c r="O118" s="12" t="n"/>
    </row>
    <row r="119">
      <c r="K119" s="10" t="n"/>
      <c r="L119" s="10">
        <f>IF($J119="","",$J119*$K119)</f>
        <v/>
      </c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3" t="n"/>
      <c r="L120" s="13">
        <f>IF($J120="","",$J120*$K120)</f>
        <v/>
      </c>
      <c r="M120" s="12" t="n"/>
      <c r="N120" s="12" t="n"/>
      <c r="O120" s="12" t="n"/>
    </row>
    <row r="121">
      <c r="K121" s="10" t="n"/>
      <c r="L121" s="10">
        <f>IF($J121="","",$J121*$K121)</f>
        <v/>
      </c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3" t="n"/>
      <c r="L122" s="13">
        <f>IF($J122="","",$J122*$K122)</f>
        <v/>
      </c>
      <c r="M122" s="12" t="n"/>
      <c r="N122" s="12" t="n"/>
      <c r="O122" s="12" t="n"/>
    </row>
    <row r="123">
      <c r="K123" s="10" t="n"/>
      <c r="L123" s="10">
        <f>IF($J123="","",$J123*$K123)</f>
        <v/>
      </c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3" t="n"/>
      <c r="L124" s="13">
        <f>IF($J124="","",$J124*$K124)</f>
        <v/>
      </c>
      <c r="M124" s="12" t="n"/>
      <c r="N124" s="12" t="n"/>
      <c r="O124" s="12" t="n"/>
    </row>
    <row r="125">
      <c r="K125" s="10" t="n"/>
      <c r="L125" s="10">
        <f>IF($J125="","",$J125*$K125)</f>
        <v/>
      </c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3" t="n"/>
      <c r="L126" s="13">
        <f>IF($J126="","",$J126*$K126)</f>
        <v/>
      </c>
      <c r="M126" s="12" t="n"/>
      <c r="N126" s="12" t="n"/>
      <c r="O126" s="12" t="n"/>
    </row>
    <row r="127">
      <c r="K127" s="10" t="n"/>
      <c r="L127" s="10">
        <f>IF($J127="","",$J127*$K127)</f>
        <v/>
      </c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3" t="n"/>
      <c r="L128" s="13">
        <f>IF($J128="","",$J128*$K128)</f>
        <v/>
      </c>
      <c r="M128" s="12" t="n"/>
      <c r="N128" s="12" t="n"/>
      <c r="O128" s="12" t="n"/>
    </row>
    <row r="129">
      <c r="K129" s="10" t="n"/>
      <c r="L129" s="10">
        <f>IF($J129="","",$J129*$K129)</f>
        <v/>
      </c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3" t="n"/>
      <c r="L130" s="13">
        <f>IF($J130="","",$J130*$K130)</f>
        <v/>
      </c>
      <c r="M130" s="12" t="n"/>
      <c r="N130" s="12" t="n"/>
      <c r="O130" s="12" t="n"/>
    </row>
    <row r="131">
      <c r="K131" s="10" t="n"/>
      <c r="L131" s="10">
        <f>IF($J131="","",$J131*$K131)</f>
        <v/>
      </c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3" t="n"/>
      <c r="L132" s="13">
        <f>IF($J132="","",$J132*$K132)</f>
        <v/>
      </c>
      <c r="M132" s="12" t="n"/>
      <c r="N132" s="12" t="n"/>
      <c r="O132" s="12" t="n"/>
    </row>
    <row r="133">
      <c r="K133" s="10" t="n"/>
      <c r="L133" s="10">
        <f>IF($J133="","",$J133*$K133)</f>
        <v/>
      </c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3" t="n"/>
      <c r="L134" s="13">
        <f>IF($J134="","",$J134*$K134)</f>
        <v/>
      </c>
      <c r="M134" s="12" t="n"/>
      <c r="N134" s="12" t="n"/>
      <c r="O134" s="12" t="n"/>
    </row>
    <row r="135">
      <c r="K135" s="10" t="n"/>
      <c r="L135" s="10">
        <f>IF($J135="","",$J135*$K135)</f>
        <v/>
      </c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3" t="n"/>
      <c r="L136" s="13">
        <f>IF($J136="","",$J136*$K136)</f>
        <v/>
      </c>
      <c r="M136" s="12" t="n"/>
      <c r="N136" s="12" t="n"/>
      <c r="O136" s="12" t="n"/>
    </row>
    <row r="137">
      <c r="K137" s="10" t="n"/>
      <c r="L137" s="10">
        <f>IF($J137="","",$J137*$K137)</f>
        <v/>
      </c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3" t="n"/>
      <c r="L138" s="13">
        <f>IF($J138="","",$J138*$K138)</f>
        <v/>
      </c>
      <c r="M138" s="12" t="n"/>
      <c r="N138" s="12" t="n"/>
      <c r="O138" s="12" t="n"/>
    </row>
    <row r="139">
      <c r="K139" s="10" t="n"/>
      <c r="L139" s="10">
        <f>IF($J139="","",$J139*$K139)</f>
        <v/>
      </c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3" t="n"/>
      <c r="L140" s="13">
        <f>IF($J140="","",$J140*$K140)</f>
        <v/>
      </c>
      <c r="M140" s="12" t="n"/>
      <c r="N140" s="12" t="n"/>
      <c r="O140" s="12" t="n"/>
    </row>
    <row r="141">
      <c r="K141" s="10" t="n"/>
      <c r="L141" s="10">
        <f>IF($J141="","",$J141*$K141)</f>
        <v/>
      </c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3" t="n"/>
      <c r="L142" s="13">
        <f>IF($J142="","",$J142*$K142)</f>
        <v/>
      </c>
      <c r="M142" s="12" t="n"/>
      <c r="N142" s="12" t="n"/>
      <c r="O142" s="12" t="n"/>
    </row>
    <row r="143">
      <c r="K143" s="10" t="n"/>
      <c r="L143" s="10">
        <f>IF($J143="","",$J143*$K143)</f>
        <v/>
      </c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3" t="n"/>
      <c r="L144" s="13">
        <f>IF($J144="","",$J144*$K144)</f>
        <v/>
      </c>
      <c r="M144" s="12" t="n"/>
      <c r="N144" s="12" t="n"/>
      <c r="O144" s="12" t="n"/>
    </row>
    <row r="145">
      <c r="K145" s="10" t="n"/>
      <c r="L145" s="10">
        <f>IF($J145="","",$J145*$K145)</f>
        <v/>
      </c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3" t="n"/>
      <c r="L146" s="13">
        <f>IF($J146="","",$J146*$K146)</f>
        <v/>
      </c>
      <c r="M146" s="12" t="n"/>
      <c r="N146" s="12" t="n"/>
      <c r="O146" s="12" t="n"/>
    </row>
    <row r="147">
      <c r="K147" s="10" t="n"/>
      <c r="L147" s="10">
        <f>IF($J147="","",$J147*$K147)</f>
        <v/>
      </c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3" t="n"/>
      <c r="L148" s="13">
        <f>IF($J148="","",$J148*$K148)</f>
        <v/>
      </c>
      <c r="M148" s="12" t="n"/>
      <c r="N148" s="12" t="n"/>
      <c r="O148" s="12" t="n"/>
    </row>
    <row r="149">
      <c r="K149" s="10" t="n"/>
      <c r="L149" s="10">
        <f>IF($J149="","",$J149*$K149)</f>
        <v/>
      </c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3" t="n"/>
      <c r="L150" s="13">
        <f>IF($J150="","",$J150*$K150)</f>
        <v/>
      </c>
      <c r="M150" s="12" t="n"/>
      <c r="N150" s="12" t="n"/>
      <c r="O150" s="12" t="n"/>
    </row>
    <row r="151">
      <c r="K151" s="10" t="n"/>
      <c r="L151" s="10">
        <f>IF($J151="","",$J151*$K151)</f>
        <v/>
      </c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3" t="n"/>
      <c r="L152" s="13">
        <f>IF($J152="","",$J152*$K152)</f>
        <v/>
      </c>
      <c r="M152" s="12" t="n"/>
      <c r="N152" s="12" t="n"/>
      <c r="O152" s="12" t="n"/>
    </row>
    <row r="153">
      <c r="K153" s="10" t="n"/>
      <c r="L153" s="10">
        <f>IF($J153="","",$J153*$K153)</f>
        <v/>
      </c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3" t="n"/>
      <c r="L154" s="13">
        <f>IF($J154="","",$J154*$K154)</f>
        <v/>
      </c>
      <c r="M154" s="12" t="n"/>
      <c r="N154" s="12" t="n"/>
      <c r="O154" s="12" t="n"/>
    </row>
    <row r="155">
      <c r="K155" s="10" t="n"/>
      <c r="L155" s="10">
        <f>IF($J155="","",$J155*$K155)</f>
        <v/>
      </c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3" t="n"/>
      <c r="L156" s="13">
        <f>IF($J156="","",$J156*$K156)</f>
        <v/>
      </c>
      <c r="M156" s="12" t="n"/>
      <c r="N156" s="12" t="n"/>
      <c r="O156" s="12" t="n"/>
    </row>
    <row r="157">
      <c r="K157" s="10" t="n"/>
      <c r="L157" s="10">
        <f>IF($J157="","",$J157*$K157)</f>
        <v/>
      </c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3" t="n"/>
      <c r="L158" s="13">
        <f>IF($J158="","",$J158*$K158)</f>
        <v/>
      </c>
      <c r="M158" s="12" t="n"/>
      <c r="N158" s="12" t="n"/>
      <c r="O158" s="12" t="n"/>
    </row>
    <row r="159">
      <c r="K159" s="10" t="n"/>
      <c r="L159" s="10">
        <f>IF($J159="","",$J159*$K159)</f>
        <v/>
      </c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3" t="n"/>
      <c r="L160" s="13">
        <f>IF($J160="","",$J160*$K160)</f>
        <v/>
      </c>
      <c r="M160" s="12" t="n"/>
      <c r="N160" s="12" t="n"/>
      <c r="O160" s="12" t="n"/>
    </row>
    <row r="161">
      <c r="K161" s="10" t="n"/>
      <c r="L161" s="10">
        <f>IF($J161="","",$J161*$K161)</f>
        <v/>
      </c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3" t="n"/>
      <c r="L162" s="13">
        <f>IF($J162="","",$J162*$K162)</f>
        <v/>
      </c>
      <c r="M162" s="12" t="n"/>
      <c r="N162" s="12" t="n"/>
      <c r="O162" s="12" t="n"/>
    </row>
    <row r="163">
      <c r="K163" s="10" t="n"/>
      <c r="L163" s="10">
        <f>IF($J163="","",$J163*$K163)</f>
        <v/>
      </c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3" t="n"/>
      <c r="L164" s="13">
        <f>IF($J164="","",$J164*$K164)</f>
        <v/>
      </c>
      <c r="M164" s="12" t="n"/>
      <c r="N164" s="12" t="n"/>
      <c r="O164" s="12" t="n"/>
    </row>
    <row r="165">
      <c r="K165" s="10" t="n"/>
      <c r="L165" s="10">
        <f>IF($J165="","",$J165*$K165)</f>
        <v/>
      </c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3" t="n"/>
      <c r="L166" s="13">
        <f>IF($J166="","",$J166*$K166)</f>
        <v/>
      </c>
      <c r="M166" s="12" t="n"/>
      <c r="N166" s="12" t="n"/>
      <c r="O166" s="12" t="n"/>
    </row>
    <row r="167">
      <c r="K167" s="10" t="n"/>
      <c r="L167" s="10">
        <f>IF($J167="","",$J167*$K167)</f>
        <v/>
      </c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3" t="n"/>
      <c r="L168" s="13">
        <f>IF($J168="","",$J168*$K168)</f>
        <v/>
      </c>
      <c r="M168" s="12" t="n"/>
      <c r="N168" s="12" t="n"/>
      <c r="O168" s="12" t="n"/>
    </row>
    <row r="169">
      <c r="K169" s="10" t="n"/>
      <c r="L169" s="10">
        <f>IF($J169="","",$J169*$K169)</f>
        <v/>
      </c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3" t="n"/>
      <c r="L170" s="13">
        <f>IF($J170="","",$J170*$K170)</f>
        <v/>
      </c>
      <c r="M170" s="12" t="n"/>
      <c r="N170" s="12" t="n"/>
      <c r="O170" s="12" t="n"/>
    </row>
    <row r="171">
      <c r="K171" s="10" t="n"/>
      <c r="L171" s="10">
        <f>IF($J171="","",$J171*$K171)</f>
        <v/>
      </c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3" t="n"/>
      <c r="L172" s="13">
        <f>IF($J172="","",$J172*$K172)</f>
        <v/>
      </c>
      <c r="M172" s="12" t="n"/>
      <c r="N172" s="12" t="n"/>
      <c r="O172" s="12" t="n"/>
    </row>
    <row r="173">
      <c r="K173" s="10" t="n"/>
      <c r="L173" s="10">
        <f>IF($J173="","",$J173*$K173)</f>
        <v/>
      </c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3" t="n"/>
      <c r="L174" s="13">
        <f>IF($J174="","",$J174*$K174)</f>
        <v/>
      </c>
      <c r="M174" s="12" t="n"/>
      <c r="N174" s="12" t="n"/>
      <c r="O174" s="12" t="n"/>
    </row>
    <row r="175">
      <c r="K175" s="10" t="n"/>
      <c r="L175" s="10">
        <f>IF($J175="","",$J175*$K175)</f>
        <v/>
      </c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3" t="n"/>
      <c r="L176" s="13">
        <f>IF($J176="","",$J176*$K176)</f>
        <v/>
      </c>
      <c r="M176" s="12" t="n"/>
      <c r="N176" s="12" t="n"/>
      <c r="O176" s="12" t="n"/>
    </row>
    <row r="177">
      <c r="K177" s="10" t="n"/>
      <c r="L177" s="10">
        <f>IF($J177="","",$J177*$K177)</f>
        <v/>
      </c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3" t="n"/>
      <c r="L178" s="13">
        <f>IF($J178="","",$J178*$K178)</f>
        <v/>
      </c>
      <c r="M178" s="12" t="n"/>
      <c r="N178" s="12" t="n"/>
      <c r="O178" s="12" t="n"/>
    </row>
    <row r="179">
      <c r="K179" s="10" t="n"/>
      <c r="L179" s="10">
        <f>IF($J179="","",$J179*$K179)</f>
        <v/>
      </c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3" t="n"/>
      <c r="L180" s="13">
        <f>IF($J180="","",$J180*$K180)</f>
        <v/>
      </c>
      <c r="M180" s="12" t="n"/>
      <c r="N180" s="12" t="n"/>
      <c r="O180" s="12" t="n"/>
    </row>
    <row r="181">
      <c r="K181" s="10" t="n"/>
      <c r="L181" s="10">
        <f>IF($J181="","",$J181*$K181)</f>
        <v/>
      </c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3" t="n"/>
      <c r="L182" s="13">
        <f>IF($J182="","",$J182*$K182)</f>
        <v/>
      </c>
      <c r="M182" s="12" t="n"/>
      <c r="N182" s="12" t="n"/>
      <c r="O182" s="12" t="n"/>
    </row>
    <row r="183">
      <c r="K183" s="10" t="n"/>
      <c r="L183" s="10">
        <f>IF($J183="","",$J183*$K183)</f>
        <v/>
      </c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3" t="n"/>
      <c r="L184" s="13">
        <f>IF($J184="","",$J184*$K184)</f>
        <v/>
      </c>
      <c r="M184" s="12" t="n"/>
      <c r="N184" s="12" t="n"/>
      <c r="O184" s="12" t="n"/>
    </row>
    <row r="185">
      <c r="K185" s="10" t="n"/>
      <c r="L185" s="10">
        <f>IF($J185="","",$J185*$K185)</f>
        <v/>
      </c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3" t="n"/>
      <c r="L186" s="13">
        <f>IF($J186="","",$J186*$K186)</f>
        <v/>
      </c>
      <c r="M186" s="12" t="n"/>
      <c r="N186" s="12" t="n"/>
      <c r="O186" s="12" t="n"/>
    </row>
    <row r="187">
      <c r="K187" s="10" t="n"/>
      <c r="L187" s="10">
        <f>IF($J187="","",$J187*$K187)</f>
        <v/>
      </c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3" t="n"/>
      <c r="L188" s="13">
        <f>IF($J188="","",$J188*$K188)</f>
        <v/>
      </c>
      <c r="M188" s="12" t="n"/>
      <c r="N188" s="12" t="n"/>
      <c r="O188" s="12" t="n"/>
    </row>
    <row r="189">
      <c r="K189" s="10" t="n"/>
      <c r="L189" s="10">
        <f>IF($J189="","",$J189*$K189)</f>
        <v/>
      </c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3" t="n"/>
      <c r="L190" s="13">
        <f>IF($J190="","",$J190*$K190)</f>
        <v/>
      </c>
      <c r="M190" s="12" t="n"/>
      <c r="N190" s="12" t="n"/>
      <c r="O190" s="12" t="n"/>
    </row>
    <row r="191">
      <c r="K191" s="10" t="n"/>
      <c r="L191" s="10">
        <f>IF($J191="","",$J191*$K191)</f>
        <v/>
      </c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3" t="n"/>
      <c r="L192" s="13">
        <f>IF($J192="","",$J192*$K192)</f>
        <v/>
      </c>
      <c r="M192" s="12" t="n"/>
      <c r="N192" s="12" t="n"/>
      <c r="O192" s="12" t="n"/>
    </row>
    <row r="193">
      <c r="K193" s="10" t="n"/>
      <c r="L193" s="10">
        <f>IF($J193="","",$J193*$K193)</f>
        <v/>
      </c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3" t="n"/>
      <c r="L194" s="13">
        <f>IF($J194="","",$J194*$K194)</f>
        <v/>
      </c>
      <c r="M194" s="12" t="n"/>
      <c r="N194" s="12" t="n"/>
      <c r="O194" s="12" t="n"/>
    </row>
    <row r="195">
      <c r="K195" s="10" t="n"/>
      <c r="L195" s="10">
        <f>IF($J195="","",$J195*$K195)</f>
        <v/>
      </c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3" t="n"/>
      <c r="L196" s="13">
        <f>IF($J196="","",$J196*$K196)</f>
        <v/>
      </c>
      <c r="M196" s="12" t="n"/>
      <c r="N196" s="12" t="n"/>
      <c r="O196" s="12" t="n"/>
    </row>
    <row r="197">
      <c r="K197" s="10" t="n"/>
      <c r="L197" s="10">
        <f>IF($J197="","",$J197*$K197)</f>
        <v/>
      </c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3" t="n"/>
      <c r="L198" s="13">
        <f>IF($J198="","",$J198*$K198)</f>
        <v/>
      </c>
      <c r="M198" s="12" t="n"/>
      <c r="N198" s="12" t="n"/>
      <c r="O198" s="12" t="n"/>
    </row>
    <row r="199">
      <c r="K199" s="10" t="n"/>
      <c r="L199" s="10">
        <f>IF($J199="","",$J199*$K199)</f>
        <v/>
      </c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3" t="n"/>
      <c r="L200" s="13">
        <f>IF($J200="","",$J200*$K200)</f>
        <v/>
      </c>
      <c r="M200" s="12" t="n"/>
      <c r="N200" s="12" t="n"/>
      <c r="O200" s="12" t="n"/>
    </row>
    <row r="201">
      <c r="K201" s="10" t="n"/>
      <c r="L201" s="10">
        <f>IF($J201="","",$J201*$K201)</f>
        <v/>
      </c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3" t="n"/>
      <c r="L202" s="13">
        <f>IF($J202="","",$J202*$K202)</f>
        <v/>
      </c>
      <c r="M202" s="12" t="n"/>
      <c r="N202" s="12" t="n"/>
      <c r="O202" s="12" t="n"/>
    </row>
    <row r="203">
      <c r="K203" s="10" t="n"/>
      <c r="L203" s="10">
        <f>IF($J203="","",$J203*$K203)</f>
        <v/>
      </c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3" t="n"/>
      <c r="L204" s="13">
        <f>IF($J204="","",$J204*$K204)</f>
        <v/>
      </c>
      <c r="M204" s="12" t="n"/>
      <c r="N204" s="12" t="n"/>
      <c r="O204" s="12" t="n"/>
    </row>
    <row r="205">
      <c r="K205" s="10" t="n"/>
      <c r="L205" s="10">
        <f>IF($J205="","",$J205*$K205)</f>
        <v/>
      </c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3" t="n"/>
      <c r="L206" s="13">
        <f>IF($J206="","",$J206*$K206)</f>
        <v/>
      </c>
      <c r="M206" s="12" t="n"/>
      <c r="N206" s="12" t="n"/>
      <c r="O206" s="12" t="n"/>
    </row>
    <row r="207">
      <c r="K207" s="10" t="n"/>
      <c r="L207" s="10">
        <f>IF($J207="","",$J207*$K207)</f>
        <v/>
      </c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3" t="n"/>
      <c r="L208" s="13">
        <f>IF($J208="","",$J208*$K208)</f>
        <v/>
      </c>
      <c r="M208" s="12" t="n"/>
      <c r="N208" s="12" t="n"/>
      <c r="O208" s="12" t="n"/>
    </row>
    <row r="209">
      <c r="K209" s="10" t="n"/>
      <c r="L209" s="10">
        <f>IF($J209="","",$J209*$K209)</f>
        <v/>
      </c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3" t="n"/>
      <c r="L210" s="13">
        <f>IF($J210="","",$J210*$K210)</f>
        <v/>
      </c>
      <c r="M210" s="12" t="n"/>
      <c r="N210" s="12" t="n"/>
      <c r="O210" s="12" t="n"/>
    </row>
    <row r="211">
      <c r="K211" s="10" t="n"/>
      <c r="L211" s="10">
        <f>IF($J211="","",$J211*$K211)</f>
        <v/>
      </c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3" t="n"/>
      <c r="L212" s="13">
        <f>IF($J212="","",$J212*$K212)</f>
        <v/>
      </c>
      <c r="M212" s="12" t="n"/>
      <c r="N212" s="12" t="n"/>
      <c r="O212" s="12" t="n"/>
    </row>
    <row r="213">
      <c r="K213" s="10" t="n"/>
      <c r="L213" s="10">
        <f>IF($J213="","",$J213*$K213)</f>
        <v/>
      </c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3" t="n"/>
      <c r="L214" s="13">
        <f>IF($J214="","",$J214*$K214)</f>
        <v/>
      </c>
      <c r="M214" s="12" t="n"/>
      <c r="N214" s="12" t="n"/>
      <c r="O214" s="12" t="n"/>
    </row>
    <row r="215">
      <c r="K215" s="10" t="n"/>
      <c r="L215" s="10">
        <f>IF($J215="","",$J215*$K215)</f>
        <v/>
      </c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3" t="n"/>
      <c r="L216" s="13">
        <f>IF($J216="","",$J216*$K216)</f>
        <v/>
      </c>
      <c r="M216" s="12" t="n"/>
      <c r="N216" s="12" t="n"/>
      <c r="O216" s="12" t="n"/>
    </row>
    <row r="217">
      <c r="K217" s="10" t="n"/>
      <c r="L217" s="10">
        <f>IF($J217="","",$J217*$K217)</f>
        <v/>
      </c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3" t="n"/>
      <c r="L218" s="13">
        <f>IF($J218="","",$J218*$K218)</f>
        <v/>
      </c>
      <c r="M218" s="12" t="n"/>
      <c r="N218" s="12" t="n"/>
      <c r="O218" s="12" t="n"/>
    </row>
    <row r="219">
      <c r="K219" s="10" t="n"/>
      <c r="L219" s="10">
        <f>IF($J219="","",$J219*$K219)</f>
        <v/>
      </c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3" t="n"/>
      <c r="L220" s="13">
        <f>IF($J220="","",$J220*$K220)</f>
        <v/>
      </c>
      <c r="M220" s="12" t="n"/>
      <c r="N220" s="12" t="n"/>
      <c r="O220" s="12" t="n"/>
    </row>
    <row r="221">
      <c r="K221" s="10" t="n"/>
      <c r="L221" s="10">
        <f>IF($J221="","",$J221*$K221)</f>
        <v/>
      </c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3" t="n"/>
      <c r="L222" s="13">
        <f>IF($J222="","",$J222*$K222)</f>
        <v/>
      </c>
      <c r="M222" s="12" t="n"/>
      <c r="N222" s="12" t="n"/>
      <c r="O222" s="12" t="n"/>
    </row>
    <row r="223">
      <c r="K223" s="10" t="n"/>
      <c r="L223" s="10">
        <f>IF($J223="","",$J223*$K223)</f>
        <v/>
      </c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3" t="n"/>
      <c r="L224" s="13">
        <f>IF($J224="","",$J224*$K224)</f>
        <v/>
      </c>
      <c r="M224" s="12" t="n"/>
      <c r="N224" s="12" t="n"/>
      <c r="O224" s="12" t="n"/>
    </row>
    <row r="225">
      <c r="K225" s="10" t="n"/>
      <c r="L225" s="10">
        <f>IF($J225="","",$J225*$K225)</f>
        <v/>
      </c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3" t="n"/>
      <c r="L226" s="13">
        <f>IF($J226="","",$J226*$K226)</f>
        <v/>
      </c>
      <c r="M226" s="12" t="n"/>
      <c r="N226" s="12" t="n"/>
      <c r="O226" s="12" t="n"/>
    </row>
    <row r="227">
      <c r="K227" s="10" t="n"/>
      <c r="L227" s="10">
        <f>IF($J227="","",$J227*$K227)</f>
        <v/>
      </c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3" t="n"/>
      <c r="L228" s="13">
        <f>IF($J228="","",$J228*$K228)</f>
        <v/>
      </c>
      <c r="M228" s="12" t="n"/>
      <c r="N228" s="12" t="n"/>
      <c r="O228" s="12" t="n"/>
    </row>
    <row r="229">
      <c r="K229" s="10" t="n"/>
      <c r="L229" s="10">
        <f>IF($J229="","",$J229*$K229)</f>
        <v/>
      </c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3" t="n"/>
      <c r="L230" s="13">
        <f>IF($J230="","",$J230*$K230)</f>
        <v/>
      </c>
      <c r="M230" s="12" t="n"/>
      <c r="N230" s="12" t="n"/>
      <c r="O230" s="12" t="n"/>
    </row>
    <row r="231">
      <c r="K231" s="10" t="n"/>
      <c r="L231" s="10">
        <f>IF($J231="","",$J231*$K231)</f>
        <v/>
      </c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3" t="n"/>
      <c r="L232" s="13">
        <f>IF($J232="","",$J232*$K232)</f>
        <v/>
      </c>
      <c r="M232" s="12" t="n"/>
      <c r="N232" s="12" t="n"/>
      <c r="O232" s="12" t="n"/>
    </row>
    <row r="233">
      <c r="K233" s="10" t="n"/>
      <c r="L233" s="10">
        <f>IF($J233="","",$J233*$K233)</f>
        <v/>
      </c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3" t="n"/>
      <c r="L234" s="13">
        <f>IF($J234="","",$J234*$K234)</f>
        <v/>
      </c>
      <c r="M234" s="12" t="n"/>
      <c r="N234" s="12" t="n"/>
      <c r="O234" s="12" t="n"/>
    </row>
    <row r="235">
      <c r="K235" s="10" t="n"/>
      <c r="L235" s="10">
        <f>IF($J235="","",$J235*$K235)</f>
        <v/>
      </c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3" t="n"/>
      <c r="L236" s="13">
        <f>IF($J236="","",$J236*$K236)</f>
        <v/>
      </c>
      <c r="M236" s="12" t="n"/>
      <c r="N236" s="12" t="n"/>
      <c r="O236" s="12" t="n"/>
    </row>
    <row r="237">
      <c r="K237" s="10" t="n"/>
      <c r="L237" s="10">
        <f>IF($J237="","",$J237*$K237)</f>
        <v/>
      </c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3" t="n"/>
      <c r="L238" s="13">
        <f>IF($J238="","",$J238*$K238)</f>
        <v/>
      </c>
      <c r="M238" s="12" t="n"/>
      <c r="N238" s="12" t="n"/>
      <c r="O238" s="12" t="n"/>
    </row>
    <row r="239">
      <c r="K239" s="10" t="n"/>
      <c r="L239" s="10">
        <f>IF($J239="","",$J239*$K239)</f>
        <v/>
      </c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3" t="n"/>
      <c r="L240" s="13">
        <f>IF($J240="","",$J240*$K240)</f>
        <v/>
      </c>
      <c r="M240" s="12" t="n"/>
      <c r="N240" s="12" t="n"/>
      <c r="O240" s="12" t="n"/>
    </row>
    <row r="241">
      <c r="K241" s="10" t="n"/>
      <c r="L241" s="10">
        <f>IF($J241="","",$J241*$K241)</f>
        <v/>
      </c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3" t="n"/>
      <c r="L242" s="13">
        <f>IF($J242="","",$J242*$K242)</f>
        <v/>
      </c>
      <c r="M242" s="12" t="n"/>
      <c r="N242" s="12" t="n"/>
      <c r="O242" s="12" t="n"/>
    </row>
    <row r="243">
      <c r="K243" s="10" t="n"/>
      <c r="L243" s="10">
        <f>IF($J243="","",$J243*$K243)</f>
        <v/>
      </c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3" t="n"/>
      <c r="L244" s="13">
        <f>IF($J244="","",$J244*$K244)</f>
        <v/>
      </c>
      <c r="M244" s="12" t="n"/>
      <c r="N244" s="12" t="n"/>
      <c r="O244" s="12" t="n"/>
    </row>
    <row r="245">
      <c r="K245" s="10" t="n"/>
      <c r="L245" s="10">
        <f>IF($J245="","",$J245*$K245)</f>
        <v/>
      </c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3" t="n"/>
      <c r="L246" s="13">
        <f>IF($J246="","",$J246*$K246)</f>
        <v/>
      </c>
      <c r="M246" s="12" t="n"/>
      <c r="N246" s="12" t="n"/>
      <c r="O246" s="12" t="n"/>
    </row>
    <row r="247">
      <c r="K247" s="10" t="n"/>
      <c r="L247" s="10">
        <f>IF($J247="","",$J247*$K247)</f>
        <v/>
      </c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3" t="n"/>
      <c r="L248" s="13">
        <f>IF($J248="","",$J248*$K248)</f>
        <v/>
      </c>
      <c r="M248" s="12" t="n"/>
      <c r="N248" s="12" t="n"/>
      <c r="O248" s="12" t="n"/>
    </row>
    <row r="249">
      <c r="K249" s="10" t="n"/>
      <c r="L249" s="10">
        <f>IF($J249="","",$J249*$K249)</f>
        <v/>
      </c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3" t="n"/>
      <c r="L250" s="13">
        <f>IF($J250="","",$J250*$K250)</f>
        <v/>
      </c>
      <c r="M250" s="12" t="n"/>
      <c r="N250" s="12" t="n"/>
      <c r="O250" s="12" t="n"/>
    </row>
    <row r="251">
      <c r="K251" s="10" t="n"/>
      <c r="L251" s="10">
        <f>IF($J251="","",$J251*$K251)</f>
        <v/>
      </c>
    </row>
  </sheetData>
  <autoFilter ref="A1:O251"/>
  <conditionalFormatting sqref="A2:O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5">
    <dataValidation sqref="B2:B251" showDropDown="0" showInputMessage="0" showErrorMessage="0" allowBlank="1" type="list">
      <formula1>='Lists'!$P$2:$P$10</formula1>
    </dataValidation>
    <dataValidation sqref="C2:C251" showDropDown="0" showInputMessage="0" showErrorMessage="0" allowBlank="1" type="list">
      <formula1>='Lists'!$O$2:$O$14</formula1>
    </dataValidation>
    <dataValidation sqref="M2:N251" showDropDown="0" showInputMessage="0" showErrorMessage="0" allowBlank="1" type="list">
      <formula1>='Lists'!$B$2:$B$3</formula1>
    </dataValidation>
    <dataValidation sqref="A2:A251" showDropDown="0" showInputMessage="0" showErrorMessage="0" allowBlank="1" type="list">
      <formula1>='Room List'!$A$2:$A$251</formula1>
    </dataValidation>
    <dataValidation sqref="G2:G251" showDropDown="0" showInputMessage="0" showErrorMessage="0" allowBlank="1" type="list">
      <formula1>='Vendor &amp; Supplier Database'!$A$2:$A$251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42" customHeight="1">
      <c r="A1" s="11" t="inlineStr">
        <is>
          <t>Room</t>
        </is>
      </c>
      <c r="B1" s="11" t="inlineStr">
        <is>
          <t>Item needed</t>
        </is>
      </c>
      <c r="C1" s="11" t="inlineStr">
        <is>
          <t>Option 1 link</t>
        </is>
      </c>
      <c r="D1" s="11" t="inlineStr">
        <is>
          <t>Option 1 price</t>
        </is>
      </c>
      <c r="E1" s="11" t="inlineStr">
        <is>
          <t>Option 2 link</t>
        </is>
      </c>
      <c r="F1" s="11" t="inlineStr">
        <is>
          <t>Option 2 price</t>
        </is>
      </c>
      <c r="G1" s="11" t="inlineStr">
        <is>
          <t>Option 3 link</t>
        </is>
      </c>
      <c r="H1" s="11" t="inlineStr">
        <is>
          <t>Option 3 price</t>
        </is>
      </c>
      <c r="I1" s="11" t="inlineStr">
        <is>
          <t>Preferred option</t>
        </is>
      </c>
      <c r="J1" s="11" t="inlineStr">
        <is>
          <t>Pros</t>
        </is>
      </c>
      <c r="K1" s="11" t="inlineStr">
        <is>
          <t>Cons</t>
        </is>
      </c>
      <c r="L1" s="11" t="inlineStr">
        <is>
          <t>Client feedback</t>
        </is>
      </c>
      <c r="M1" s="11" t="inlineStr">
        <is>
          <t>Final selection</t>
        </is>
      </c>
    </row>
    <row r="2">
      <c r="A2" s="12" t="n"/>
      <c r="B2" s="12" t="n"/>
      <c r="C2" s="12" t="n"/>
      <c r="D2" s="13" t="n"/>
      <c r="E2" s="12" t="n"/>
      <c r="F2" s="13" t="n"/>
      <c r="G2" s="12" t="n"/>
      <c r="H2" s="13" t="n"/>
      <c r="I2" s="12" t="n"/>
      <c r="J2" s="12" t="n"/>
      <c r="K2" s="12" t="n"/>
      <c r="L2" s="12" t="n"/>
      <c r="M2" s="12" t="n"/>
    </row>
    <row r="3">
      <c r="D3" s="10" t="n"/>
      <c r="F3" s="10" t="n"/>
      <c r="H3" s="10" t="n"/>
    </row>
    <row r="4">
      <c r="A4" s="12" t="n"/>
      <c r="B4" s="12" t="n"/>
      <c r="C4" s="12" t="n"/>
      <c r="D4" s="13" t="n"/>
      <c r="E4" s="12" t="n"/>
      <c r="F4" s="13" t="n"/>
      <c r="G4" s="12" t="n"/>
      <c r="H4" s="13" t="n"/>
      <c r="I4" s="12" t="n"/>
      <c r="J4" s="12" t="n"/>
      <c r="K4" s="12" t="n"/>
      <c r="L4" s="12" t="n"/>
      <c r="M4" s="12" t="n"/>
    </row>
    <row r="5">
      <c r="D5" s="10" t="n"/>
      <c r="F5" s="10" t="n"/>
      <c r="H5" s="10" t="n"/>
    </row>
    <row r="6">
      <c r="A6" s="12" t="n"/>
      <c r="B6" s="12" t="n"/>
      <c r="C6" s="12" t="n"/>
      <c r="D6" s="13" t="n"/>
      <c r="E6" s="12" t="n"/>
      <c r="F6" s="13" t="n"/>
      <c r="G6" s="12" t="n"/>
      <c r="H6" s="13" t="n"/>
      <c r="I6" s="12" t="n"/>
      <c r="J6" s="12" t="n"/>
      <c r="K6" s="12" t="n"/>
      <c r="L6" s="12" t="n"/>
      <c r="M6" s="12" t="n"/>
    </row>
    <row r="7">
      <c r="D7" s="10" t="n"/>
      <c r="F7" s="10" t="n"/>
      <c r="H7" s="10" t="n"/>
    </row>
    <row r="8">
      <c r="A8" s="12" t="n"/>
      <c r="B8" s="12" t="n"/>
      <c r="C8" s="12" t="n"/>
      <c r="D8" s="13" t="n"/>
      <c r="E8" s="12" t="n"/>
      <c r="F8" s="13" t="n"/>
      <c r="G8" s="12" t="n"/>
      <c r="H8" s="13" t="n"/>
      <c r="I8" s="12" t="n"/>
      <c r="J8" s="12" t="n"/>
      <c r="K8" s="12" t="n"/>
      <c r="L8" s="12" t="n"/>
      <c r="M8" s="12" t="n"/>
    </row>
    <row r="9">
      <c r="D9" s="10" t="n"/>
      <c r="F9" s="10" t="n"/>
      <c r="H9" s="10" t="n"/>
    </row>
    <row r="10">
      <c r="A10" s="12" t="n"/>
      <c r="B10" s="12" t="n"/>
      <c r="C10" s="12" t="n"/>
      <c r="D10" s="13" t="n"/>
      <c r="E10" s="12" t="n"/>
      <c r="F10" s="13" t="n"/>
      <c r="G10" s="12" t="n"/>
      <c r="H10" s="13" t="n"/>
      <c r="I10" s="12" t="n"/>
      <c r="J10" s="12" t="n"/>
      <c r="K10" s="12" t="n"/>
      <c r="L10" s="12" t="n"/>
      <c r="M10" s="12" t="n"/>
    </row>
    <row r="11">
      <c r="D11" s="10" t="n"/>
      <c r="F11" s="10" t="n"/>
      <c r="H11" s="10" t="n"/>
    </row>
    <row r="12">
      <c r="A12" s="12" t="n"/>
      <c r="B12" s="12" t="n"/>
      <c r="C12" s="12" t="n"/>
      <c r="D12" s="13" t="n"/>
      <c r="E12" s="12" t="n"/>
      <c r="F12" s="13" t="n"/>
      <c r="G12" s="12" t="n"/>
      <c r="H12" s="13" t="n"/>
      <c r="I12" s="12" t="n"/>
      <c r="J12" s="12" t="n"/>
      <c r="K12" s="12" t="n"/>
      <c r="L12" s="12" t="n"/>
      <c r="M12" s="12" t="n"/>
    </row>
    <row r="13">
      <c r="D13" s="10" t="n"/>
      <c r="F13" s="10" t="n"/>
      <c r="H13" s="10" t="n"/>
    </row>
    <row r="14">
      <c r="A14" s="12" t="n"/>
      <c r="B14" s="12" t="n"/>
      <c r="C14" s="12" t="n"/>
      <c r="D14" s="13" t="n"/>
      <c r="E14" s="12" t="n"/>
      <c r="F14" s="13" t="n"/>
      <c r="G14" s="12" t="n"/>
      <c r="H14" s="13" t="n"/>
      <c r="I14" s="12" t="n"/>
      <c r="J14" s="12" t="n"/>
      <c r="K14" s="12" t="n"/>
      <c r="L14" s="12" t="n"/>
      <c r="M14" s="12" t="n"/>
    </row>
    <row r="15">
      <c r="D15" s="10" t="n"/>
      <c r="F15" s="10" t="n"/>
      <c r="H15" s="10" t="n"/>
    </row>
    <row r="16">
      <c r="A16" s="12" t="n"/>
      <c r="B16" s="12" t="n"/>
      <c r="C16" s="12" t="n"/>
      <c r="D16" s="13" t="n"/>
      <c r="E16" s="12" t="n"/>
      <c r="F16" s="13" t="n"/>
      <c r="G16" s="12" t="n"/>
      <c r="H16" s="13" t="n"/>
      <c r="I16" s="12" t="n"/>
      <c r="J16" s="12" t="n"/>
      <c r="K16" s="12" t="n"/>
      <c r="L16" s="12" t="n"/>
      <c r="M16" s="12" t="n"/>
    </row>
    <row r="17">
      <c r="D17" s="10" t="n"/>
      <c r="F17" s="10" t="n"/>
      <c r="H17" s="10" t="n"/>
    </row>
    <row r="18">
      <c r="A18" s="12" t="n"/>
      <c r="B18" s="12" t="n"/>
      <c r="C18" s="12" t="n"/>
      <c r="D18" s="13" t="n"/>
      <c r="E18" s="12" t="n"/>
      <c r="F18" s="13" t="n"/>
      <c r="G18" s="12" t="n"/>
      <c r="H18" s="13" t="n"/>
      <c r="I18" s="12" t="n"/>
      <c r="J18" s="12" t="n"/>
      <c r="K18" s="12" t="n"/>
      <c r="L18" s="12" t="n"/>
      <c r="M18" s="12" t="n"/>
    </row>
    <row r="19">
      <c r="D19" s="10" t="n"/>
      <c r="F19" s="10" t="n"/>
      <c r="H19" s="10" t="n"/>
    </row>
    <row r="20">
      <c r="A20" s="12" t="n"/>
      <c r="B20" s="12" t="n"/>
      <c r="C20" s="12" t="n"/>
      <c r="D20" s="13" t="n"/>
      <c r="E20" s="12" t="n"/>
      <c r="F20" s="13" t="n"/>
      <c r="G20" s="12" t="n"/>
      <c r="H20" s="13" t="n"/>
      <c r="I20" s="12" t="n"/>
      <c r="J20" s="12" t="n"/>
      <c r="K20" s="12" t="n"/>
      <c r="L20" s="12" t="n"/>
      <c r="M20" s="12" t="n"/>
    </row>
    <row r="21">
      <c r="D21" s="10" t="n"/>
      <c r="F21" s="10" t="n"/>
      <c r="H21" s="10" t="n"/>
    </row>
    <row r="22">
      <c r="A22" s="12" t="n"/>
      <c r="B22" s="12" t="n"/>
      <c r="C22" s="12" t="n"/>
      <c r="D22" s="13" t="n"/>
      <c r="E22" s="12" t="n"/>
      <c r="F22" s="13" t="n"/>
      <c r="G22" s="12" t="n"/>
      <c r="H22" s="13" t="n"/>
      <c r="I22" s="12" t="n"/>
      <c r="J22" s="12" t="n"/>
      <c r="K22" s="12" t="n"/>
      <c r="L22" s="12" t="n"/>
      <c r="M22" s="12" t="n"/>
    </row>
    <row r="23">
      <c r="D23" s="10" t="n"/>
      <c r="F23" s="10" t="n"/>
      <c r="H23" s="10" t="n"/>
    </row>
    <row r="24">
      <c r="A24" s="12" t="n"/>
      <c r="B24" s="12" t="n"/>
      <c r="C24" s="12" t="n"/>
      <c r="D24" s="13" t="n"/>
      <c r="E24" s="12" t="n"/>
      <c r="F24" s="13" t="n"/>
      <c r="G24" s="12" t="n"/>
      <c r="H24" s="13" t="n"/>
      <c r="I24" s="12" t="n"/>
      <c r="J24" s="12" t="n"/>
      <c r="K24" s="12" t="n"/>
      <c r="L24" s="12" t="n"/>
      <c r="M24" s="12" t="n"/>
    </row>
    <row r="25">
      <c r="D25" s="10" t="n"/>
      <c r="F25" s="10" t="n"/>
      <c r="H25" s="10" t="n"/>
    </row>
    <row r="26">
      <c r="A26" s="12" t="n"/>
      <c r="B26" s="12" t="n"/>
      <c r="C26" s="12" t="n"/>
      <c r="D26" s="13" t="n"/>
      <c r="E26" s="12" t="n"/>
      <c r="F26" s="13" t="n"/>
      <c r="G26" s="12" t="n"/>
      <c r="H26" s="13" t="n"/>
      <c r="I26" s="12" t="n"/>
      <c r="J26" s="12" t="n"/>
      <c r="K26" s="12" t="n"/>
      <c r="L26" s="12" t="n"/>
      <c r="M26" s="12" t="n"/>
    </row>
    <row r="27">
      <c r="D27" s="10" t="n"/>
      <c r="F27" s="10" t="n"/>
      <c r="H27" s="10" t="n"/>
    </row>
    <row r="28">
      <c r="A28" s="12" t="n"/>
      <c r="B28" s="12" t="n"/>
      <c r="C28" s="12" t="n"/>
      <c r="D28" s="13" t="n"/>
      <c r="E28" s="12" t="n"/>
      <c r="F28" s="13" t="n"/>
      <c r="G28" s="12" t="n"/>
      <c r="H28" s="13" t="n"/>
      <c r="I28" s="12" t="n"/>
      <c r="J28" s="12" t="n"/>
      <c r="K28" s="12" t="n"/>
      <c r="L28" s="12" t="n"/>
      <c r="M28" s="12" t="n"/>
    </row>
    <row r="29">
      <c r="D29" s="10" t="n"/>
      <c r="F29" s="10" t="n"/>
      <c r="H29" s="10" t="n"/>
    </row>
    <row r="30">
      <c r="A30" s="12" t="n"/>
      <c r="B30" s="12" t="n"/>
      <c r="C30" s="12" t="n"/>
      <c r="D30" s="13" t="n"/>
      <c r="E30" s="12" t="n"/>
      <c r="F30" s="13" t="n"/>
      <c r="G30" s="12" t="n"/>
      <c r="H30" s="13" t="n"/>
      <c r="I30" s="12" t="n"/>
      <c r="J30" s="12" t="n"/>
      <c r="K30" s="12" t="n"/>
      <c r="L30" s="12" t="n"/>
      <c r="M30" s="12" t="n"/>
    </row>
    <row r="31">
      <c r="D31" s="10" t="n"/>
      <c r="F31" s="10" t="n"/>
      <c r="H31" s="10" t="n"/>
    </row>
    <row r="32">
      <c r="A32" s="12" t="n"/>
      <c r="B32" s="12" t="n"/>
      <c r="C32" s="12" t="n"/>
      <c r="D32" s="13" t="n"/>
      <c r="E32" s="12" t="n"/>
      <c r="F32" s="13" t="n"/>
      <c r="G32" s="12" t="n"/>
      <c r="H32" s="13" t="n"/>
      <c r="I32" s="12" t="n"/>
      <c r="J32" s="12" t="n"/>
      <c r="K32" s="12" t="n"/>
      <c r="L32" s="12" t="n"/>
      <c r="M32" s="12" t="n"/>
    </row>
    <row r="33">
      <c r="D33" s="10" t="n"/>
      <c r="F33" s="10" t="n"/>
      <c r="H33" s="10" t="n"/>
    </row>
    <row r="34">
      <c r="A34" s="12" t="n"/>
      <c r="B34" s="12" t="n"/>
      <c r="C34" s="12" t="n"/>
      <c r="D34" s="13" t="n"/>
      <c r="E34" s="12" t="n"/>
      <c r="F34" s="13" t="n"/>
      <c r="G34" s="12" t="n"/>
      <c r="H34" s="13" t="n"/>
      <c r="I34" s="12" t="n"/>
      <c r="J34" s="12" t="n"/>
      <c r="K34" s="12" t="n"/>
      <c r="L34" s="12" t="n"/>
      <c r="M34" s="12" t="n"/>
    </row>
    <row r="35">
      <c r="D35" s="10" t="n"/>
      <c r="F35" s="10" t="n"/>
      <c r="H35" s="10" t="n"/>
    </row>
    <row r="36">
      <c r="A36" s="12" t="n"/>
      <c r="B36" s="12" t="n"/>
      <c r="C36" s="12" t="n"/>
      <c r="D36" s="13" t="n"/>
      <c r="E36" s="12" t="n"/>
      <c r="F36" s="13" t="n"/>
      <c r="G36" s="12" t="n"/>
      <c r="H36" s="13" t="n"/>
      <c r="I36" s="12" t="n"/>
      <c r="J36" s="12" t="n"/>
      <c r="K36" s="12" t="n"/>
      <c r="L36" s="12" t="n"/>
      <c r="M36" s="12" t="n"/>
    </row>
    <row r="37">
      <c r="D37" s="10" t="n"/>
      <c r="F37" s="10" t="n"/>
      <c r="H37" s="10" t="n"/>
    </row>
    <row r="38">
      <c r="A38" s="12" t="n"/>
      <c r="B38" s="12" t="n"/>
      <c r="C38" s="12" t="n"/>
      <c r="D38" s="13" t="n"/>
      <c r="E38" s="12" t="n"/>
      <c r="F38" s="13" t="n"/>
      <c r="G38" s="12" t="n"/>
      <c r="H38" s="13" t="n"/>
      <c r="I38" s="12" t="n"/>
      <c r="J38" s="12" t="n"/>
      <c r="K38" s="12" t="n"/>
      <c r="L38" s="12" t="n"/>
      <c r="M38" s="12" t="n"/>
    </row>
    <row r="39">
      <c r="D39" s="10" t="n"/>
      <c r="F39" s="10" t="n"/>
      <c r="H39" s="10" t="n"/>
    </row>
    <row r="40">
      <c r="A40" s="12" t="n"/>
      <c r="B40" s="12" t="n"/>
      <c r="C40" s="12" t="n"/>
      <c r="D40" s="13" t="n"/>
      <c r="E40" s="12" t="n"/>
      <c r="F40" s="13" t="n"/>
      <c r="G40" s="12" t="n"/>
      <c r="H40" s="13" t="n"/>
      <c r="I40" s="12" t="n"/>
      <c r="J40" s="12" t="n"/>
      <c r="K40" s="12" t="n"/>
      <c r="L40" s="12" t="n"/>
      <c r="M40" s="12" t="n"/>
    </row>
    <row r="41">
      <c r="D41" s="10" t="n"/>
      <c r="F41" s="10" t="n"/>
      <c r="H41" s="10" t="n"/>
    </row>
    <row r="42">
      <c r="A42" s="12" t="n"/>
      <c r="B42" s="12" t="n"/>
      <c r="C42" s="12" t="n"/>
      <c r="D42" s="13" t="n"/>
      <c r="E42" s="12" t="n"/>
      <c r="F42" s="13" t="n"/>
      <c r="G42" s="12" t="n"/>
      <c r="H42" s="13" t="n"/>
      <c r="I42" s="12" t="n"/>
      <c r="J42" s="12" t="n"/>
      <c r="K42" s="12" t="n"/>
      <c r="L42" s="12" t="n"/>
      <c r="M42" s="12" t="n"/>
    </row>
    <row r="43">
      <c r="D43" s="10" t="n"/>
      <c r="F43" s="10" t="n"/>
      <c r="H43" s="10" t="n"/>
    </row>
    <row r="44">
      <c r="A44" s="12" t="n"/>
      <c r="B44" s="12" t="n"/>
      <c r="C44" s="12" t="n"/>
      <c r="D44" s="13" t="n"/>
      <c r="E44" s="12" t="n"/>
      <c r="F44" s="13" t="n"/>
      <c r="G44" s="12" t="n"/>
      <c r="H44" s="13" t="n"/>
      <c r="I44" s="12" t="n"/>
      <c r="J44" s="12" t="n"/>
      <c r="K44" s="12" t="n"/>
      <c r="L44" s="12" t="n"/>
      <c r="M44" s="12" t="n"/>
    </row>
    <row r="45">
      <c r="D45" s="10" t="n"/>
      <c r="F45" s="10" t="n"/>
      <c r="H45" s="10" t="n"/>
    </row>
    <row r="46">
      <c r="A46" s="12" t="n"/>
      <c r="B46" s="12" t="n"/>
      <c r="C46" s="12" t="n"/>
      <c r="D46" s="13" t="n"/>
      <c r="E46" s="12" t="n"/>
      <c r="F46" s="13" t="n"/>
      <c r="G46" s="12" t="n"/>
      <c r="H46" s="13" t="n"/>
      <c r="I46" s="12" t="n"/>
      <c r="J46" s="12" t="n"/>
      <c r="K46" s="12" t="n"/>
      <c r="L46" s="12" t="n"/>
      <c r="M46" s="12" t="n"/>
    </row>
    <row r="47">
      <c r="D47" s="10" t="n"/>
      <c r="F47" s="10" t="n"/>
      <c r="H47" s="10" t="n"/>
    </row>
    <row r="48">
      <c r="A48" s="12" t="n"/>
      <c r="B48" s="12" t="n"/>
      <c r="C48" s="12" t="n"/>
      <c r="D48" s="13" t="n"/>
      <c r="E48" s="12" t="n"/>
      <c r="F48" s="13" t="n"/>
      <c r="G48" s="12" t="n"/>
      <c r="H48" s="13" t="n"/>
      <c r="I48" s="12" t="n"/>
      <c r="J48" s="12" t="n"/>
      <c r="K48" s="12" t="n"/>
      <c r="L48" s="12" t="n"/>
      <c r="M48" s="12" t="n"/>
    </row>
    <row r="49">
      <c r="D49" s="10" t="n"/>
      <c r="F49" s="10" t="n"/>
      <c r="H49" s="10" t="n"/>
    </row>
    <row r="50">
      <c r="A50" s="12" t="n"/>
      <c r="B50" s="12" t="n"/>
      <c r="C50" s="12" t="n"/>
      <c r="D50" s="13" t="n"/>
      <c r="E50" s="12" t="n"/>
      <c r="F50" s="13" t="n"/>
      <c r="G50" s="12" t="n"/>
      <c r="H50" s="13" t="n"/>
      <c r="I50" s="12" t="n"/>
      <c r="J50" s="12" t="n"/>
      <c r="K50" s="12" t="n"/>
      <c r="L50" s="12" t="n"/>
      <c r="M50" s="12" t="n"/>
    </row>
    <row r="51">
      <c r="D51" s="10" t="n"/>
      <c r="F51" s="10" t="n"/>
      <c r="H51" s="10" t="n"/>
    </row>
    <row r="52">
      <c r="A52" s="12" t="n"/>
      <c r="B52" s="12" t="n"/>
      <c r="C52" s="12" t="n"/>
      <c r="D52" s="13" t="n"/>
      <c r="E52" s="12" t="n"/>
      <c r="F52" s="13" t="n"/>
      <c r="G52" s="12" t="n"/>
      <c r="H52" s="13" t="n"/>
      <c r="I52" s="12" t="n"/>
      <c r="J52" s="12" t="n"/>
      <c r="K52" s="12" t="n"/>
      <c r="L52" s="12" t="n"/>
      <c r="M52" s="12" t="n"/>
    </row>
    <row r="53">
      <c r="D53" s="10" t="n"/>
      <c r="F53" s="10" t="n"/>
      <c r="H53" s="10" t="n"/>
    </row>
    <row r="54">
      <c r="A54" s="12" t="n"/>
      <c r="B54" s="12" t="n"/>
      <c r="C54" s="12" t="n"/>
      <c r="D54" s="13" t="n"/>
      <c r="E54" s="12" t="n"/>
      <c r="F54" s="13" t="n"/>
      <c r="G54" s="12" t="n"/>
      <c r="H54" s="13" t="n"/>
      <c r="I54" s="12" t="n"/>
      <c r="J54" s="12" t="n"/>
      <c r="K54" s="12" t="n"/>
      <c r="L54" s="12" t="n"/>
      <c r="M54" s="12" t="n"/>
    </row>
    <row r="55">
      <c r="D55" s="10" t="n"/>
      <c r="F55" s="10" t="n"/>
      <c r="H55" s="10" t="n"/>
    </row>
    <row r="56">
      <c r="A56" s="12" t="n"/>
      <c r="B56" s="12" t="n"/>
      <c r="C56" s="12" t="n"/>
      <c r="D56" s="13" t="n"/>
      <c r="E56" s="12" t="n"/>
      <c r="F56" s="13" t="n"/>
      <c r="G56" s="12" t="n"/>
      <c r="H56" s="13" t="n"/>
      <c r="I56" s="12" t="n"/>
      <c r="J56" s="12" t="n"/>
      <c r="K56" s="12" t="n"/>
      <c r="L56" s="12" t="n"/>
      <c r="M56" s="12" t="n"/>
    </row>
    <row r="57">
      <c r="D57" s="10" t="n"/>
      <c r="F57" s="10" t="n"/>
      <c r="H57" s="10" t="n"/>
    </row>
    <row r="58">
      <c r="A58" s="12" t="n"/>
      <c r="B58" s="12" t="n"/>
      <c r="C58" s="12" t="n"/>
      <c r="D58" s="13" t="n"/>
      <c r="E58" s="12" t="n"/>
      <c r="F58" s="13" t="n"/>
      <c r="G58" s="12" t="n"/>
      <c r="H58" s="13" t="n"/>
      <c r="I58" s="12" t="n"/>
      <c r="J58" s="12" t="n"/>
      <c r="K58" s="12" t="n"/>
      <c r="L58" s="12" t="n"/>
      <c r="M58" s="12" t="n"/>
    </row>
    <row r="59">
      <c r="D59" s="10" t="n"/>
      <c r="F59" s="10" t="n"/>
      <c r="H59" s="10" t="n"/>
    </row>
    <row r="60">
      <c r="A60" s="12" t="n"/>
      <c r="B60" s="12" t="n"/>
      <c r="C60" s="12" t="n"/>
      <c r="D60" s="13" t="n"/>
      <c r="E60" s="12" t="n"/>
      <c r="F60" s="13" t="n"/>
      <c r="G60" s="12" t="n"/>
      <c r="H60" s="13" t="n"/>
      <c r="I60" s="12" t="n"/>
      <c r="J60" s="12" t="n"/>
      <c r="K60" s="12" t="n"/>
      <c r="L60" s="12" t="n"/>
      <c r="M60" s="12" t="n"/>
    </row>
    <row r="61">
      <c r="D61" s="10" t="n"/>
      <c r="F61" s="10" t="n"/>
      <c r="H61" s="10" t="n"/>
    </row>
    <row r="62">
      <c r="A62" s="12" t="n"/>
      <c r="B62" s="12" t="n"/>
      <c r="C62" s="12" t="n"/>
      <c r="D62" s="13" t="n"/>
      <c r="E62" s="12" t="n"/>
      <c r="F62" s="13" t="n"/>
      <c r="G62" s="12" t="n"/>
      <c r="H62" s="13" t="n"/>
      <c r="I62" s="12" t="n"/>
      <c r="J62" s="12" t="n"/>
      <c r="K62" s="12" t="n"/>
      <c r="L62" s="12" t="n"/>
      <c r="M62" s="12" t="n"/>
    </row>
    <row r="63">
      <c r="D63" s="10" t="n"/>
      <c r="F63" s="10" t="n"/>
      <c r="H63" s="10" t="n"/>
    </row>
    <row r="64">
      <c r="A64" s="12" t="n"/>
      <c r="B64" s="12" t="n"/>
      <c r="C64" s="12" t="n"/>
      <c r="D64" s="13" t="n"/>
      <c r="E64" s="12" t="n"/>
      <c r="F64" s="13" t="n"/>
      <c r="G64" s="12" t="n"/>
      <c r="H64" s="13" t="n"/>
      <c r="I64" s="12" t="n"/>
      <c r="J64" s="12" t="n"/>
      <c r="K64" s="12" t="n"/>
      <c r="L64" s="12" t="n"/>
      <c r="M64" s="12" t="n"/>
    </row>
    <row r="65">
      <c r="D65" s="10" t="n"/>
      <c r="F65" s="10" t="n"/>
      <c r="H65" s="10" t="n"/>
    </row>
    <row r="66">
      <c r="A66" s="12" t="n"/>
      <c r="B66" s="12" t="n"/>
      <c r="C66" s="12" t="n"/>
      <c r="D66" s="13" t="n"/>
      <c r="E66" s="12" t="n"/>
      <c r="F66" s="13" t="n"/>
      <c r="G66" s="12" t="n"/>
      <c r="H66" s="13" t="n"/>
      <c r="I66" s="12" t="n"/>
      <c r="J66" s="12" t="n"/>
      <c r="K66" s="12" t="n"/>
      <c r="L66" s="12" t="n"/>
      <c r="M66" s="12" t="n"/>
    </row>
    <row r="67">
      <c r="D67" s="10" t="n"/>
      <c r="F67" s="10" t="n"/>
      <c r="H67" s="10" t="n"/>
    </row>
    <row r="68">
      <c r="A68" s="12" t="n"/>
      <c r="B68" s="12" t="n"/>
      <c r="C68" s="12" t="n"/>
      <c r="D68" s="13" t="n"/>
      <c r="E68" s="12" t="n"/>
      <c r="F68" s="13" t="n"/>
      <c r="G68" s="12" t="n"/>
      <c r="H68" s="13" t="n"/>
      <c r="I68" s="12" t="n"/>
      <c r="J68" s="12" t="n"/>
      <c r="K68" s="12" t="n"/>
      <c r="L68" s="12" t="n"/>
      <c r="M68" s="12" t="n"/>
    </row>
    <row r="69">
      <c r="D69" s="10" t="n"/>
      <c r="F69" s="10" t="n"/>
      <c r="H69" s="10" t="n"/>
    </row>
    <row r="70">
      <c r="A70" s="12" t="n"/>
      <c r="B70" s="12" t="n"/>
      <c r="C70" s="12" t="n"/>
      <c r="D70" s="13" t="n"/>
      <c r="E70" s="12" t="n"/>
      <c r="F70" s="13" t="n"/>
      <c r="G70" s="12" t="n"/>
      <c r="H70" s="13" t="n"/>
      <c r="I70" s="12" t="n"/>
      <c r="J70" s="12" t="n"/>
      <c r="K70" s="12" t="n"/>
      <c r="L70" s="12" t="n"/>
      <c r="M70" s="12" t="n"/>
    </row>
    <row r="71">
      <c r="D71" s="10" t="n"/>
      <c r="F71" s="10" t="n"/>
      <c r="H71" s="10" t="n"/>
    </row>
    <row r="72">
      <c r="A72" s="12" t="n"/>
      <c r="B72" s="12" t="n"/>
      <c r="C72" s="12" t="n"/>
      <c r="D72" s="13" t="n"/>
      <c r="E72" s="12" t="n"/>
      <c r="F72" s="13" t="n"/>
      <c r="G72" s="12" t="n"/>
      <c r="H72" s="13" t="n"/>
      <c r="I72" s="12" t="n"/>
      <c r="J72" s="12" t="n"/>
      <c r="K72" s="12" t="n"/>
      <c r="L72" s="12" t="n"/>
      <c r="M72" s="12" t="n"/>
    </row>
    <row r="73">
      <c r="D73" s="10" t="n"/>
      <c r="F73" s="10" t="n"/>
      <c r="H73" s="10" t="n"/>
    </row>
    <row r="74">
      <c r="A74" s="12" t="n"/>
      <c r="B74" s="12" t="n"/>
      <c r="C74" s="12" t="n"/>
      <c r="D74" s="13" t="n"/>
      <c r="E74" s="12" t="n"/>
      <c r="F74" s="13" t="n"/>
      <c r="G74" s="12" t="n"/>
      <c r="H74" s="13" t="n"/>
      <c r="I74" s="12" t="n"/>
      <c r="J74" s="12" t="n"/>
      <c r="K74" s="12" t="n"/>
      <c r="L74" s="12" t="n"/>
      <c r="M74" s="12" t="n"/>
    </row>
    <row r="75">
      <c r="D75" s="10" t="n"/>
      <c r="F75" s="10" t="n"/>
      <c r="H75" s="10" t="n"/>
    </row>
    <row r="76">
      <c r="A76" s="12" t="n"/>
      <c r="B76" s="12" t="n"/>
      <c r="C76" s="12" t="n"/>
      <c r="D76" s="13" t="n"/>
      <c r="E76" s="12" t="n"/>
      <c r="F76" s="13" t="n"/>
      <c r="G76" s="12" t="n"/>
      <c r="H76" s="13" t="n"/>
      <c r="I76" s="12" t="n"/>
      <c r="J76" s="12" t="n"/>
      <c r="K76" s="12" t="n"/>
      <c r="L76" s="12" t="n"/>
      <c r="M76" s="12" t="n"/>
    </row>
    <row r="77">
      <c r="D77" s="10" t="n"/>
      <c r="F77" s="10" t="n"/>
      <c r="H77" s="10" t="n"/>
    </row>
    <row r="78">
      <c r="A78" s="12" t="n"/>
      <c r="B78" s="12" t="n"/>
      <c r="C78" s="12" t="n"/>
      <c r="D78" s="13" t="n"/>
      <c r="E78" s="12" t="n"/>
      <c r="F78" s="13" t="n"/>
      <c r="G78" s="12" t="n"/>
      <c r="H78" s="13" t="n"/>
      <c r="I78" s="12" t="n"/>
      <c r="J78" s="12" t="n"/>
      <c r="K78" s="12" t="n"/>
      <c r="L78" s="12" t="n"/>
      <c r="M78" s="12" t="n"/>
    </row>
    <row r="79">
      <c r="D79" s="10" t="n"/>
      <c r="F79" s="10" t="n"/>
      <c r="H79" s="10" t="n"/>
    </row>
    <row r="80">
      <c r="A80" s="12" t="n"/>
      <c r="B80" s="12" t="n"/>
      <c r="C80" s="12" t="n"/>
      <c r="D80" s="13" t="n"/>
      <c r="E80" s="12" t="n"/>
      <c r="F80" s="13" t="n"/>
      <c r="G80" s="12" t="n"/>
      <c r="H80" s="13" t="n"/>
      <c r="I80" s="12" t="n"/>
      <c r="J80" s="12" t="n"/>
      <c r="K80" s="12" t="n"/>
      <c r="L80" s="12" t="n"/>
      <c r="M80" s="12" t="n"/>
    </row>
    <row r="81">
      <c r="D81" s="10" t="n"/>
      <c r="F81" s="10" t="n"/>
      <c r="H81" s="10" t="n"/>
    </row>
    <row r="82">
      <c r="A82" s="12" t="n"/>
      <c r="B82" s="12" t="n"/>
      <c r="C82" s="12" t="n"/>
      <c r="D82" s="13" t="n"/>
      <c r="E82" s="12" t="n"/>
      <c r="F82" s="13" t="n"/>
      <c r="G82" s="12" t="n"/>
      <c r="H82" s="13" t="n"/>
      <c r="I82" s="12" t="n"/>
      <c r="J82" s="12" t="n"/>
      <c r="K82" s="12" t="n"/>
      <c r="L82" s="12" t="n"/>
      <c r="M82" s="12" t="n"/>
    </row>
    <row r="83">
      <c r="D83" s="10" t="n"/>
      <c r="F83" s="10" t="n"/>
      <c r="H83" s="10" t="n"/>
    </row>
    <row r="84">
      <c r="A84" s="12" t="n"/>
      <c r="B84" s="12" t="n"/>
      <c r="C84" s="12" t="n"/>
      <c r="D84" s="13" t="n"/>
      <c r="E84" s="12" t="n"/>
      <c r="F84" s="13" t="n"/>
      <c r="G84" s="12" t="n"/>
      <c r="H84" s="13" t="n"/>
      <c r="I84" s="12" t="n"/>
      <c r="J84" s="12" t="n"/>
      <c r="K84" s="12" t="n"/>
      <c r="L84" s="12" t="n"/>
      <c r="M84" s="12" t="n"/>
    </row>
    <row r="85">
      <c r="D85" s="10" t="n"/>
      <c r="F85" s="10" t="n"/>
      <c r="H85" s="10" t="n"/>
    </row>
    <row r="86">
      <c r="A86" s="12" t="n"/>
      <c r="B86" s="12" t="n"/>
      <c r="C86" s="12" t="n"/>
      <c r="D86" s="13" t="n"/>
      <c r="E86" s="12" t="n"/>
      <c r="F86" s="13" t="n"/>
      <c r="G86" s="12" t="n"/>
      <c r="H86" s="13" t="n"/>
      <c r="I86" s="12" t="n"/>
      <c r="J86" s="12" t="n"/>
      <c r="K86" s="12" t="n"/>
      <c r="L86" s="12" t="n"/>
      <c r="M86" s="12" t="n"/>
    </row>
    <row r="87">
      <c r="D87" s="10" t="n"/>
      <c r="F87" s="10" t="n"/>
      <c r="H87" s="10" t="n"/>
    </row>
    <row r="88">
      <c r="A88" s="12" t="n"/>
      <c r="B88" s="12" t="n"/>
      <c r="C88" s="12" t="n"/>
      <c r="D88" s="13" t="n"/>
      <c r="E88" s="12" t="n"/>
      <c r="F88" s="13" t="n"/>
      <c r="G88" s="12" t="n"/>
      <c r="H88" s="13" t="n"/>
      <c r="I88" s="12" t="n"/>
      <c r="J88" s="12" t="n"/>
      <c r="K88" s="12" t="n"/>
      <c r="L88" s="12" t="n"/>
      <c r="M88" s="12" t="n"/>
    </row>
    <row r="89">
      <c r="D89" s="10" t="n"/>
      <c r="F89" s="10" t="n"/>
      <c r="H89" s="10" t="n"/>
    </row>
    <row r="90">
      <c r="A90" s="12" t="n"/>
      <c r="B90" s="12" t="n"/>
      <c r="C90" s="12" t="n"/>
      <c r="D90" s="13" t="n"/>
      <c r="E90" s="12" t="n"/>
      <c r="F90" s="13" t="n"/>
      <c r="G90" s="12" t="n"/>
      <c r="H90" s="13" t="n"/>
      <c r="I90" s="12" t="n"/>
      <c r="J90" s="12" t="n"/>
      <c r="K90" s="12" t="n"/>
      <c r="L90" s="12" t="n"/>
      <c r="M90" s="12" t="n"/>
    </row>
    <row r="91">
      <c r="D91" s="10" t="n"/>
      <c r="F91" s="10" t="n"/>
      <c r="H91" s="10" t="n"/>
    </row>
    <row r="92">
      <c r="A92" s="12" t="n"/>
      <c r="B92" s="12" t="n"/>
      <c r="C92" s="12" t="n"/>
      <c r="D92" s="13" t="n"/>
      <c r="E92" s="12" t="n"/>
      <c r="F92" s="13" t="n"/>
      <c r="G92" s="12" t="n"/>
      <c r="H92" s="13" t="n"/>
      <c r="I92" s="12" t="n"/>
      <c r="J92" s="12" t="n"/>
      <c r="K92" s="12" t="n"/>
      <c r="L92" s="12" t="n"/>
      <c r="M92" s="12" t="n"/>
    </row>
    <row r="93">
      <c r="D93" s="10" t="n"/>
      <c r="F93" s="10" t="n"/>
      <c r="H93" s="10" t="n"/>
    </row>
    <row r="94">
      <c r="A94" s="12" t="n"/>
      <c r="B94" s="12" t="n"/>
      <c r="C94" s="12" t="n"/>
      <c r="D94" s="13" t="n"/>
      <c r="E94" s="12" t="n"/>
      <c r="F94" s="13" t="n"/>
      <c r="G94" s="12" t="n"/>
      <c r="H94" s="13" t="n"/>
      <c r="I94" s="12" t="n"/>
      <c r="J94" s="12" t="n"/>
      <c r="K94" s="12" t="n"/>
      <c r="L94" s="12" t="n"/>
      <c r="M94" s="12" t="n"/>
    </row>
    <row r="95">
      <c r="D95" s="10" t="n"/>
      <c r="F95" s="10" t="n"/>
      <c r="H95" s="10" t="n"/>
    </row>
    <row r="96">
      <c r="A96" s="12" t="n"/>
      <c r="B96" s="12" t="n"/>
      <c r="C96" s="12" t="n"/>
      <c r="D96" s="13" t="n"/>
      <c r="E96" s="12" t="n"/>
      <c r="F96" s="13" t="n"/>
      <c r="G96" s="12" t="n"/>
      <c r="H96" s="13" t="n"/>
      <c r="I96" s="12" t="n"/>
      <c r="J96" s="12" t="n"/>
      <c r="K96" s="12" t="n"/>
      <c r="L96" s="12" t="n"/>
      <c r="M96" s="12" t="n"/>
    </row>
    <row r="97">
      <c r="D97" s="10" t="n"/>
      <c r="F97" s="10" t="n"/>
      <c r="H97" s="10" t="n"/>
    </row>
    <row r="98">
      <c r="A98" s="12" t="n"/>
      <c r="B98" s="12" t="n"/>
      <c r="C98" s="12" t="n"/>
      <c r="D98" s="13" t="n"/>
      <c r="E98" s="12" t="n"/>
      <c r="F98" s="13" t="n"/>
      <c r="G98" s="12" t="n"/>
      <c r="H98" s="13" t="n"/>
      <c r="I98" s="12" t="n"/>
      <c r="J98" s="12" t="n"/>
      <c r="K98" s="12" t="n"/>
      <c r="L98" s="12" t="n"/>
      <c r="M98" s="12" t="n"/>
    </row>
    <row r="99">
      <c r="D99" s="10" t="n"/>
      <c r="F99" s="10" t="n"/>
      <c r="H99" s="10" t="n"/>
    </row>
    <row r="100">
      <c r="A100" s="12" t="n"/>
      <c r="B100" s="12" t="n"/>
      <c r="C100" s="12" t="n"/>
      <c r="D100" s="13" t="n"/>
      <c r="E100" s="12" t="n"/>
      <c r="F100" s="13" t="n"/>
      <c r="G100" s="12" t="n"/>
      <c r="H100" s="13" t="n"/>
      <c r="I100" s="12" t="n"/>
      <c r="J100" s="12" t="n"/>
      <c r="K100" s="12" t="n"/>
      <c r="L100" s="12" t="n"/>
      <c r="M100" s="12" t="n"/>
    </row>
    <row r="101">
      <c r="D101" s="10" t="n"/>
      <c r="F101" s="10" t="n"/>
      <c r="H101" s="10" t="n"/>
    </row>
    <row r="102">
      <c r="A102" s="12" t="n"/>
      <c r="B102" s="12" t="n"/>
      <c r="C102" s="12" t="n"/>
      <c r="D102" s="13" t="n"/>
      <c r="E102" s="12" t="n"/>
      <c r="F102" s="13" t="n"/>
      <c r="G102" s="12" t="n"/>
      <c r="H102" s="13" t="n"/>
      <c r="I102" s="12" t="n"/>
      <c r="J102" s="12" t="n"/>
      <c r="K102" s="12" t="n"/>
      <c r="L102" s="12" t="n"/>
      <c r="M102" s="12" t="n"/>
    </row>
    <row r="103">
      <c r="D103" s="10" t="n"/>
      <c r="F103" s="10" t="n"/>
      <c r="H103" s="10" t="n"/>
    </row>
    <row r="104">
      <c r="A104" s="12" t="n"/>
      <c r="B104" s="12" t="n"/>
      <c r="C104" s="12" t="n"/>
      <c r="D104" s="13" t="n"/>
      <c r="E104" s="12" t="n"/>
      <c r="F104" s="13" t="n"/>
      <c r="G104" s="12" t="n"/>
      <c r="H104" s="13" t="n"/>
      <c r="I104" s="12" t="n"/>
      <c r="J104" s="12" t="n"/>
      <c r="K104" s="12" t="n"/>
      <c r="L104" s="12" t="n"/>
      <c r="M104" s="12" t="n"/>
    </row>
    <row r="105">
      <c r="D105" s="10" t="n"/>
      <c r="F105" s="10" t="n"/>
      <c r="H105" s="10" t="n"/>
    </row>
    <row r="106">
      <c r="A106" s="12" t="n"/>
      <c r="B106" s="12" t="n"/>
      <c r="C106" s="12" t="n"/>
      <c r="D106" s="13" t="n"/>
      <c r="E106" s="12" t="n"/>
      <c r="F106" s="13" t="n"/>
      <c r="G106" s="12" t="n"/>
      <c r="H106" s="13" t="n"/>
      <c r="I106" s="12" t="n"/>
      <c r="J106" s="12" t="n"/>
      <c r="K106" s="12" t="n"/>
      <c r="L106" s="12" t="n"/>
      <c r="M106" s="12" t="n"/>
    </row>
    <row r="107">
      <c r="D107" s="10" t="n"/>
      <c r="F107" s="10" t="n"/>
      <c r="H107" s="10" t="n"/>
    </row>
    <row r="108">
      <c r="A108" s="12" t="n"/>
      <c r="B108" s="12" t="n"/>
      <c r="C108" s="12" t="n"/>
      <c r="D108" s="13" t="n"/>
      <c r="E108" s="12" t="n"/>
      <c r="F108" s="13" t="n"/>
      <c r="G108" s="12" t="n"/>
      <c r="H108" s="13" t="n"/>
      <c r="I108" s="12" t="n"/>
      <c r="J108" s="12" t="n"/>
      <c r="K108" s="12" t="n"/>
      <c r="L108" s="12" t="n"/>
      <c r="M108" s="12" t="n"/>
    </row>
    <row r="109">
      <c r="D109" s="10" t="n"/>
      <c r="F109" s="10" t="n"/>
      <c r="H109" s="10" t="n"/>
    </row>
    <row r="110">
      <c r="A110" s="12" t="n"/>
      <c r="B110" s="12" t="n"/>
      <c r="C110" s="12" t="n"/>
      <c r="D110" s="13" t="n"/>
      <c r="E110" s="12" t="n"/>
      <c r="F110" s="13" t="n"/>
      <c r="G110" s="12" t="n"/>
      <c r="H110" s="13" t="n"/>
      <c r="I110" s="12" t="n"/>
      <c r="J110" s="12" t="n"/>
      <c r="K110" s="12" t="n"/>
      <c r="L110" s="12" t="n"/>
      <c r="M110" s="12" t="n"/>
    </row>
    <row r="111">
      <c r="D111" s="10" t="n"/>
      <c r="F111" s="10" t="n"/>
      <c r="H111" s="10" t="n"/>
    </row>
    <row r="112">
      <c r="A112" s="12" t="n"/>
      <c r="B112" s="12" t="n"/>
      <c r="C112" s="12" t="n"/>
      <c r="D112" s="13" t="n"/>
      <c r="E112" s="12" t="n"/>
      <c r="F112" s="13" t="n"/>
      <c r="G112" s="12" t="n"/>
      <c r="H112" s="13" t="n"/>
      <c r="I112" s="12" t="n"/>
      <c r="J112" s="12" t="n"/>
      <c r="K112" s="12" t="n"/>
      <c r="L112" s="12" t="n"/>
      <c r="M112" s="12" t="n"/>
    </row>
    <row r="113">
      <c r="D113" s="10" t="n"/>
      <c r="F113" s="10" t="n"/>
      <c r="H113" s="10" t="n"/>
    </row>
    <row r="114">
      <c r="A114" s="12" t="n"/>
      <c r="B114" s="12" t="n"/>
      <c r="C114" s="12" t="n"/>
      <c r="D114" s="13" t="n"/>
      <c r="E114" s="12" t="n"/>
      <c r="F114" s="13" t="n"/>
      <c r="G114" s="12" t="n"/>
      <c r="H114" s="13" t="n"/>
      <c r="I114" s="12" t="n"/>
      <c r="J114" s="12" t="n"/>
      <c r="K114" s="12" t="n"/>
      <c r="L114" s="12" t="n"/>
      <c r="M114" s="12" t="n"/>
    </row>
    <row r="115">
      <c r="D115" s="10" t="n"/>
      <c r="F115" s="10" t="n"/>
      <c r="H115" s="10" t="n"/>
    </row>
    <row r="116">
      <c r="A116" s="12" t="n"/>
      <c r="B116" s="12" t="n"/>
      <c r="C116" s="12" t="n"/>
      <c r="D116" s="13" t="n"/>
      <c r="E116" s="12" t="n"/>
      <c r="F116" s="13" t="n"/>
      <c r="G116" s="12" t="n"/>
      <c r="H116" s="13" t="n"/>
      <c r="I116" s="12" t="n"/>
      <c r="J116" s="12" t="n"/>
      <c r="K116" s="12" t="n"/>
      <c r="L116" s="12" t="n"/>
      <c r="M116" s="12" t="n"/>
    </row>
    <row r="117">
      <c r="D117" s="10" t="n"/>
      <c r="F117" s="10" t="n"/>
      <c r="H117" s="10" t="n"/>
    </row>
    <row r="118">
      <c r="A118" s="12" t="n"/>
      <c r="B118" s="12" t="n"/>
      <c r="C118" s="12" t="n"/>
      <c r="D118" s="13" t="n"/>
      <c r="E118" s="12" t="n"/>
      <c r="F118" s="13" t="n"/>
      <c r="G118" s="12" t="n"/>
      <c r="H118" s="13" t="n"/>
      <c r="I118" s="12" t="n"/>
      <c r="J118" s="12" t="n"/>
      <c r="K118" s="12" t="n"/>
      <c r="L118" s="12" t="n"/>
      <c r="M118" s="12" t="n"/>
    </row>
    <row r="119">
      <c r="D119" s="10" t="n"/>
      <c r="F119" s="10" t="n"/>
      <c r="H119" s="10" t="n"/>
    </row>
    <row r="120">
      <c r="A120" s="12" t="n"/>
      <c r="B120" s="12" t="n"/>
      <c r="C120" s="12" t="n"/>
      <c r="D120" s="13" t="n"/>
      <c r="E120" s="12" t="n"/>
      <c r="F120" s="13" t="n"/>
      <c r="G120" s="12" t="n"/>
      <c r="H120" s="13" t="n"/>
      <c r="I120" s="12" t="n"/>
      <c r="J120" s="12" t="n"/>
      <c r="K120" s="12" t="n"/>
      <c r="L120" s="12" t="n"/>
      <c r="M120" s="12" t="n"/>
    </row>
    <row r="121">
      <c r="D121" s="10" t="n"/>
      <c r="F121" s="10" t="n"/>
      <c r="H121" s="10" t="n"/>
    </row>
    <row r="122">
      <c r="A122" s="12" t="n"/>
      <c r="B122" s="12" t="n"/>
      <c r="C122" s="12" t="n"/>
      <c r="D122" s="13" t="n"/>
      <c r="E122" s="12" t="n"/>
      <c r="F122" s="13" t="n"/>
      <c r="G122" s="12" t="n"/>
      <c r="H122" s="13" t="n"/>
      <c r="I122" s="12" t="n"/>
      <c r="J122" s="12" t="n"/>
      <c r="K122" s="12" t="n"/>
      <c r="L122" s="12" t="n"/>
      <c r="M122" s="12" t="n"/>
    </row>
    <row r="123">
      <c r="D123" s="10" t="n"/>
      <c r="F123" s="10" t="n"/>
      <c r="H123" s="10" t="n"/>
    </row>
    <row r="124">
      <c r="A124" s="12" t="n"/>
      <c r="B124" s="12" t="n"/>
      <c r="C124" s="12" t="n"/>
      <c r="D124" s="13" t="n"/>
      <c r="E124" s="12" t="n"/>
      <c r="F124" s="13" t="n"/>
      <c r="G124" s="12" t="n"/>
      <c r="H124" s="13" t="n"/>
      <c r="I124" s="12" t="n"/>
      <c r="J124" s="12" t="n"/>
      <c r="K124" s="12" t="n"/>
      <c r="L124" s="12" t="n"/>
      <c r="M124" s="12" t="n"/>
    </row>
    <row r="125">
      <c r="D125" s="10" t="n"/>
      <c r="F125" s="10" t="n"/>
      <c r="H125" s="10" t="n"/>
    </row>
    <row r="126">
      <c r="A126" s="12" t="n"/>
      <c r="B126" s="12" t="n"/>
      <c r="C126" s="12" t="n"/>
      <c r="D126" s="13" t="n"/>
      <c r="E126" s="12" t="n"/>
      <c r="F126" s="13" t="n"/>
      <c r="G126" s="12" t="n"/>
      <c r="H126" s="13" t="n"/>
      <c r="I126" s="12" t="n"/>
      <c r="J126" s="12" t="n"/>
      <c r="K126" s="12" t="n"/>
      <c r="L126" s="12" t="n"/>
      <c r="M126" s="12" t="n"/>
    </row>
    <row r="127">
      <c r="D127" s="10" t="n"/>
      <c r="F127" s="10" t="n"/>
      <c r="H127" s="10" t="n"/>
    </row>
    <row r="128">
      <c r="A128" s="12" t="n"/>
      <c r="B128" s="12" t="n"/>
      <c r="C128" s="12" t="n"/>
      <c r="D128" s="13" t="n"/>
      <c r="E128" s="12" t="n"/>
      <c r="F128" s="13" t="n"/>
      <c r="G128" s="12" t="n"/>
      <c r="H128" s="13" t="n"/>
      <c r="I128" s="12" t="n"/>
      <c r="J128" s="12" t="n"/>
      <c r="K128" s="12" t="n"/>
      <c r="L128" s="12" t="n"/>
      <c r="M128" s="12" t="n"/>
    </row>
    <row r="129">
      <c r="D129" s="10" t="n"/>
      <c r="F129" s="10" t="n"/>
      <c r="H129" s="10" t="n"/>
    </row>
    <row r="130">
      <c r="A130" s="12" t="n"/>
      <c r="B130" s="12" t="n"/>
      <c r="C130" s="12" t="n"/>
      <c r="D130" s="13" t="n"/>
      <c r="E130" s="12" t="n"/>
      <c r="F130" s="13" t="n"/>
      <c r="G130" s="12" t="n"/>
      <c r="H130" s="13" t="n"/>
      <c r="I130" s="12" t="n"/>
      <c r="J130" s="12" t="n"/>
      <c r="K130" s="12" t="n"/>
      <c r="L130" s="12" t="n"/>
      <c r="M130" s="12" t="n"/>
    </row>
    <row r="131">
      <c r="D131" s="10" t="n"/>
      <c r="F131" s="10" t="n"/>
      <c r="H131" s="10" t="n"/>
    </row>
    <row r="132">
      <c r="A132" s="12" t="n"/>
      <c r="B132" s="12" t="n"/>
      <c r="C132" s="12" t="n"/>
      <c r="D132" s="13" t="n"/>
      <c r="E132" s="12" t="n"/>
      <c r="F132" s="13" t="n"/>
      <c r="G132" s="12" t="n"/>
      <c r="H132" s="13" t="n"/>
      <c r="I132" s="12" t="n"/>
      <c r="J132" s="12" t="n"/>
      <c r="K132" s="12" t="n"/>
      <c r="L132" s="12" t="n"/>
      <c r="M132" s="12" t="n"/>
    </row>
    <row r="133">
      <c r="D133" s="10" t="n"/>
      <c r="F133" s="10" t="n"/>
      <c r="H133" s="10" t="n"/>
    </row>
    <row r="134">
      <c r="A134" s="12" t="n"/>
      <c r="B134" s="12" t="n"/>
      <c r="C134" s="12" t="n"/>
      <c r="D134" s="13" t="n"/>
      <c r="E134" s="12" t="n"/>
      <c r="F134" s="13" t="n"/>
      <c r="G134" s="12" t="n"/>
      <c r="H134" s="13" t="n"/>
      <c r="I134" s="12" t="n"/>
      <c r="J134" s="12" t="n"/>
      <c r="K134" s="12" t="n"/>
      <c r="L134" s="12" t="n"/>
      <c r="M134" s="12" t="n"/>
    </row>
    <row r="135">
      <c r="D135" s="10" t="n"/>
      <c r="F135" s="10" t="n"/>
      <c r="H135" s="10" t="n"/>
    </row>
    <row r="136">
      <c r="A136" s="12" t="n"/>
      <c r="B136" s="12" t="n"/>
      <c r="C136" s="12" t="n"/>
      <c r="D136" s="13" t="n"/>
      <c r="E136" s="12" t="n"/>
      <c r="F136" s="13" t="n"/>
      <c r="G136" s="12" t="n"/>
      <c r="H136" s="13" t="n"/>
      <c r="I136" s="12" t="n"/>
      <c r="J136" s="12" t="n"/>
      <c r="K136" s="12" t="n"/>
      <c r="L136" s="12" t="n"/>
      <c r="M136" s="12" t="n"/>
    </row>
    <row r="137">
      <c r="D137" s="10" t="n"/>
      <c r="F137" s="10" t="n"/>
      <c r="H137" s="10" t="n"/>
    </row>
    <row r="138">
      <c r="A138" s="12" t="n"/>
      <c r="B138" s="12" t="n"/>
      <c r="C138" s="12" t="n"/>
      <c r="D138" s="13" t="n"/>
      <c r="E138" s="12" t="n"/>
      <c r="F138" s="13" t="n"/>
      <c r="G138" s="12" t="n"/>
      <c r="H138" s="13" t="n"/>
      <c r="I138" s="12" t="n"/>
      <c r="J138" s="12" t="n"/>
      <c r="K138" s="12" t="n"/>
      <c r="L138" s="12" t="n"/>
      <c r="M138" s="12" t="n"/>
    </row>
    <row r="139">
      <c r="D139" s="10" t="n"/>
      <c r="F139" s="10" t="n"/>
      <c r="H139" s="10" t="n"/>
    </row>
    <row r="140">
      <c r="A140" s="12" t="n"/>
      <c r="B140" s="12" t="n"/>
      <c r="C140" s="12" t="n"/>
      <c r="D140" s="13" t="n"/>
      <c r="E140" s="12" t="n"/>
      <c r="F140" s="13" t="n"/>
      <c r="G140" s="12" t="n"/>
      <c r="H140" s="13" t="n"/>
      <c r="I140" s="12" t="n"/>
      <c r="J140" s="12" t="n"/>
      <c r="K140" s="12" t="n"/>
      <c r="L140" s="12" t="n"/>
      <c r="M140" s="12" t="n"/>
    </row>
    <row r="141">
      <c r="D141" s="10" t="n"/>
      <c r="F141" s="10" t="n"/>
      <c r="H141" s="10" t="n"/>
    </row>
    <row r="142">
      <c r="A142" s="12" t="n"/>
      <c r="B142" s="12" t="n"/>
      <c r="C142" s="12" t="n"/>
      <c r="D142" s="13" t="n"/>
      <c r="E142" s="12" t="n"/>
      <c r="F142" s="13" t="n"/>
      <c r="G142" s="12" t="n"/>
      <c r="H142" s="13" t="n"/>
      <c r="I142" s="12" t="n"/>
      <c r="J142" s="12" t="n"/>
      <c r="K142" s="12" t="n"/>
      <c r="L142" s="12" t="n"/>
      <c r="M142" s="12" t="n"/>
    </row>
    <row r="143">
      <c r="D143" s="10" t="n"/>
      <c r="F143" s="10" t="n"/>
      <c r="H143" s="10" t="n"/>
    </row>
    <row r="144">
      <c r="A144" s="12" t="n"/>
      <c r="B144" s="12" t="n"/>
      <c r="C144" s="12" t="n"/>
      <c r="D144" s="13" t="n"/>
      <c r="E144" s="12" t="n"/>
      <c r="F144" s="13" t="n"/>
      <c r="G144" s="12" t="n"/>
      <c r="H144" s="13" t="n"/>
      <c r="I144" s="12" t="n"/>
      <c r="J144" s="12" t="n"/>
      <c r="K144" s="12" t="n"/>
      <c r="L144" s="12" t="n"/>
      <c r="M144" s="12" t="n"/>
    </row>
    <row r="145">
      <c r="D145" s="10" t="n"/>
      <c r="F145" s="10" t="n"/>
      <c r="H145" s="10" t="n"/>
    </row>
    <row r="146">
      <c r="A146" s="12" t="n"/>
      <c r="B146" s="12" t="n"/>
      <c r="C146" s="12" t="n"/>
      <c r="D146" s="13" t="n"/>
      <c r="E146" s="12" t="n"/>
      <c r="F146" s="13" t="n"/>
      <c r="G146" s="12" t="n"/>
      <c r="H146" s="13" t="n"/>
      <c r="I146" s="12" t="n"/>
      <c r="J146" s="12" t="n"/>
      <c r="K146" s="12" t="n"/>
      <c r="L146" s="12" t="n"/>
      <c r="M146" s="12" t="n"/>
    </row>
    <row r="147">
      <c r="D147" s="10" t="n"/>
      <c r="F147" s="10" t="n"/>
      <c r="H147" s="10" t="n"/>
    </row>
    <row r="148">
      <c r="A148" s="12" t="n"/>
      <c r="B148" s="12" t="n"/>
      <c r="C148" s="12" t="n"/>
      <c r="D148" s="13" t="n"/>
      <c r="E148" s="12" t="n"/>
      <c r="F148" s="13" t="n"/>
      <c r="G148" s="12" t="n"/>
      <c r="H148" s="13" t="n"/>
      <c r="I148" s="12" t="n"/>
      <c r="J148" s="12" t="n"/>
      <c r="K148" s="12" t="n"/>
      <c r="L148" s="12" t="n"/>
      <c r="M148" s="12" t="n"/>
    </row>
    <row r="149">
      <c r="D149" s="10" t="n"/>
      <c r="F149" s="10" t="n"/>
      <c r="H149" s="10" t="n"/>
    </row>
    <row r="150">
      <c r="A150" s="12" t="n"/>
      <c r="B150" s="12" t="n"/>
      <c r="C150" s="12" t="n"/>
      <c r="D150" s="13" t="n"/>
      <c r="E150" s="12" t="n"/>
      <c r="F150" s="13" t="n"/>
      <c r="G150" s="12" t="n"/>
      <c r="H150" s="13" t="n"/>
      <c r="I150" s="12" t="n"/>
      <c r="J150" s="12" t="n"/>
      <c r="K150" s="12" t="n"/>
      <c r="L150" s="12" t="n"/>
      <c r="M150" s="12" t="n"/>
    </row>
    <row r="151">
      <c r="D151" s="10" t="n"/>
      <c r="F151" s="10" t="n"/>
      <c r="H151" s="10" t="n"/>
    </row>
    <row r="152">
      <c r="A152" s="12" t="n"/>
      <c r="B152" s="12" t="n"/>
      <c r="C152" s="12" t="n"/>
      <c r="D152" s="13" t="n"/>
      <c r="E152" s="12" t="n"/>
      <c r="F152" s="13" t="n"/>
      <c r="G152" s="12" t="n"/>
      <c r="H152" s="13" t="n"/>
      <c r="I152" s="12" t="n"/>
      <c r="J152" s="12" t="n"/>
      <c r="K152" s="12" t="n"/>
      <c r="L152" s="12" t="n"/>
      <c r="M152" s="12" t="n"/>
    </row>
    <row r="153">
      <c r="D153" s="10" t="n"/>
      <c r="F153" s="10" t="n"/>
      <c r="H153" s="10" t="n"/>
    </row>
    <row r="154">
      <c r="A154" s="12" t="n"/>
      <c r="B154" s="12" t="n"/>
      <c r="C154" s="12" t="n"/>
      <c r="D154" s="13" t="n"/>
      <c r="E154" s="12" t="n"/>
      <c r="F154" s="13" t="n"/>
      <c r="G154" s="12" t="n"/>
      <c r="H154" s="13" t="n"/>
      <c r="I154" s="12" t="n"/>
      <c r="J154" s="12" t="n"/>
      <c r="K154" s="12" t="n"/>
      <c r="L154" s="12" t="n"/>
      <c r="M154" s="12" t="n"/>
    </row>
    <row r="155">
      <c r="D155" s="10" t="n"/>
      <c r="F155" s="10" t="n"/>
      <c r="H155" s="10" t="n"/>
    </row>
    <row r="156">
      <c r="A156" s="12" t="n"/>
      <c r="B156" s="12" t="n"/>
      <c r="C156" s="12" t="n"/>
      <c r="D156" s="13" t="n"/>
      <c r="E156" s="12" t="n"/>
      <c r="F156" s="13" t="n"/>
      <c r="G156" s="12" t="n"/>
      <c r="H156" s="13" t="n"/>
      <c r="I156" s="12" t="n"/>
      <c r="J156" s="12" t="n"/>
      <c r="K156" s="12" t="n"/>
      <c r="L156" s="12" t="n"/>
      <c r="M156" s="12" t="n"/>
    </row>
    <row r="157">
      <c r="D157" s="10" t="n"/>
      <c r="F157" s="10" t="n"/>
      <c r="H157" s="10" t="n"/>
    </row>
    <row r="158">
      <c r="A158" s="12" t="n"/>
      <c r="B158" s="12" t="n"/>
      <c r="C158" s="12" t="n"/>
      <c r="D158" s="13" t="n"/>
      <c r="E158" s="12" t="n"/>
      <c r="F158" s="13" t="n"/>
      <c r="G158" s="12" t="n"/>
      <c r="H158" s="13" t="n"/>
      <c r="I158" s="12" t="n"/>
      <c r="J158" s="12" t="n"/>
      <c r="K158" s="12" t="n"/>
      <c r="L158" s="12" t="n"/>
      <c r="M158" s="12" t="n"/>
    </row>
    <row r="159">
      <c r="D159" s="10" t="n"/>
      <c r="F159" s="10" t="n"/>
      <c r="H159" s="10" t="n"/>
    </row>
    <row r="160">
      <c r="A160" s="12" t="n"/>
      <c r="B160" s="12" t="n"/>
      <c r="C160" s="12" t="n"/>
      <c r="D160" s="13" t="n"/>
      <c r="E160" s="12" t="n"/>
      <c r="F160" s="13" t="n"/>
      <c r="G160" s="12" t="n"/>
      <c r="H160" s="13" t="n"/>
      <c r="I160" s="12" t="n"/>
      <c r="J160" s="12" t="n"/>
      <c r="K160" s="12" t="n"/>
      <c r="L160" s="12" t="n"/>
      <c r="M160" s="12" t="n"/>
    </row>
    <row r="161">
      <c r="D161" s="10" t="n"/>
      <c r="F161" s="10" t="n"/>
      <c r="H161" s="10" t="n"/>
    </row>
    <row r="162">
      <c r="A162" s="12" t="n"/>
      <c r="B162" s="12" t="n"/>
      <c r="C162" s="12" t="n"/>
      <c r="D162" s="13" t="n"/>
      <c r="E162" s="12" t="n"/>
      <c r="F162" s="13" t="n"/>
      <c r="G162" s="12" t="n"/>
      <c r="H162" s="13" t="n"/>
      <c r="I162" s="12" t="n"/>
      <c r="J162" s="12" t="n"/>
      <c r="K162" s="12" t="n"/>
      <c r="L162" s="12" t="n"/>
      <c r="M162" s="12" t="n"/>
    </row>
    <row r="163">
      <c r="D163" s="10" t="n"/>
      <c r="F163" s="10" t="n"/>
      <c r="H163" s="10" t="n"/>
    </row>
    <row r="164">
      <c r="A164" s="12" t="n"/>
      <c r="B164" s="12" t="n"/>
      <c r="C164" s="12" t="n"/>
      <c r="D164" s="13" t="n"/>
      <c r="E164" s="12" t="n"/>
      <c r="F164" s="13" t="n"/>
      <c r="G164" s="12" t="n"/>
      <c r="H164" s="13" t="n"/>
      <c r="I164" s="12" t="n"/>
      <c r="J164" s="12" t="n"/>
      <c r="K164" s="12" t="n"/>
      <c r="L164" s="12" t="n"/>
      <c r="M164" s="12" t="n"/>
    </row>
    <row r="165">
      <c r="D165" s="10" t="n"/>
      <c r="F165" s="10" t="n"/>
      <c r="H165" s="10" t="n"/>
    </row>
    <row r="166">
      <c r="A166" s="12" t="n"/>
      <c r="B166" s="12" t="n"/>
      <c r="C166" s="12" t="n"/>
      <c r="D166" s="13" t="n"/>
      <c r="E166" s="12" t="n"/>
      <c r="F166" s="13" t="n"/>
      <c r="G166" s="12" t="n"/>
      <c r="H166" s="13" t="n"/>
      <c r="I166" s="12" t="n"/>
      <c r="J166" s="12" t="n"/>
      <c r="K166" s="12" t="n"/>
      <c r="L166" s="12" t="n"/>
      <c r="M166" s="12" t="n"/>
    </row>
    <row r="167">
      <c r="D167" s="10" t="n"/>
      <c r="F167" s="10" t="n"/>
      <c r="H167" s="10" t="n"/>
    </row>
    <row r="168">
      <c r="A168" s="12" t="n"/>
      <c r="B168" s="12" t="n"/>
      <c r="C168" s="12" t="n"/>
      <c r="D168" s="13" t="n"/>
      <c r="E168" s="12" t="n"/>
      <c r="F168" s="13" t="n"/>
      <c r="G168" s="12" t="n"/>
      <c r="H168" s="13" t="n"/>
      <c r="I168" s="12" t="n"/>
      <c r="J168" s="12" t="n"/>
      <c r="K168" s="12" t="n"/>
      <c r="L168" s="12" t="n"/>
      <c r="M168" s="12" t="n"/>
    </row>
    <row r="169">
      <c r="D169" s="10" t="n"/>
      <c r="F169" s="10" t="n"/>
      <c r="H169" s="10" t="n"/>
    </row>
    <row r="170">
      <c r="A170" s="12" t="n"/>
      <c r="B170" s="12" t="n"/>
      <c r="C170" s="12" t="n"/>
      <c r="D170" s="13" t="n"/>
      <c r="E170" s="12" t="n"/>
      <c r="F170" s="13" t="n"/>
      <c r="G170" s="12" t="n"/>
      <c r="H170" s="13" t="n"/>
      <c r="I170" s="12" t="n"/>
      <c r="J170" s="12" t="n"/>
      <c r="K170" s="12" t="n"/>
      <c r="L170" s="12" t="n"/>
      <c r="M170" s="12" t="n"/>
    </row>
    <row r="171">
      <c r="D171" s="10" t="n"/>
      <c r="F171" s="10" t="n"/>
      <c r="H171" s="10" t="n"/>
    </row>
    <row r="172">
      <c r="A172" s="12" t="n"/>
      <c r="B172" s="12" t="n"/>
      <c r="C172" s="12" t="n"/>
      <c r="D172" s="13" t="n"/>
      <c r="E172" s="12" t="n"/>
      <c r="F172" s="13" t="n"/>
      <c r="G172" s="12" t="n"/>
      <c r="H172" s="13" t="n"/>
      <c r="I172" s="12" t="n"/>
      <c r="J172" s="12" t="n"/>
      <c r="K172" s="12" t="n"/>
      <c r="L172" s="12" t="n"/>
      <c r="M172" s="12" t="n"/>
    </row>
    <row r="173">
      <c r="D173" s="10" t="n"/>
      <c r="F173" s="10" t="n"/>
      <c r="H173" s="10" t="n"/>
    </row>
    <row r="174">
      <c r="A174" s="12" t="n"/>
      <c r="B174" s="12" t="n"/>
      <c r="C174" s="12" t="n"/>
      <c r="D174" s="13" t="n"/>
      <c r="E174" s="12" t="n"/>
      <c r="F174" s="13" t="n"/>
      <c r="G174" s="12" t="n"/>
      <c r="H174" s="13" t="n"/>
      <c r="I174" s="12" t="n"/>
      <c r="J174" s="12" t="n"/>
      <c r="K174" s="12" t="n"/>
      <c r="L174" s="12" t="n"/>
      <c r="M174" s="12" t="n"/>
    </row>
    <row r="175">
      <c r="D175" s="10" t="n"/>
      <c r="F175" s="10" t="n"/>
      <c r="H175" s="10" t="n"/>
    </row>
    <row r="176">
      <c r="A176" s="12" t="n"/>
      <c r="B176" s="12" t="n"/>
      <c r="C176" s="12" t="n"/>
      <c r="D176" s="13" t="n"/>
      <c r="E176" s="12" t="n"/>
      <c r="F176" s="13" t="n"/>
      <c r="G176" s="12" t="n"/>
      <c r="H176" s="13" t="n"/>
      <c r="I176" s="12" t="n"/>
      <c r="J176" s="12" t="n"/>
      <c r="K176" s="12" t="n"/>
      <c r="L176" s="12" t="n"/>
      <c r="M176" s="12" t="n"/>
    </row>
    <row r="177">
      <c r="D177" s="10" t="n"/>
      <c r="F177" s="10" t="n"/>
      <c r="H177" s="10" t="n"/>
    </row>
    <row r="178">
      <c r="A178" s="12" t="n"/>
      <c r="B178" s="12" t="n"/>
      <c r="C178" s="12" t="n"/>
      <c r="D178" s="13" t="n"/>
      <c r="E178" s="12" t="n"/>
      <c r="F178" s="13" t="n"/>
      <c r="G178" s="12" t="n"/>
      <c r="H178" s="13" t="n"/>
      <c r="I178" s="12" t="n"/>
      <c r="J178" s="12" t="n"/>
      <c r="K178" s="12" t="n"/>
      <c r="L178" s="12" t="n"/>
      <c r="M178" s="12" t="n"/>
    </row>
    <row r="179">
      <c r="D179" s="10" t="n"/>
      <c r="F179" s="10" t="n"/>
      <c r="H179" s="10" t="n"/>
    </row>
    <row r="180">
      <c r="A180" s="12" t="n"/>
      <c r="B180" s="12" t="n"/>
      <c r="C180" s="12" t="n"/>
      <c r="D180" s="13" t="n"/>
      <c r="E180" s="12" t="n"/>
      <c r="F180" s="13" t="n"/>
      <c r="G180" s="12" t="n"/>
      <c r="H180" s="13" t="n"/>
      <c r="I180" s="12" t="n"/>
      <c r="J180" s="12" t="n"/>
      <c r="K180" s="12" t="n"/>
      <c r="L180" s="12" t="n"/>
      <c r="M180" s="12" t="n"/>
    </row>
    <row r="181">
      <c r="D181" s="10" t="n"/>
      <c r="F181" s="10" t="n"/>
      <c r="H181" s="10" t="n"/>
    </row>
    <row r="182">
      <c r="A182" s="12" t="n"/>
      <c r="B182" s="12" t="n"/>
      <c r="C182" s="12" t="n"/>
      <c r="D182" s="13" t="n"/>
      <c r="E182" s="12" t="n"/>
      <c r="F182" s="13" t="n"/>
      <c r="G182" s="12" t="n"/>
      <c r="H182" s="13" t="n"/>
      <c r="I182" s="12" t="n"/>
      <c r="J182" s="12" t="n"/>
      <c r="K182" s="12" t="n"/>
      <c r="L182" s="12" t="n"/>
      <c r="M182" s="12" t="n"/>
    </row>
    <row r="183">
      <c r="D183" s="10" t="n"/>
      <c r="F183" s="10" t="n"/>
      <c r="H183" s="10" t="n"/>
    </row>
    <row r="184">
      <c r="A184" s="12" t="n"/>
      <c r="B184" s="12" t="n"/>
      <c r="C184" s="12" t="n"/>
      <c r="D184" s="13" t="n"/>
      <c r="E184" s="12" t="n"/>
      <c r="F184" s="13" t="n"/>
      <c r="G184" s="12" t="n"/>
      <c r="H184" s="13" t="n"/>
      <c r="I184" s="12" t="n"/>
      <c r="J184" s="12" t="n"/>
      <c r="K184" s="12" t="n"/>
      <c r="L184" s="12" t="n"/>
      <c r="M184" s="12" t="n"/>
    </row>
    <row r="185">
      <c r="D185" s="10" t="n"/>
      <c r="F185" s="10" t="n"/>
      <c r="H185" s="10" t="n"/>
    </row>
    <row r="186">
      <c r="A186" s="12" t="n"/>
      <c r="B186" s="12" t="n"/>
      <c r="C186" s="12" t="n"/>
      <c r="D186" s="13" t="n"/>
      <c r="E186" s="12" t="n"/>
      <c r="F186" s="13" t="n"/>
      <c r="G186" s="12" t="n"/>
      <c r="H186" s="13" t="n"/>
      <c r="I186" s="12" t="n"/>
      <c r="J186" s="12" t="n"/>
      <c r="K186" s="12" t="n"/>
      <c r="L186" s="12" t="n"/>
      <c r="M186" s="12" t="n"/>
    </row>
    <row r="187">
      <c r="D187" s="10" t="n"/>
      <c r="F187" s="10" t="n"/>
      <c r="H187" s="10" t="n"/>
    </row>
    <row r="188">
      <c r="A188" s="12" t="n"/>
      <c r="B188" s="12" t="n"/>
      <c r="C188" s="12" t="n"/>
      <c r="D188" s="13" t="n"/>
      <c r="E188" s="12" t="n"/>
      <c r="F188" s="13" t="n"/>
      <c r="G188" s="12" t="n"/>
      <c r="H188" s="13" t="n"/>
      <c r="I188" s="12" t="n"/>
      <c r="J188" s="12" t="n"/>
      <c r="K188" s="12" t="n"/>
      <c r="L188" s="12" t="n"/>
      <c r="M188" s="12" t="n"/>
    </row>
    <row r="189">
      <c r="D189" s="10" t="n"/>
      <c r="F189" s="10" t="n"/>
      <c r="H189" s="10" t="n"/>
    </row>
    <row r="190">
      <c r="A190" s="12" t="n"/>
      <c r="B190" s="12" t="n"/>
      <c r="C190" s="12" t="n"/>
      <c r="D190" s="13" t="n"/>
      <c r="E190" s="12" t="n"/>
      <c r="F190" s="13" t="n"/>
      <c r="G190" s="12" t="n"/>
      <c r="H190" s="13" t="n"/>
      <c r="I190" s="12" t="n"/>
      <c r="J190" s="12" t="n"/>
      <c r="K190" s="12" t="n"/>
      <c r="L190" s="12" t="n"/>
      <c r="M190" s="12" t="n"/>
    </row>
    <row r="191">
      <c r="D191" s="10" t="n"/>
      <c r="F191" s="10" t="n"/>
      <c r="H191" s="10" t="n"/>
    </row>
    <row r="192">
      <c r="A192" s="12" t="n"/>
      <c r="B192" s="12" t="n"/>
      <c r="C192" s="12" t="n"/>
      <c r="D192" s="13" t="n"/>
      <c r="E192" s="12" t="n"/>
      <c r="F192" s="13" t="n"/>
      <c r="G192" s="12" t="n"/>
      <c r="H192" s="13" t="n"/>
      <c r="I192" s="12" t="n"/>
      <c r="J192" s="12" t="n"/>
      <c r="K192" s="12" t="n"/>
      <c r="L192" s="12" t="n"/>
      <c r="M192" s="12" t="n"/>
    </row>
    <row r="193">
      <c r="D193" s="10" t="n"/>
      <c r="F193" s="10" t="n"/>
      <c r="H193" s="10" t="n"/>
    </row>
    <row r="194">
      <c r="A194" s="12" t="n"/>
      <c r="B194" s="12" t="n"/>
      <c r="C194" s="12" t="n"/>
      <c r="D194" s="13" t="n"/>
      <c r="E194" s="12" t="n"/>
      <c r="F194" s="13" t="n"/>
      <c r="G194" s="12" t="n"/>
      <c r="H194" s="13" t="n"/>
      <c r="I194" s="12" t="n"/>
      <c r="J194" s="12" t="n"/>
      <c r="K194" s="12" t="n"/>
      <c r="L194" s="12" t="n"/>
      <c r="M194" s="12" t="n"/>
    </row>
    <row r="195">
      <c r="D195" s="10" t="n"/>
      <c r="F195" s="10" t="n"/>
      <c r="H195" s="10" t="n"/>
    </row>
    <row r="196">
      <c r="A196" s="12" t="n"/>
      <c r="B196" s="12" t="n"/>
      <c r="C196" s="12" t="n"/>
      <c r="D196" s="13" t="n"/>
      <c r="E196" s="12" t="n"/>
      <c r="F196" s="13" t="n"/>
      <c r="G196" s="12" t="n"/>
      <c r="H196" s="13" t="n"/>
      <c r="I196" s="12" t="n"/>
      <c r="J196" s="12" t="n"/>
      <c r="K196" s="12" t="n"/>
      <c r="L196" s="12" t="n"/>
      <c r="M196" s="12" t="n"/>
    </row>
    <row r="197">
      <c r="D197" s="10" t="n"/>
      <c r="F197" s="10" t="n"/>
      <c r="H197" s="10" t="n"/>
    </row>
    <row r="198">
      <c r="A198" s="12" t="n"/>
      <c r="B198" s="12" t="n"/>
      <c r="C198" s="12" t="n"/>
      <c r="D198" s="13" t="n"/>
      <c r="E198" s="12" t="n"/>
      <c r="F198" s="13" t="n"/>
      <c r="G198" s="12" t="n"/>
      <c r="H198" s="13" t="n"/>
      <c r="I198" s="12" t="n"/>
      <c r="J198" s="12" t="n"/>
      <c r="K198" s="12" t="n"/>
      <c r="L198" s="12" t="n"/>
      <c r="M198" s="12" t="n"/>
    </row>
    <row r="199">
      <c r="D199" s="10" t="n"/>
      <c r="F199" s="10" t="n"/>
      <c r="H199" s="10" t="n"/>
    </row>
    <row r="200">
      <c r="A200" s="12" t="n"/>
      <c r="B200" s="12" t="n"/>
      <c r="C200" s="12" t="n"/>
      <c r="D200" s="13" t="n"/>
      <c r="E200" s="12" t="n"/>
      <c r="F200" s="13" t="n"/>
      <c r="G200" s="12" t="n"/>
      <c r="H200" s="13" t="n"/>
      <c r="I200" s="12" t="n"/>
      <c r="J200" s="12" t="n"/>
      <c r="K200" s="12" t="n"/>
      <c r="L200" s="12" t="n"/>
      <c r="M200" s="12" t="n"/>
    </row>
    <row r="201">
      <c r="D201" s="10" t="n"/>
      <c r="F201" s="10" t="n"/>
      <c r="H201" s="10" t="n"/>
    </row>
    <row r="202">
      <c r="A202" s="12" t="n"/>
      <c r="B202" s="12" t="n"/>
      <c r="C202" s="12" t="n"/>
      <c r="D202" s="13" t="n"/>
      <c r="E202" s="12" t="n"/>
      <c r="F202" s="13" t="n"/>
      <c r="G202" s="12" t="n"/>
      <c r="H202" s="13" t="n"/>
      <c r="I202" s="12" t="n"/>
      <c r="J202" s="12" t="n"/>
      <c r="K202" s="12" t="n"/>
      <c r="L202" s="12" t="n"/>
      <c r="M202" s="12" t="n"/>
    </row>
    <row r="203">
      <c r="D203" s="10" t="n"/>
      <c r="F203" s="10" t="n"/>
      <c r="H203" s="10" t="n"/>
    </row>
    <row r="204">
      <c r="A204" s="12" t="n"/>
      <c r="B204" s="12" t="n"/>
      <c r="C204" s="12" t="n"/>
      <c r="D204" s="13" t="n"/>
      <c r="E204" s="12" t="n"/>
      <c r="F204" s="13" t="n"/>
      <c r="G204" s="12" t="n"/>
      <c r="H204" s="13" t="n"/>
      <c r="I204" s="12" t="n"/>
      <c r="J204" s="12" t="n"/>
      <c r="K204" s="12" t="n"/>
      <c r="L204" s="12" t="n"/>
      <c r="M204" s="12" t="n"/>
    </row>
    <row r="205">
      <c r="D205" s="10" t="n"/>
      <c r="F205" s="10" t="n"/>
      <c r="H205" s="10" t="n"/>
    </row>
    <row r="206">
      <c r="A206" s="12" t="n"/>
      <c r="B206" s="12" t="n"/>
      <c r="C206" s="12" t="n"/>
      <c r="D206" s="13" t="n"/>
      <c r="E206" s="12" t="n"/>
      <c r="F206" s="13" t="n"/>
      <c r="G206" s="12" t="n"/>
      <c r="H206" s="13" t="n"/>
      <c r="I206" s="12" t="n"/>
      <c r="J206" s="12" t="n"/>
      <c r="K206" s="12" t="n"/>
      <c r="L206" s="12" t="n"/>
      <c r="M206" s="12" t="n"/>
    </row>
    <row r="207">
      <c r="D207" s="10" t="n"/>
      <c r="F207" s="10" t="n"/>
      <c r="H207" s="10" t="n"/>
    </row>
    <row r="208">
      <c r="A208" s="12" t="n"/>
      <c r="B208" s="12" t="n"/>
      <c r="C208" s="12" t="n"/>
      <c r="D208" s="13" t="n"/>
      <c r="E208" s="12" t="n"/>
      <c r="F208" s="13" t="n"/>
      <c r="G208" s="12" t="n"/>
      <c r="H208" s="13" t="n"/>
      <c r="I208" s="12" t="n"/>
      <c r="J208" s="12" t="n"/>
      <c r="K208" s="12" t="n"/>
      <c r="L208" s="12" t="n"/>
      <c r="M208" s="12" t="n"/>
    </row>
    <row r="209">
      <c r="D209" s="10" t="n"/>
      <c r="F209" s="10" t="n"/>
      <c r="H209" s="10" t="n"/>
    </row>
    <row r="210">
      <c r="A210" s="12" t="n"/>
      <c r="B210" s="12" t="n"/>
      <c r="C210" s="12" t="n"/>
      <c r="D210" s="13" t="n"/>
      <c r="E210" s="12" t="n"/>
      <c r="F210" s="13" t="n"/>
      <c r="G210" s="12" t="n"/>
      <c r="H210" s="13" t="n"/>
      <c r="I210" s="12" t="n"/>
      <c r="J210" s="12" t="n"/>
      <c r="K210" s="12" t="n"/>
      <c r="L210" s="12" t="n"/>
      <c r="M210" s="12" t="n"/>
    </row>
    <row r="211">
      <c r="D211" s="10" t="n"/>
      <c r="F211" s="10" t="n"/>
      <c r="H211" s="10" t="n"/>
    </row>
    <row r="212">
      <c r="A212" s="12" t="n"/>
      <c r="B212" s="12" t="n"/>
      <c r="C212" s="12" t="n"/>
      <c r="D212" s="13" t="n"/>
      <c r="E212" s="12" t="n"/>
      <c r="F212" s="13" t="n"/>
      <c r="G212" s="12" t="n"/>
      <c r="H212" s="13" t="n"/>
      <c r="I212" s="12" t="n"/>
      <c r="J212" s="12" t="n"/>
      <c r="K212" s="12" t="n"/>
      <c r="L212" s="12" t="n"/>
      <c r="M212" s="12" t="n"/>
    </row>
    <row r="213">
      <c r="D213" s="10" t="n"/>
      <c r="F213" s="10" t="n"/>
      <c r="H213" s="10" t="n"/>
    </row>
    <row r="214">
      <c r="A214" s="12" t="n"/>
      <c r="B214" s="12" t="n"/>
      <c r="C214" s="12" t="n"/>
      <c r="D214" s="13" t="n"/>
      <c r="E214" s="12" t="n"/>
      <c r="F214" s="13" t="n"/>
      <c r="G214" s="12" t="n"/>
      <c r="H214" s="13" t="n"/>
      <c r="I214" s="12" t="n"/>
      <c r="J214" s="12" t="n"/>
      <c r="K214" s="12" t="n"/>
      <c r="L214" s="12" t="n"/>
      <c r="M214" s="12" t="n"/>
    </row>
    <row r="215">
      <c r="D215" s="10" t="n"/>
      <c r="F215" s="10" t="n"/>
      <c r="H215" s="10" t="n"/>
    </row>
    <row r="216">
      <c r="A216" s="12" t="n"/>
      <c r="B216" s="12" t="n"/>
      <c r="C216" s="12" t="n"/>
      <c r="D216" s="13" t="n"/>
      <c r="E216" s="12" t="n"/>
      <c r="F216" s="13" t="n"/>
      <c r="G216" s="12" t="n"/>
      <c r="H216" s="13" t="n"/>
      <c r="I216" s="12" t="n"/>
      <c r="J216" s="12" t="n"/>
      <c r="K216" s="12" t="n"/>
      <c r="L216" s="12" t="n"/>
      <c r="M216" s="12" t="n"/>
    </row>
    <row r="217">
      <c r="D217" s="10" t="n"/>
      <c r="F217" s="10" t="n"/>
      <c r="H217" s="10" t="n"/>
    </row>
    <row r="218">
      <c r="A218" s="12" t="n"/>
      <c r="B218" s="12" t="n"/>
      <c r="C218" s="12" t="n"/>
      <c r="D218" s="13" t="n"/>
      <c r="E218" s="12" t="n"/>
      <c r="F218" s="13" t="n"/>
      <c r="G218" s="12" t="n"/>
      <c r="H218" s="13" t="n"/>
      <c r="I218" s="12" t="n"/>
      <c r="J218" s="12" t="n"/>
      <c r="K218" s="12" t="n"/>
      <c r="L218" s="12" t="n"/>
      <c r="M218" s="12" t="n"/>
    </row>
    <row r="219">
      <c r="D219" s="10" t="n"/>
      <c r="F219" s="10" t="n"/>
      <c r="H219" s="10" t="n"/>
    </row>
    <row r="220">
      <c r="A220" s="12" t="n"/>
      <c r="B220" s="12" t="n"/>
      <c r="C220" s="12" t="n"/>
      <c r="D220" s="13" t="n"/>
      <c r="E220" s="12" t="n"/>
      <c r="F220" s="13" t="n"/>
      <c r="G220" s="12" t="n"/>
      <c r="H220" s="13" t="n"/>
      <c r="I220" s="12" t="n"/>
      <c r="J220" s="12" t="n"/>
      <c r="K220" s="12" t="n"/>
      <c r="L220" s="12" t="n"/>
      <c r="M220" s="12" t="n"/>
    </row>
    <row r="221">
      <c r="D221" s="10" t="n"/>
      <c r="F221" s="10" t="n"/>
      <c r="H221" s="10" t="n"/>
    </row>
    <row r="222">
      <c r="A222" s="12" t="n"/>
      <c r="B222" s="12" t="n"/>
      <c r="C222" s="12" t="n"/>
      <c r="D222" s="13" t="n"/>
      <c r="E222" s="12" t="n"/>
      <c r="F222" s="13" t="n"/>
      <c r="G222" s="12" t="n"/>
      <c r="H222" s="13" t="n"/>
      <c r="I222" s="12" t="n"/>
      <c r="J222" s="12" t="n"/>
      <c r="K222" s="12" t="n"/>
      <c r="L222" s="12" t="n"/>
      <c r="M222" s="12" t="n"/>
    </row>
    <row r="223">
      <c r="D223" s="10" t="n"/>
      <c r="F223" s="10" t="n"/>
      <c r="H223" s="10" t="n"/>
    </row>
    <row r="224">
      <c r="A224" s="12" t="n"/>
      <c r="B224" s="12" t="n"/>
      <c r="C224" s="12" t="n"/>
      <c r="D224" s="13" t="n"/>
      <c r="E224" s="12" t="n"/>
      <c r="F224" s="13" t="n"/>
      <c r="G224" s="12" t="n"/>
      <c r="H224" s="13" t="n"/>
      <c r="I224" s="12" t="n"/>
      <c r="J224" s="12" t="n"/>
      <c r="K224" s="12" t="n"/>
      <c r="L224" s="12" t="n"/>
      <c r="M224" s="12" t="n"/>
    </row>
    <row r="225">
      <c r="D225" s="10" t="n"/>
      <c r="F225" s="10" t="n"/>
      <c r="H225" s="10" t="n"/>
    </row>
    <row r="226">
      <c r="A226" s="12" t="n"/>
      <c r="B226" s="12" t="n"/>
      <c r="C226" s="12" t="n"/>
      <c r="D226" s="13" t="n"/>
      <c r="E226" s="12" t="n"/>
      <c r="F226" s="13" t="n"/>
      <c r="G226" s="12" t="n"/>
      <c r="H226" s="13" t="n"/>
      <c r="I226" s="12" t="n"/>
      <c r="J226" s="12" t="n"/>
      <c r="K226" s="12" t="n"/>
      <c r="L226" s="12" t="n"/>
      <c r="M226" s="12" t="n"/>
    </row>
    <row r="227">
      <c r="D227" s="10" t="n"/>
      <c r="F227" s="10" t="n"/>
      <c r="H227" s="10" t="n"/>
    </row>
    <row r="228">
      <c r="A228" s="12" t="n"/>
      <c r="B228" s="12" t="n"/>
      <c r="C228" s="12" t="n"/>
      <c r="D228" s="13" t="n"/>
      <c r="E228" s="12" t="n"/>
      <c r="F228" s="13" t="n"/>
      <c r="G228" s="12" t="n"/>
      <c r="H228" s="13" t="n"/>
      <c r="I228" s="12" t="n"/>
      <c r="J228" s="12" t="n"/>
      <c r="K228" s="12" t="n"/>
      <c r="L228" s="12" t="n"/>
      <c r="M228" s="12" t="n"/>
    </row>
    <row r="229">
      <c r="D229" s="10" t="n"/>
      <c r="F229" s="10" t="n"/>
      <c r="H229" s="10" t="n"/>
    </row>
    <row r="230">
      <c r="A230" s="12" t="n"/>
      <c r="B230" s="12" t="n"/>
      <c r="C230" s="12" t="n"/>
      <c r="D230" s="13" t="n"/>
      <c r="E230" s="12" t="n"/>
      <c r="F230" s="13" t="n"/>
      <c r="G230" s="12" t="n"/>
      <c r="H230" s="13" t="n"/>
      <c r="I230" s="12" t="n"/>
      <c r="J230" s="12" t="n"/>
      <c r="K230" s="12" t="n"/>
      <c r="L230" s="12" t="n"/>
      <c r="M230" s="12" t="n"/>
    </row>
    <row r="231">
      <c r="D231" s="10" t="n"/>
      <c r="F231" s="10" t="n"/>
      <c r="H231" s="10" t="n"/>
    </row>
    <row r="232">
      <c r="A232" s="12" t="n"/>
      <c r="B232" s="12" t="n"/>
      <c r="C232" s="12" t="n"/>
      <c r="D232" s="13" t="n"/>
      <c r="E232" s="12" t="n"/>
      <c r="F232" s="13" t="n"/>
      <c r="G232" s="12" t="n"/>
      <c r="H232" s="13" t="n"/>
      <c r="I232" s="12" t="n"/>
      <c r="J232" s="12" t="n"/>
      <c r="K232" s="12" t="n"/>
      <c r="L232" s="12" t="n"/>
      <c r="M232" s="12" t="n"/>
    </row>
    <row r="233">
      <c r="D233" s="10" t="n"/>
      <c r="F233" s="10" t="n"/>
      <c r="H233" s="10" t="n"/>
    </row>
    <row r="234">
      <c r="A234" s="12" t="n"/>
      <c r="B234" s="12" t="n"/>
      <c r="C234" s="12" t="n"/>
      <c r="D234" s="13" t="n"/>
      <c r="E234" s="12" t="n"/>
      <c r="F234" s="13" t="n"/>
      <c r="G234" s="12" t="n"/>
      <c r="H234" s="13" t="n"/>
      <c r="I234" s="12" t="n"/>
      <c r="J234" s="12" t="n"/>
      <c r="K234" s="12" t="n"/>
      <c r="L234" s="12" t="n"/>
      <c r="M234" s="12" t="n"/>
    </row>
    <row r="235">
      <c r="D235" s="10" t="n"/>
      <c r="F235" s="10" t="n"/>
      <c r="H235" s="10" t="n"/>
    </row>
    <row r="236">
      <c r="A236" s="12" t="n"/>
      <c r="B236" s="12" t="n"/>
      <c r="C236" s="12" t="n"/>
      <c r="D236" s="13" t="n"/>
      <c r="E236" s="12" t="n"/>
      <c r="F236" s="13" t="n"/>
      <c r="G236" s="12" t="n"/>
      <c r="H236" s="13" t="n"/>
      <c r="I236" s="12" t="n"/>
      <c r="J236" s="12" t="n"/>
      <c r="K236" s="12" t="n"/>
      <c r="L236" s="12" t="n"/>
      <c r="M236" s="12" t="n"/>
    </row>
    <row r="237">
      <c r="D237" s="10" t="n"/>
      <c r="F237" s="10" t="n"/>
      <c r="H237" s="10" t="n"/>
    </row>
    <row r="238">
      <c r="A238" s="12" t="n"/>
      <c r="B238" s="12" t="n"/>
      <c r="C238" s="12" t="n"/>
      <c r="D238" s="13" t="n"/>
      <c r="E238" s="12" t="n"/>
      <c r="F238" s="13" t="n"/>
      <c r="G238" s="12" t="n"/>
      <c r="H238" s="13" t="n"/>
      <c r="I238" s="12" t="n"/>
      <c r="J238" s="12" t="n"/>
      <c r="K238" s="12" t="n"/>
      <c r="L238" s="12" t="n"/>
      <c r="M238" s="12" t="n"/>
    </row>
    <row r="239">
      <c r="D239" s="10" t="n"/>
      <c r="F239" s="10" t="n"/>
      <c r="H239" s="10" t="n"/>
    </row>
    <row r="240">
      <c r="A240" s="12" t="n"/>
      <c r="B240" s="12" t="n"/>
      <c r="C240" s="12" t="n"/>
      <c r="D240" s="13" t="n"/>
      <c r="E240" s="12" t="n"/>
      <c r="F240" s="13" t="n"/>
      <c r="G240" s="12" t="n"/>
      <c r="H240" s="13" t="n"/>
      <c r="I240" s="12" t="n"/>
      <c r="J240" s="12" t="n"/>
      <c r="K240" s="12" t="n"/>
      <c r="L240" s="12" t="n"/>
      <c r="M240" s="12" t="n"/>
    </row>
    <row r="241">
      <c r="D241" s="10" t="n"/>
      <c r="F241" s="10" t="n"/>
      <c r="H241" s="10" t="n"/>
    </row>
    <row r="242">
      <c r="A242" s="12" t="n"/>
      <c r="B242" s="12" t="n"/>
      <c r="C242" s="12" t="n"/>
      <c r="D242" s="13" t="n"/>
      <c r="E242" s="12" t="n"/>
      <c r="F242" s="13" t="n"/>
      <c r="G242" s="12" t="n"/>
      <c r="H242" s="13" t="n"/>
      <c r="I242" s="12" t="n"/>
      <c r="J242" s="12" t="n"/>
      <c r="K242" s="12" t="n"/>
      <c r="L242" s="12" t="n"/>
      <c r="M242" s="12" t="n"/>
    </row>
    <row r="243">
      <c r="D243" s="10" t="n"/>
      <c r="F243" s="10" t="n"/>
      <c r="H243" s="10" t="n"/>
    </row>
    <row r="244">
      <c r="A244" s="12" t="n"/>
      <c r="B244" s="12" t="n"/>
      <c r="C244" s="12" t="n"/>
      <c r="D244" s="13" t="n"/>
      <c r="E244" s="12" t="n"/>
      <c r="F244" s="13" t="n"/>
      <c r="G244" s="12" t="n"/>
      <c r="H244" s="13" t="n"/>
      <c r="I244" s="12" t="n"/>
      <c r="J244" s="12" t="n"/>
      <c r="K244" s="12" t="n"/>
      <c r="L244" s="12" t="n"/>
      <c r="M244" s="12" t="n"/>
    </row>
    <row r="245">
      <c r="D245" s="10" t="n"/>
      <c r="F245" s="10" t="n"/>
      <c r="H245" s="10" t="n"/>
    </row>
    <row r="246">
      <c r="A246" s="12" t="n"/>
      <c r="B246" s="12" t="n"/>
      <c r="C246" s="12" t="n"/>
      <c r="D246" s="13" t="n"/>
      <c r="E246" s="12" t="n"/>
      <c r="F246" s="13" t="n"/>
      <c r="G246" s="12" t="n"/>
      <c r="H246" s="13" t="n"/>
      <c r="I246" s="12" t="n"/>
      <c r="J246" s="12" t="n"/>
      <c r="K246" s="12" t="n"/>
      <c r="L246" s="12" t="n"/>
      <c r="M246" s="12" t="n"/>
    </row>
    <row r="247">
      <c r="D247" s="10" t="n"/>
      <c r="F247" s="10" t="n"/>
      <c r="H247" s="10" t="n"/>
    </row>
    <row r="248">
      <c r="A248" s="12" t="n"/>
      <c r="B248" s="12" t="n"/>
      <c r="C248" s="12" t="n"/>
      <c r="D248" s="13" t="n"/>
      <c r="E248" s="12" t="n"/>
      <c r="F248" s="13" t="n"/>
      <c r="G248" s="12" t="n"/>
      <c r="H248" s="13" t="n"/>
      <c r="I248" s="12" t="n"/>
      <c r="J248" s="12" t="n"/>
      <c r="K248" s="12" t="n"/>
      <c r="L248" s="12" t="n"/>
      <c r="M248" s="12" t="n"/>
    </row>
    <row r="249">
      <c r="D249" s="10" t="n"/>
      <c r="F249" s="10" t="n"/>
      <c r="H249" s="10" t="n"/>
    </row>
    <row r="250">
      <c r="A250" s="12" t="n"/>
      <c r="B250" s="12" t="n"/>
      <c r="C250" s="12" t="n"/>
      <c r="D250" s="13" t="n"/>
      <c r="E250" s="12" t="n"/>
      <c r="F250" s="13" t="n"/>
      <c r="G250" s="12" t="n"/>
      <c r="H250" s="13" t="n"/>
      <c r="I250" s="12" t="n"/>
      <c r="J250" s="12" t="n"/>
      <c r="K250" s="12" t="n"/>
      <c r="L250" s="12" t="n"/>
      <c r="M250" s="12" t="n"/>
    </row>
    <row r="251">
      <c r="D251" s="10" t="n"/>
      <c r="F251" s="10" t="n"/>
      <c r="H251" s="10" t="n"/>
    </row>
  </sheetData>
  <autoFilter ref="A1:M251"/>
  <conditionalFormatting sqref="A2:M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2">
    <dataValidation sqref="I2:I251" showDropDown="0" showInputMessage="0" showErrorMessage="0" allowBlank="1" type="list">
      <formula1>='Lists'!$AA$2:$AA$4</formula1>
    </dataValidation>
    <dataValidation sqref="A2:A251" showDropDown="0" showInputMessage="0" showErrorMessage="0" allowBlank="1" type="list">
      <formula1>='Room List'!$A$2:$A$251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42" customHeight="1">
      <c r="A1" s="11" t="inlineStr">
        <is>
          <t>Vendor name</t>
        </is>
      </c>
      <c r="B1" s="11" t="inlineStr">
        <is>
          <t>Vendor type</t>
        </is>
      </c>
      <c r="C1" s="11" t="inlineStr">
        <is>
          <t>Contact person</t>
        </is>
      </c>
      <c r="D1" s="11" t="inlineStr">
        <is>
          <t>Email</t>
        </is>
      </c>
      <c r="E1" s="11" t="inlineStr">
        <is>
          <t>Phone</t>
        </is>
      </c>
      <c r="F1" s="11" t="inlineStr">
        <is>
          <t>Website</t>
        </is>
      </c>
      <c r="G1" s="11" t="inlineStr">
        <is>
          <t>Account number</t>
        </is>
      </c>
      <c r="H1" s="11" t="inlineStr">
        <is>
          <t>Trade discount %</t>
        </is>
      </c>
      <c r="I1" s="11" t="inlineStr">
        <is>
          <t>Lead time</t>
        </is>
      </c>
      <c r="J1" s="11" t="inlineStr">
        <is>
          <t>Shipping terms</t>
        </is>
      </c>
      <c r="K1" s="11" t="inlineStr">
        <is>
          <t>Return policy</t>
        </is>
      </c>
      <c r="L1" s="11" t="inlineStr">
        <is>
          <t>Notes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</row>
  </sheetData>
  <autoFilter ref="A1:L251"/>
  <conditionalFormatting sqref="A2:L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1">
    <dataValidation sqref="B2:B251" showDropDown="0" showInputMessage="0" showErrorMessage="0" allowBlank="1" type="list">
      <formula1>='Lists'!$Q$2:$Q$15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2" customHeight="1">
      <c r="A1" s="11" t="inlineStr">
        <is>
          <t>Budget category</t>
        </is>
      </c>
      <c r="B1" s="11" t="inlineStr">
        <is>
          <t>Budgeted amount</t>
        </is>
      </c>
      <c r="C1" s="11" t="inlineStr">
        <is>
          <t>Estimated amount</t>
        </is>
      </c>
      <c r="D1" s="11" t="inlineStr">
        <is>
          <t>Actual amount</t>
        </is>
      </c>
      <c r="E1" s="11" t="inlineStr">
        <is>
          <t>Difference</t>
        </is>
      </c>
      <c r="F1" s="11" t="inlineStr">
        <is>
          <t>Paid amount</t>
        </is>
      </c>
      <c r="G1" s="11" t="inlineStr">
        <is>
          <t>Balance due</t>
        </is>
      </c>
      <c r="H1" s="11" t="inlineStr">
        <is>
          <t>Payment status</t>
        </is>
      </c>
      <c r="I1" s="11" t="inlineStr">
        <is>
          <t>Notes</t>
        </is>
      </c>
    </row>
    <row r="2">
      <c r="A2" s="12" t="inlineStr">
        <is>
          <t>Furniture</t>
        </is>
      </c>
      <c r="B2" s="13" t="n"/>
      <c r="C2" s="13" t="n"/>
      <c r="D2" s="13" t="n"/>
      <c r="E2" s="13">
        <f>IF($A2="","",$B2-$D2)</f>
        <v/>
      </c>
      <c r="F2" s="13" t="n"/>
      <c r="G2" s="13">
        <f>IF($A2="","",$D2-$F2)</f>
        <v/>
      </c>
      <c r="H2" s="12" t="n"/>
      <c r="I2" s="12" t="n"/>
    </row>
    <row r="3">
      <c r="A3" t="inlineStr">
        <is>
          <t>Lighting</t>
        </is>
      </c>
      <c r="B3" s="10" t="n"/>
      <c r="C3" s="10" t="n"/>
      <c r="D3" s="10" t="n"/>
      <c r="E3" s="10">
        <f>IF($A3="","",$B3-$D3)</f>
        <v/>
      </c>
      <c r="F3" s="10" t="n"/>
      <c r="G3" s="10">
        <f>IF($A3="","",$D3-$F3)</f>
        <v/>
      </c>
    </row>
    <row r="4">
      <c r="A4" s="12" t="inlineStr">
        <is>
          <t>Rugs</t>
        </is>
      </c>
      <c r="B4" s="13" t="n"/>
      <c r="C4" s="13" t="n"/>
      <c r="D4" s="13" t="n"/>
      <c r="E4" s="13">
        <f>IF($A4="","",$B4-$D4)</f>
        <v/>
      </c>
      <c r="F4" s="13" t="n"/>
      <c r="G4" s="13">
        <f>IF($A4="","",$D4-$F4)</f>
        <v/>
      </c>
      <c r="H4" s="12" t="n"/>
      <c r="I4" s="12" t="n"/>
    </row>
    <row r="5">
      <c r="A5" t="inlineStr">
        <is>
          <t>Decor</t>
        </is>
      </c>
      <c r="B5" s="10" t="n"/>
      <c r="C5" s="10" t="n"/>
      <c r="D5" s="10" t="n"/>
      <c r="E5" s="10">
        <f>IF($A5="","",$B5-$D5)</f>
        <v/>
      </c>
      <c r="F5" s="10" t="n"/>
      <c r="G5" s="10">
        <f>IF($A5="","",$D5-$F5)</f>
        <v/>
      </c>
    </row>
    <row r="6">
      <c r="A6" s="12" t="inlineStr">
        <is>
          <t>Artwork</t>
        </is>
      </c>
      <c r="B6" s="13" t="n"/>
      <c r="C6" s="13" t="n"/>
      <c r="D6" s="13" t="n"/>
      <c r="E6" s="13">
        <f>IF($A6="","",$B6-$D6)</f>
        <v/>
      </c>
      <c r="F6" s="13" t="n"/>
      <c r="G6" s="13">
        <f>IF($A6="","",$D6-$F6)</f>
        <v/>
      </c>
      <c r="H6" s="12" t="n"/>
      <c r="I6" s="12" t="n"/>
    </row>
    <row r="7">
      <c r="A7" t="inlineStr">
        <is>
          <t>Window treatments</t>
        </is>
      </c>
      <c r="B7" s="10" t="n"/>
      <c r="C7" s="10" t="n"/>
      <c r="D7" s="10" t="n"/>
      <c r="E7" s="10">
        <f>IF($A7="","",$B7-$D7)</f>
        <v/>
      </c>
      <c r="F7" s="10" t="n"/>
      <c r="G7" s="10">
        <f>IF($A7="","",$D7-$F7)</f>
        <v/>
      </c>
    </row>
    <row r="8">
      <c r="A8" s="12" t="inlineStr">
        <is>
          <t>Flooring</t>
        </is>
      </c>
      <c r="B8" s="13" t="n"/>
      <c r="C8" s="13" t="n"/>
      <c r="D8" s="13" t="n"/>
      <c r="E8" s="13">
        <f>IF($A8="","",$B8-$D8)</f>
        <v/>
      </c>
      <c r="F8" s="13" t="n"/>
      <c r="G8" s="13">
        <f>IF($A8="","",$D8-$F8)</f>
        <v/>
      </c>
      <c r="H8" s="12" t="n"/>
      <c r="I8" s="12" t="n"/>
    </row>
    <row r="9">
      <c r="A9" t="inlineStr">
        <is>
          <t>Paint/wallcovering</t>
        </is>
      </c>
      <c r="B9" s="10" t="n"/>
      <c r="C9" s="10" t="n"/>
      <c r="D9" s="10" t="n"/>
      <c r="E9" s="10">
        <f>IF($A9="","",$B9-$D9)</f>
        <v/>
      </c>
      <c r="F9" s="10" t="n"/>
      <c r="G9" s="10">
        <f>IF($A9="","",$D9-$F9)</f>
        <v/>
      </c>
    </row>
    <row r="10">
      <c r="A10" s="12" t="inlineStr">
        <is>
          <t>Contractor labor</t>
        </is>
      </c>
      <c r="B10" s="13" t="n"/>
      <c r="C10" s="13" t="n"/>
      <c r="D10" s="13" t="n"/>
      <c r="E10" s="13">
        <f>IF($A10="","",$B10-$D10)</f>
        <v/>
      </c>
      <c r="F10" s="13" t="n"/>
      <c r="G10" s="13">
        <f>IF($A10="","",$D10-$F10)</f>
        <v/>
      </c>
      <c r="H10" s="12" t="n"/>
      <c r="I10" s="12" t="n"/>
    </row>
    <row r="11">
      <c r="A11" t="inlineStr">
        <is>
          <t>Installation</t>
        </is>
      </c>
      <c r="B11" s="10" t="n"/>
      <c r="C11" s="10" t="n"/>
      <c r="D11" s="10" t="n"/>
      <c r="E11" s="10">
        <f>IF($A11="","",$B11-$D11)</f>
        <v/>
      </c>
      <c r="F11" s="10" t="n"/>
      <c r="G11" s="10">
        <f>IF($A11="","",$D11-$F11)</f>
        <v/>
      </c>
    </row>
    <row r="12">
      <c r="A12" s="12" t="inlineStr">
        <is>
          <t>Shipping</t>
        </is>
      </c>
      <c r="B12" s="13" t="n"/>
      <c r="C12" s="13" t="n"/>
      <c r="D12" s="13" t="n"/>
      <c r="E12" s="13">
        <f>IF($A12="","",$B12-$D12)</f>
        <v/>
      </c>
      <c r="F12" s="13" t="n"/>
      <c r="G12" s="13">
        <f>IF($A12="","",$D12-$F12)</f>
        <v/>
      </c>
      <c r="H12" s="12" t="n"/>
      <c r="I12" s="12" t="n"/>
    </row>
    <row r="13">
      <c r="A13" t="inlineStr">
        <is>
          <t>Taxes</t>
        </is>
      </c>
      <c r="B13" s="10" t="n"/>
      <c r="C13" s="10" t="n"/>
      <c r="D13" s="10" t="n"/>
      <c r="E13" s="10">
        <f>IF($A13="","",$B13-$D13)</f>
        <v/>
      </c>
      <c r="F13" s="10" t="n"/>
      <c r="G13" s="10">
        <f>IF($A13="","",$D13-$F13)</f>
        <v/>
      </c>
    </row>
    <row r="14">
      <c r="A14" s="12" t="inlineStr">
        <is>
          <t>Design fee</t>
        </is>
      </c>
      <c r="B14" s="13" t="n"/>
      <c r="C14" s="13" t="n"/>
      <c r="D14" s="13" t="n"/>
      <c r="E14" s="13">
        <f>IF($A14="","",$B14-$D14)</f>
        <v/>
      </c>
      <c r="F14" s="13" t="n"/>
      <c r="G14" s="13">
        <f>IF($A14="","",$D14-$F14)</f>
        <v/>
      </c>
      <c r="H14" s="12" t="n"/>
      <c r="I14" s="12" t="n"/>
    </row>
    <row r="15">
      <c r="A15" t="inlineStr">
        <is>
          <t>Contingency</t>
        </is>
      </c>
      <c r="B15" s="10" t="n"/>
      <c r="C15" s="10" t="n"/>
      <c r="D15" s="10" t="n"/>
      <c r="E15" s="10">
        <f>IF($A15="","",$B15-$D15)</f>
        <v/>
      </c>
      <c r="F15" s="10" t="n"/>
      <c r="G15" s="10">
        <f>IF($A15="","",$D15-$F15)</f>
        <v/>
      </c>
    </row>
    <row r="16">
      <c r="A16" s="12" t="n"/>
      <c r="B16" s="13" t="n"/>
      <c r="C16" s="13" t="n"/>
      <c r="D16" s="13" t="n"/>
      <c r="E16" s="13">
        <f>IF($A16="","",$B16-$D16)</f>
        <v/>
      </c>
      <c r="F16" s="13" t="n"/>
      <c r="G16" s="13">
        <f>IF($A16="","",$D16-$F16)</f>
        <v/>
      </c>
      <c r="H16" s="12" t="n"/>
      <c r="I16" s="12" t="n"/>
    </row>
    <row r="17">
      <c r="B17" s="10" t="n"/>
      <c r="C17" s="10" t="n"/>
      <c r="D17" s="10" t="n"/>
      <c r="E17" s="10">
        <f>IF($A17="","",$B17-$D17)</f>
        <v/>
      </c>
      <c r="F17" s="10" t="n"/>
      <c r="G17" s="10">
        <f>IF($A17="","",$D17-$F17)</f>
        <v/>
      </c>
    </row>
    <row r="18">
      <c r="A18" s="12" t="n"/>
      <c r="B18" s="13" t="n"/>
      <c r="C18" s="13" t="n"/>
      <c r="D18" s="13" t="n"/>
      <c r="E18" s="13">
        <f>IF($A18="","",$B18-$D18)</f>
        <v/>
      </c>
      <c r="F18" s="13" t="n"/>
      <c r="G18" s="13">
        <f>IF($A18="","",$D18-$F18)</f>
        <v/>
      </c>
      <c r="H18" s="12" t="n"/>
      <c r="I18" s="12" t="n"/>
    </row>
    <row r="19">
      <c r="B19" s="10" t="n"/>
      <c r="C19" s="10" t="n"/>
      <c r="D19" s="10" t="n"/>
      <c r="E19" s="10">
        <f>IF($A19="","",$B19-$D19)</f>
        <v/>
      </c>
      <c r="F19" s="10" t="n"/>
      <c r="G19" s="10">
        <f>IF($A19="","",$D19-$F19)</f>
        <v/>
      </c>
    </row>
    <row r="20">
      <c r="A20" s="12" t="n"/>
      <c r="B20" s="13" t="n"/>
      <c r="C20" s="13" t="n"/>
      <c r="D20" s="13" t="n"/>
      <c r="E20" s="13">
        <f>IF($A20="","",$B20-$D20)</f>
        <v/>
      </c>
      <c r="F20" s="13" t="n"/>
      <c r="G20" s="13">
        <f>IF($A20="","",$D20-$F20)</f>
        <v/>
      </c>
      <c r="H20" s="12" t="n"/>
      <c r="I20" s="12" t="n"/>
    </row>
    <row r="21">
      <c r="B21" s="10" t="n"/>
      <c r="C21" s="10" t="n"/>
      <c r="D21" s="10" t="n"/>
      <c r="E21" s="10">
        <f>IF($A21="","",$B21-$D21)</f>
        <v/>
      </c>
      <c r="F21" s="10" t="n"/>
      <c r="G21" s="10">
        <f>IF($A21="","",$D21-$F21)</f>
        <v/>
      </c>
    </row>
    <row r="22">
      <c r="A22" s="12" t="n"/>
      <c r="B22" s="13" t="n"/>
      <c r="C22" s="13" t="n"/>
      <c r="D22" s="13" t="n"/>
      <c r="E22" s="13">
        <f>IF($A22="","",$B22-$D22)</f>
        <v/>
      </c>
      <c r="F22" s="13" t="n"/>
      <c r="G22" s="13">
        <f>IF($A22="","",$D22-$F22)</f>
        <v/>
      </c>
      <c r="H22" s="12" t="n"/>
      <c r="I22" s="12" t="n"/>
    </row>
    <row r="23">
      <c r="B23" s="10" t="n"/>
      <c r="C23" s="10" t="n"/>
      <c r="D23" s="10" t="n"/>
      <c r="E23" s="10">
        <f>IF($A23="","",$B23-$D23)</f>
        <v/>
      </c>
      <c r="F23" s="10" t="n"/>
      <c r="G23" s="10">
        <f>IF($A23="","",$D23-$F23)</f>
        <v/>
      </c>
    </row>
    <row r="24">
      <c r="A24" s="12" t="n"/>
      <c r="B24" s="13" t="n"/>
      <c r="C24" s="13" t="n"/>
      <c r="D24" s="13" t="n"/>
      <c r="E24" s="13">
        <f>IF($A24="","",$B24-$D24)</f>
        <v/>
      </c>
      <c r="F24" s="13" t="n"/>
      <c r="G24" s="13">
        <f>IF($A24="","",$D24-$F24)</f>
        <v/>
      </c>
      <c r="H24" s="12" t="n"/>
      <c r="I24" s="12" t="n"/>
    </row>
    <row r="25">
      <c r="B25" s="10" t="n"/>
      <c r="C25" s="10" t="n"/>
      <c r="D25" s="10" t="n"/>
      <c r="E25" s="10">
        <f>IF($A25="","",$B25-$D25)</f>
        <v/>
      </c>
      <c r="F25" s="10" t="n"/>
      <c r="G25" s="10">
        <f>IF($A25="","",$D25-$F25)</f>
        <v/>
      </c>
    </row>
    <row r="26">
      <c r="A26" s="12" t="n"/>
      <c r="B26" s="13" t="n"/>
      <c r="C26" s="13" t="n"/>
      <c r="D26" s="13" t="n"/>
      <c r="E26" s="13">
        <f>IF($A26="","",$B26-$D26)</f>
        <v/>
      </c>
      <c r="F26" s="13" t="n"/>
      <c r="G26" s="13">
        <f>IF($A26="","",$D26-$F26)</f>
        <v/>
      </c>
      <c r="H26" s="12" t="n"/>
      <c r="I26" s="12" t="n"/>
    </row>
    <row r="27">
      <c r="B27" s="10" t="n"/>
      <c r="C27" s="10" t="n"/>
      <c r="D27" s="10" t="n"/>
      <c r="E27" s="10">
        <f>IF($A27="","",$B27-$D27)</f>
        <v/>
      </c>
      <c r="F27" s="10" t="n"/>
      <c r="G27" s="10">
        <f>IF($A27="","",$D27-$F27)</f>
        <v/>
      </c>
    </row>
    <row r="28">
      <c r="A28" s="12" t="n"/>
      <c r="B28" s="13" t="n"/>
      <c r="C28" s="13" t="n"/>
      <c r="D28" s="13" t="n"/>
      <c r="E28" s="13">
        <f>IF($A28="","",$B28-$D28)</f>
        <v/>
      </c>
      <c r="F28" s="13" t="n"/>
      <c r="G28" s="13">
        <f>IF($A28="","",$D28-$F28)</f>
        <v/>
      </c>
      <c r="H28" s="12" t="n"/>
      <c r="I28" s="12" t="n"/>
    </row>
    <row r="29">
      <c r="B29" s="10" t="n"/>
      <c r="C29" s="10" t="n"/>
      <c r="D29" s="10" t="n"/>
      <c r="E29" s="10">
        <f>IF($A29="","",$B29-$D29)</f>
        <v/>
      </c>
      <c r="F29" s="10" t="n"/>
      <c r="G29" s="10">
        <f>IF($A29="","",$D29-$F29)</f>
        <v/>
      </c>
    </row>
    <row r="30">
      <c r="A30" s="12" t="n"/>
      <c r="B30" s="13" t="n"/>
      <c r="C30" s="13" t="n"/>
      <c r="D30" s="13" t="n"/>
      <c r="E30" s="13">
        <f>IF($A30="","",$B30-$D30)</f>
        <v/>
      </c>
      <c r="F30" s="13" t="n"/>
      <c r="G30" s="13">
        <f>IF($A30="","",$D30-$F30)</f>
        <v/>
      </c>
      <c r="H30" s="12" t="n"/>
      <c r="I30" s="12" t="n"/>
    </row>
    <row r="31">
      <c r="B31" s="10" t="n"/>
      <c r="C31" s="10" t="n"/>
      <c r="D31" s="10" t="n"/>
      <c r="E31" s="10">
        <f>IF($A31="","",$B31-$D31)</f>
        <v/>
      </c>
      <c r="F31" s="10" t="n"/>
      <c r="G31" s="10">
        <f>IF($A31="","",$D31-$F31)</f>
        <v/>
      </c>
    </row>
    <row r="32">
      <c r="A32" s="12" t="n"/>
      <c r="B32" s="13" t="n"/>
      <c r="C32" s="13" t="n"/>
      <c r="D32" s="13" t="n"/>
      <c r="E32" s="13">
        <f>IF($A32="","",$B32-$D32)</f>
        <v/>
      </c>
      <c r="F32" s="13" t="n"/>
      <c r="G32" s="13">
        <f>IF($A32="","",$D32-$F32)</f>
        <v/>
      </c>
      <c r="H32" s="12" t="n"/>
      <c r="I32" s="12" t="n"/>
    </row>
    <row r="33">
      <c r="B33" s="10" t="n"/>
      <c r="C33" s="10" t="n"/>
      <c r="D33" s="10" t="n"/>
      <c r="E33" s="10">
        <f>IF($A33="","",$B33-$D33)</f>
        <v/>
      </c>
      <c r="F33" s="10" t="n"/>
      <c r="G33" s="10">
        <f>IF($A33="","",$D33-$F33)</f>
        <v/>
      </c>
    </row>
    <row r="34">
      <c r="A34" s="12" t="n"/>
      <c r="B34" s="13" t="n"/>
      <c r="C34" s="13" t="n"/>
      <c r="D34" s="13" t="n"/>
      <c r="E34" s="13">
        <f>IF($A34="","",$B34-$D34)</f>
        <v/>
      </c>
      <c r="F34" s="13" t="n"/>
      <c r="G34" s="13">
        <f>IF($A34="","",$D34-$F34)</f>
        <v/>
      </c>
      <c r="H34" s="12" t="n"/>
      <c r="I34" s="12" t="n"/>
    </row>
    <row r="35">
      <c r="B35" s="10" t="n"/>
      <c r="C35" s="10" t="n"/>
      <c r="D35" s="10" t="n"/>
      <c r="E35" s="10">
        <f>IF($A35="","",$B35-$D35)</f>
        <v/>
      </c>
      <c r="F35" s="10" t="n"/>
      <c r="G35" s="10">
        <f>IF($A35="","",$D35-$F35)</f>
        <v/>
      </c>
    </row>
    <row r="36">
      <c r="A36" s="12" t="n"/>
      <c r="B36" s="13" t="n"/>
      <c r="C36" s="13" t="n"/>
      <c r="D36" s="13" t="n"/>
      <c r="E36" s="13">
        <f>IF($A36="","",$B36-$D36)</f>
        <v/>
      </c>
      <c r="F36" s="13" t="n"/>
      <c r="G36" s="13">
        <f>IF($A36="","",$D36-$F36)</f>
        <v/>
      </c>
      <c r="H36" s="12" t="n"/>
      <c r="I36" s="12" t="n"/>
    </row>
    <row r="37">
      <c r="B37" s="10" t="n"/>
      <c r="C37" s="10" t="n"/>
      <c r="D37" s="10" t="n"/>
      <c r="E37" s="10">
        <f>IF($A37="","",$B37-$D37)</f>
        <v/>
      </c>
      <c r="F37" s="10" t="n"/>
      <c r="G37" s="10">
        <f>IF($A37="","",$D37-$F37)</f>
        <v/>
      </c>
    </row>
    <row r="38">
      <c r="A38" s="12" t="n"/>
      <c r="B38" s="13" t="n"/>
      <c r="C38" s="13" t="n"/>
      <c r="D38" s="13" t="n"/>
      <c r="E38" s="13">
        <f>IF($A38="","",$B38-$D38)</f>
        <v/>
      </c>
      <c r="F38" s="13" t="n"/>
      <c r="G38" s="13">
        <f>IF($A38="","",$D38-$F38)</f>
        <v/>
      </c>
      <c r="H38" s="12" t="n"/>
      <c r="I38" s="12" t="n"/>
    </row>
    <row r="39">
      <c r="B39" s="10" t="n"/>
      <c r="C39" s="10" t="n"/>
      <c r="D39" s="10" t="n"/>
      <c r="E39" s="10">
        <f>IF($A39="","",$B39-$D39)</f>
        <v/>
      </c>
      <c r="F39" s="10" t="n"/>
      <c r="G39" s="10">
        <f>IF($A39="","",$D39-$F39)</f>
        <v/>
      </c>
    </row>
    <row r="40">
      <c r="A40" s="12" t="n"/>
      <c r="B40" s="13" t="n"/>
      <c r="C40" s="13" t="n"/>
      <c r="D40" s="13" t="n"/>
      <c r="E40" s="13">
        <f>IF($A40="","",$B40-$D40)</f>
        <v/>
      </c>
      <c r="F40" s="13" t="n"/>
      <c r="G40" s="13">
        <f>IF($A40="","",$D40-$F40)</f>
        <v/>
      </c>
      <c r="H40" s="12" t="n"/>
      <c r="I40" s="12" t="n"/>
    </row>
    <row r="41">
      <c r="B41" s="10" t="n"/>
      <c r="C41" s="10" t="n"/>
      <c r="D41" s="10" t="n"/>
      <c r="E41" s="10">
        <f>IF($A41="","",$B41-$D41)</f>
        <v/>
      </c>
      <c r="F41" s="10" t="n"/>
      <c r="G41" s="10">
        <f>IF($A41="","",$D41-$F41)</f>
        <v/>
      </c>
    </row>
    <row r="42">
      <c r="A42" s="12" t="n"/>
      <c r="B42" s="13" t="n"/>
      <c r="C42" s="13" t="n"/>
      <c r="D42" s="13" t="n"/>
      <c r="E42" s="13">
        <f>IF($A42="","",$B42-$D42)</f>
        <v/>
      </c>
      <c r="F42" s="13" t="n"/>
      <c r="G42" s="13">
        <f>IF($A42="","",$D42-$F42)</f>
        <v/>
      </c>
      <c r="H42" s="12" t="n"/>
      <c r="I42" s="12" t="n"/>
    </row>
    <row r="43">
      <c r="B43" s="10" t="n"/>
      <c r="C43" s="10" t="n"/>
      <c r="D43" s="10" t="n"/>
      <c r="E43" s="10">
        <f>IF($A43="","",$B43-$D43)</f>
        <v/>
      </c>
      <c r="F43" s="10" t="n"/>
      <c r="G43" s="10">
        <f>IF($A43="","",$D43-$F43)</f>
        <v/>
      </c>
    </row>
    <row r="44">
      <c r="A44" s="12" t="n"/>
      <c r="B44" s="13" t="n"/>
      <c r="C44" s="13" t="n"/>
      <c r="D44" s="13" t="n"/>
      <c r="E44" s="13">
        <f>IF($A44="","",$B44-$D44)</f>
        <v/>
      </c>
      <c r="F44" s="13" t="n"/>
      <c r="G44" s="13">
        <f>IF($A44="","",$D44-$F44)</f>
        <v/>
      </c>
      <c r="H44" s="12" t="n"/>
      <c r="I44" s="12" t="n"/>
    </row>
    <row r="45">
      <c r="B45" s="10" t="n"/>
      <c r="C45" s="10" t="n"/>
      <c r="D45" s="10" t="n"/>
      <c r="E45" s="10">
        <f>IF($A45="","",$B45-$D45)</f>
        <v/>
      </c>
      <c r="F45" s="10" t="n"/>
      <c r="G45" s="10">
        <f>IF($A45="","",$D45-$F45)</f>
        <v/>
      </c>
    </row>
    <row r="46">
      <c r="A46" s="12" t="n"/>
      <c r="B46" s="13" t="n"/>
      <c r="C46" s="13" t="n"/>
      <c r="D46" s="13" t="n"/>
      <c r="E46" s="13">
        <f>IF($A46="","",$B46-$D46)</f>
        <v/>
      </c>
      <c r="F46" s="13" t="n"/>
      <c r="G46" s="13">
        <f>IF($A46="","",$D46-$F46)</f>
        <v/>
      </c>
      <c r="H46" s="12" t="n"/>
      <c r="I46" s="12" t="n"/>
    </row>
    <row r="47">
      <c r="B47" s="10" t="n"/>
      <c r="C47" s="10" t="n"/>
      <c r="D47" s="10" t="n"/>
      <c r="E47" s="10">
        <f>IF($A47="","",$B47-$D47)</f>
        <v/>
      </c>
      <c r="F47" s="10" t="n"/>
      <c r="G47" s="10">
        <f>IF($A47="","",$D47-$F47)</f>
        <v/>
      </c>
    </row>
    <row r="48">
      <c r="A48" s="12" t="n"/>
      <c r="B48" s="13" t="n"/>
      <c r="C48" s="13" t="n"/>
      <c r="D48" s="13" t="n"/>
      <c r="E48" s="13">
        <f>IF($A48="","",$B48-$D48)</f>
        <v/>
      </c>
      <c r="F48" s="13" t="n"/>
      <c r="G48" s="13">
        <f>IF($A48="","",$D48-$F48)</f>
        <v/>
      </c>
      <c r="H48" s="12" t="n"/>
      <c r="I48" s="12" t="n"/>
    </row>
    <row r="49">
      <c r="B49" s="10" t="n"/>
      <c r="C49" s="10" t="n"/>
      <c r="D49" s="10" t="n"/>
      <c r="E49" s="10">
        <f>IF($A49="","",$B49-$D49)</f>
        <v/>
      </c>
      <c r="F49" s="10" t="n"/>
      <c r="G49" s="10">
        <f>IF($A49="","",$D49-$F49)</f>
        <v/>
      </c>
    </row>
    <row r="50">
      <c r="A50" s="12" t="n"/>
      <c r="B50" s="13" t="n"/>
      <c r="C50" s="13" t="n"/>
      <c r="D50" s="13" t="n"/>
      <c r="E50" s="13">
        <f>IF($A50="","",$B50-$D50)</f>
        <v/>
      </c>
      <c r="F50" s="13" t="n"/>
      <c r="G50" s="13">
        <f>IF($A50="","",$D50-$F50)</f>
        <v/>
      </c>
      <c r="H50" s="12" t="n"/>
      <c r="I50" s="12" t="n"/>
    </row>
    <row r="51">
      <c r="B51" s="10" t="n"/>
      <c r="C51" s="10" t="n"/>
      <c r="D51" s="10" t="n"/>
      <c r="E51" s="10">
        <f>IF($A51="","",$B51-$D51)</f>
        <v/>
      </c>
      <c r="F51" s="10" t="n"/>
      <c r="G51" s="10">
        <f>IF($A51="","",$D51-$F51)</f>
        <v/>
      </c>
    </row>
    <row r="52">
      <c r="A52" s="12" t="n"/>
      <c r="B52" s="13" t="n"/>
      <c r="C52" s="13" t="n"/>
      <c r="D52" s="13" t="n"/>
      <c r="E52" s="13">
        <f>IF($A52="","",$B52-$D52)</f>
        <v/>
      </c>
      <c r="F52" s="13" t="n"/>
      <c r="G52" s="13">
        <f>IF($A52="","",$D52-$F52)</f>
        <v/>
      </c>
      <c r="H52" s="12" t="n"/>
      <c r="I52" s="12" t="n"/>
    </row>
    <row r="53">
      <c r="B53" s="10" t="n"/>
      <c r="C53" s="10" t="n"/>
      <c r="D53" s="10" t="n"/>
      <c r="E53" s="10">
        <f>IF($A53="","",$B53-$D53)</f>
        <v/>
      </c>
      <c r="F53" s="10" t="n"/>
      <c r="G53" s="10">
        <f>IF($A53="","",$D53-$F53)</f>
        <v/>
      </c>
    </row>
    <row r="54">
      <c r="A54" s="12" t="n"/>
      <c r="B54" s="13" t="n"/>
      <c r="C54" s="13" t="n"/>
      <c r="D54" s="13" t="n"/>
      <c r="E54" s="13">
        <f>IF($A54="","",$B54-$D54)</f>
        <v/>
      </c>
      <c r="F54" s="13" t="n"/>
      <c r="G54" s="13">
        <f>IF($A54="","",$D54-$F54)</f>
        <v/>
      </c>
      <c r="H54" s="12" t="n"/>
      <c r="I54" s="12" t="n"/>
    </row>
    <row r="55">
      <c r="B55" s="10" t="n"/>
      <c r="C55" s="10" t="n"/>
      <c r="D55" s="10" t="n"/>
      <c r="E55" s="10">
        <f>IF($A55="","",$B55-$D55)</f>
        <v/>
      </c>
      <c r="F55" s="10" t="n"/>
      <c r="G55" s="10">
        <f>IF($A55="","",$D55-$F55)</f>
        <v/>
      </c>
    </row>
    <row r="56">
      <c r="A56" s="12" t="n"/>
      <c r="B56" s="13" t="n"/>
      <c r="C56" s="13" t="n"/>
      <c r="D56" s="13" t="n"/>
      <c r="E56" s="13">
        <f>IF($A56="","",$B56-$D56)</f>
        <v/>
      </c>
      <c r="F56" s="13" t="n"/>
      <c r="G56" s="13">
        <f>IF($A56="","",$D56-$F56)</f>
        <v/>
      </c>
      <c r="H56" s="12" t="n"/>
      <c r="I56" s="12" t="n"/>
    </row>
    <row r="57">
      <c r="B57" s="10" t="n"/>
      <c r="C57" s="10" t="n"/>
      <c r="D57" s="10" t="n"/>
      <c r="E57" s="10">
        <f>IF($A57="","",$B57-$D57)</f>
        <v/>
      </c>
      <c r="F57" s="10" t="n"/>
      <c r="G57" s="10">
        <f>IF($A57="","",$D57-$F57)</f>
        <v/>
      </c>
    </row>
    <row r="58">
      <c r="A58" s="12" t="n"/>
      <c r="B58" s="13" t="n"/>
      <c r="C58" s="13" t="n"/>
      <c r="D58" s="13" t="n"/>
      <c r="E58" s="13">
        <f>IF($A58="","",$B58-$D58)</f>
        <v/>
      </c>
      <c r="F58" s="13" t="n"/>
      <c r="G58" s="13">
        <f>IF($A58="","",$D58-$F58)</f>
        <v/>
      </c>
      <c r="H58" s="12" t="n"/>
      <c r="I58" s="12" t="n"/>
    </row>
    <row r="59">
      <c r="B59" s="10" t="n"/>
      <c r="C59" s="10" t="n"/>
      <c r="D59" s="10" t="n"/>
      <c r="E59" s="10">
        <f>IF($A59="","",$B59-$D59)</f>
        <v/>
      </c>
      <c r="F59" s="10" t="n"/>
      <c r="G59" s="10">
        <f>IF($A59="","",$D59-$F59)</f>
        <v/>
      </c>
    </row>
    <row r="60">
      <c r="A60" s="12" t="n"/>
      <c r="B60" s="13" t="n"/>
      <c r="C60" s="13" t="n"/>
      <c r="D60" s="13" t="n"/>
      <c r="E60" s="13">
        <f>IF($A60="","",$B60-$D60)</f>
        <v/>
      </c>
      <c r="F60" s="13" t="n"/>
      <c r="G60" s="13">
        <f>IF($A60="","",$D60-$F60)</f>
        <v/>
      </c>
      <c r="H60" s="12" t="n"/>
      <c r="I60" s="12" t="n"/>
    </row>
    <row r="61">
      <c r="B61" s="10" t="n"/>
      <c r="C61" s="10" t="n"/>
      <c r="D61" s="10" t="n"/>
      <c r="E61" s="10">
        <f>IF($A61="","",$B61-$D61)</f>
        <v/>
      </c>
      <c r="F61" s="10" t="n"/>
      <c r="G61" s="10">
        <f>IF($A61="","",$D61-$F61)</f>
        <v/>
      </c>
    </row>
    <row r="62">
      <c r="A62" s="12" t="n"/>
      <c r="B62" s="13" t="n"/>
      <c r="C62" s="13" t="n"/>
      <c r="D62" s="13" t="n"/>
      <c r="E62" s="13">
        <f>IF($A62="","",$B62-$D62)</f>
        <v/>
      </c>
      <c r="F62" s="13" t="n"/>
      <c r="G62" s="13">
        <f>IF($A62="","",$D62-$F62)</f>
        <v/>
      </c>
      <c r="H62" s="12" t="n"/>
      <c r="I62" s="12" t="n"/>
    </row>
    <row r="63">
      <c r="B63" s="10" t="n"/>
      <c r="C63" s="10" t="n"/>
      <c r="D63" s="10" t="n"/>
      <c r="E63" s="10">
        <f>IF($A63="","",$B63-$D63)</f>
        <v/>
      </c>
      <c r="F63" s="10" t="n"/>
      <c r="G63" s="10">
        <f>IF($A63="","",$D63-$F63)</f>
        <v/>
      </c>
    </row>
    <row r="64">
      <c r="A64" s="12" t="n"/>
      <c r="B64" s="13" t="n"/>
      <c r="C64" s="13" t="n"/>
      <c r="D64" s="13" t="n"/>
      <c r="E64" s="13">
        <f>IF($A64="","",$B64-$D64)</f>
        <v/>
      </c>
      <c r="F64" s="13" t="n"/>
      <c r="G64" s="13">
        <f>IF($A64="","",$D64-$F64)</f>
        <v/>
      </c>
      <c r="H64" s="12" t="n"/>
      <c r="I64" s="12" t="n"/>
    </row>
    <row r="65">
      <c r="B65" s="10" t="n"/>
      <c r="C65" s="10" t="n"/>
      <c r="D65" s="10" t="n"/>
      <c r="E65" s="10">
        <f>IF($A65="","",$B65-$D65)</f>
        <v/>
      </c>
      <c r="F65" s="10" t="n"/>
      <c r="G65" s="10">
        <f>IF($A65="","",$D65-$F65)</f>
        <v/>
      </c>
    </row>
    <row r="66">
      <c r="A66" s="12" t="n"/>
      <c r="B66" s="13" t="n"/>
      <c r="C66" s="13" t="n"/>
      <c r="D66" s="13" t="n"/>
      <c r="E66" s="13">
        <f>IF($A66="","",$B66-$D66)</f>
        <v/>
      </c>
      <c r="F66" s="13" t="n"/>
      <c r="G66" s="13">
        <f>IF($A66="","",$D66-$F66)</f>
        <v/>
      </c>
      <c r="H66" s="12" t="n"/>
      <c r="I66" s="12" t="n"/>
    </row>
    <row r="67">
      <c r="B67" s="10" t="n"/>
      <c r="C67" s="10" t="n"/>
      <c r="D67" s="10" t="n"/>
      <c r="E67" s="10">
        <f>IF($A67="","",$B67-$D67)</f>
        <v/>
      </c>
      <c r="F67" s="10" t="n"/>
      <c r="G67" s="10">
        <f>IF($A67="","",$D67-$F67)</f>
        <v/>
      </c>
    </row>
    <row r="68">
      <c r="A68" s="12" t="n"/>
      <c r="B68" s="13" t="n"/>
      <c r="C68" s="13" t="n"/>
      <c r="D68" s="13" t="n"/>
      <c r="E68" s="13">
        <f>IF($A68="","",$B68-$D68)</f>
        <v/>
      </c>
      <c r="F68" s="13" t="n"/>
      <c r="G68" s="13">
        <f>IF($A68="","",$D68-$F68)</f>
        <v/>
      </c>
      <c r="H68" s="12" t="n"/>
      <c r="I68" s="12" t="n"/>
    </row>
    <row r="69">
      <c r="B69" s="10" t="n"/>
      <c r="C69" s="10" t="n"/>
      <c r="D69" s="10" t="n"/>
      <c r="E69" s="10">
        <f>IF($A69="","",$B69-$D69)</f>
        <v/>
      </c>
      <c r="F69" s="10" t="n"/>
      <c r="G69" s="10">
        <f>IF($A69="","",$D69-$F69)</f>
        <v/>
      </c>
    </row>
    <row r="70">
      <c r="A70" s="12" t="n"/>
      <c r="B70" s="13" t="n"/>
      <c r="C70" s="13" t="n"/>
      <c r="D70" s="13" t="n"/>
      <c r="E70" s="13">
        <f>IF($A70="","",$B70-$D70)</f>
        <v/>
      </c>
      <c r="F70" s="13" t="n"/>
      <c r="G70" s="13">
        <f>IF($A70="","",$D70-$F70)</f>
        <v/>
      </c>
      <c r="H70" s="12" t="n"/>
      <c r="I70" s="12" t="n"/>
    </row>
    <row r="71">
      <c r="B71" s="10" t="n"/>
      <c r="C71" s="10" t="n"/>
      <c r="D71" s="10" t="n"/>
      <c r="E71" s="10">
        <f>IF($A71="","",$B71-$D71)</f>
        <v/>
      </c>
      <c r="F71" s="10" t="n"/>
      <c r="G71" s="10">
        <f>IF($A71="","",$D71-$F71)</f>
        <v/>
      </c>
    </row>
    <row r="72">
      <c r="A72" s="12" t="n"/>
      <c r="B72" s="13" t="n"/>
      <c r="C72" s="13" t="n"/>
      <c r="D72" s="13" t="n"/>
      <c r="E72" s="13">
        <f>IF($A72="","",$B72-$D72)</f>
        <v/>
      </c>
      <c r="F72" s="13" t="n"/>
      <c r="G72" s="13">
        <f>IF($A72="","",$D72-$F72)</f>
        <v/>
      </c>
      <c r="H72" s="12" t="n"/>
      <c r="I72" s="12" t="n"/>
    </row>
    <row r="73">
      <c r="B73" s="10" t="n"/>
      <c r="C73" s="10" t="n"/>
      <c r="D73" s="10" t="n"/>
      <c r="E73" s="10">
        <f>IF($A73="","",$B73-$D73)</f>
        <v/>
      </c>
      <c r="F73" s="10" t="n"/>
      <c r="G73" s="10">
        <f>IF($A73="","",$D73-$F73)</f>
        <v/>
      </c>
    </row>
    <row r="74">
      <c r="A74" s="12" t="n"/>
      <c r="B74" s="13" t="n"/>
      <c r="C74" s="13" t="n"/>
      <c r="D74" s="13" t="n"/>
      <c r="E74" s="13">
        <f>IF($A74="","",$B74-$D74)</f>
        <v/>
      </c>
      <c r="F74" s="13" t="n"/>
      <c r="G74" s="13">
        <f>IF($A74="","",$D74-$F74)</f>
        <v/>
      </c>
      <c r="H74" s="12" t="n"/>
      <c r="I74" s="12" t="n"/>
    </row>
    <row r="75">
      <c r="B75" s="10" t="n"/>
      <c r="C75" s="10" t="n"/>
      <c r="D75" s="10" t="n"/>
      <c r="E75" s="10">
        <f>IF($A75="","",$B75-$D75)</f>
        <v/>
      </c>
      <c r="F75" s="10" t="n"/>
      <c r="G75" s="10">
        <f>IF($A75="","",$D75-$F75)</f>
        <v/>
      </c>
    </row>
    <row r="76">
      <c r="A76" s="12" t="n"/>
      <c r="B76" s="13" t="n"/>
      <c r="C76" s="13" t="n"/>
      <c r="D76" s="13" t="n"/>
      <c r="E76" s="13">
        <f>IF($A76="","",$B76-$D76)</f>
        <v/>
      </c>
      <c r="F76" s="13" t="n"/>
      <c r="G76" s="13">
        <f>IF($A76="","",$D76-$F76)</f>
        <v/>
      </c>
      <c r="H76" s="12" t="n"/>
      <c r="I76" s="12" t="n"/>
    </row>
    <row r="77">
      <c r="B77" s="10" t="n"/>
      <c r="C77" s="10" t="n"/>
      <c r="D77" s="10" t="n"/>
      <c r="E77" s="10">
        <f>IF($A77="","",$B77-$D77)</f>
        <v/>
      </c>
      <c r="F77" s="10" t="n"/>
      <c r="G77" s="10">
        <f>IF($A77="","",$D77-$F77)</f>
        <v/>
      </c>
    </row>
    <row r="78">
      <c r="A78" s="12" t="n"/>
      <c r="B78" s="13" t="n"/>
      <c r="C78" s="13" t="n"/>
      <c r="D78" s="13" t="n"/>
      <c r="E78" s="13">
        <f>IF($A78="","",$B78-$D78)</f>
        <v/>
      </c>
      <c r="F78" s="13" t="n"/>
      <c r="G78" s="13">
        <f>IF($A78="","",$D78-$F78)</f>
        <v/>
      </c>
      <c r="H78" s="12" t="n"/>
      <c r="I78" s="12" t="n"/>
    </row>
    <row r="79">
      <c r="B79" s="10" t="n"/>
      <c r="C79" s="10" t="n"/>
      <c r="D79" s="10" t="n"/>
      <c r="E79" s="10">
        <f>IF($A79="","",$B79-$D79)</f>
        <v/>
      </c>
      <c r="F79" s="10" t="n"/>
      <c r="G79" s="10">
        <f>IF($A79="","",$D79-$F79)</f>
        <v/>
      </c>
    </row>
    <row r="80">
      <c r="A80" s="12" t="n"/>
      <c r="B80" s="13" t="n"/>
      <c r="C80" s="13" t="n"/>
      <c r="D80" s="13" t="n"/>
      <c r="E80" s="13">
        <f>IF($A80="","",$B80-$D80)</f>
        <v/>
      </c>
      <c r="F80" s="13" t="n"/>
      <c r="G80" s="13">
        <f>IF($A80="","",$D80-$F80)</f>
        <v/>
      </c>
      <c r="H80" s="12" t="n"/>
      <c r="I80" s="12" t="n"/>
    </row>
    <row r="81">
      <c r="B81" s="10" t="n"/>
      <c r="C81" s="10" t="n"/>
      <c r="D81" s="10" t="n"/>
      <c r="E81" s="10">
        <f>IF($A81="","",$B81-$D81)</f>
        <v/>
      </c>
      <c r="F81" s="10" t="n"/>
      <c r="G81" s="10">
        <f>IF($A81="","",$D81-$F81)</f>
        <v/>
      </c>
    </row>
    <row r="82">
      <c r="A82" s="12" t="n"/>
      <c r="B82" s="13" t="n"/>
      <c r="C82" s="13" t="n"/>
      <c r="D82" s="13" t="n"/>
      <c r="E82" s="13">
        <f>IF($A82="","",$B82-$D82)</f>
        <v/>
      </c>
      <c r="F82" s="13" t="n"/>
      <c r="G82" s="13">
        <f>IF($A82="","",$D82-$F82)</f>
        <v/>
      </c>
      <c r="H82" s="12" t="n"/>
      <c r="I82" s="12" t="n"/>
    </row>
    <row r="83">
      <c r="B83" s="10" t="n"/>
      <c r="C83" s="10" t="n"/>
      <c r="D83" s="10" t="n"/>
      <c r="E83" s="10">
        <f>IF($A83="","",$B83-$D83)</f>
        <v/>
      </c>
      <c r="F83" s="10" t="n"/>
      <c r="G83" s="10">
        <f>IF($A83="","",$D83-$F83)</f>
        <v/>
      </c>
    </row>
    <row r="84">
      <c r="A84" s="12" t="n"/>
      <c r="B84" s="13" t="n"/>
      <c r="C84" s="13" t="n"/>
      <c r="D84" s="13" t="n"/>
      <c r="E84" s="13">
        <f>IF($A84="","",$B84-$D84)</f>
        <v/>
      </c>
      <c r="F84" s="13" t="n"/>
      <c r="G84" s="13">
        <f>IF($A84="","",$D84-$F84)</f>
        <v/>
      </c>
      <c r="H84" s="12" t="n"/>
      <c r="I84" s="12" t="n"/>
    </row>
    <row r="85">
      <c r="B85" s="10" t="n"/>
      <c r="C85" s="10" t="n"/>
      <c r="D85" s="10" t="n"/>
      <c r="E85" s="10">
        <f>IF($A85="","",$B85-$D85)</f>
        <v/>
      </c>
      <c r="F85" s="10" t="n"/>
      <c r="G85" s="10">
        <f>IF($A85="","",$D85-$F85)</f>
        <v/>
      </c>
    </row>
    <row r="86">
      <c r="A86" s="12" t="n"/>
      <c r="B86" s="13" t="n"/>
      <c r="C86" s="13" t="n"/>
      <c r="D86" s="13" t="n"/>
      <c r="E86" s="13">
        <f>IF($A86="","",$B86-$D86)</f>
        <v/>
      </c>
      <c r="F86" s="13" t="n"/>
      <c r="G86" s="13">
        <f>IF($A86="","",$D86-$F86)</f>
        <v/>
      </c>
      <c r="H86" s="12" t="n"/>
      <c r="I86" s="12" t="n"/>
    </row>
    <row r="87">
      <c r="B87" s="10" t="n"/>
      <c r="C87" s="10" t="n"/>
      <c r="D87" s="10" t="n"/>
      <c r="E87" s="10">
        <f>IF($A87="","",$B87-$D87)</f>
        <v/>
      </c>
      <c r="F87" s="10" t="n"/>
      <c r="G87" s="10">
        <f>IF($A87="","",$D87-$F87)</f>
        <v/>
      </c>
    </row>
    <row r="88">
      <c r="A88" s="12" t="n"/>
      <c r="B88" s="13" t="n"/>
      <c r="C88" s="13" t="n"/>
      <c r="D88" s="13" t="n"/>
      <c r="E88" s="13">
        <f>IF($A88="","",$B88-$D88)</f>
        <v/>
      </c>
      <c r="F88" s="13" t="n"/>
      <c r="G88" s="13">
        <f>IF($A88="","",$D88-$F88)</f>
        <v/>
      </c>
      <c r="H88" s="12" t="n"/>
      <c r="I88" s="12" t="n"/>
    </row>
    <row r="89">
      <c r="B89" s="10" t="n"/>
      <c r="C89" s="10" t="n"/>
      <c r="D89" s="10" t="n"/>
      <c r="E89" s="10">
        <f>IF($A89="","",$B89-$D89)</f>
        <v/>
      </c>
      <c r="F89" s="10" t="n"/>
      <c r="G89" s="10">
        <f>IF($A89="","",$D89-$F89)</f>
        <v/>
      </c>
    </row>
    <row r="90">
      <c r="A90" s="12" t="n"/>
      <c r="B90" s="13" t="n"/>
      <c r="C90" s="13" t="n"/>
      <c r="D90" s="13" t="n"/>
      <c r="E90" s="13">
        <f>IF($A90="","",$B90-$D90)</f>
        <v/>
      </c>
      <c r="F90" s="13" t="n"/>
      <c r="G90" s="13">
        <f>IF($A90="","",$D90-$F90)</f>
        <v/>
      </c>
      <c r="H90" s="12" t="n"/>
      <c r="I90" s="12" t="n"/>
    </row>
    <row r="91">
      <c r="B91" s="10" t="n"/>
      <c r="C91" s="10" t="n"/>
      <c r="D91" s="10" t="n"/>
      <c r="E91" s="10">
        <f>IF($A91="","",$B91-$D91)</f>
        <v/>
      </c>
      <c r="F91" s="10" t="n"/>
      <c r="G91" s="10">
        <f>IF($A91="","",$D91-$F91)</f>
        <v/>
      </c>
    </row>
    <row r="92">
      <c r="A92" s="12" t="n"/>
      <c r="B92" s="13" t="n"/>
      <c r="C92" s="13" t="n"/>
      <c r="D92" s="13" t="n"/>
      <c r="E92" s="13">
        <f>IF($A92="","",$B92-$D92)</f>
        <v/>
      </c>
      <c r="F92" s="13" t="n"/>
      <c r="G92" s="13">
        <f>IF($A92="","",$D92-$F92)</f>
        <v/>
      </c>
      <c r="H92" s="12" t="n"/>
      <c r="I92" s="12" t="n"/>
    </row>
    <row r="93">
      <c r="B93" s="10" t="n"/>
      <c r="C93" s="10" t="n"/>
      <c r="D93" s="10" t="n"/>
      <c r="E93" s="10">
        <f>IF($A93="","",$B93-$D93)</f>
        <v/>
      </c>
      <c r="F93" s="10" t="n"/>
      <c r="G93" s="10">
        <f>IF($A93="","",$D93-$F93)</f>
        <v/>
      </c>
    </row>
    <row r="94">
      <c r="A94" s="12" t="n"/>
      <c r="B94" s="13" t="n"/>
      <c r="C94" s="13" t="n"/>
      <c r="D94" s="13" t="n"/>
      <c r="E94" s="13">
        <f>IF($A94="","",$B94-$D94)</f>
        <v/>
      </c>
      <c r="F94" s="13" t="n"/>
      <c r="G94" s="13">
        <f>IF($A94="","",$D94-$F94)</f>
        <v/>
      </c>
      <c r="H94" s="12" t="n"/>
      <c r="I94" s="12" t="n"/>
    </row>
    <row r="95">
      <c r="B95" s="10" t="n"/>
      <c r="C95" s="10" t="n"/>
      <c r="D95" s="10" t="n"/>
      <c r="E95" s="10">
        <f>IF($A95="","",$B95-$D95)</f>
        <v/>
      </c>
      <c r="F95" s="10" t="n"/>
      <c r="G95" s="10">
        <f>IF($A95="","",$D95-$F95)</f>
        <v/>
      </c>
    </row>
    <row r="96">
      <c r="A96" s="12" t="n"/>
      <c r="B96" s="13" t="n"/>
      <c r="C96" s="13" t="n"/>
      <c r="D96" s="13" t="n"/>
      <c r="E96" s="13">
        <f>IF($A96="","",$B96-$D96)</f>
        <v/>
      </c>
      <c r="F96" s="13" t="n"/>
      <c r="G96" s="13">
        <f>IF($A96="","",$D96-$F96)</f>
        <v/>
      </c>
      <c r="H96" s="12" t="n"/>
      <c r="I96" s="12" t="n"/>
    </row>
    <row r="97">
      <c r="B97" s="10" t="n"/>
      <c r="C97" s="10" t="n"/>
      <c r="D97" s="10" t="n"/>
      <c r="E97" s="10">
        <f>IF($A97="","",$B97-$D97)</f>
        <v/>
      </c>
      <c r="F97" s="10" t="n"/>
      <c r="G97" s="10">
        <f>IF($A97="","",$D97-$F97)</f>
        <v/>
      </c>
    </row>
    <row r="98">
      <c r="A98" s="12" t="n"/>
      <c r="B98" s="13" t="n"/>
      <c r="C98" s="13" t="n"/>
      <c r="D98" s="13" t="n"/>
      <c r="E98" s="13">
        <f>IF($A98="","",$B98-$D98)</f>
        <v/>
      </c>
      <c r="F98" s="13" t="n"/>
      <c r="G98" s="13">
        <f>IF($A98="","",$D98-$F98)</f>
        <v/>
      </c>
      <c r="H98" s="12" t="n"/>
      <c r="I98" s="12" t="n"/>
    </row>
    <row r="99">
      <c r="B99" s="10" t="n"/>
      <c r="C99" s="10" t="n"/>
      <c r="D99" s="10" t="n"/>
      <c r="E99" s="10">
        <f>IF($A99="","",$B99-$D99)</f>
        <v/>
      </c>
      <c r="F99" s="10" t="n"/>
      <c r="G99" s="10">
        <f>IF($A99="","",$D99-$F99)</f>
        <v/>
      </c>
    </row>
    <row r="100">
      <c r="A100" s="12" t="n"/>
      <c r="B100" s="13" t="n"/>
      <c r="C100" s="13" t="n"/>
      <c r="D100" s="13" t="n"/>
      <c r="E100" s="13">
        <f>IF($A100="","",$B100-$D100)</f>
        <v/>
      </c>
      <c r="F100" s="13" t="n"/>
      <c r="G100" s="13">
        <f>IF($A100="","",$D100-$F100)</f>
        <v/>
      </c>
      <c r="H100" s="12" t="n"/>
      <c r="I100" s="12" t="n"/>
    </row>
    <row r="101">
      <c r="B101" s="10" t="n"/>
      <c r="C101" s="10" t="n"/>
      <c r="D101" s="10" t="n"/>
      <c r="E101" s="10">
        <f>IF($A101="","",$B101-$D101)</f>
        <v/>
      </c>
      <c r="F101" s="10" t="n"/>
      <c r="G101" s="10">
        <f>IF($A101="","",$D101-$F101)</f>
        <v/>
      </c>
    </row>
    <row r="102">
      <c r="A102" s="12" t="n"/>
      <c r="B102" s="13" t="n"/>
      <c r="C102" s="13" t="n"/>
      <c r="D102" s="13" t="n"/>
      <c r="E102" s="13">
        <f>IF($A102="","",$B102-$D102)</f>
        <v/>
      </c>
      <c r="F102" s="13" t="n"/>
      <c r="G102" s="13">
        <f>IF($A102="","",$D102-$F102)</f>
        <v/>
      </c>
      <c r="H102" s="12" t="n"/>
      <c r="I102" s="12" t="n"/>
    </row>
    <row r="103">
      <c r="B103" s="10" t="n"/>
      <c r="C103" s="10" t="n"/>
      <c r="D103" s="10" t="n"/>
      <c r="E103" s="10">
        <f>IF($A103="","",$B103-$D103)</f>
        <v/>
      </c>
      <c r="F103" s="10" t="n"/>
      <c r="G103" s="10">
        <f>IF($A103="","",$D103-$F103)</f>
        <v/>
      </c>
    </row>
    <row r="104">
      <c r="A104" s="12" t="n"/>
      <c r="B104" s="13" t="n"/>
      <c r="C104" s="13" t="n"/>
      <c r="D104" s="13" t="n"/>
      <c r="E104" s="13">
        <f>IF($A104="","",$B104-$D104)</f>
        <v/>
      </c>
      <c r="F104" s="13" t="n"/>
      <c r="G104" s="13">
        <f>IF($A104="","",$D104-$F104)</f>
        <v/>
      </c>
      <c r="H104" s="12" t="n"/>
      <c r="I104" s="12" t="n"/>
    </row>
    <row r="105">
      <c r="B105" s="10" t="n"/>
      <c r="C105" s="10" t="n"/>
      <c r="D105" s="10" t="n"/>
      <c r="E105" s="10">
        <f>IF($A105="","",$B105-$D105)</f>
        <v/>
      </c>
      <c r="F105" s="10" t="n"/>
      <c r="G105" s="10">
        <f>IF($A105="","",$D105-$F105)</f>
        <v/>
      </c>
    </row>
    <row r="106">
      <c r="A106" s="12" t="n"/>
      <c r="B106" s="13" t="n"/>
      <c r="C106" s="13" t="n"/>
      <c r="D106" s="13" t="n"/>
      <c r="E106" s="13">
        <f>IF($A106="","",$B106-$D106)</f>
        <v/>
      </c>
      <c r="F106" s="13" t="n"/>
      <c r="G106" s="13">
        <f>IF($A106="","",$D106-$F106)</f>
        <v/>
      </c>
      <c r="H106" s="12" t="n"/>
      <c r="I106" s="12" t="n"/>
    </row>
    <row r="107">
      <c r="B107" s="10" t="n"/>
      <c r="C107" s="10" t="n"/>
      <c r="D107" s="10" t="n"/>
      <c r="E107" s="10">
        <f>IF($A107="","",$B107-$D107)</f>
        <v/>
      </c>
      <c r="F107" s="10" t="n"/>
      <c r="G107" s="10">
        <f>IF($A107="","",$D107-$F107)</f>
        <v/>
      </c>
    </row>
    <row r="108">
      <c r="A108" s="12" t="n"/>
      <c r="B108" s="13" t="n"/>
      <c r="C108" s="13" t="n"/>
      <c r="D108" s="13" t="n"/>
      <c r="E108" s="13">
        <f>IF($A108="","",$B108-$D108)</f>
        <v/>
      </c>
      <c r="F108" s="13" t="n"/>
      <c r="G108" s="13">
        <f>IF($A108="","",$D108-$F108)</f>
        <v/>
      </c>
      <c r="H108" s="12" t="n"/>
      <c r="I108" s="12" t="n"/>
    </row>
    <row r="109">
      <c r="B109" s="10" t="n"/>
      <c r="C109" s="10" t="n"/>
      <c r="D109" s="10" t="n"/>
      <c r="E109" s="10">
        <f>IF($A109="","",$B109-$D109)</f>
        <v/>
      </c>
      <c r="F109" s="10" t="n"/>
      <c r="G109" s="10">
        <f>IF($A109="","",$D109-$F109)</f>
        <v/>
      </c>
    </row>
    <row r="110">
      <c r="A110" s="12" t="n"/>
      <c r="B110" s="13" t="n"/>
      <c r="C110" s="13" t="n"/>
      <c r="D110" s="13" t="n"/>
      <c r="E110" s="13">
        <f>IF($A110="","",$B110-$D110)</f>
        <v/>
      </c>
      <c r="F110" s="13" t="n"/>
      <c r="G110" s="13">
        <f>IF($A110="","",$D110-$F110)</f>
        <v/>
      </c>
      <c r="H110" s="12" t="n"/>
      <c r="I110" s="12" t="n"/>
    </row>
    <row r="111">
      <c r="B111" s="10" t="n"/>
      <c r="C111" s="10" t="n"/>
      <c r="D111" s="10" t="n"/>
      <c r="E111" s="10">
        <f>IF($A111="","",$B111-$D111)</f>
        <v/>
      </c>
      <c r="F111" s="10" t="n"/>
      <c r="G111" s="10">
        <f>IF($A111="","",$D111-$F111)</f>
        <v/>
      </c>
    </row>
    <row r="112">
      <c r="A112" s="12" t="n"/>
      <c r="B112" s="13" t="n"/>
      <c r="C112" s="13" t="n"/>
      <c r="D112" s="13" t="n"/>
      <c r="E112" s="13">
        <f>IF($A112="","",$B112-$D112)</f>
        <v/>
      </c>
      <c r="F112" s="13" t="n"/>
      <c r="G112" s="13">
        <f>IF($A112="","",$D112-$F112)</f>
        <v/>
      </c>
      <c r="H112" s="12" t="n"/>
      <c r="I112" s="12" t="n"/>
    </row>
    <row r="113">
      <c r="B113" s="10" t="n"/>
      <c r="C113" s="10" t="n"/>
      <c r="D113" s="10" t="n"/>
      <c r="E113" s="10">
        <f>IF($A113="","",$B113-$D113)</f>
        <v/>
      </c>
      <c r="F113" s="10" t="n"/>
      <c r="G113" s="10">
        <f>IF($A113="","",$D113-$F113)</f>
        <v/>
      </c>
    </row>
    <row r="114">
      <c r="A114" s="12" t="n"/>
      <c r="B114" s="13" t="n"/>
      <c r="C114" s="13" t="n"/>
      <c r="D114" s="13" t="n"/>
      <c r="E114" s="13">
        <f>IF($A114="","",$B114-$D114)</f>
        <v/>
      </c>
      <c r="F114" s="13" t="n"/>
      <c r="G114" s="13">
        <f>IF($A114="","",$D114-$F114)</f>
        <v/>
      </c>
      <c r="H114" s="12" t="n"/>
      <c r="I114" s="12" t="n"/>
    </row>
    <row r="115">
      <c r="B115" s="10" t="n"/>
      <c r="C115" s="10" t="n"/>
      <c r="D115" s="10" t="n"/>
      <c r="E115" s="10">
        <f>IF($A115="","",$B115-$D115)</f>
        <v/>
      </c>
      <c r="F115" s="10" t="n"/>
      <c r="G115" s="10">
        <f>IF($A115="","",$D115-$F115)</f>
        <v/>
      </c>
    </row>
    <row r="116">
      <c r="A116" s="12" t="n"/>
      <c r="B116" s="13" t="n"/>
      <c r="C116" s="13" t="n"/>
      <c r="D116" s="13" t="n"/>
      <c r="E116" s="13">
        <f>IF($A116="","",$B116-$D116)</f>
        <v/>
      </c>
      <c r="F116" s="13" t="n"/>
      <c r="G116" s="13">
        <f>IF($A116="","",$D116-$F116)</f>
        <v/>
      </c>
      <c r="H116" s="12" t="n"/>
      <c r="I116" s="12" t="n"/>
    </row>
    <row r="117">
      <c r="B117" s="10" t="n"/>
      <c r="C117" s="10" t="n"/>
      <c r="D117" s="10" t="n"/>
      <c r="E117" s="10">
        <f>IF($A117="","",$B117-$D117)</f>
        <v/>
      </c>
      <c r="F117" s="10" t="n"/>
      <c r="G117" s="10">
        <f>IF($A117="","",$D117-$F117)</f>
        <v/>
      </c>
    </row>
    <row r="118">
      <c r="A118" s="12" t="n"/>
      <c r="B118" s="13" t="n"/>
      <c r="C118" s="13" t="n"/>
      <c r="D118" s="13" t="n"/>
      <c r="E118" s="13">
        <f>IF($A118="","",$B118-$D118)</f>
        <v/>
      </c>
      <c r="F118" s="13" t="n"/>
      <c r="G118" s="13">
        <f>IF($A118="","",$D118-$F118)</f>
        <v/>
      </c>
      <c r="H118" s="12" t="n"/>
      <c r="I118" s="12" t="n"/>
    </row>
    <row r="119">
      <c r="B119" s="10" t="n"/>
      <c r="C119" s="10" t="n"/>
      <c r="D119" s="10" t="n"/>
      <c r="E119" s="10">
        <f>IF($A119="","",$B119-$D119)</f>
        <v/>
      </c>
      <c r="F119" s="10" t="n"/>
      <c r="G119" s="10">
        <f>IF($A119="","",$D119-$F119)</f>
        <v/>
      </c>
    </row>
    <row r="120">
      <c r="A120" s="12" t="n"/>
      <c r="B120" s="13" t="n"/>
      <c r="C120" s="13" t="n"/>
      <c r="D120" s="13" t="n"/>
      <c r="E120" s="13">
        <f>IF($A120="","",$B120-$D120)</f>
        <v/>
      </c>
      <c r="F120" s="13" t="n"/>
      <c r="G120" s="13">
        <f>IF($A120="","",$D120-$F120)</f>
        <v/>
      </c>
      <c r="H120" s="12" t="n"/>
      <c r="I120" s="12" t="n"/>
    </row>
    <row r="121">
      <c r="B121" s="10" t="n"/>
      <c r="C121" s="10" t="n"/>
      <c r="D121" s="10" t="n"/>
      <c r="E121" s="10">
        <f>IF($A121="","",$B121-$D121)</f>
        <v/>
      </c>
      <c r="F121" s="10" t="n"/>
      <c r="G121" s="10">
        <f>IF($A121="","",$D121-$F121)</f>
        <v/>
      </c>
    </row>
    <row r="122">
      <c r="A122" s="12" t="n"/>
      <c r="B122" s="13" t="n"/>
      <c r="C122" s="13" t="n"/>
      <c r="D122" s="13" t="n"/>
      <c r="E122" s="13">
        <f>IF($A122="","",$B122-$D122)</f>
        <v/>
      </c>
      <c r="F122" s="13" t="n"/>
      <c r="G122" s="13">
        <f>IF($A122="","",$D122-$F122)</f>
        <v/>
      </c>
      <c r="H122" s="12" t="n"/>
      <c r="I122" s="12" t="n"/>
    </row>
    <row r="123">
      <c r="B123" s="10" t="n"/>
      <c r="C123" s="10" t="n"/>
      <c r="D123" s="10" t="n"/>
      <c r="E123" s="10">
        <f>IF($A123="","",$B123-$D123)</f>
        <v/>
      </c>
      <c r="F123" s="10" t="n"/>
      <c r="G123" s="10">
        <f>IF($A123="","",$D123-$F123)</f>
        <v/>
      </c>
    </row>
    <row r="124">
      <c r="A124" s="12" t="n"/>
      <c r="B124" s="13" t="n"/>
      <c r="C124" s="13" t="n"/>
      <c r="D124" s="13" t="n"/>
      <c r="E124" s="13">
        <f>IF($A124="","",$B124-$D124)</f>
        <v/>
      </c>
      <c r="F124" s="13" t="n"/>
      <c r="G124" s="13">
        <f>IF($A124="","",$D124-$F124)</f>
        <v/>
      </c>
      <c r="H124" s="12" t="n"/>
      <c r="I124" s="12" t="n"/>
    </row>
    <row r="125">
      <c r="B125" s="10" t="n"/>
      <c r="C125" s="10" t="n"/>
      <c r="D125" s="10" t="n"/>
      <c r="E125" s="10">
        <f>IF($A125="","",$B125-$D125)</f>
        <v/>
      </c>
      <c r="F125" s="10" t="n"/>
      <c r="G125" s="10">
        <f>IF($A125="","",$D125-$F125)</f>
        <v/>
      </c>
    </row>
    <row r="126">
      <c r="A126" s="12" t="n"/>
      <c r="B126" s="13" t="n"/>
      <c r="C126" s="13" t="n"/>
      <c r="D126" s="13" t="n"/>
      <c r="E126" s="13">
        <f>IF($A126="","",$B126-$D126)</f>
        <v/>
      </c>
      <c r="F126" s="13" t="n"/>
      <c r="G126" s="13">
        <f>IF($A126="","",$D126-$F126)</f>
        <v/>
      </c>
      <c r="H126" s="12" t="n"/>
      <c r="I126" s="12" t="n"/>
    </row>
    <row r="127">
      <c r="B127" s="10" t="n"/>
      <c r="C127" s="10" t="n"/>
      <c r="D127" s="10" t="n"/>
      <c r="E127" s="10">
        <f>IF($A127="","",$B127-$D127)</f>
        <v/>
      </c>
      <c r="F127" s="10" t="n"/>
      <c r="G127" s="10">
        <f>IF($A127="","",$D127-$F127)</f>
        <v/>
      </c>
    </row>
    <row r="128">
      <c r="A128" s="12" t="n"/>
      <c r="B128" s="13" t="n"/>
      <c r="C128" s="13" t="n"/>
      <c r="D128" s="13" t="n"/>
      <c r="E128" s="13">
        <f>IF($A128="","",$B128-$D128)</f>
        <v/>
      </c>
      <c r="F128" s="13" t="n"/>
      <c r="G128" s="13">
        <f>IF($A128="","",$D128-$F128)</f>
        <v/>
      </c>
      <c r="H128" s="12" t="n"/>
      <c r="I128" s="12" t="n"/>
    </row>
    <row r="129">
      <c r="B129" s="10" t="n"/>
      <c r="C129" s="10" t="n"/>
      <c r="D129" s="10" t="n"/>
      <c r="E129" s="10">
        <f>IF($A129="","",$B129-$D129)</f>
        <v/>
      </c>
      <c r="F129" s="10" t="n"/>
      <c r="G129" s="10">
        <f>IF($A129="","",$D129-$F129)</f>
        <v/>
      </c>
    </row>
    <row r="130">
      <c r="A130" s="12" t="n"/>
      <c r="B130" s="13" t="n"/>
      <c r="C130" s="13" t="n"/>
      <c r="D130" s="13" t="n"/>
      <c r="E130" s="13">
        <f>IF($A130="","",$B130-$D130)</f>
        <v/>
      </c>
      <c r="F130" s="13" t="n"/>
      <c r="G130" s="13">
        <f>IF($A130="","",$D130-$F130)</f>
        <v/>
      </c>
      <c r="H130" s="12" t="n"/>
      <c r="I130" s="12" t="n"/>
    </row>
    <row r="131">
      <c r="B131" s="10" t="n"/>
      <c r="C131" s="10" t="n"/>
      <c r="D131" s="10" t="n"/>
      <c r="E131" s="10">
        <f>IF($A131="","",$B131-$D131)</f>
        <v/>
      </c>
      <c r="F131" s="10" t="n"/>
      <c r="G131" s="10">
        <f>IF($A131="","",$D131-$F131)</f>
        <v/>
      </c>
    </row>
    <row r="132">
      <c r="A132" s="12" t="n"/>
      <c r="B132" s="13" t="n"/>
      <c r="C132" s="13" t="n"/>
      <c r="D132" s="13" t="n"/>
      <c r="E132" s="13">
        <f>IF($A132="","",$B132-$D132)</f>
        <v/>
      </c>
      <c r="F132" s="13" t="n"/>
      <c r="G132" s="13">
        <f>IF($A132="","",$D132-$F132)</f>
        <v/>
      </c>
      <c r="H132" s="12" t="n"/>
      <c r="I132" s="12" t="n"/>
    </row>
    <row r="133">
      <c r="B133" s="10" t="n"/>
      <c r="C133" s="10" t="n"/>
      <c r="D133" s="10" t="n"/>
      <c r="E133" s="10">
        <f>IF($A133="","",$B133-$D133)</f>
        <v/>
      </c>
      <c r="F133" s="10" t="n"/>
      <c r="G133" s="10">
        <f>IF($A133="","",$D133-$F133)</f>
        <v/>
      </c>
    </row>
    <row r="134">
      <c r="A134" s="12" t="n"/>
      <c r="B134" s="13" t="n"/>
      <c r="C134" s="13" t="n"/>
      <c r="D134" s="13" t="n"/>
      <c r="E134" s="13">
        <f>IF($A134="","",$B134-$D134)</f>
        <v/>
      </c>
      <c r="F134" s="13" t="n"/>
      <c r="G134" s="13">
        <f>IF($A134="","",$D134-$F134)</f>
        <v/>
      </c>
      <c r="H134" s="12" t="n"/>
      <c r="I134" s="12" t="n"/>
    </row>
    <row r="135">
      <c r="B135" s="10" t="n"/>
      <c r="C135" s="10" t="n"/>
      <c r="D135" s="10" t="n"/>
      <c r="E135" s="10">
        <f>IF($A135="","",$B135-$D135)</f>
        <v/>
      </c>
      <c r="F135" s="10" t="n"/>
      <c r="G135" s="10">
        <f>IF($A135="","",$D135-$F135)</f>
        <v/>
      </c>
    </row>
    <row r="136">
      <c r="A136" s="12" t="n"/>
      <c r="B136" s="13" t="n"/>
      <c r="C136" s="13" t="n"/>
      <c r="D136" s="13" t="n"/>
      <c r="E136" s="13">
        <f>IF($A136="","",$B136-$D136)</f>
        <v/>
      </c>
      <c r="F136" s="13" t="n"/>
      <c r="G136" s="13">
        <f>IF($A136="","",$D136-$F136)</f>
        <v/>
      </c>
      <c r="H136" s="12" t="n"/>
      <c r="I136" s="12" t="n"/>
    </row>
    <row r="137">
      <c r="B137" s="10" t="n"/>
      <c r="C137" s="10" t="n"/>
      <c r="D137" s="10" t="n"/>
      <c r="E137" s="10">
        <f>IF($A137="","",$B137-$D137)</f>
        <v/>
      </c>
      <c r="F137" s="10" t="n"/>
      <c r="G137" s="10">
        <f>IF($A137="","",$D137-$F137)</f>
        <v/>
      </c>
    </row>
    <row r="138">
      <c r="A138" s="12" t="n"/>
      <c r="B138" s="13" t="n"/>
      <c r="C138" s="13" t="n"/>
      <c r="D138" s="13" t="n"/>
      <c r="E138" s="13">
        <f>IF($A138="","",$B138-$D138)</f>
        <v/>
      </c>
      <c r="F138" s="13" t="n"/>
      <c r="G138" s="13">
        <f>IF($A138="","",$D138-$F138)</f>
        <v/>
      </c>
      <c r="H138" s="12" t="n"/>
      <c r="I138" s="12" t="n"/>
    </row>
    <row r="139">
      <c r="B139" s="10" t="n"/>
      <c r="C139" s="10" t="n"/>
      <c r="D139" s="10" t="n"/>
      <c r="E139" s="10">
        <f>IF($A139="","",$B139-$D139)</f>
        <v/>
      </c>
      <c r="F139" s="10" t="n"/>
      <c r="G139" s="10">
        <f>IF($A139="","",$D139-$F139)</f>
        <v/>
      </c>
    </row>
    <row r="140">
      <c r="A140" s="12" t="n"/>
      <c r="B140" s="13" t="n"/>
      <c r="C140" s="13" t="n"/>
      <c r="D140" s="13" t="n"/>
      <c r="E140" s="13">
        <f>IF($A140="","",$B140-$D140)</f>
        <v/>
      </c>
      <c r="F140" s="13" t="n"/>
      <c r="G140" s="13">
        <f>IF($A140="","",$D140-$F140)</f>
        <v/>
      </c>
      <c r="H140" s="12" t="n"/>
      <c r="I140" s="12" t="n"/>
    </row>
    <row r="141">
      <c r="B141" s="10" t="n"/>
      <c r="C141" s="10" t="n"/>
      <c r="D141" s="10" t="n"/>
      <c r="E141" s="10">
        <f>IF($A141="","",$B141-$D141)</f>
        <v/>
      </c>
      <c r="F141" s="10" t="n"/>
      <c r="G141" s="10">
        <f>IF($A141="","",$D141-$F141)</f>
        <v/>
      </c>
    </row>
    <row r="142">
      <c r="A142" s="12" t="n"/>
      <c r="B142" s="13" t="n"/>
      <c r="C142" s="13" t="n"/>
      <c r="D142" s="13" t="n"/>
      <c r="E142" s="13">
        <f>IF($A142="","",$B142-$D142)</f>
        <v/>
      </c>
      <c r="F142" s="13" t="n"/>
      <c r="G142" s="13">
        <f>IF($A142="","",$D142-$F142)</f>
        <v/>
      </c>
      <c r="H142" s="12" t="n"/>
      <c r="I142" s="12" t="n"/>
    </row>
    <row r="143">
      <c r="B143" s="10" t="n"/>
      <c r="C143" s="10" t="n"/>
      <c r="D143" s="10" t="n"/>
      <c r="E143" s="10">
        <f>IF($A143="","",$B143-$D143)</f>
        <v/>
      </c>
      <c r="F143" s="10" t="n"/>
      <c r="G143" s="10">
        <f>IF($A143="","",$D143-$F143)</f>
        <v/>
      </c>
    </row>
    <row r="144">
      <c r="A144" s="12" t="n"/>
      <c r="B144" s="13" t="n"/>
      <c r="C144" s="13" t="n"/>
      <c r="D144" s="13" t="n"/>
      <c r="E144" s="13">
        <f>IF($A144="","",$B144-$D144)</f>
        <v/>
      </c>
      <c r="F144" s="13" t="n"/>
      <c r="G144" s="13">
        <f>IF($A144="","",$D144-$F144)</f>
        <v/>
      </c>
      <c r="H144" s="12" t="n"/>
      <c r="I144" s="12" t="n"/>
    </row>
    <row r="145">
      <c r="B145" s="10" t="n"/>
      <c r="C145" s="10" t="n"/>
      <c r="D145" s="10" t="n"/>
      <c r="E145" s="10">
        <f>IF($A145="","",$B145-$D145)</f>
        <v/>
      </c>
      <c r="F145" s="10" t="n"/>
      <c r="G145" s="10">
        <f>IF($A145="","",$D145-$F145)</f>
        <v/>
      </c>
    </row>
    <row r="146">
      <c r="A146" s="12" t="n"/>
      <c r="B146" s="13" t="n"/>
      <c r="C146" s="13" t="n"/>
      <c r="D146" s="13" t="n"/>
      <c r="E146" s="13">
        <f>IF($A146="","",$B146-$D146)</f>
        <v/>
      </c>
      <c r="F146" s="13" t="n"/>
      <c r="G146" s="13">
        <f>IF($A146="","",$D146-$F146)</f>
        <v/>
      </c>
      <c r="H146" s="12" t="n"/>
      <c r="I146" s="12" t="n"/>
    </row>
    <row r="147">
      <c r="B147" s="10" t="n"/>
      <c r="C147" s="10" t="n"/>
      <c r="D147" s="10" t="n"/>
      <c r="E147" s="10">
        <f>IF($A147="","",$B147-$D147)</f>
        <v/>
      </c>
      <c r="F147" s="10" t="n"/>
      <c r="G147" s="10">
        <f>IF($A147="","",$D147-$F147)</f>
        <v/>
      </c>
    </row>
    <row r="148">
      <c r="A148" s="12" t="n"/>
      <c r="B148" s="13" t="n"/>
      <c r="C148" s="13" t="n"/>
      <c r="D148" s="13" t="n"/>
      <c r="E148" s="13">
        <f>IF($A148="","",$B148-$D148)</f>
        <v/>
      </c>
      <c r="F148" s="13" t="n"/>
      <c r="G148" s="13">
        <f>IF($A148="","",$D148-$F148)</f>
        <v/>
      </c>
      <c r="H148" s="12" t="n"/>
      <c r="I148" s="12" t="n"/>
    </row>
    <row r="149">
      <c r="B149" s="10" t="n"/>
      <c r="C149" s="10" t="n"/>
      <c r="D149" s="10" t="n"/>
      <c r="E149" s="10">
        <f>IF($A149="","",$B149-$D149)</f>
        <v/>
      </c>
      <c r="F149" s="10" t="n"/>
      <c r="G149" s="10">
        <f>IF($A149="","",$D149-$F149)</f>
        <v/>
      </c>
    </row>
    <row r="150">
      <c r="A150" s="12" t="n"/>
      <c r="B150" s="13" t="n"/>
      <c r="C150" s="13" t="n"/>
      <c r="D150" s="13" t="n"/>
      <c r="E150" s="13">
        <f>IF($A150="","",$B150-$D150)</f>
        <v/>
      </c>
      <c r="F150" s="13" t="n"/>
      <c r="G150" s="13">
        <f>IF($A150="","",$D150-$F150)</f>
        <v/>
      </c>
      <c r="H150" s="12" t="n"/>
      <c r="I150" s="12" t="n"/>
    </row>
    <row r="151">
      <c r="B151" s="10" t="n"/>
      <c r="C151" s="10" t="n"/>
      <c r="D151" s="10" t="n"/>
      <c r="E151" s="10">
        <f>IF($A151="","",$B151-$D151)</f>
        <v/>
      </c>
      <c r="F151" s="10" t="n"/>
      <c r="G151" s="10">
        <f>IF($A151="","",$D151-$F151)</f>
        <v/>
      </c>
    </row>
    <row r="152">
      <c r="A152" s="12" t="n"/>
      <c r="B152" s="13" t="n"/>
      <c r="C152" s="13" t="n"/>
      <c r="D152" s="13" t="n"/>
      <c r="E152" s="13">
        <f>IF($A152="","",$B152-$D152)</f>
        <v/>
      </c>
      <c r="F152" s="13" t="n"/>
      <c r="G152" s="13">
        <f>IF($A152="","",$D152-$F152)</f>
        <v/>
      </c>
      <c r="H152" s="12" t="n"/>
      <c r="I152" s="12" t="n"/>
    </row>
    <row r="153">
      <c r="B153" s="10" t="n"/>
      <c r="C153" s="10" t="n"/>
      <c r="D153" s="10" t="n"/>
      <c r="E153" s="10">
        <f>IF($A153="","",$B153-$D153)</f>
        <v/>
      </c>
      <c r="F153" s="10" t="n"/>
      <c r="G153" s="10">
        <f>IF($A153="","",$D153-$F153)</f>
        <v/>
      </c>
    </row>
    <row r="154">
      <c r="A154" s="12" t="n"/>
      <c r="B154" s="13" t="n"/>
      <c r="C154" s="13" t="n"/>
      <c r="D154" s="13" t="n"/>
      <c r="E154" s="13">
        <f>IF($A154="","",$B154-$D154)</f>
        <v/>
      </c>
      <c r="F154" s="13" t="n"/>
      <c r="G154" s="13">
        <f>IF($A154="","",$D154-$F154)</f>
        <v/>
      </c>
      <c r="H154" s="12" t="n"/>
      <c r="I154" s="12" t="n"/>
    </row>
    <row r="155">
      <c r="B155" s="10" t="n"/>
      <c r="C155" s="10" t="n"/>
      <c r="D155" s="10" t="n"/>
      <c r="E155" s="10">
        <f>IF($A155="","",$B155-$D155)</f>
        <v/>
      </c>
      <c r="F155" s="10" t="n"/>
      <c r="G155" s="10">
        <f>IF($A155="","",$D155-$F155)</f>
        <v/>
      </c>
    </row>
    <row r="156">
      <c r="A156" s="12" t="n"/>
      <c r="B156" s="13" t="n"/>
      <c r="C156" s="13" t="n"/>
      <c r="D156" s="13" t="n"/>
      <c r="E156" s="13">
        <f>IF($A156="","",$B156-$D156)</f>
        <v/>
      </c>
      <c r="F156" s="13" t="n"/>
      <c r="G156" s="13">
        <f>IF($A156="","",$D156-$F156)</f>
        <v/>
      </c>
      <c r="H156" s="12" t="n"/>
      <c r="I156" s="12" t="n"/>
    </row>
    <row r="157">
      <c r="B157" s="10" t="n"/>
      <c r="C157" s="10" t="n"/>
      <c r="D157" s="10" t="n"/>
      <c r="E157" s="10">
        <f>IF($A157="","",$B157-$D157)</f>
        <v/>
      </c>
      <c r="F157" s="10" t="n"/>
      <c r="G157" s="10">
        <f>IF($A157="","",$D157-$F157)</f>
        <v/>
      </c>
    </row>
    <row r="158">
      <c r="A158" s="12" t="n"/>
      <c r="B158" s="13" t="n"/>
      <c r="C158" s="13" t="n"/>
      <c r="D158" s="13" t="n"/>
      <c r="E158" s="13">
        <f>IF($A158="","",$B158-$D158)</f>
        <v/>
      </c>
      <c r="F158" s="13" t="n"/>
      <c r="G158" s="13">
        <f>IF($A158="","",$D158-$F158)</f>
        <v/>
      </c>
      <c r="H158" s="12" t="n"/>
      <c r="I158" s="12" t="n"/>
    </row>
    <row r="159">
      <c r="B159" s="10" t="n"/>
      <c r="C159" s="10" t="n"/>
      <c r="D159" s="10" t="n"/>
      <c r="E159" s="10">
        <f>IF($A159="","",$B159-$D159)</f>
        <v/>
      </c>
      <c r="F159" s="10" t="n"/>
      <c r="G159" s="10">
        <f>IF($A159="","",$D159-$F159)</f>
        <v/>
      </c>
    </row>
    <row r="160">
      <c r="A160" s="12" t="n"/>
      <c r="B160" s="13" t="n"/>
      <c r="C160" s="13" t="n"/>
      <c r="D160" s="13" t="n"/>
      <c r="E160" s="13">
        <f>IF($A160="","",$B160-$D160)</f>
        <v/>
      </c>
      <c r="F160" s="13" t="n"/>
      <c r="G160" s="13">
        <f>IF($A160="","",$D160-$F160)</f>
        <v/>
      </c>
      <c r="H160" s="12" t="n"/>
      <c r="I160" s="12" t="n"/>
    </row>
    <row r="161">
      <c r="B161" s="10" t="n"/>
      <c r="C161" s="10" t="n"/>
      <c r="D161" s="10" t="n"/>
      <c r="E161" s="10">
        <f>IF($A161="","",$B161-$D161)</f>
        <v/>
      </c>
      <c r="F161" s="10" t="n"/>
      <c r="G161" s="10">
        <f>IF($A161="","",$D161-$F161)</f>
        <v/>
      </c>
    </row>
    <row r="162">
      <c r="A162" s="12" t="n"/>
      <c r="B162" s="13" t="n"/>
      <c r="C162" s="13" t="n"/>
      <c r="D162" s="13" t="n"/>
      <c r="E162" s="13">
        <f>IF($A162="","",$B162-$D162)</f>
        <v/>
      </c>
      <c r="F162" s="13" t="n"/>
      <c r="G162" s="13">
        <f>IF($A162="","",$D162-$F162)</f>
        <v/>
      </c>
      <c r="H162" s="12" t="n"/>
      <c r="I162" s="12" t="n"/>
    </row>
    <row r="163">
      <c r="B163" s="10" t="n"/>
      <c r="C163" s="10" t="n"/>
      <c r="D163" s="10" t="n"/>
      <c r="E163" s="10">
        <f>IF($A163="","",$B163-$D163)</f>
        <v/>
      </c>
      <c r="F163" s="10" t="n"/>
      <c r="G163" s="10">
        <f>IF($A163="","",$D163-$F163)</f>
        <v/>
      </c>
    </row>
    <row r="164">
      <c r="A164" s="12" t="n"/>
      <c r="B164" s="13" t="n"/>
      <c r="C164" s="13" t="n"/>
      <c r="D164" s="13" t="n"/>
      <c r="E164" s="13">
        <f>IF($A164="","",$B164-$D164)</f>
        <v/>
      </c>
      <c r="F164" s="13" t="n"/>
      <c r="G164" s="13">
        <f>IF($A164="","",$D164-$F164)</f>
        <v/>
      </c>
      <c r="H164" s="12" t="n"/>
      <c r="I164" s="12" t="n"/>
    </row>
    <row r="165">
      <c r="B165" s="10" t="n"/>
      <c r="C165" s="10" t="n"/>
      <c r="D165" s="10" t="n"/>
      <c r="E165" s="10">
        <f>IF($A165="","",$B165-$D165)</f>
        <v/>
      </c>
      <c r="F165" s="10" t="n"/>
      <c r="G165" s="10">
        <f>IF($A165="","",$D165-$F165)</f>
        <v/>
      </c>
    </row>
    <row r="166">
      <c r="A166" s="12" t="n"/>
      <c r="B166" s="13" t="n"/>
      <c r="C166" s="13" t="n"/>
      <c r="D166" s="13" t="n"/>
      <c r="E166" s="13">
        <f>IF($A166="","",$B166-$D166)</f>
        <v/>
      </c>
      <c r="F166" s="13" t="n"/>
      <c r="G166" s="13">
        <f>IF($A166="","",$D166-$F166)</f>
        <v/>
      </c>
      <c r="H166" s="12" t="n"/>
      <c r="I166" s="12" t="n"/>
    </row>
    <row r="167">
      <c r="B167" s="10" t="n"/>
      <c r="C167" s="10" t="n"/>
      <c r="D167" s="10" t="n"/>
      <c r="E167" s="10">
        <f>IF($A167="","",$B167-$D167)</f>
        <v/>
      </c>
      <c r="F167" s="10" t="n"/>
      <c r="G167" s="10">
        <f>IF($A167="","",$D167-$F167)</f>
        <v/>
      </c>
    </row>
    <row r="168">
      <c r="A168" s="12" t="n"/>
      <c r="B168" s="13" t="n"/>
      <c r="C168" s="13" t="n"/>
      <c r="D168" s="13" t="n"/>
      <c r="E168" s="13">
        <f>IF($A168="","",$B168-$D168)</f>
        <v/>
      </c>
      <c r="F168" s="13" t="n"/>
      <c r="G168" s="13">
        <f>IF($A168="","",$D168-$F168)</f>
        <v/>
      </c>
      <c r="H168" s="12" t="n"/>
      <c r="I168" s="12" t="n"/>
    </row>
    <row r="169">
      <c r="B169" s="10" t="n"/>
      <c r="C169" s="10" t="n"/>
      <c r="D169" s="10" t="n"/>
      <c r="E169" s="10">
        <f>IF($A169="","",$B169-$D169)</f>
        <v/>
      </c>
      <c r="F169" s="10" t="n"/>
      <c r="G169" s="10">
        <f>IF($A169="","",$D169-$F169)</f>
        <v/>
      </c>
    </row>
    <row r="170">
      <c r="A170" s="12" t="n"/>
      <c r="B170" s="13" t="n"/>
      <c r="C170" s="13" t="n"/>
      <c r="D170" s="13" t="n"/>
      <c r="E170" s="13">
        <f>IF($A170="","",$B170-$D170)</f>
        <v/>
      </c>
      <c r="F170" s="13" t="n"/>
      <c r="G170" s="13">
        <f>IF($A170="","",$D170-$F170)</f>
        <v/>
      </c>
      <c r="H170" s="12" t="n"/>
      <c r="I170" s="12" t="n"/>
    </row>
    <row r="171">
      <c r="B171" s="10" t="n"/>
      <c r="C171" s="10" t="n"/>
      <c r="D171" s="10" t="n"/>
      <c r="E171" s="10">
        <f>IF($A171="","",$B171-$D171)</f>
        <v/>
      </c>
      <c r="F171" s="10" t="n"/>
      <c r="G171" s="10">
        <f>IF($A171="","",$D171-$F171)</f>
        <v/>
      </c>
    </row>
    <row r="172">
      <c r="A172" s="12" t="n"/>
      <c r="B172" s="13" t="n"/>
      <c r="C172" s="13" t="n"/>
      <c r="D172" s="13" t="n"/>
      <c r="E172" s="13">
        <f>IF($A172="","",$B172-$D172)</f>
        <v/>
      </c>
      <c r="F172" s="13" t="n"/>
      <c r="G172" s="13">
        <f>IF($A172="","",$D172-$F172)</f>
        <v/>
      </c>
      <c r="H172" s="12" t="n"/>
      <c r="I172" s="12" t="n"/>
    </row>
    <row r="173">
      <c r="B173" s="10" t="n"/>
      <c r="C173" s="10" t="n"/>
      <c r="D173" s="10" t="n"/>
      <c r="E173" s="10">
        <f>IF($A173="","",$B173-$D173)</f>
        <v/>
      </c>
      <c r="F173" s="10" t="n"/>
      <c r="G173" s="10">
        <f>IF($A173="","",$D173-$F173)</f>
        <v/>
      </c>
    </row>
    <row r="174">
      <c r="A174" s="12" t="n"/>
      <c r="B174" s="13" t="n"/>
      <c r="C174" s="13" t="n"/>
      <c r="D174" s="13" t="n"/>
      <c r="E174" s="13">
        <f>IF($A174="","",$B174-$D174)</f>
        <v/>
      </c>
      <c r="F174" s="13" t="n"/>
      <c r="G174" s="13">
        <f>IF($A174="","",$D174-$F174)</f>
        <v/>
      </c>
      <c r="H174" s="12" t="n"/>
      <c r="I174" s="12" t="n"/>
    </row>
    <row r="175">
      <c r="B175" s="10" t="n"/>
      <c r="C175" s="10" t="n"/>
      <c r="D175" s="10" t="n"/>
      <c r="E175" s="10">
        <f>IF($A175="","",$B175-$D175)</f>
        <v/>
      </c>
      <c r="F175" s="10" t="n"/>
      <c r="G175" s="10">
        <f>IF($A175="","",$D175-$F175)</f>
        <v/>
      </c>
    </row>
    <row r="176">
      <c r="A176" s="12" t="n"/>
      <c r="B176" s="13" t="n"/>
      <c r="C176" s="13" t="n"/>
      <c r="D176" s="13" t="n"/>
      <c r="E176" s="13">
        <f>IF($A176="","",$B176-$D176)</f>
        <v/>
      </c>
      <c r="F176" s="13" t="n"/>
      <c r="G176" s="13">
        <f>IF($A176="","",$D176-$F176)</f>
        <v/>
      </c>
      <c r="H176" s="12" t="n"/>
      <c r="I176" s="12" t="n"/>
    </row>
    <row r="177">
      <c r="B177" s="10" t="n"/>
      <c r="C177" s="10" t="n"/>
      <c r="D177" s="10" t="n"/>
      <c r="E177" s="10">
        <f>IF($A177="","",$B177-$D177)</f>
        <v/>
      </c>
      <c r="F177" s="10" t="n"/>
      <c r="G177" s="10">
        <f>IF($A177="","",$D177-$F177)</f>
        <v/>
      </c>
    </row>
    <row r="178">
      <c r="A178" s="12" t="n"/>
      <c r="B178" s="13" t="n"/>
      <c r="C178" s="13" t="n"/>
      <c r="D178" s="13" t="n"/>
      <c r="E178" s="13">
        <f>IF($A178="","",$B178-$D178)</f>
        <v/>
      </c>
      <c r="F178" s="13" t="n"/>
      <c r="G178" s="13">
        <f>IF($A178="","",$D178-$F178)</f>
        <v/>
      </c>
      <c r="H178" s="12" t="n"/>
      <c r="I178" s="12" t="n"/>
    </row>
    <row r="179">
      <c r="B179" s="10" t="n"/>
      <c r="C179" s="10" t="n"/>
      <c r="D179" s="10" t="n"/>
      <c r="E179" s="10">
        <f>IF($A179="","",$B179-$D179)</f>
        <v/>
      </c>
      <c r="F179" s="10" t="n"/>
      <c r="G179" s="10">
        <f>IF($A179="","",$D179-$F179)</f>
        <v/>
      </c>
    </row>
    <row r="180">
      <c r="A180" s="12" t="n"/>
      <c r="B180" s="13" t="n"/>
      <c r="C180" s="13" t="n"/>
      <c r="D180" s="13" t="n"/>
      <c r="E180" s="13">
        <f>IF($A180="","",$B180-$D180)</f>
        <v/>
      </c>
      <c r="F180" s="13" t="n"/>
      <c r="G180" s="13">
        <f>IF($A180="","",$D180-$F180)</f>
        <v/>
      </c>
      <c r="H180" s="12" t="n"/>
      <c r="I180" s="12" t="n"/>
    </row>
    <row r="181">
      <c r="B181" s="10" t="n"/>
      <c r="C181" s="10" t="n"/>
      <c r="D181" s="10" t="n"/>
      <c r="E181" s="10">
        <f>IF($A181="","",$B181-$D181)</f>
        <v/>
      </c>
      <c r="F181" s="10" t="n"/>
      <c r="G181" s="10">
        <f>IF($A181="","",$D181-$F181)</f>
        <v/>
      </c>
    </row>
    <row r="182">
      <c r="A182" s="12" t="n"/>
      <c r="B182" s="13" t="n"/>
      <c r="C182" s="13" t="n"/>
      <c r="D182" s="13" t="n"/>
      <c r="E182" s="13">
        <f>IF($A182="","",$B182-$D182)</f>
        <v/>
      </c>
      <c r="F182" s="13" t="n"/>
      <c r="G182" s="13">
        <f>IF($A182="","",$D182-$F182)</f>
        <v/>
      </c>
      <c r="H182" s="12" t="n"/>
      <c r="I182" s="12" t="n"/>
    </row>
    <row r="183">
      <c r="B183" s="10" t="n"/>
      <c r="C183" s="10" t="n"/>
      <c r="D183" s="10" t="n"/>
      <c r="E183" s="10">
        <f>IF($A183="","",$B183-$D183)</f>
        <v/>
      </c>
      <c r="F183" s="10" t="n"/>
      <c r="G183" s="10">
        <f>IF($A183="","",$D183-$F183)</f>
        <v/>
      </c>
    </row>
    <row r="184">
      <c r="A184" s="12" t="n"/>
      <c r="B184" s="13" t="n"/>
      <c r="C184" s="13" t="n"/>
      <c r="D184" s="13" t="n"/>
      <c r="E184" s="13">
        <f>IF($A184="","",$B184-$D184)</f>
        <v/>
      </c>
      <c r="F184" s="13" t="n"/>
      <c r="G184" s="13">
        <f>IF($A184="","",$D184-$F184)</f>
        <v/>
      </c>
      <c r="H184" s="12" t="n"/>
      <c r="I184" s="12" t="n"/>
    </row>
    <row r="185">
      <c r="B185" s="10" t="n"/>
      <c r="C185" s="10" t="n"/>
      <c r="D185" s="10" t="n"/>
      <c r="E185" s="10">
        <f>IF($A185="","",$B185-$D185)</f>
        <v/>
      </c>
      <c r="F185" s="10" t="n"/>
      <c r="G185" s="10">
        <f>IF($A185="","",$D185-$F185)</f>
        <v/>
      </c>
    </row>
    <row r="186">
      <c r="A186" s="12" t="n"/>
      <c r="B186" s="13" t="n"/>
      <c r="C186" s="13" t="n"/>
      <c r="D186" s="13" t="n"/>
      <c r="E186" s="13">
        <f>IF($A186="","",$B186-$D186)</f>
        <v/>
      </c>
      <c r="F186" s="13" t="n"/>
      <c r="G186" s="13">
        <f>IF($A186="","",$D186-$F186)</f>
        <v/>
      </c>
      <c r="H186" s="12" t="n"/>
      <c r="I186" s="12" t="n"/>
    </row>
    <row r="187">
      <c r="B187" s="10" t="n"/>
      <c r="C187" s="10" t="n"/>
      <c r="D187" s="10" t="n"/>
      <c r="E187" s="10">
        <f>IF($A187="","",$B187-$D187)</f>
        <v/>
      </c>
      <c r="F187" s="10" t="n"/>
      <c r="G187" s="10">
        <f>IF($A187="","",$D187-$F187)</f>
        <v/>
      </c>
    </row>
    <row r="188">
      <c r="A188" s="12" t="n"/>
      <c r="B188" s="13" t="n"/>
      <c r="C188" s="13" t="n"/>
      <c r="D188" s="13" t="n"/>
      <c r="E188" s="13">
        <f>IF($A188="","",$B188-$D188)</f>
        <v/>
      </c>
      <c r="F188" s="13" t="n"/>
      <c r="G188" s="13">
        <f>IF($A188="","",$D188-$F188)</f>
        <v/>
      </c>
      <c r="H188" s="12" t="n"/>
      <c r="I188" s="12" t="n"/>
    </row>
    <row r="189">
      <c r="B189" s="10" t="n"/>
      <c r="C189" s="10" t="n"/>
      <c r="D189" s="10" t="n"/>
      <c r="E189" s="10">
        <f>IF($A189="","",$B189-$D189)</f>
        <v/>
      </c>
      <c r="F189" s="10" t="n"/>
      <c r="G189" s="10">
        <f>IF($A189="","",$D189-$F189)</f>
        <v/>
      </c>
    </row>
    <row r="190">
      <c r="A190" s="12" t="n"/>
      <c r="B190" s="13" t="n"/>
      <c r="C190" s="13" t="n"/>
      <c r="D190" s="13" t="n"/>
      <c r="E190" s="13">
        <f>IF($A190="","",$B190-$D190)</f>
        <v/>
      </c>
      <c r="F190" s="13" t="n"/>
      <c r="G190" s="13">
        <f>IF($A190="","",$D190-$F190)</f>
        <v/>
      </c>
      <c r="H190" s="12" t="n"/>
      <c r="I190" s="12" t="n"/>
    </row>
    <row r="191">
      <c r="B191" s="10" t="n"/>
      <c r="C191" s="10" t="n"/>
      <c r="D191" s="10" t="n"/>
      <c r="E191" s="10">
        <f>IF($A191="","",$B191-$D191)</f>
        <v/>
      </c>
      <c r="F191" s="10" t="n"/>
      <c r="G191" s="10">
        <f>IF($A191="","",$D191-$F191)</f>
        <v/>
      </c>
    </row>
    <row r="192">
      <c r="A192" s="12" t="n"/>
      <c r="B192" s="13" t="n"/>
      <c r="C192" s="13" t="n"/>
      <c r="D192" s="13" t="n"/>
      <c r="E192" s="13">
        <f>IF($A192="","",$B192-$D192)</f>
        <v/>
      </c>
      <c r="F192" s="13" t="n"/>
      <c r="G192" s="13">
        <f>IF($A192="","",$D192-$F192)</f>
        <v/>
      </c>
      <c r="H192" s="12" t="n"/>
      <c r="I192" s="12" t="n"/>
    </row>
    <row r="193">
      <c r="B193" s="10" t="n"/>
      <c r="C193" s="10" t="n"/>
      <c r="D193" s="10" t="n"/>
      <c r="E193" s="10">
        <f>IF($A193="","",$B193-$D193)</f>
        <v/>
      </c>
      <c r="F193" s="10" t="n"/>
      <c r="G193" s="10">
        <f>IF($A193="","",$D193-$F193)</f>
        <v/>
      </c>
    </row>
    <row r="194">
      <c r="A194" s="12" t="n"/>
      <c r="B194" s="13" t="n"/>
      <c r="C194" s="13" t="n"/>
      <c r="D194" s="13" t="n"/>
      <c r="E194" s="13">
        <f>IF($A194="","",$B194-$D194)</f>
        <v/>
      </c>
      <c r="F194" s="13" t="n"/>
      <c r="G194" s="13">
        <f>IF($A194="","",$D194-$F194)</f>
        <v/>
      </c>
      <c r="H194" s="12" t="n"/>
      <c r="I194" s="12" t="n"/>
    </row>
    <row r="195">
      <c r="B195" s="10" t="n"/>
      <c r="C195" s="10" t="n"/>
      <c r="D195" s="10" t="n"/>
      <c r="E195" s="10">
        <f>IF($A195="","",$B195-$D195)</f>
        <v/>
      </c>
      <c r="F195" s="10" t="n"/>
      <c r="G195" s="10">
        <f>IF($A195="","",$D195-$F195)</f>
        <v/>
      </c>
    </row>
    <row r="196">
      <c r="A196" s="12" t="n"/>
      <c r="B196" s="13" t="n"/>
      <c r="C196" s="13" t="n"/>
      <c r="D196" s="13" t="n"/>
      <c r="E196" s="13">
        <f>IF($A196="","",$B196-$D196)</f>
        <v/>
      </c>
      <c r="F196" s="13" t="n"/>
      <c r="G196" s="13">
        <f>IF($A196="","",$D196-$F196)</f>
        <v/>
      </c>
      <c r="H196" s="12" t="n"/>
      <c r="I196" s="12" t="n"/>
    </row>
    <row r="197">
      <c r="B197" s="10" t="n"/>
      <c r="C197" s="10" t="n"/>
      <c r="D197" s="10" t="n"/>
      <c r="E197" s="10">
        <f>IF($A197="","",$B197-$D197)</f>
        <v/>
      </c>
      <c r="F197" s="10" t="n"/>
      <c r="G197" s="10">
        <f>IF($A197="","",$D197-$F197)</f>
        <v/>
      </c>
    </row>
    <row r="198">
      <c r="A198" s="12" t="n"/>
      <c r="B198" s="13" t="n"/>
      <c r="C198" s="13" t="n"/>
      <c r="D198" s="13" t="n"/>
      <c r="E198" s="13">
        <f>IF($A198="","",$B198-$D198)</f>
        <v/>
      </c>
      <c r="F198" s="13" t="n"/>
      <c r="G198" s="13">
        <f>IF($A198="","",$D198-$F198)</f>
        <v/>
      </c>
      <c r="H198" s="12" t="n"/>
      <c r="I198" s="12" t="n"/>
    </row>
    <row r="199">
      <c r="B199" s="10" t="n"/>
      <c r="C199" s="10" t="n"/>
      <c r="D199" s="10" t="n"/>
      <c r="E199" s="10">
        <f>IF($A199="","",$B199-$D199)</f>
        <v/>
      </c>
      <c r="F199" s="10" t="n"/>
      <c r="G199" s="10">
        <f>IF($A199="","",$D199-$F199)</f>
        <v/>
      </c>
    </row>
    <row r="200">
      <c r="A200" s="12" t="n"/>
      <c r="B200" s="13" t="n"/>
      <c r="C200" s="13" t="n"/>
      <c r="D200" s="13" t="n"/>
      <c r="E200" s="13">
        <f>IF($A200="","",$B200-$D200)</f>
        <v/>
      </c>
      <c r="F200" s="13" t="n"/>
      <c r="G200" s="13">
        <f>IF($A200="","",$D200-$F200)</f>
        <v/>
      </c>
      <c r="H200" s="12" t="n"/>
      <c r="I200" s="12" t="n"/>
    </row>
    <row r="201">
      <c r="B201" s="10" t="n"/>
      <c r="C201" s="10" t="n"/>
      <c r="D201" s="10" t="n"/>
      <c r="E201" s="10">
        <f>IF($A201="","",$B201-$D201)</f>
        <v/>
      </c>
      <c r="F201" s="10" t="n"/>
      <c r="G201" s="10">
        <f>IF($A201="","",$D201-$F201)</f>
        <v/>
      </c>
    </row>
    <row r="202">
      <c r="A202" s="12" t="n"/>
      <c r="B202" s="13" t="n"/>
      <c r="C202" s="13" t="n"/>
      <c r="D202" s="13" t="n"/>
      <c r="E202" s="13">
        <f>IF($A202="","",$B202-$D202)</f>
        <v/>
      </c>
      <c r="F202" s="13" t="n"/>
      <c r="G202" s="13">
        <f>IF($A202="","",$D202-$F202)</f>
        <v/>
      </c>
      <c r="H202" s="12" t="n"/>
      <c r="I202" s="12" t="n"/>
    </row>
    <row r="203">
      <c r="B203" s="10" t="n"/>
      <c r="C203" s="10" t="n"/>
      <c r="D203" s="10" t="n"/>
      <c r="E203" s="10">
        <f>IF($A203="","",$B203-$D203)</f>
        <v/>
      </c>
      <c r="F203" s="10" t="n"/>
      <c r="G203" s="10">
        <f>IF($A203="","",$D203-$F203)</f>
        <v/>
      </c>
    </row>
    <row r="204">
      <c r="A204" s="12" t="n"/>
      <c r="B204" s="13" t="n"/>
      <c r="C204" s="13" t="n"/>
      <c r="D204" s="13" t="n"/>
      <c r="E204" s="13">
        <f>IF($A204="","",$B204-$D204)</f>
        <v/>
      </c>
      <c r="F204" s="13" t="n"/>
      <c r="G204" s="13">
        <f>IF($A204="","",$D204-$F204)</f>
        <v/>
      </c>
      <c r="H204" s="12" t="n"/>
      <c r="I204" s="12" t="n"/>
    </row>
    <row r="205">
      <c r="B205" s="10" t="n"/>
      <c r="C205" s="10" t="n"/>
      <c r="D205" s="10" t="n"/>
      <c r="E205" s="10">
        <f>IF($A205="","",$B205-$D205)</f>
        <v/>
      </c>
      <c r="F205" s="10" t="n"/>
      <c r="G205" s="10">
        <f>IF($A205="","",$D205-$F205)</f>
        <v/>
      </c>
    </row>
    <row r="206">
      <c r="A206" s="12" t="n"/>
      <c r="B206" s="13" t="n"/>
      <c r="C206" s="13" t="n"/>
      <c r="D206" s="13" t="n"/>
      <c r="E206" s="13">
        <f>IF($A206="","",$B206-$D206)</f>
        <v/>
      </c>
      <c r="F206" s="13" t="n"/>
      <c r="G206" s="13">
        <f>IF($A206="","",$D206-$F206)</f>
        <v/>
      </c>
      <c r="H206" s="12" t="n"/>
      <c r="I206" s="12" t="n"/>
    </row>
    <row r="207">
      <c r="B207" s="10" t="n"/>
      <c r="C207" s="10" t="n"/>
      <c r="D207" s="10" t="n"/>
      <c r="E207" s="10">
        <f>IF($A207="","",$B207-$D207)</f>
        <v/>
      </c>
      <c r="F207" s="10" t="n"/>
      <c r="G207" s="10">
        <f>IF($A207="","",$D207-$F207)</f>
        <v/>
      </c>
    </row>
    <row r="208">
      <c r="A208" s="12" t="n"/>
      <c r="B208" s="13" t="n"/>
      <c r="C208" s="13" t="n"/>
      <c r="D208" s="13" t="n"/>
      <c r="E208" s="13">
        <f>IF($A208="","",$B208-$D208)</f>
        <v/>
      </c>
      <c r="F208" s="13" t="n"/>
      <c r="G208" s="13">
        <f>IF($A208="","",$D208-$F208)</f>
        <v/>
      </c>
      <c r="H208" s="12" t="n"/>
      <c r="I208" s="12" t="n"/>
    </row>
    <row r="209">
      <c r="B209" s="10" t="n"/>
      <c r="C209" s="10" t="n"/>
      <c r="D209" s="10" t="n"/>
      <c r="E209" s="10">
        <f>IF($A209="","",$B209-$D209)</f>
        <v/>
      </c>
      <c r="F209" s="10" t="n"/>
      <c r="G209" s="10">
        <f>IF($A209="","",$D209-$F209)</f>
        <v/>
      </c>
    </row>
    <row r="210">
      <c r="A210" s="12" t="n"/>
      <c r="B210" s="13" t="n"/>
      <c r="C210" s="13" t="n"/>
      <c r="D210" s="13" t="n"/>
      <c r="E210" s="13">
        <f>IF($A210="","",$B210-$D210)</f>
        <v/>
      </c>
      <c r="F210" s="13" t="n"/>
      <c r="G210" s="13">
        <f>IF($A210="","",$D210-$F210)</f>
        <v/>
      </c>
      <c r="H210" s="12" t="n"/>
      <c r="I210" s="12" t="n"/>
    </row>
    <row r="211">
      <c r="B211" s="10" t="n"/>
      <c r="C211" s="10" t="n"/>
      <c r="D211" s="10" t="n"/>
      <c r="E211" s="10">
        <f>IF($A211="","",$B211-$D211)</f>
        <v/>
      </c>
      <c r="F211" s="10" t="n"/>
      <c r="G211" s="10">
        <f>IF($A211="","",$D211-$F211)</f>
        <v/>
      </c>
    </row>
    <row r="212">
      <c r="A212" s="12" t="n"/>
      <c r="B212" s="13" t="n"/>
      <c r="C212" s="13" t="n"/>
      <c r="D212" s="13" t="n"/>
      <c r="E212" s="13">
        <f>IF($A212="","",$B212-$D212)</f>
        <v/>
      </c>
      <c r="F212" s="13" t="n"/>
      <c r="G212" s="13">
        <f>IF($A212="","",$D212-$F212)</f>
        <v/>
      </c>
      <c r="H212" s="12" t="n"/>
      <c r="I212" s="12" t="n"/>
    </row>
    <row r="213">
      <c r="B213" s="10" t="n"/>
      <c r="C213" s="10" t="n"/>
      <c r="D213" s="10" t="n"/>
      <c r="E213" s="10">
        <f>IF($A213="","",$B213-$D213)</f>
        <v/>
      </c>
      <c r="F213" s="10" t="n"/>
      <c r="G213" s="10">
        <f>IF($A213="","",$D213-$F213)</f>
        <v/>
      </c>
    </row>
    <row r="214">
      <c r="A214" s="12" t="n"/>
      <c r="B214" s="13" t="n"/>
      <c r="C214" s="13" t="n"/>
      <c r="D214" s="13" t="n"/>
      <c r="E214" s="13">
        <f>IF($A214="","",$B214-$D214)</f>
        <v/>
      </c>
      <c r="F214" s="13" t="n"/>
      <c r="G214" s="13">
        <f>IF($A214="","",$D214-$F214)</f>
        <v/>
      </c>
      <c r="H214" s="12" t="n"/>
      <c r="I214" s="12" t="n"/>
    </row>
    <row r="215">
      <c r="B215" s="10" t="n"/>
      <c r="C215" s="10" t="n"/>
      <c r="D215" s="10" t="n"/>
      <c r="E215" s="10">
        <f>IF($A215="","",$B215-$D215)</f>
        <v/>
      </c>
      <c r="F215" s="10" t="n"/>
      <c r="G215" s="10">
        <f>IF($A215="","",$D215-$F215)</f>
        <v/>
      </c>
    </row>
    <row r="216">
      <c r="A216" s="12" t="n"/>
      <c r="B216" s="13" t="n"/>
      <c r="C216" s="13" t="n"/>
      <c r="D216" s="13" t="n"/>
      <c r="E216" s="13">
        <f>IF($A216="","",$B216-$D216)</f>
        <v/>
      </c>
      <c r="F216" s="13" t="n"/>
      <c r="G216" s="13">
        <f>IF($A216="","",$D216-$F216)</f>
        <v/>
      </c>
      <c r="H216" s="12" t="n"/>
      <c r="I216" s="12" t="n"/>
    </row>
    <row r="217">
      <c r="B217" s="10" t="n"/>
      <c r="C217" s="10" t="n"/>
      <c r="D217" s="10" t="n"/>
      <c r="E217" s="10">
        <f>IF($A217="","",$B217-$D217)</f>
        <v/>
      </c>
      <c r="F217" s="10" t="n"/>
      <c r="G217" s="10">
        <f>IF($A217="","",$D217-$F217)</f>
        <v/>
      </c>
    </row>
    <row r="218">
      <c r="A218" s="12" t="n"/>
      <c r="B218" s="13" t="n"/>
      <c r="C218" s="13" t="n"/>
      <c r="D218" s="13" t="n"/>
      <c r="E218" s="13">
        <f>IF($A218="","",$B218-$D218)</f>
        <v/>
      </c>
      <c r="F218" s="13" t="n"/>
      <c r="G218" s="13">
        <f>IF($A218="","",$D218-$F218)</f>
        <v/>
      </c>
      <c r="H218" s="12" t="n"/>
      <c r="I218" s="12" t="n"/>
    </row>
    <row r="219">
      <c r="B219" s="10" t="n"/>
      <c r="C219" s="10" t="n"/>
      <c r="D219" s="10" t="n"/>
      <c r="E219" s="10">
        <f>IF($A219="","",$B219-$D219)</f>
        <v/>
      </c>
      <c r="F219" s="10" t="n"/>
      <c r="G219" s="10">
        <f>IF($A219="","",$D219-$F219)</f>
        <v/>
      </c>
    </row>
    <row r="220">
      <c r="A220" s="12" t="n"/>
      <c r="B220" s="13" t="n"/>
      <c r="C220" s="13" t="n"/>
      <c r="D220" s="13" t="n"/>
      <c r="E220" s="13">
        <f>IF($A220="","",$B220-$D220)</f>
        <v/>
      </c>
      <c r="F220" s="13" t="n"/>
      <c r="G220" s="13">
        <f>IF($A220="","",$D220-$F220)</f>
        <v/>
      </c>
      <c r="H220" s="12" t="n"/>
      <c r="I220" s="12" t="n"/>
    </row>
    <row r="221">
      <c r="B221" s="10" t="n"/>
      <c r="C221" s="10" t="n"/>
      <c r="D221" s="10" t="n"/>
      <c r="E221" s="10">
        <f>IF($A221="","",$B221-$D221)</f>
        <v/>
      </c>
      <c r="F221" s="10" t="n"/>
      <c r="G221" s="10">
        <f>IF($A221="","",$D221-$F221)</f>
        <v/>
      </c>
    </row>
    <row r="222">
      <c r="A222" s="12" t="n"/>
      <c r="B222" s="13" t="n"/>
      <c r="C222" s="13" t="n"/>
      <c r="D222" s="13" t="n"/>
      <c r="E222" s="13">
        <f>IF($A222="","",$B222-$D222)</f>
        <v/>
      </c>
      <c r="F222" s="13" t="n"/>
      <c r="G222" s="13">
        <f>IF($A222="","",$D222-$F222)</f>
        <v/>
      </c>
      <c r="H222" s="12" t="n"/>
      <c r="I222" s="12" t="n"/>
    </row>
    <row r="223">
      <c r="B223" s="10" t="n"/>
      <c r="C223" s="10" t="n"/>
      <c r="D223" s="10" t="n"/>
      <c r="E223" s="10">
        <f>IF($A223="","",$B223-$D223)</f>
        <v/>
      </c>
      <c r="F223" s="10" t="n"/>
      <c r="G223" s="10">
        <f>IF($A223="","",$D223-$F223)</f>
        <v/>
      </c>
    </row>
    <row r="224">
      <c r="A224" s="12" t="n"/>
      <c r="B224" s="13" t="n"/>
      <c r="C224" s="13" t="n"/>
      <c r="D224" s="13" t="n"/>
      <c r="E224" s="13">
        <f>IF($A224="","",$B224-$D224)</f>
        <v/>
      </c>
      <c r="F224" s="13" t="n"/>
      <c r="G224" s="13">
        <f>IF($A224="","",$D224-$F224)</f>
        <v/>
      </c>
      <c r="H224" s="12" t="n"/>
      <c r="I224" s="12" t="n"/>
    </row>
    <row r="225">
      <c r="B225" s="10" t="n"/>
      <c r="C225" s="10" t="n"/>
      <c r="D225" s="10" t="n"/>
      <c r="E225" s="10">
        <f>IF($A225="","",$B225-$D225)</f>
        <v/>
      </c>
      <c r="F225" s="10" t="n"/>
      <c r="G225" s="10">
        <f>IF($A225="","",$D225-$F225)</f>
        <v/>
      </c>
    </row>
    <row r="226">
      <c r="A226" s="12" t="n"/>
      <c r="B226" s="13" t="n"/>
      <c r="C226" s="13" t="n"/>
      <c r="D226" s="13" t="n"/>
      <c r="E226" s="13">
        <f>IF($A226="","",$B226-$D226)</f>
        <v/>
      </c>
      <c r="F226" s="13" t="n"/>
      <c r="G226" s="13">
        <f>IF($A226="","",$D226-$F226)</f>
        <v/>
      </c>
      <c r="H226" s="12" t="n"/>
      <c r="I226" s="12" t="n"/>
    </row>
    <row r="227">
      <c r="B227" s="10" t="n"/>
      <c r="C227" s="10" t="n"/>
      <c r="D227" s="10" t="n"/>
      <c r="E227" s="10">
        <f>IF($A227="","",$B227-$D227)</f>
        <v/>
      </c>
      <c r="F227" s="10" t="n"/>
      <c r="G227" s="10">
        <f>IF($A227="","",$D227-$F227)</f>
        <v/>
      </c>
    </row>
    <row r="228">
      <c r="A228" s="12" t="n"/>
      <c r="B228" s="13" t="n"/>
      <c r="C228" s="13" t="n"/>
      <c r="D228" s="13" t="n"/>
      <c r="E228" s="13">
        <f>IF($A228="","",$B228-$D228)</f>
        <v/>
      </c>
      <c r="F228" s="13" t="n"/>
      <c r="G228" s="13">
        <f>IF($A228="","",$D228-$F228)</f>
        <v/>
      </c>
      <c r="H228" s="12" t="n"/>
      <c r="I228" s="12" t="n"/>
    </row>
    <row r="229">
      <c r="B229" s="10" t="n"/>
      <c r="C229" s="10" t="n"/>
      <c r="D229" s="10" t="n"/>
      <c r="E229" s="10">
        <f>IF($A229="","",$B229-$D229)</f>
        <v/>
      </c>
      <c r="F229" s="10" t="n"/>
      <c r="G229" s="10">
        <f>IF($A229="","",$D229-$F229)</f>
        <v/>
      </c>
    </row>
    <row r="230">
      <c r="A230" s="12" t="n"/>
      <c r="B230" s="13" t="n"/>
      <c r="C230" s="13" t="n"/>
      <c r="D230" s="13" t="n"/>
      <c r="E230" s="13">
        <f>IF($A230="","",$B230-$D230)</f>
        <v/>
      </c>
      <c r="F230" s="13" t="n"/>
      <c r="G230" s="13">
        <f>IF($A230="","",$D230-$F230)</f>
        <v/>
      </c>
      <c r="H230" s="12" t="n"/>
      <c r="I230" s="12" t="n"/>
    </row>
    <row r="231">
      <c r="B231" s="10" t="n"/>
      <c r="C231" s="10" t="n"/>
      <c r="D231" s="10" t="n"/>
      <c r="E231" s="10">
        <f>IF($A231="","",$B231-$D231)</f>
        <v/>
      </c>
      <c r="F231" s="10" t="n"/>
      <c r="G231" s="10">
        <f>IF($A231="","",$D231-$F231)</f>
        <v/>
      </c>
    </row>
    <row r="232">
      <c r="A232" s="12" t="n"/>
      <c r="B232" s="13" t="n"/>
      <c r="C232" s="13" t="n"/>
      <c r="D232" s="13" t="n"/>
      <c r="E232" s="13">
        <f>IF($A232="","",$B232-$D232)</f>
        <v/>
      </c>
      <c r="F232" s="13" t="n"/>
      <c r="G232" s="13">
        <f>IF($A232="","",$D232-$F232)</f>
        <v/>
      </c>
      <c r="H232" s="12" t="n"/>
      <c r="I232" s="12" t="n"/>
    </row>
    <row r="233">
      <c r="B233" s="10" t="n"/>
      <c r="C233" s="10" t="n"/>
      <c r="D233" s="10" t="n"/>
      <c r="E233" s="10">
        <f>IF($A233="","",$B233-$D233)</f>
        <v/>
      </c>
      <c r="F233" s="10" t="n"/>
      <c r="G233" s="10">
        <f>IF($A233="","",$D233-$F233)</f>
        <v/>
      </c>
    </row>
    <row r="234">
      <c r="A234" s="12" t="n"/>
      <c r="B234" s="13" t="n"/>
      <c r="C234" s="13" t="n"/>
      <c r="D234" s="13" t="n"/>
      <c r="E234" s="13">
        <f>IF($A234="","",$B234-$D234)</f>
        <v/>
      </c>
      <c r="F234" s="13" t="n"/>
      <c r="G234" s="13">
        <f>IF($A234="","",$D234-$F234)</f>
        <v/>
      </c>
      <c r="H234" s="12" t="n"/>
      <c r="I234" s="12" t="n"/>
    </row>
    <row r="235">
      <c r="B235" s="10" t="n"/>
      <c r="C235" s="10" t="n"/>
      <c r="D235" s="10" t="n"/>
      <c r="E235" s="10">
        <f>IF($A235="","",$B235-$D235)</f>
        <v/>
      </c>
      <c r="F235" s="10" t="n"/>
      <c r="G235" s="10">
        <f>IF($A235="","",$D235-$F235)</f>
        <v/>
      </c>
    </row>
    <row r="236">
      <c r="A236" s="12" t="n"/>
      <c r="B236" s="13" t="n"/>
      <c r="C236" s="13" t="n"/>
      <c r="D236" s="13" t="n"/>
      <c r="E236" s="13">
        <f>IF($A236="","",$B236-$D236)</f>
        <v/>
      </c>
      <c r="F236" s="13" t="n"/>
      <c r="G236" s="13">
        <f>IF($A236="","",$D236-$F236)</f>
        <v/>
      </c>
      <c r="H236" s="12" t="n"/>
      <c r="I236" s="12" t="n"/>
    </row>
    <row r="237">
      <c r="B237" s="10" t="n"/>
      <c r="C237" s="10" t="n"/>
      <c r="D237" s="10" t="n"/>
      <c r="E237" s="10">
        <f>IF($A237="","",$B237-$D237)</f>
        <v/>
      </c>
      <c r="F237" s="10" t="n"/>
      <c r="G237" s="10">
        <f>IF($A237="","",$D237-$F237)</f>
        <v/>
      </c>
    </row>
    <row r="238">
      <c r="A238" s="12" t="n"/>
      <c r="B238" s="13" t="n"/>
      <c r="C238" s="13" t="n"/>
      <c r="D238" s="13" t="n"/>
      <c r="E238" s="13">
        <f>IF($A238="","",$B238-$D238)</f>
        <v/>
      </c>
      <c r="F238" s="13" t="n"/>
      <c r="G238" s="13">
        <f>IF($A238="","",$D238-$F238)</f>
        <v/>
      </c>
      <c r="H238" s="12" t="n"/>
      <c r="I238" s="12" t="n"/>
    </row>
    <row r="239">
      <c r="B239" s="10" t="n"/>
      <c r="C239" s="10" t="n"/>
      <c r="D239" s="10" t="n"/>
      <c r="E239" s="10">
        <f>IF($A239="","",$B239-$D239)</f>
        <v/>
      </c>
      <c r="F239" s="10" t="n"/>
      <c r="G239" s="10">
        <f>IF($A239="","",$D239-$F239)</f>
        <v/>
      </c>
    </row>
    <row r="240">
      <c r="A240" s="12" t="n"/>
      <c r="B240" s="13" t="n"/>
      <c r="C240" s="13" t="n"/>
      <c r="D240" s="13" t="n"/>
      <c r="E240" s="13">
        <f>IF($A240="","",$B240-$D240)</f>
        <v/>
      </c>
      <c r="F240" s="13" t="n"/>
      <c r="G240" s="13">
        <f>IF($A240="","",$D240-$F240)</f>
        <v/>
      </c>
      <c r="H240" s="12" t="n"/>
      <c r="I240" s="12" t="n"/>
    </row>
    <row r="241">
      <c r="B241" s="10" t="n"/>
      <c r="C241" s="10" t="n"/>
      <c r="D241" s="10" t="n"/>
      <c r="E241" s="10">
        <f>IF($A241="","",$B241-$D241)</f>
        <v/>
      </c>
      <c r="F241" s="10" t="n"/>
      <c r="G241" s="10">
        <f>IF($A241="","",$D241-$F241)</f>
        <v/>
      </c>
    </row>
    <row r="242">
      <c r="A242" s="12" t="n"/>
      <c r="B242" s="13" t="n"/>
      <c r="C242" s="13" t="n"/>
      <c r="D242" s="13" t="n"/>
      <c r="E242" s="13">
        <f>IF($A242="","",$B242-$D242)</f>
        <v/>
      </c>
      <c r="F242" s="13" t="n"/>
      <c r="G242" s="13">
        <f>IF($A242="","",$D242-$F242)</f>
        <v/>
      </c>
      <c r="H242" s="12" t="n"/>
      <c r="I242" s="12" t="n"/>
    </row>
    <row r="243">
      <c r="B243" s="10" t="n"/>
      <c r="C243" s="10" t="n"/>
      <c r="D243" s="10" t="n"/>
      <c r="E243" s="10">
        <f>IF($A243="","",$B243-$D243)</f>
        <v/>
      </c>
      <c r="F243" s="10" t="n"/>
      <c r="G243" s="10">
        <f>IF($A243="","",$D243-$F243)</f>
        <v/>
      </c>
    </row>
    <row r="244">
      <c r="A244" s="12" t="n"/>
      <c r="B244" s="13" t="n"/>
      <c r="C244" s="13" t="n"/>
      <c r="D244" s="13" t="n"/>
      <c r="E244" s="13">
        <f>IF($A244="","",$B244-$D244)</f>
        <v/>
      </c>
      <c r="F244" s="13" t="n"/>
      <c r="G244" s="13">
        <f>IF($A244="","",$D244-$F244)</f>
        <v/>
      </c>
      <c r="H244" s="12" t="n"/>
      <c r="I244" s="12" t="n"/>
    </row>
    <row r="245">
      <c r="B245" s="10" t="n"/>
      <c r="C245" s="10" t="n"/>
      <c r="D245" s="10" t="n"/>
      <c r="E245" s="10">
        <f>IF($A245="","",$B245-$D245)</f>
        <v/>
      </c>
      <c r="F245" s="10" t="n"/>
      <c r="G245" s="10">
        <f>IF($A245="","",$D245-$F245)</f>
        <v/>
      </c>
    </row>
    <row r="246">
      <c r="A246" s="12" t="n"/>
      <c r="B246" s="13" t="n"/>
      <c r="C246" s="13" t="n"/>
      <c r="D246" s="13" t="n"/>
      <c r="E246" s="13">
        <f>IF($A246="","",$B246-$D246)</f>
        <v/>
      </c>
      <c r="F246" s="13" t="n"/>
      <c r="G246" s="13">
        <f>IF($A246="","",$D246-$F246)</f>
        <v/>
      </c>
      <c r="H246" s="12" t="n"/>
      <c r="I246" s="12" t="n"/>
    </row>
    <row r="247">
      <c r="B247" s="10" t="n"/>
      <c r="C247" s="10" t="n"/>
      <c r="D247" s="10" t="n"/>
      <c r="E247" s="10">
        <f>IF($A247="","",$B247-$D247)</f>
        <v/>
      </c>
      <c r="F247" s="10" t="n"/>
      <c r="G247" s="10">
        <f>IF($A247="","",$D247-$F247)</f>
        <v/>
      </c>
    </row>
    <row r="248">
      <c r="A248" s="12" t="n"/>
      <c r="B248" s="13" t="n"/>
      <c r="C248" s="13" t="n"/>
      <c r="D248" s="13" t="n"/>
      <c r="E248" s="13">
        <f>IF($A248="","",$B248-$D248)</f>
        <v/>
      </c>
      <c r="F248" s="13" t="n"/>
      <c r="G248" s="13">
        <f>IF($A248="","",$D248-$F248)</f>
        <v/>
      </c>
      <c r="H248" s="12" t="n"/>
      <c r="I248" s="12" t="n"/>
    </row>
    <row r="249">
      <c r="B249" s="10" t="n"/>
      <c r="C249" s="10" t="n"/>
      <c r="D249" s="10" t="n"/>
      <c r="E249" s="10">
        <f>IF($A249="","",$B249-$D249)</f>
        <v/>
      </c>
      <c r="F249" s="10" t="n"/>
      <c r="G249" s="10">
        <f>IF($A249="","",$D249-$F249)</f>
        <v/>
      </c>
    </row>
    <row r="250">
      <c r="A250" s="12" t="n"/>
      <c r="B250" s="13" t="n"/>
      <c r="C250" s="13" t="n"/>
      <c r="D250" s="13" t="n"/>
      <c r="E250" s="13">
        <f>IF($A250="","",$B250-$D250)</f>
        <v/>
      </c>
      <c r="F250" s="13" t="n"/>
      <c r="G250" s="13">
        <f>IF($A250="","",$D250-$F250)</f>
        <v/>
      </c>
      <c r="H250" s="12" t="n"/>
      <c r="I250" s="12" t="n"/>
    </row>
    <row r="251">
      <c r="B251" s="10" t="n"/>
      <c r="C251" s="10" t="n"/>
      <c r="D251" s="10" t="n"/>
      <c r="E251" s="10">
        <f>IF($A251="","",$B251-$D251)</f>
        <v/>
      </c>
      <c r="F251" s="10" t="n"/>
      <c r="G251" s="10">
        <f>IF($A251="","",$D251-$F251)</f>
        <v/>
      </c>
    </row>
    <row r="254">
      <c r="A254" s="8" t="inlineStr">
        <is>
          <t>Total budget</t>
        </is>
      </c>
      <c r="B254" s="10">
        <f>SUM(B2:B251)</f>
        <v/>
      </c>
    </row>
    <row r="255">
      <c r="A255" s="8" t="inlineStr">
        <is>
          <t>Total estimated</t>
        </is>
      </c>
      <c r="B255" s="10">
        <f>SUM(C2:C251)</f>
        <v/>
      </c>
    </row>
    <row r="256">
      <c r="A256" s="8" t="inlineStr">
        <is>
          <t>Total actual</t>
        </is>
      </c>
      <c r="B256" s="10">
        <f>SUM(D2:D251)</f>
        <v/>
      </c>
    </row>
    <row r="257">
      <c r="A257" s="8" t="inlineStr">
        <is>
          <t>Over/under budget</t>
        </is>
      </c>
      <c r="B257" s="10">
        <f>B254-B256</f>
        <v/>
      </c>
    </row>
    <row r="258">
      <c r="A258" s="8" t="inlineStr">
        <is>
          <t>Total paid</t>
        </is>
      </c>
      <c r="B258" s="10">
        <f>SUM(F2:F251)</f>
        <v/>
      </c>
    </row>
    <row r="259">
      <c r="A259" s="8" t="inlineStr">
        <is>
          <t>Remaining balance</t>
        </is>
      </c>
      <c r="B259" s="10">
        <f>SUM(G2:G251)</f>
        <v/>
      </c>
    </row>
  </sheetData>
  <autoFilter ref="A1:I251"/>
  <conditionalFormatting sqref="A2:I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conditionalFormatting sqref="E2:E251">
    <cfRule type="cellIs" priority="13" operator="lessThan" dxfId="2">
      <formula>0</formula>
    </cfRule>
    <cfRule type="cellIs" priority="14" operator="greaterThanOrEqual" dxfId="0">
      <formula>0</formula>
    </cfRule>
  </conditionalFormatting>
  <dataValidations count="2">
    <dataValidation sqref="A2:A251" showDropDown="0" showInputMessage="0" showErrorMessage="0" allowBlank="1" type="list">
      <formula1>='Lists'!$R$2:$R$15</formula1>
    </dataValidation>
    <dataValidation sqref="H2:H251" showDropDown="0" showInputMessage="0" showErrorMessage="0" allowBlank="1" type="list">
      <formula1>='Lists'!$Y$2:$Y$8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42" customHeight="1">
      <c r="A1" s="11" t="inlineStr">
        <is>
          <t>PO number</t>
        </is>
      </c>
      <c r="B1" s="11" t="inlineStr">
        <is>
          <t>Vendor</t>
        </is>
      </c>
      <c r="C1" s="11" t="inlineStr">
        <is>
          <t>Room</t>
        </is>
      </c>
      <c r="D1" s="11" t="inlineStr">
        <is>
          <t>Item</t>
        </is>
      </c>
      <c r="E1" s="11" t="inlineStr">
        <is>
          <t>Quantity</t>
        </is>
      </c>
      <c r="F1" s="11" t="inlineStr">
        <is>
          <t>Order date</t>
        </is>
      </c>
      <c r="G1" s="11" t="inlineStr">
        <is>
          <t>Expected ship date</t>
        </is>
      </c>
      <c r="H1" s="11" t="inlineStr">
        <is>
          <t>Expected delivery date</t>
        </is>
      </c>
      <c r="I1" s="11" t="inlineStr">
        <is>
          <t>Actual delivery date</t>
        </is>
      </c>
      <c r="J1" s="11" t="inlineStr">
        <is>
          <t>Order status</t>
        </is>
      </c>
      <c r="K1" s="11" t="inlineStr">
        <is>
          <t>Tracking number</t>
        </is>
      </c>
      <c r="L1" s="11" t="inlineStr">
        <is>
          <t>Carrier</t>
        </is>
      </c>
      <c r="M1" s="11" t="inlineStr">
        <is>
          <t>Invoice number</t>
        </is>
      </c>
      <c r="N1" s="11" t="inlineStr">
        <is>
          <t>Amount</t>
        </is>
      </c>
      <c r="O1" s="11" t="inlineStr">
        <is>
          <t>Paid status</t>
        </is>
      </c>
      <c r="P1" s="11" t="inlineStr">
        <is>
          <t>Notes</t>
        </is>
      </c>
    </row>
    <row r="2">
      <c r="A2" s="12" t="n"/>
      <c r="B2" s="12" t="n"/>
      <c r="C2" s="12" t="n"/>
      <c r="D2" s="12" t="n"/>
      <c r="E2" s="12" t="n"/>
      <c r="F2" s="14" t="n"/>
      <c r="G2" s="14" t="n"/>
      <c r="H2" s="14" t="n"/>
      <c r="I2" s="14" t="n"/>
      <c r="J2" s="12" t="n"/>
      <c r="K2" s="12" t="n"/>
      <c r="L2" s="12" t="n"/>
      <c r="M2" s="12" t="n"/>
      <c r="N2" s="13" t="n"/>
      <c r="O2" s="12" t="n"/>
      <c r="P2" s="12" t="n"/>
    </row>
    <row r="3">
      <c r="F3" s="9" t="n"/>
      <c r="G3" s="9" t="n"/>
      <c r="H3" s="9" t="n"/>
      <c r="I3" s="9" t="n"/>
      <c r="N3" s="10" t="n"/>
    </row>
    <row r="4">
      <c r="A4" s="12" t="n"/>
      <c r="B4" s="12" t="n"/>
      <c r="C4" s="12" t="n"/>
      <c r="D4" s="12" t="n"/>
      <c r="E4" s="12" t="n"/>
      <c r="F4" s="14" t="n"/>
      <c r="G4" s="14" t="n"/>
      <c r="H4" s="14" t="n"/>
      <c r="I4" s="14" t="n"/>
      <c r="J4" s="12" t="n"/>
      <c r="K4" s="12" t="n"/>
      <c r="L4" s="12" t="n"/>
      <c r="M4" s="12" t="n"/>
      <c r="N4" s="13" t="n"/>
      <c r="O4" s="12" t="n"/>
      <c r="P4" s="12" t="n"/>
    </row>
    <row r="5">
      <c r="F5" s="9" t="n"/>
      <c r="G5" s="9" t="n"/>
      <c r="H5" s="9" t="n"/>
      <c r="I5" s="9" t="n"/>
      <c r="N5" s="10" t="n"/>
    </row>
    <row r="6">
      <c r="A6" s="12" t="n"/>
      <c r="B6" s="12" t="n"/>
      <c r="C6" s="12" t="n"/>
      <c r="D6" s="12" t="n"/>
      <c r="E6" s="12" t="n"/>
      <c r="F6" s="14" t="n"/>
      <c r="G6" s="14" t="n"/>
      <c r="H6" s="14" t="n"/>
      <c r="I6" s="14" t="n"/>
      <c r="J6" s="12" t="n"/>
      <c r="K6" s="12" t="n"/>
      <c r="L6" s="12" t="n"/>
      <c r="M6" s="12" t="n"/>
      <c r="N6" s="13" t="n"/>
      <c r="O6" s="12" t="n"/>
      <c r="P6" s="12" t="n"/>
    </row>
    <row r="7">
      <c r="F7" s="9" t="n"/>
      <c r="G7" s="9" t="n"/>
      <c r="H7" s="9" t="n"/>
      <c r="I7" s="9" t="n"/>
      <c r="N7" s="10" t="n"/>
    </row>
    <row r="8">
      <c r="A8" s="12" t="n"/>
      <c r="B8" s="12" t="n"/>
      <c r="C8" s="12" t="n"/>
      <c r="D8" s="12" t="n"/>
      <c r="E8" s="12" t="n"/>
      <c r="F8" s="14" t="n"/>
      <c r="G8" s="14" t="n"/>
      <c r="H8" s="14" t="n"/>
      <c r="I8" s="14" t="n"/>
      <c r="J8" s="12" t="n"/>
      <c r="K8" s="12" t="n"/>
      <c r="L8" s="12" t="n"/>
      <c r="M8" s="12" t="n"/>
      <c r="N8" s="13" t="n"/>
      <c r="O8" s="12" t="n"/>
      <c r="P8" s="12" t="n"/>
    </row>
    <row r="9">
      <c r="F9" s="9" t="n"/>
      <c r="G9" s="9" t="n"/>
      <c r="H9" s="9" t="n"/>
      <c r="I9" s="9" t="n"/>
      <c r="N9" s="10" t="n"/>
    </row>
    <row r="10">
      <c r="A10" s="12" t="n"/>
      <c r="B10" s="12" t="n"/>
      <c r="C10" s="12" t="n"/>
      <c r="D10" s="12" t="n"/>
      <c r="E10" s="12" t="n"/>
      <c r="F10" s="14" t="n"/>
      <c r="G10" s="14" t="n"/>
      <c r="H10" s="14" t="n"/>
      <c r="I10" s="14" t="n"/>
      <c r="J10" s="12" t="n"/>
      <c r="K10" s="12" t="n"/>
      <c r="L10" s="12" t="n"/>
      <c r="M10" s="12" t="n"/>
      <c r="N10" s="13" t="n"/>
      <c r="O10" s="12" t="n"/>
      <c r="P10" s="12" t="n"/>
    </row>
    <row r="11">
      <c r="F11" s="9" t="n"/>
      <c r="G11" s="9" t="n"/>
      <c r="H11" s="9" t="n"/>
      <c r="I11" s="9" t="n"/>
      <c r="N11" s="10" t="n"/>
    </row>
    <row r="12">
      <c r="A12" s="12" t="n"/>
      <c r="B12" s="12" t="n"/>
      <c r="C12" s="12" t="n"/>
      <c r="D12" s="12" t="n"/>
      <c r="E12" s="12" t="n"/>
      <c r="F12" s="14" t="n"/>
      <c r="G12" s="14" t="n"/>
      <c r="H12" s="14" t="n"/>
      <c r="I12" s="14" t="n"/>
      <c r="J12" s="12" t="n"/>
      <c r="K12" s="12" t="n"/>
      <c r="L12" s="12" t="n"/>
      <c r="M12" s="12" t="n"/>
      <c r="N12" s="13" t="n"/>
      <c r="O12" s="12" t="n"/>
      <c r="P12" s="12" t="n"/>
    </row>
    <row r="13">
      <c r="F13" s="9" t="n"/>
      <c r="G13" s="9" t="n"/>
      <c r="H13" s="9" t="n"/>
      <c r="I13" s="9" t="n"/>
      <c r="N13" s="10" t="n"/>
    </row>
    <row r="14">
      <c r="A14" s="12" t="n"/>
      <c r="B14" s="12" t="n"/>
      <c r="C14" s="12" t="n"/>
      <c r="D14" s="12" t="n"/>
      <c r="E14" s="12" t="n"/>
      <c r="F14" s="14" t="n"/>
      <c r="G14" s="14" t="n"/>
      <c r="H14" s="14" t="n"/>
      <c r="I14" s="14" t="n"/>
      <c r="J14" s="12" t="n"/>
      <c r="K14" s="12" t="n"/>
      <c r="L14" s="12" t="n"/>
      <c r="M14" s="12" t="n"/>
      <c r="N14" s="13" t="n"/>
      <c r="O14" s="12" t="n"/>
      <c r="P14" s="12" t="n"/>
    </row>
    <row r="15">
      <c r="F15" s="9" t="n"/>
      <c r="G15" s="9" t="n"/>
      <c r="H15" s="9" t="n"/>
      <c r="I15" s="9" t="n"/>
      <c r="N15" s="10" t="n"/>
    </row>
    <row r="16">
      <c r="A16" s="12" t="n"/>
      <c r="B16" s="12" t="n"/>
      <c r="C16" s="12" t="n"/>
      <c r="D16" s="12" t="n"/>
      <c r="E16" s="12" t="n"/>
      <c r="F16" s="14" t="n"/>
      <c r="G16" s="14" t="n"/>
      <c r="H16" s="14" t="n"/>
      <c r="I16" s="14" t="n"/>
      <c r="J16" s="12" t="n"/>
      <c r="K16" s="12" t="n"/>
      <c r="L16" s="12" t="n"/>
      <c r="M16" s="12" t="n"/>
      <c r="N16" s="13" t="n"/>
      <c r="O16" s="12" t="n"/>
      <c r="P16" s="12" t="n"/>
    </row>
    <row r="17">
      <c r="F17" s="9" t="n"/>
      <c r="G17" s="9" t="n"/>
      <c r="H17" s="9" t="n"/>
      <c r="I17" s="9" t="n"/>
      <c r="N17" s="10" t="n"/>
    </row>
    <row r="18">
      <c r="A18" s="12" t="n"/>
      <c r="B18" s="12" t="n"/>
      <c r="C18" s="12" t="n"/>
      <c r="D18" s="12" t="n"/>
      <c r="E18" s="12" t="n"/>
      <c r="F18" s="14" t="n"/>
      <c r="G18" s="14" t="n"/>
      <c r="H18" s="14" t="n"/>
      <c r="I18" s="14" t="n"/>
      <c r="J18" s="12" t="n"/>
      <c r="K18" s="12" t="n"/>
      <c r="L18" s="12" t="n"/>
      <c r="M18" s="12" t="n"/>
      <c r="N18" s="13" t="n"/>
      <c r="O18" s="12" t="n"/>
      <c r="P18" s="12" t="n"/>
    </row>
    <row r="19">
      <c r="F19" s="9" t="n"/>
      <c r="G19" s="9" t="n"/>
      <c r="H19" s="9" t="n"/>
      <c r="I19" s="9" t="n"/>
      <c r="N19" s="10" t="n"/>
    </row>
    <row r="20">
      <c r="A20" s="12" t="n"/>
      <c r="B20" s="12" t="n"/>
      <c r="C20" s="12" t="n"/>
      <c r="D20" s="12" t="n"/>
      <c r="E20" s="12" t="n"/>
      <c r="F20" s="14" t="n"/>
      <c r="G20" s="14" t="n"/>
      <c r="H20" s="14" t="n"/>
      <c r="I20" s="14" t="n"/>
      <c r="J20" s="12" t="n"/>
      <c r="K20" s="12" t="n"/>
      <c r="L20" s="12" t="n"/>
      <c r="M20" s="12" t="n"/>
      <c r="N20" s="13" t="n"/>
      <c r="O20" s="12" t="n"/>
      <c r="P20" s="12" t="n"/>
    </row>
    <row r="21">
      <c r="F21" s="9" t="n"/>
      <c r="G21" s="9" t="n"/>
      <c r="H21" s="9" t="n"/>
      <c r="I21" s="9" t="n"/>
      <c r="N21" s="10" t="n"/>
    </row>
    <row r="22">
      <c r="A22" s="12" t="n"/>
      <c r="B22" s="12" t="n"/>
      <c r="C22" s="12" t="n"/>
      <c r="D22" s="12" t="n"/>
      <c r="E22" s="12" t="n"/>
      <c r="F22" s="14" t="n"/>
      <c r="G22" s="14" t="n"/>
      <c r="H22" s="14" t="n"/>
      <c r="I22" s="14" t="n"/>
      <c r="J22" s="12" t="n"/>
      <c r="K22" s="12" t="n"/>
      <c r="L22" s="12" t="n"/>
      <c r="M22" s="12" t="n"/>
      <c r="N22" s="13" t="n"/>
      <c r="O22" s="12" t="n"/>
      <c r="P22" s="12" t="n"/>
    </row>
    <row r="23">
      <c r="F23" s="9" t="n"/>
      <c r="G23" s="9" t="n"/>
      <c r="H23" s="9" t="n"/>
      <c r="I23" s="9" t="n"/>
      <c r="N23" s="10" t="n"/>
    </row>
    <row r="24">
      <c r="A24" s="12" t="n"/>
      <c r="B24" s="12" t="n"/>
      <c r="C24" s="12" t="n"/>
      <c r="D24" s="12" t="n"/>
      <c r="E24" s="12" t="n"/>
      <c r="F24" s="14" t="n"/>
      <c r="G24" s="14" t="n"/>
      <c r="H24" s="14" t="n"/>
      <c r="I24" s="14" t="n"/>
      <c r="J24" s="12" t="n"/>
      <c r="K24" s="12" t="n"/>
      <c r="L24" s="12" t="n"/>
      <c r="M24" s="12" t="n"/>
      <c r="N24" s="13" t="n"/>
      <c r="O24" s="12" t="n"/>
      <c r="P24" s="12" t="n"/>
    </row>
    <row r="25">
      <c r="F25" s="9" t="n"/>
      <c r="G25" s="9" t="n"/>
      <c r="H25" s="9" t="n"/>
      <c r="I25" s="9" t="n"/>
      <c r="N25" s="10" t="n"/>
    </row>
    <row r="26">
      <c r="A26" s="12" t="n"/>
      <c r="B26" s="12" t="n"/>
      <c r="C26" s="12" t="n"/>
      <c r="D26" s="12" t="n"/>
      <c r="E26" s="12" t="n"/>
      <c r="F26" s="14" t="n"/>
      <c r="G26" s="14" t="n"/>
      <c r="H26" s="14" t="n"/>
      <c r="I26" s="14" t="n"/>
      <c r="J26" s="12" t="n"/>
      <c r="K26" s="12" t="n"/>
      <c r="L26" s="12" t="n"/>
      <c r="M26" s="12" t="n"/>
      <c r="N26" s="13" t="n"/>
      <c r="O26" s="12" t="n"/>
      <c r="P26" s="12" t="n"/>
    </row>
    <row r="27">
      <c r="F27" s="9" t="n"/>
      <c r="G27" s="9" t="n"/>
      <c r="H27" s="9" t="n"/>
      <c r="I27" s="9" t="n"/>
      <c r="N27" s="10" t="n"/>
    </row>
    <row r="28">
      <c r="A28" s="12" t="n"/>
      <c r="B28" s="12" t="n"/>
      <c r="C28" s="12" t="n"/>
      <c r="D28" s="12" t="n"/>
      <c r="E28" s="12" t="n"/>
      <c r="F28" s="14" t="n"/>
      <c r="G28" s="14" t="n"/>
      <c r="H28" s="14" t="n"/>
      <c r="I28" s="14" t="n"/>
      <c r="J28" s="12" t="n"/>
      <c r="K28" s="12" t="n"/>
      <c r="L28" s="12" t="n"/>
      <c r="M28" s="12" t="n"/>
      <c r="N28" s="13" t="n"/>
      <c r="O28" s="12" t="n"/>
      <c r="P28" s="12" t="n"/>
    </row>
    <row r="29">
      <c r="F29" s="9" t="n"/>
      <c r="G29" s="9" t="n"/>
      <c r="H29" s="9" t="n"/>
      <c r="I29" s="9" t="n"/>
      <c r="N29" s="10" t="n"/>
    </row>
    <row r="30">
      <c r="A30" s="12" t="n"/>
      <c r="B30" s="12" t="n"/>
      <c r="C30" s="12" t="n"/>
      <c r="D30" s="12" t="n"/>
      <c r="E30" s="12" t="n"/>
      <c r="F30" s="14" t="n"/>
      <c r="G30" s="14" t="n"/>
      <c r="H30" s="14" t="n"/>
      <c r="I30" s="14" t="n"/>
      <c r="J30" s="12" t="n"/>
      <c r="K30" s="12" t="n"/>
      <c r="L30" s="12" t="n"/>
      <c r="M30" s="12" t="n"/>
      <c r="N30" s="13" t="n"/>
      <c r="O30" s="12" t="n"/>
      <c r="P30" s="12" t="n"/>
    </row>
    <row r="31">
      <c r="F31" s="9" t="n"/>
      <c r="G31" s="9" t="n"/>
      <c r="H31" s="9" t="n"/>
      <c r="I31" s="9" t="n"/>
      <c r="N31" s="10" t="n"/>
    </row>
    <row r="32">
      <c r="A32" s="12" t="n"/>
      <c r="B32" s="12" t="n"/>
      <c r="C32" s="12" t="n"/>
      <c r="D32" s="12" t="n"/>
      <c r="E32" s="12" t="n"/>
      <c r="F32" s="14" t="n"/>
      <c r="G32" s="14" t="n"/>
      <c r="H32" s="14" t="n"/>
      <c r="I32" s="14" t="n"/>
      <c r="J32" s="12" t="n"/>
      <c r="K32" s="12" t="n"/>
      <c r="L32" s="12" t="n"/>
      <c r="M32" s="12" t="n"/>
      <c r="N32" s="13" t="n"/>
      <c r="O32" s="12" t="n"/>
      <c r="P32" s="12" t="n"/>
    </row>
    <row r="33">
      <c r="F33" s="9" t="n"/>
      <c r="G33" s="9" t="n"/>
      <c r="H33" s="9" t="n"/>
      <c r="I33" s="9" t="n"/>
      <c r="N33" s="10" t="n"/>
    </row>
    <row r="34">
      <c r="A34" s="12" t="n"/>
      <c r="B34" s="12" t="n"/>
      <c r="C34" s="12" t="n"/>
      <c r="D34" s="12" t="n"/>
      <c r="E34" s="12" t="n"/>
      <c r="F34" s="14" t="n"/>
      <c r="G34" s="14" t="n"/>
      <c r="H34" s="14" t="n"/>
      <c r="I34" s="14" t="n"/>
      <c r="J34" s="12" t="n"/>
      <c r="K34" s="12" t="n"/>
      <c r="L34" s="12" t="n"/>
      <c r="M34" s="12" t="n"/>
      <c r="N34" s="13" t="n"/>
      <c r="O34" s="12" t="n"/>
      <c r="P34" s="12" t="n"/>
    </row>
    <row r="35">
      <c r="F35" s="9" t="n"/>
      <c r="G35" s="9" t="n"/>
      <c r="H35" s="9" t="n"/>
      <c r="I35" s="9" t="n"/>
      <c r="N35" s="10" t="n"/>
    </row>
    <row r="36">
      <c r="A36" s="12" t="n"/>
      <c r="B36" s="12" t="n"/>
      <c r="C36" s="12" t="n"/>
      <c r="D36" s="12" t="n"/>
      <c r="E36" s="12" t="n"/>
      <c r="F36" s="14" t="n"/>
      <c r="G36" s="14" t="n"/>
      <c r="H36" s="14" t="n"/>
      <c r="I36" s="14" t="n"/>
      <c r="J36" s="12" t="n"/>
      <c r="K36" s="12" t="n"/>
      <c r="L36" s="12" t="n"/>
      <c r="M36" s="12" t="n"/>
      <c r="N36" s="13" t="n"/>
      <c r="O36" s="12" t="n"/>
      <c r="P36" s="12" t="n"/>
    </row>
    <row r="37">
      <c r="F37" s="9" t="n"/>
      <c r="G37" s="9" t="n"/>
      <c r="H37" s="9" t="n"/>
      <c r="I37" s="9" t="n"/>
      <c r="N37" s="10" t="n"/>
    </row>
    <row r="38">
      <c r="A38" s="12" t="n"/>
      <c r="B38" s="12" t="n"/>
      <c r="C38" s="12" t="n"/>
      <c r="D38" s="12" t="n"/>
      <c r="E38" s="12" t="n"/>
      <c r="F38" s="14" t="n"/>
      <c r="G38" s="14" t="n"/>
      <c r="H38" s="14" t="n"/>
      <c r="I38" s="14" t="n"/>
      <c r="J38" s="12" t="n"/>
      <c r="K38" s="12" t="n"/>
      <c r="L38" s="12" t="n"/>
      <c r="M38" s="12" t="n"/>
      <c r="N38" s="13" t="n"/>
      <c r="O38" s="12" t="n"/>
      <c r="P38" s="12" t="n"/>
    </row>
    <row r="39">
      <c r="F39" s="9" t="n"/>
      <c r="G39" s="9" t="n"/>
      <c r="H39" s="9" t="n"/>
      <c r="I39" s="9" t="n"/>
      <c r="N39" s="10" t="n"/>
    </row>
    <row r="40">
      <c r="A40" s="12" t="n"/>
      <c r="B40" s="12" t="n"/>
      <c r="C40" s="12" t="n"/>
      <c r="D40" s="12" t="n"/>
      <c r="E40" s="12" t="n"/>
      <c r="F40" s="14" t="n"/>
      <c r="G40" s="14" t="n"/>
      <c r="H40" s="14" t="n"/>
      <c r="I40" s="14" t="n"/>
      <c r="J40" s="12" t="n"/>
      <c r="K40" s="12" t="n"/>
      <c r="L40" s="12" t="n"/>
      <c r="M40" s="12" t="n"/>
      <c r="N40" s="13" t="n"/>
      <c r="O40" s="12" t="n"/>
      <c r="P40" s="12" t="n"/>
    </row>
    <row r="41">
      <c r="F41" s="9" t="n"/>
      <c r="G41" s="9" t="n"/>
      <c r="H41" s="9" t="n"/>
      <c r="I41" s="9" t="n"/>
      <c r="N41" s="10" t="n"/>
    </row>
    <row r="42">
      <c r="A42" s="12" t="n"/>
      <c r="B42" s="12" t="n"/>
      <c r="C42" s="12" t="n"/>
      <c r="D42" s="12" t="n"/>
      <c r="E42" s="12" t="n"/>
      <c r="F42" s="14" t="n"/>
      <c r="G42" s="14" t="n"/>
      <c r="H42" s="14" t="n"/>
      <c r="I42" s="14" t="n"/>
      <c r="J42" s="12" t="n"/>
      <c r="K42" s="12" t="n"/>
      <c r="L42" s="12" t="n"/>
      <c r="M42" s="12" t="n"/>
      <c r="N42" s="13" t="n"/>
      <c r="O42" s="12" t="n"/>
      <c r="P42" s="12" t="n"/>
    </row>
    <row r="43">
      <c r="F43" s="9" t="n"/>
      <c r="G43" s="9" t="n"/>
      <c r="H43" s="9" t="n"/>
      <c r="I43" s="9" t="n"/>
      <c r="N43" s="10" t="n"/>
    </row>
    <row r="44">
      <c r="A44" s="12" t="n"/>
      <c r="B44" s="12" t="n"/>
      <c r="C44" s="12" t="n"/>
      <c r="D44" s="12" t="n"/>
      <c r="E44" s="12" t="n"/>
      <c r="F44" s="14" t="n"/>
      <c r="G44" s="14" t="n"/>
      <c r="H44" s="14" t="n"/>
      <c r="I44" s="14" t="n"/>
      <c r="J44" s="12" t="n"/>
      <c r="K44" s="12" t="n"/>
      <c r="L44" s="12" t="n"/>
      <c r="M44" s="12" t="n"/>
      <c r="N44" s="13" t="n"/>
      <c r="O44" s="12" t="n"/>
      <c r="P44" s="12" t="n"/>
    </row>
    <row r="45">
      <c r="F45" s="9" t="n"/>
      <c r="G45" s="9" t="n"/>
      <c r="H45" s="9" t="n"/>
      <c r="I45" s="9" t="n"/>
      <c r="N45" s="10" t="n"/>
    </row>
    <row r="46">
      <c r="A46" s="12" t="n"/>
      <c r="B46" s="12" t="n"/>
      <c r="C46" s="12" t="n"/>
      <c r="D46" s="12" t="n"/>
      <c r="E46" s="12" t="n"/>
      <c r="F46" s="14" t="n"/>
      <c r="G46" s="14" t="n"/>
      <c r="H46" s="14" t="n"/>
      <c r="I46" s="14" t="n"/>
      <c r="J46" s="12" t="n"/>
      <c r="K46" s="12" t="n"/>
      <c r="L46" s="12" t="n"/>
      <c r="M46" s="12" t="n"/>
      <c r="N46" s="13" t="n"/>
      <c r="O46" s="12" t="n"/>
      <c r="P46" s="12" t="n"/>
    </row>
    <row r="47">
      <c r="F47" s="9" t="n"/>
      <c r="G47" s="9" t="n"/>
      <c r="H47" s="9" t="n"/>
      <c r="I47" s="9" t="n"/>
      <c r="N47" s="10" t="n"/>
    </row>
    <row r="48">
      <c r="A48" s="12" t="n"/>
      <c r="B48" s="12" t="n"/>
      <c r="C48" s="12" t="n"/>
      <c r="D48" s="12" t="n"/>
      <c r="E48" s="12" t="n"/>
      <c r="F48" s="14" t="n"/>
      <c r="G48" s="14" t="n"/>
      <c r="H48" s="14" t="n"/>
      <c r="I48" s="14" t="n"/>
      <c r="J48" s="12" t="n"/>
      <c r="K48" s="12" t="n"/>
      <c r="L48" s="12" t="n"/>
      <c r="M48" s="12" t="n"/>
      <c r="N48" s="13" t="n"/>
      <c r="O48" s="12" t="n"/>
      <c r="P48" s="12" t="n"/>
    </row>
    <row r="49">
      <c r="F49" s="9" t="n"/>
      <c r="G49" s="9" t="n"/>
      <c r="H49" s="9" t="n"/>
      <c r="I49" s="9" t="n"/>
      <c r="N49" s="10" t="n"/>
    </row>
    <row r="50">
      <c r="A50" s="12" t="n"/>
      <c r="B50" s="12" t="n"/>
      <c r="C50" s="12" t="n"/>
      <c r="D50" s="12" t="n"/>
      <c r="E50" s="12" t="n"/>
      <c r="F50" s="14" t="n"/>
      <c r="G50" s="14" t="n"/>
      <c r="H50" s="14" t="n"/>
      <c r="I50" s="14" t="n"/>
      <c r="J50" s="12" t="n"/>
      <c r="K50" s="12" t="n"/>
      <c r="L50" s="12" t="n"/>
      <c r="M50" s="12" t="n"/>
      <c r="N50" s="13" t="n"/>
      <c r="O50" s="12" t="n"/>
      <c r="P50" s="12" t="n"/>
    </row>
    <row r="51">
      <c r="F51" s="9" t="n"/>
      <c r="G51" s="9" t="n"/>
      <c r="H51" s="9" t="n"/>
      <c r="I51" s="9" t="n"/>
      <c r="N51" s="10" t="n"/>
    </row>
    <row r="52">
      <c r="A52" s="12" t="n"/>
      <c r="B52" s="12" t="n"/>
      <c r="C52" s="12" t="n"/>
      <c r="D52" s="12" t="n"/>
      <c r="E52" s="12" t="n"/>
      <c r="F52" s="14" t="n"/>
      <c r="G52" s="14" t="n"/>
      <c r="H52" s="14" t="n"/>
      <c r="I52" s="14" t="n"/>
      <c r="J52" s="12" t="n"/>
      <c r="K52" s="12" t="n"/>
      <c r="L52" s="12" t="n"/>
      <c r="M52" s="12" t="n"/>
      <c r="N52" s="13" t="n"/>
      <c r="O52" s="12" t="n"/>
      <c r="P52" s="12" t="n"/>
    </row>
    <row r="53">
      <c r="F53" s="9" t="n"/>
      <c r="G53" s="9" t="n"/>
      <c r="H53" s="9" t="n"/>
      <c r="I53" s="9" t="n"/>
      <c r="N53" s="10" t="n"/>
    </row>
    <row r="54">
      <c r="A54" s="12" t="n"/>
      <c r="B54" s="12" t="n"/>
      <c r="C54" s="12" t="n"/>
      <c r="D54" s="12" t="n"/>
      <c r="E54" s="12" t="n"/>
      <c r="F54" s="14" t="n"/>
      <c r="G54" s="14" t="n"/>
      <c r="H54" s="14" t="n"/>
      <c r="I54" s="14" t="n"/>
      <c r="J54" s="12" t="n"/>
      <c r="K54" s="12" t="n"/>
      <c r="L54" s="12" t="n"/>
      <c r="M54" s="12" t="n"/>
      <c r="N54" s="13" t="n"/>
      <c r="O54" s="12" t="n"/>
      <c r="P54" s="12" t="n"/>
    </row>
    <row r="55">
      <c r="F55" s="9" t="n"/>
      <c r="G55" s="9" t="n"/>
      <c r="H55" s="9" t="n"/>
      <c r="I55" s="9" t="n"/>
      <c r="N55" s="10" t="n"/>
    </row>
    <row r="56">
      <c r="A56" s="12" t="n"/>
      <c r="B56" s="12" t="n"/>
      <c r="C56" s="12" t="n"/>
      <c r="D56" s="12" t="n"/>
      <c r="E56" s="12" t="n"/>
      <c r="F56" s="14" t="n"/>
      <c r="G56" s="14" t="n"/>
      <c r="H56" s="14" t="n"/>
      <c r="I56" s="14" t="n"/>
      <c r="J56" s="12" t="n"/>
      <c r="K56" s="12" t="n"/>
      <c r="L56" s="12" t="n"/>
      <c r="M56" s="12" t="n"/>
      <c r="N56" s="13" t="n"/>
      <c r="O56" s="12" t="n"/>
      <c r="P56" s="12" t="n"/>
    </row>
    <row r="57">
      <c r="F57" s="9" t="n"/>
      <c r="G57" s="9" t="n"/>
      <c r="H57" s="9" t="n"/>
      <c r="I57" s="9" t="n"/>
      <c r="N57" s="10" t="n"/>
    </row>
    <row r="58">
      <c r="A58" s="12" t="n"/>
      <c r="B58" s="12" t="n"/>
      <c r="C58" s="12" t="n"/>
      <c r="D58" s="12" t="n"/>
      <c r="E58" s="12" t="n"/>
      <c r="F58" s="14" t="n"/>
      <c r="G58" s="14" t="n"/>
      <c r="H58" s="14" t="n"/>
      <c r="I58" s="14" t="n"/>
      <c r="J58" s="12" t="n"/>
      <c r="K58" s="12" t="n"/>
      <c r="L58" s="12" t="n"/>
      <c r="M58" s="12" t="n"/>
      <c r="N58" s="13" t="n"/>
      <c r="O58" s="12" t="n"/>
      <c r="P58" s="12" t="n"/>
    </row>
    <row r="59">
      <c r="F59" s="9" t="n"/>
      <c r="G59" s="9" t="n"/>
      <c r="H59" s="9" t="n"/>
      <c r="I59" s="9" t="n"/>
      <c r="N59" s="10" t="n"/>
    </row>
    <row r="60">
      <c r="A60" s="12" t="n"/>
      <c r="B60" s="12" t="n"/>
      <c r="C60" s="12" t="n"/>
      <c r="D60" s="12" t="n"/>
      <c r="E60" s="12" t="n"/>
      <c r="F60" s="14" t="n"/>
      <c r="G60" s="14" t="n"/>
      <c r="H60" s="14" t="n"/>
      <c r="I60" s="14" t="n"/>
      <c r="J60" s="12" t="n"/>
      <c r="K60" s="12" t="n"/>
      <c r="L60" s="12" t="n"/>
      <c r="M60" s="12" t="n"/>
      <c r="N60" s="13" t="n"/>
      <c r="O60" s="12" t="n"/>
      <c r="P60" s="12" t="n"/>
    </row>
    <row r="61">
      <c r="F61" s="9" t="n"/>
      <c r="G61" s="9" t="n"/>
      <c r="H61" s="9" t="n"/>
      <c r="I61" s="9" t="n"/>
      <c r="N61" s="10" t="n"/>
    </row>
    <row r="62">
      <c r="A62" s="12" t="n"/>
      <c r="B62" s="12" t="n"/>
      <c r="C62" s="12" t="n"/>
      <c r="D62" s="12" t="n"/>
      <c r="E62" s="12" t="n"/>
      <c r="F62" s="14" t="n"/>
      <c r="G62" s="14" t="n"/>
      <c r="H62" s="14" t="n"/>
      <c r="I62" s="14" t="n"/>
      <c r="J62" s="12" t="n"/>
      <c r="K62" s="12" t="n"/>
      <c r="L62" s="12" t="n"/>
      <c r="M62" s="12" t="n"/>
      <c r="N62" s="13" t="n"/>
      <c r="O62" s="12" t="n"/>
      <c r="P62" s="12" t="n"/>
    </row>
    <row r="63">
      <c r="F63" s="9" t="n"/>
      <c r="G63" s="9" t="n"/>
      <c r="H63" s="9" t="n"/>
      <c r="I63" s="9" t="n"/>
      <c r="N63" s="10" t="n"/>
    </row>
    <row r="64">
      <c r="A64" s="12" t="n"/>
      <c r="B64" s="12" t="n"/>
      <c r="C64" s="12" t="n"/>
      <c r="D64" s="12" t="n"/>
      <c r="E64" s="12" t="n"/>
      <c r="F64" s="14" t="n"/>
      <c r="G64" s="14" t="n"/>
      <c r="H64" s="14" t="n"/>
      <c r="I64" s="14" t="n"/>
      <c r="J64" s="12" t="n"/>
      <c r="K64" s="12" t="n"/>
      <c r="L64" s="12" t="n"/>
      <c r="M64" s="12" t="n"/>
      <c r="N64" s="13" t="n"/>
      <c r="O64" s="12" t="n"/>
      <c r="P64" s="12" t="n"/>
    </row>
    <row r="65">
      <c r="F65" s="9" t="n"/>
      <c r="G65" s="9" t="n"/>
      <c r="H65" s="9" t="n"/>
      <c r="I65" s="9" t="n"/>
      <c r="N65" s="10" t="n"/>
    </row>
    <row r="66">
      <c r="A66" s="12" t="n"/>
      <c r="B66" s="12" t="n"/>
      <c r="C66" s="12" t="n"/>
      <c r="D66" s="12" t="n"/>
      <c r="E66" s="12" t="n"/>
      <c r="F66" s="14" t="n"/>
      <c r="G66" s="14" t="n"/>
      <c r="H66" s="14" t="n"/>
      <c r="I66" s="14" t="n"/>
      <c r="J66" s="12" t="n"/>
      <c r="K66" s="12" t="n"/>
      <c r="L66" s="12" t="n"/>
      <c r="M66" s="12" t="n"/>
      <c r="N66" s="13" t="n"/>
      <c r="O66" s="12" t="n"/>
      <c r="P66" s="12" t="n"/>
    </row>
    <row r="67">
      <c r="F67" s="9" t="n"/>
      <c r="G67" s="9" t="n"/>
      <c r="H67" s="9" t="n"/>
      <c r="I67" s="9" t="n"/>
      <c r="N67" s="10" t="n"/>
    </row>
    <row r="68">
      <c r="A68" s="12" t="n"/>
      <c r="B68" s="12" t="n"/>
      <c r="C68" s="12" t="n"/>
      <c r="D68" s="12" t="n"/>
      <c r="E68" s="12" t="n"/>
      <c r="F68" s="14" t="n"/>
      <c r="G68" s="14" t="n"/>
      <c r="H68" s="14" t="n"/>
      <c r="I68" s="14" t="n"/>
      <c r="J68" s="12" t="n"/>
      <c r="K68" s="12" t="n"/>
      <c r="L68" s="12" t="n"/>
      <c r="M68" s="12" t="n"/>
      <c r="N68" s="13" t="n"/>
      <c r="O68" s="12" t="n"/>
      <c r="P68" s="12" t="n"/>
    </row>
    <row r="69">
      <c r="F69" s="9" t="n"/>
      <c r="G69" s="9" t="n"/>
      <c r="H69" s="9" t="n"/>
      <c r="I69" s="9" t="n"/>
      <c r="N69" s="10" t="n"/>
    </row>
    <row r="70">
      <c r="A70" s="12" t="n"/>
      <c r="B70" s="12" t="n"/>
      <c r="C70" s="12" t="n"/>
      <c r="D70" s="12" t="n"/>
      <c r="E70" s="12" t="n"/>
      <c r="F70" s="14" t="n"/>
      <c r="G70" s="14" t="n"/>
      <c r="H70" s="14" t="n"/>
      <c r="I70" s="14" t="n"/>
      <c r="J70" s="12" t="n"/>
      <c r="K70" s="12" t="n"/>
      <c r="L70" s="12" t="n"/>
      <c r="M70" s="12" t="n"/>
      <c r="N70" s="13" t="n"/>
      <c r="O70" s="12" t="n"/>
      <c r="P70" s="12" t="n"/>
    </row>
    <row r="71">
      <c r="F71" s="9" t="n"/>
      <c r="G71" s="9" t="n"/>
      <c r="H71" s="9" t="n"/>
      <c r="I71" s="9" t="n"/>
      <c r="N71" s="10" t="n"/>
    </row>
    <row r="72">
      <c r="A72" s="12" t="n"/>
      <c r="B72" s="12" t="n"/>
      <c r="C72" s="12" t="n"/>
      <c r="D72" s="12" t="n"/>
      <c r="E72" s="12" t="n"/>
      <c r="F72" s="14" t="n"/>
      <c r="G72" s="14" t="n"/>
      <c r="H72" s="14" t="n"/>
      <c r="I72" s="14" t="n"/>
      <c r="J72" s="12" t="n"/>
      <c r="K72" s="12" t="n"/>
      <c r="L72" s="12" t="n"/>
      <c r="M72" s="12" t="n"/>
      <c r="N72" s="13" t="n"/>
      <c r="O72" s="12" t="n"/>
      <c r="P72" s="12" t="n"/>
    </row>
    <row r="73">
      <c r="F73" s="9" t="n"/>
      <c r="G73" s="9" t="n"/>
      <c r="H73" s="9" t="n"/>
      <c r="I73" s="9" t="n"/>
      <c r="N73" s="10" t="n"/>
    </row>
    <row r="74">
      <c r="A74" s="12" t="n"/>
      <c r="B74" s="12" t="n"/>
      <c r="C74" s="12" t="n"/>
      <c r="D74" s="12" t="n"/>
      <c r="E74" s="12" t="n"/>
      <c r="F74" s="14" t="n"/>
      <c r="G74" s="14" t="n"/>
      <c r="H74" s="14" t="n"/>
      <c r="I74" s="14" t="n"/>
      <c r="J74" s="12" t="n"/>
      <c r="K74" s="12" t="n"/>
      <c r="L74" s="12" t="n"/>
      <c r="M74" s="12" t="n"/>
      <c r="N74" s="13" t="n"/>
      <c r="O74" s="12" t="n"/>
      <c r="P74" s="12" t="n"/>
    </row>
    <row r="75">
      <c r="F75" s="9" t="n"/>
      <c r="G75" s="9" t="n"/>
      <c r="H75" s="9" t="n"/>
      <c r="I75" s="9" t="n"/>
      <c r="N75" s="10" t="n"/>
    </row>
    <row r="76">
      <c r="A76" s="12" t="n"/>
      <c r="B76" s="12" t="n"/>
      <c r="C76" s="12" t="n"/>
      <c r="D76" s="12" t="n"/>
      <c r="E76" s="12" t="n"/>
      <c r="F76" s="14" t="n"/>
      <c r="G76" s="14" t="n"/>
      <c r="H76" s="14" t="n"/>
      <c r="I76" s="14" t="n"/>
      <c r="J76" s="12" t="n"/>
      <c r="K76" s="12" t="n"/>
      <c r="L76" s="12" t="n"/>
      <c r="M76" s="12" t="n"/>
      <c r="N76" s="13" t="n"/>
      <c r="O76" s="12" t="n"/>
      <c r="P76" s="12" t="n"/>
    </row>
    <row r="77">
      <c r="F77" s="9" t="n"/>
      <c r="G77" s="9" t="n"/>
      <c r="H77" s="9" t="n"/>
      <c r="I77" s="9" t="n"/>
      <c r="N77" s="10" t="n"/>
    </row>
    <row r="78">
      <c r="A78" s="12" t="n"/>
      <c r="B78" s="12" t="n"/>
      <c r="C78" s="12" t="n"/>
      <c r="D78" s="12" t="n"/>
      <c r="E78" s="12" t="n"/>
      <c r="F78" s="14" t="n"/>
      <c r="G78" s="14" t="n"/>
      <c r="H78" s="14" t="n"/>
      <c r="I78" s="14" t="n"/>
      <c r="J78" s="12" t="n"/>
      <c r="K78" s="12" t="n"/>
      <c r="L78" s="12" t="n"/>
      <c r="M78" s="12" t="n"/>
      <c r="N78" s="13" t="n"/>
      <c r="O78" s="12" t="n"/>
      <c r="P78" s="12" t="n"/>
    </row>
    <row r="79">
      <c r="F79" s="9" t="n"/>
      <c r="G79" s="9" t="n"/>
      <c r="H79" s="9" t="n"/>
      <c r="I79" s="9" t="n"/>
      <c r="N79" s="10" t="n"/>
    </row>
    <row r="80">
      <c r="A80" s="12" t="n"/>
      <c r="B80" s="12" t="n"/>
      <c r="C80" s="12" t="n"/>
      <c r="D80" s="12" t="n"/>
      <c r="E80" s="12" t="n"/>
      <c r="F80" s="14" t="n"/>
      <c r="G80" s="14" t="n"/>
      <c r="H80" s="14" t="n"/>
      <c r="I80" s="14" t="n"/>
      <c r="J80" s="12" t="n"/>
      <c r="K80" s="12" t="n"/>
      <c r="L80" s="12" t="n"/>
      <c r="M80" s="12" t="n"/>
      <c r="N80" s="13" t="n"/>
      <c r="O80" s="12" t="n"/>
      <c r="P80" s="12" t="n"/>
    </row>
    <row r="81">
      <c r="F81" s="9" t="n"/>
      <c r="G81" s="9" t="n"/>
      <c r="H81" s="9" t="n"/>
      <c r="I81" s="9" t="n"/>
      <c r="N81" s="10" t="n"/>
    </row>
    <row r="82">
      <c r="A82" s="12" t="n"/>
      <c r="B82" s="12" t="n"/>
      <c r="C82" s="12" t="n"/>
      <c r="D82" s="12" t="n"/>
      <c r="E82" s="12" t="n"/>
      <c r="F82" s="14" t="n"/>
      <c r="G82" s="14" t="n"/>
      <c r="H82" s="14" t="n"/>
      <c r="I82" s="14" t="n"/>
      <c r="J82" s="12" t="n"/>
      <c r="K82" s="12" t="n"/>
      <c r="L82" s="12" t="n"/>
      <c r="M82" s="12" t="n"/>
      <c r="N82" s="13" t="n"/>
      <c r="O82" s="12" t="n"/>
      <c r="P82" s="12" t="n"/>
    </row>
    <row r="83">
      <c r="F83" s="9" t="n"/>
      <c r="G83" s="9" t="n"/>
      <c r="H83" s="9" t="n"/>
      <c r="I83" s="9" t="n"/>
      <c r="N83" s="10" t="n"/>
    </row>
    <row r="84">
      <c r="A84" s="12" t="n"/>
      <c r="B84" s="12" t="n"/>
      <c r="C84" s="12" t="n"/>
      <c r="D84" s="12" t="n"/>
      <c r="E84" s="12" t="n"/>
      <c r="F84" s="14" t="n"/>
      <c r="G84" s="14" t="n"/>
      <c r="H84" s="14" t="n"/>
      <c r="I84" s="14" t="n"/>
      <c r="J84" s="12" t="n"/>
      <c r="K84" s="12" t="n"/>
      <c r="L84" s="12" t="n"/>
      <c r="M84" s="12" t="n"/>
      <c r="N84" s="13" t="n"/>
      <c r="O84" s="12" t="n"/>
      <c r="P84" s="12" t="n"/>
    </row>
    <row r="85">
      <c r="F85" s="9" t="n"/>
      <c r="G85" s="9" t="n"/>
      <c r="H85" s="9" t="n"/>
      <c r="I85" s="9" t="n"/>
      <c r="N85" s="10" t="n"/>
    </row>
    <row r="86">
      <c r="A86" s="12" t="n"/>
      <c r="B86" s="12" t="n"/>
      <c r="C86" s="12" t="n"/>
      <c r="D86" s="12" t="n"/>
      <c r="E86" s="12" t="n"/>
      <c r="F86" s="14" t="n"/>
      <c r="G86" s="14" t="n"/>
      <c r="H86" s="14" t="n"/>
      <c r="I86" s="14" t="n"/>
      <c r="J86" s="12" t="n"/>
      <c r="K86" s="12" t="n"/>
      <c r="L86" s="12" t="n"/>
      <c r="M86" s="12" t="n"/>
      <c r="N86" s="13" t="n"/>
      <c r="O86" s="12" t="n"/>
      <c r="P86" s="12" t="n"/>
    </row>
    <row r="87">
      <c r="F87" s="9" t="n"/>
      <c r="G87" s="9" t="n"/>
      <c r="H87" s="9" t="n"/>
      <c r="I87" s="9" t="n"/>
      <c r="N87" s="10" t="n"/>
    </row>
    <row r="88">
      <c r="A88" s="12" t="n"/>
      <c r="B88" s="12" t="n"/>
      <c r="C88" s="12" t="n"/>
      <c r="D88" s="12" t="n"/>
      <c r="E88" s="12" t="n"/>
      <c r="F88" s="14" t="n"/>
      <c r="G88" s="14" t="n"/>
      <c r="H88" s="14" t="n"/>
      <c r="I88" s="14" t="n"/>
      <c r="J88" s="12" t="n"/>
      <c r="K88" s="12" t="n"/>
      <c r="L88" s="12" t="n"/>
      <c r="M88" s="12" t="n"/>
      <c r="N88" s="13" t="n"/>
      <c r="O88" s="12" t="n"/>
      <c r="P88" s="12" t="n"/>
    </row>
    <row r="89">
      <c r="F89" s="9" t="n"/>
      <c r="G89" s="9" t="n"/>
      <c r="H89" s="9" t="n"/>
      <c r="I89" s="9" t="n"/>
      <c r="N89" s="10" t="n"/>
    </row>
    <row r="90">
      <c r="A90" s="12" t="n"/>
      <c r="B90" s="12" t="n"/>
      <c r="C90" s="12" t="n"/>
      <c r="D90" s="12" t="n"/>
      <c r="E90" s="12" t="n"/>
      <c r="F90" s="14" t="n"/>
      <c r="G90" s="14" t="n"/>
      <c r="H90" s="14" t="n"/>
      <c r="I90" s="14" t="n"/>
      <c r="J90" s="12" t="n"/>
      <c r="K90" s="12" t="n"/>
      <c r="L90" s="12" t="n"/>
      <c r="M90" s="12" t="n"/>
      <c r="N90" s="13" t="n"/>
      <c r="O90" s="12" t="n"/>
      <c r="P90" s="12" t="n"/>
    </row>
    <row r="91">
      <c r="F91" s="9" t="n"/>
      <c r="G91" s="9" t="n"/>
      <c r="H91" s="9" t="n"/>
      <c r="I91" s="9" t="n"/>
      <c r="N91" s="10" t="n"/>
    </row>
    <row r="92">
      <c r="A92" s="12" t="n"/>
      <c r="B92" s="12" t="n"/>
      <c r="C92" s="12" t="n"/>
      <c r="D92" s="12" t="n"/>
      <c r="E92" s="12" t="n"/>
      <c r="F92" s="14" t="n"/>
      <c r="G92" s="14" t="n"/>
      <c r="H92" s="14" t="n"/>
      <c r="I92" s="14" t="n"/>
      <c r="J92" s="12" t="n"/>
      <c r="K92" s="12" t="n"/>
      <c r="L92" s="12" t="n"/>
      <c r="M92" s="12" t="n"/>
      <c r="N92" s="13" t="n"/>
      <c r="O92" s="12" t="n"/>
      <c r="P92" s="12" t="n"/>
    </row>
    <row r="93">
      <c r="F93" s="9" t="n"/>
      <c r="G93" s="9" t="n"/>
      <c r="H93" s="9" t="n"/>
      <c r="I93" s="9" t="n"/>
      <c r="N93" s="10" t="n"/>
    </row>
    <row r="94">
      <c r="A94" s="12" t="n"/>
      <c r="B94" s="12" t="n"/>
      <c r="C94" s="12" t="n"/>
      <c r="D94" s="12" t="n"/>
      <c r="E94" s="12" t="n"/>
      <c r="F94" s="14" t="n"/>
      <c r="G94" s="14" t="n"/>
      <c r="H94" s="14" t="n"/>
      <c r="I94" s="14" t="n"/>
      <c r="J94" s="12" t="n"/>
      <c r="K94" s="12" t="n"/>
      <c r="L94" s="12" t="n"/>
      <c r="M94" s="12" t="n"/>
      <c r="N94" s="13" t="n"/>
      <c r="O94" s="12" t="n"/>
      <c r="P94" s="12" t="n"/>
    </row>
    <row r="95">
      <c r="F95" s="9" t="n"/>
      <c r="G95" s="9" t="n"/>
      <c r="H95" s="9" t="n"/>
      <c r="I95" s="9" t="n"/>
      <c r="N95" s="10" t="n"/>
    </row>
    <row r="96">
      <c r="A96" s="12" t="n"/>
      <c r="B96" s="12" t="n"/>
      <c r="C96" s="12" t="n"/>
      <c r="D96" s="12" t="n"/>
      <c r="E96" s="12" t="n"/>
      <c r="F96" s="14" t="n"/>
      <c r="G96" s="14" t="n"/>
      <c r="H96" s="14" t="n"/>
      <c r="I96" s="14" t="n"/>
      <c r="J96" s="12" t="n"/>
      <c r="K96" s="12" t="n"/>
      <c r="L96" s="12" t="n"/>
      <c r="M96" s="12" t="n"/>
      <c r="N96" s="13" t="n"/>
      <c r="O96" s="12" t="n"/>
      <c r="P96" s="12" t="n"/>
    </row>
    <row r="97">
      <c r="F97" s="9" t="n"/>
      <c r="G97" s="9" t="n"/>
      <c r="H97" s="9" t="n"/>
      <c r="I97" s="9" t="n"/>
      <c r="N97" s="10" t="n"/>
    </row>
    <row r="98">
      <c r="A98" s="12" t="n"/>
      <c r="B98" s="12" t="n"/>
      <c r="C98" s="12" t="n"/>
      <c r="D98" s="12" t="n"/>
      <c r="E98" s="12" t="n"/>
      <c r="F98" s="14" t="n"/>
      <c r="G98" s="14" t="n"/>
      <c r="H98" s="14" t="n"/>
      <c r="I98" s="14" t="n"/>
      <c r="J98" s="12" t="n"/>
      <c r="K98" s="12" t="n"/>
      <c r="L98" s="12" t="n"/>
      <c r="M98" s="12" t="n"/>
      <c r="N98" s="13" t="n"/>
      <c r="O98" s="12" t="n"/>
      <c r="P98" s="12" t="n"/>
    </row>
    <row r="99">
      <c r="F99" s="9" t="n"/>
      <c r="G99" s="9" t="n"/>
      <c r="H99" s="9" t="n"/>
      <c r="I99" s="9" t="n"/>
      <c r="N99" s="10" t="n"/>
    </row>
    <row r="100">
      <c r="A100" s="12" t="n"/>
      <c r="B100" s="12" t="n"/>
      <c r="C100" s="12" t="n"/>
      <c r="D100" s="12" t="n"/>
      <c r="E100" s="12" t="n"/>
      <c r="F100" s="14" t="n"/>
      <c r="G100" s="14" t="n"/>
      <c r="H100" s="14" t="n"/>
      <c r="I100" s="14" t="n"/>
      <c r="J100" s="12" t="n"/>
      <c r="K100" s="12" t="n"/>
      <c r="L100" s="12" t="n"/>
      <c r="M100" s="12" t="n"/>
      <c r="N100" s="13" t="n"/>
      <c r="O100" s="12" t="n"/>
      <c r="P100" s="12" t="n"/>
    </row>
    <row r="101">
      <c r="F101" s="9" t="n"/>
      <c r="G101" s="9" t="n"/>
      <c r="H101" s="9" t="n"/>
      <c r="I101" s="9" t="n"/>
      <c r="N101" s="10" t="n"/>
    </row>
    <row r="102">
      <c r="A102" s="12" t="n"/>
      <c r="B102" s="12" t="n"/>
      <c r="C102" s="12" t="n"/>
      <c r="D102" s="12" t="n"/>
      <c r="E102" s="12" t="n"/>
      <c r="F102" s="14" t="n"/>
      <c r="G102" s="14" t="n"/>
      <c r="H102" s="14" t="n"/>
      <c r="I102" s="14" t="n"/>
      <c r="J102" s="12" t="n"/>
      <c r="K102" s="12" t="n"/>
      <c r="L102" s="12" t="n"/>
      <c r="M102" s="12" t="n"/>
      <c r="N102" s="13" t="n"/>
      <c r="O102" s="12" t="n"/>
      <c r="P102" s="12" t="n"/>
    </row>
    <row r="103">
      <c r="F103" s="9" t="n"/>
      <c r="G103" s="9" t="n"/>
      <c r="H103" s="9" t="n"/>
      <c r="I103" s="9" t="n"/>
      <c r="N103" s="10" t="n"/>
    </row>
    <row r="104">
      <c r="A104" s="12" t="n"/>
      <c r="B104" s="12" t="n"/>
      <c r="C104" s="12" t="n"/>
      <c r="D104" s="12" t="n"/>
      <c r="E104" s="12" t="n"/>
      <c r="F104" s="14" t="n"/>
      <c r="G104" s="14" t="n"/>
      <c r="H104" s="14" t="n"/>
      <c r="I104" s="14" t="n"/>
      <c r="J104" s="12" t="n"/>
      <c r="K104" s="12" t="n"/>
      <c r="L104" s="12" t="n"/>
      <c r="M104" s="12" t="n"/>
      <c r="N104" s="13" t="n"/>
      <c r="O104" s="12" t="n"/>
      <c r="P104" s="12" t="n"/>
    </row>
    <row r="105">
      <c r="F105" s="9" t="n"/>
      <c r="G105" s="9" t="n"/>
      <c r="H105" s="9" t="n"/>
      <c r="I105" s="9" t="n"/>
      <c r="N105" s="10" t="n"/>
    </row>
    <row r="106">
      <c r="A106" s="12" t="n"/>
      <c r="B106" s="12" t="n"/>
      <c r="C106" s="12" t="n"/>
      <c r="D106" s="12" t="n"/>
      <c r="E106" s="12" t="n"/>
      <c r="F106" s="14" t="n"/>
      <c r="G106" s="14" t="n"/>
      <c r="H106" s="14" t="n"/>
      <c r="I106" s="14" t="n"/>
      <c r="J106" s="12" t="n"/>
      <c r="K106" s="12" t="n"/>
      <c r="L106" s="12" t="n"/>
      <c r="M106" s="12" t="n"/>
      <c r="N106" s="13" t="n"/>
      <c r="O106" s="12" t="n"/>
      <c r="P106" s="12" t="n"/>
    </row>
    <row r="107">
      <c r="F107" s="9" t="n"/>
      <c r="G107" s="9" t="n"/>
      <c r="H107" s="9" t="n"/>
      <c r="I107" s="9" t="n"/>
      <c r="N107" s="10" t="n"/>
    </row>
    <row r="108">
      <c r="A108" s="12" t="n"/>
      <c r="B108" s="12" t="n"/>
      <c r="C108" s="12" t="n"/>
      <c r="D108" s="12" t="n"/>
      <c r="E108" s="12" t="n"/>
      <c r="F108" s="14" t="n"/>
      <c r="G108" s="14" t="n"/>
      <c r="H108" s="14" t="n"/>
      <c r="I108" s="14" t="n"/>
      <c r="J108" s="12" t="n"/>
      <c r="K108" s="12" t="n"/>
      <c r="L108" s="12" t="n"/>
      <c r="M108" s="12" t="n"/>
      <c r="N108" s="13" t="n"/>
      <c r="O108" s="12" t="n"/>
      <c r="P108" s="12" t="n"/>
    </row>
    <row r="109">
      <c r="F109" s="9" t="n"/>
      <c r="G109" s="9" t="n"/>
      <c r="H109" s="9" t="n"/>
      <c r="I109" s="9" t="n"/>
      <c r="N109" s="10" t="n"/>
    </row>
    <row r="110">
      <c r="A110" s="12" t="n"/>
      <c r="B110" s="12" t="n"/>
      <c r="C110" s="12" t="n"/>
      <c r="D110" s="12" t="n"/>
      <c r="E110" s="12" t="n"/>
      <c r="F110" s="14" t="n"/>
      <c r="G110" s="14" t="n"/>
      <c r="H110" s="14" t="n"/>
      <c r="I110" s="14" t="n"/>
      <c r="J110" s="12" t="n"/>
      <c r="K110" s="12" t="n"/>
      <c r="L110" s="12" t="n"/>
      <c r="M110" s="12" t="n"/>
      <c r="N110" s="13" t="n"/>
      <c r="O110" s="12" t="n"/>
      <c r="P110" s="12" t="n"/>
    </row>
    <row r="111">
      <c r="F111" s="9" t="n"/>
      <c r="G111" s="9" t="n"/>
      <c r="H111" s="9" t="n"/>
      <c r="I111" s="9" t="n"/>
      <c r="N111" s="10" t="n"/>
    </row>
    <row r="112">
      <c r="A112" s="12" t="n"/>
      <c r="B112" s="12" t="n"/>
      <c r="C112" s="12" t="n"/>
      <c r="D112" s="12" t="n"/>
      <c r="E112" s="12" t="n"/>
      <c r="F112" s="14" t="n"/>
      <c r="G112" s="14" t="n"/>
      <c r="H112" s="14" t="n"/>
      <c r="I112" s="14" t="n"/>
      <c r="J112" s="12" t="n"/>
      <c r="K112" s="12" t="n"/>
      <c r="L112" s="12" t="n"/>
      <c r="M112" s="12" t="n"/>
      <c r="N112" s="13" t="n"/>
      <c r="O112" s="12" t="n"/>
      <c r="P112" s="12" t="n"/>
    </row>
    <row r="113">
      <c r="F113" s="9" t="n"/>
      <c r="G113" s="9" t="n"/>
      <c r="H113" s="9" t="n"/>
      <c r="I113" s="9" t="n"/>
      <c r="N113" s="10" t="n"/>
    </row>
    <row r="114">
      <c r="A114" s="12" t="n"/>
      <c r="B114" s="12" t="n"/>
      <c r="C114" s="12" t="n"/>
      <c r="D114" s="12" t="n"/>
      <c r="E114" s="12" t="n"/>
      <c r="F114" s="14" t="n"/>
      <c r="G114" s="14" t="n"/>
      <c r="H114" s="14" t="n"/>
      <c r="I114" s="14" t="n"/>
      <c r="J114" s="12" t="n"/>
      <c r="K114" s="12" t="n"/>
      <c r="L114" s="12" t="n"/>
      <c r="M114" s="12" t="n"/>
      <c r="N114" s="13" t="n"/>
      <c r="O114" s="12" t="n"/>
      <c r="P114" s="12" t="n"/>
    </row>
    <row r="115">
      <c r="F115" s="9" t="n"/>
      <c r="G115" s="9" t="n"/>
      <c r="H115" s="9" t="n"/>
      <c r="I115" s="9" t="n"/>
      <c r="N115" s="10" t="n"/>
    </row>
    <row r="116">
      <c r="A116" s="12" t="n"/>
      <c r="B116" s="12" t="n"/>
      <c r="C116" s="12" t="n"/>
      <c r="D116" s="12" t="n"/>
      <c r="E116" s="12" t="n"/>
      <c r="F116" s="14" t="n"/>
      <c r="G116" s="14" t="n"/>
      <c r="H116" s="14" t="n"/>
      <c r="I116" s="14" t="n"/>
      <c r="J116" s="12" t="n"/>
      <c r="K116" s="12" t="n"/>
      <c r="L116" s="12" t="n"/>
      <c r="M116" s="12" t="n"/>
      <c r="N116" s="13" t="n"/>
      <c r="O116" s="12" t="n"/>
      <c r="P116" s="12" t="n"/>
    </row>
    <row r="117">
      <c r="F117" s="9" t="n"/>
      <c r="G117" s="9" t="n"/>
      <c r="H117" s="9" t="n"/>
      <c r="I117" s="9" t="n"/>
      <c r="N117" s="10" t="n"/>
    </row>
    <row r="118">
      <c r="A118" s="12" t="n"/>
      <c r="B118" s="12" t="n"/>
      <c r="C118" s="12" t="n"/>
      <c r="D118" s="12" t="n"/>
      <c r="E118" s="12" t="n"/>
      <c r="F118" s="14" t="n"/>
      <c r="G118" s="14" t="n"/>
      <c r="H118" s="14" t="n"/>
      <c r="I118" s="14" t="n"/>
      <c r="J118" s="12" t="n"/>
      <c r="K118" s="12" t="n"/>
      <c r="L118" s="12" t="n"/>
      <c r="M118" s="12" t="n"/>
      <c r="N118" s="13" t="n"/>
      <c r="O118" s="12" t="n"/>
      <c r="P118" s="12" t="n"/>
    </row>
    <row r="119">
      <c r="F119" s="9" t="n"/>
      <c r="G119" s="9" t="n"/>
      <c r="H119" s="9" t="n"/>
      <c r="I119" s="9" t="n"/>
      <c r="N119" s="10" t="n"/>
    </row>
    <row r="120">
      <c r="A120" s="12" t="n"/>
      <c r="B120" s="12" t="n"/>
      <c r="C120" s="12" t="n"/>
      <c r="D120" s="12" t="n"/>
      <c r="E120" s="12" t="n"/>
      <c r="F120" s="14" t="n"/>
      <c r="G120" s="14" t="n"/>
      <c r="H120" s="14" t="n"/>
      <c r="I120" s="14" t="n"/>
      <c r="J120" s="12" t="n"/>
      <c r="K120" s="12" t="n"/>
      <c r="L120" s="12" t="n"/>
      <c r="M120" s="12" t="n"/>
      <c r="N120" s="13" t="n"/>
      <c r="O120" s="12" t="n"/>
      <c r="P120" s="12" t="n"/>
    </row>
    <row r="121">
      <c r="F121" s="9" t="n"/>
      <c r="G121" s="9" t="n"/>
      <c r="H121" s="9" t="n"/>
      <c r="I121" s="9" t="n"/>
      <c r="N121" s="10" t="n"/>
    </row>
    <row r="122">
      <c r="A122" s="12" t="n"/>
      <c r="B122" s="12" t="n"/>
      <c r="C122" s="12" t="n"/>
      <c r="D122" s="12" t="n"/>
      <c r="E122" s="12" t="n"/>
      <c r="F122" s="14" t="n"/>
      <c r="G122" s="14" t="n"/>
      <c r="H122" s="14" t="n"/>
      <c r="I122" s="14" t="n"/>
      <c r="J122" s="12" t="n"/>
      <c r="K122" s="12" t="n"/>
      <c r="L122" s="12" t="n"/>
      <c r="M122" s="12" t="n"/>
      <c r="N122" s="13" t="n"/>
      <c r="O122" s="12" t="n"/>
      <c r="P122" s="12" t="n"/>
    </row>
    <row r="123">
      <c r="F123" s="9" t="n"/>
      <c r="G123" s="9" t="n"/>
      <c r="H123" s="9" t="n"/>
      <c r="I123" s="9" t="n"/>
      <c r="N123" s="10" t="n"/>
    </row>
    <row r="124">
      <c r="A124" s="12" t="n"/>
      <c r="B124" s="12" t="n"/>
      <c r="C124" s="12" t="n"/>
      <c r="D124" s="12" t="n"/>
      <c r="E124" s="12" t="n"/>
      <c r="F124" s="14" t="n"/>
      <c r="G124" s="14" t="n"/>
      <c r="H124" s="14" t="n"/>
      <c r="I124" s="14" t="n"/>
      <c r="J124" s="12" t="n"/>
      <c r="K124" s="12" t="n"/>
      <c r="L124" s="12" t="n"/>
      <c r="M124" s="12" t="n"/>
      <c r="N124" s="13" t="n"/>
      <c r="O124" s="12" t="n"/>
      <c r="P124" s="12" t="n"/>
    </row>
    <row r="125">
      <c r="F125" s="9" t="n"/>
      <c r="G125" s="9" t="n"/>
      <c r="H125" s="9" t="n"/>
      <c r="I125" s="9" t="n"/>
      <c r="N125" s="10" t="n"/>
    </row>
    <row r="126">
      <c r="A126" s="12" t="n"/>
      <c r="B126" s="12" t="n"/>
      <c r="C126" s="12" t="n"/>
      <c r="D126" s="12" t="n"/>
      <c r="E126" s="12" t="n"/>
      <c r="F126" s="14" t="n"/>
      <c r="G126" s="14" t="n"/>
      <c r="H126" s="14" t="n"/>
      <c r="I126" s="14" t="n"/>
      <c r="J126" s="12" t="n"/>
      <c r="K126" s="12" t="n"/>
      <c r="L126" s="12" t="n"/>
      <c r="M126" s="12" t="n"/>
      <c r="N126" s="13" t="n"/>
      <c r="O126" s="12" t="n"/>
      <c r="P126" s="12" t="n"/>
    </row>
    <row r="127">
      <c r="F127" s="9" t="n"/>
      <c r="G127" s="9" t="n"/>
      <c r="H127" s="9" t="n"/>
      <c r="I127" s="9" t="n"/>
      <c r="N127" s="10" t="n"/>
    </row>
    <row r="128">
      <c r="A128" s="12" t="n"/>
      <c r="B128" s="12" t="n"/>
      <c r="C128" s="12" t="n"/>
      <c r="D128" s="12" t="n"/>
      <c r="E128" s="12" t="n"/>
      <c r="F128" s="14" t="n"/>
      <c r="G128" s="14" t="n"/>
      <c r="H128" s="14" t="n"/>
      <c r="I128" s="14" t="n"/>
      <c r="J128" s="12" t="n"/>
      <c r="K128" s="12" t="n"/>
      <c r="L128" s="12" t="n"/>
      <c r="M128" s="12" t="n"/>
      <c r="N128" s="13" t="n"/>
      <c r="O128" s="12" t="n"/>
      <c r="P128" s="12" t="n"/>
    </row>
    <row r="129">
      <c r="F129" s="9" t="n"/>
      <c r="G129" s="9" t="n"/>
      <c r="H129" s="9" t="n"/>
      <c r="I129" s="9" t="n"/>
      <c r="N129" s="10" t="n"/>
    </row>
    <row r="130">
      <c r="A130" s="12" t="n"/>
      <c r="B130" s="12" t="n"/>
      <c r="C130" s="12" t="n"/>
      <c r="D130" s="12" t="n"/>
      <c r="E130" s="12" t="n"/>
      <c r="F130" s="14" t="n"/>
      <c r="G130" s="14" t="n"/>
      <c r="H130" s="14" t="n"/>
      <c r="I130" s="14" t="n"/>
      <c r="J130" s="12" t="n"/>
      <c r="K130" s="12" t="n"/>
      <c r="L130" s="12" t="n"/>
      <c r="M130" s="12" t="n"/>
      <c r="N130" s="13" t="n"/>
      <c r="O130" s="12" t="n"/>
      <c r="P130" s="12" t="n"/>
    </row>
    <row r="131">
      <c r="F131" s="9" t="n"/>
      <c r="G131" s="9" t="n"/>
      <c r="H131" s="9" t="n"/>
      <c r="I131" s="9" t="n"/>
      <c r="N131" s="10" t="n"/>
    </row>
    <row r="132">
      <c r="A132" s="12" t="n"/>
      <c r="B132" s="12" t="n"/>
      <c r="C132" s="12" t="n"/>
      <c r="D132" s="12" t="n"/>
      <c r="E132" s="12" t="n"/>
      <c r="F132" s="14" t="n"/>
      <c r="G132" s="14" t="n"/>
      <c r="H132" s="14" t="n"/>
      <c r="I132" s="14" t="n"/>
      <c r="J132" s="12" t="n"/>
      <c r="K132" s="12" t="n"/>
      <c r="L132" s="12" t="n"/>
      <c r="M132" s="12" t="n"/>
      <c r="N132" s="13" t="n"/>
      <c r="O132" s="12" t="n"/>
      <c r="P132" s="12" t="n"/>
    </row>
    <row r="133">
      <c r="F133" s="9" t="n"/>
      <c r="G133" s="9" t="n"/>
      <c r="H133" s="9" t="n"/>
      <c r="I133" s="9" t="n"/>
      <c r="N133" s="10" t="n"/>
    </row>
    <row r="134">
      <c r="A134" s="12" t="n"/>
      <c r="B134" s="12" t="n"/>
      <c r="C134" s="12" t="n"/>
      <c r="D134" s="12" t="n"/>
      <c r="E134" s="12" t="n"/>
      <c r="F134" s="14" t="n"/>
      <c r="G134" s="14" t="n"/>
      <c r="H134" s="14" t="n"/>
      <c r="I134" s="14" t="n"/>
      <c r="J134" s="12" t="n"/>
      <c r="K134" s="12" t="n"/>
      <c r="L134" s="12" t="n"/>
      <c r="M134" s="12" t="n"/>
      <c r="N134" s="13" t="n"/>
      <c r="O134" s="12" t="n"/>
      <c r="P134" s="12" t="n"/>
    </row>
    <row r="135">
      <c r="F135" s="9" t="n"/>
      <c r="G135" s="9" t="n"/>
      <c r="H135" s="9" t="n"/>
      <c r="I135" s="9" t="n"/>
      <c r="N135" s="10" t="n"/>
    </row>
    <row r="136">
      <c r="A136" s="12" t="n"/>
      <c r="B136" s="12" t="n"/>
      <c r="C136" s="12" t="n"/>
      <c r="D136" s="12" t="n"/>
      <c r="E136" s="12" t="n"/>
      <c r="F136" s="14" t="n"/>
      <c r="G136" s="14" t="n"/>
      <c r="H136" s="14" t="n"/>
      <c r="I136" s="14" t="n"/>
      <c r="J136" s="12" t="n"/>
      <c r="K136" s="12" t="n"/>
      <c r="L136" s="12" t="n"/>
      <c r="M136" s="12" t="n"/>
      <c r="N136" s="13" t="n"/>
      <c r="O136" s="12" t="n"/>
      <c r="P136" s="12" t="n"/>
    </row>
    <row r="137">
      <c r="F137" s="9" t="n"/>
      <c r="G137" s="9" t="n"/>
      <c r="H137" s="9" t="n"/>
      <c r="I137" s="9" t="n"/>
      <c r="N137" s="10" t="n"/>
    </row>
    <row r="138">
      <c r="A138" s="12" t="n"/>
      <c r="B138" s="12" t="n"/>
      <c r="C138" s="12" t="n"/>
      <c r="D138" s="12" t="n"/>
      <c r="E138" s="12" t="n"/>
      <c r="F138" s="14" t="n"/>
      <c r="G138" s="14" t="n"/>
      <c r="H138" s="14" t="n"/>
      <c r="I138" s="14" t="n"/>
      <c r="J138" s="12" t="n"/>
      <c r="K138" s="12" t="n"/>
      <c r="L138" s="12" t="n"/>
      <c r="M138" s="12" t="n"/>
      <c r="N138" s="13" t="n"/>
      <c r="O138" s="12" t="n"/>
      <c r="P138" s="12" t="n"/>
    </row>
    <row r="139">
      <c r="F139" s="9" t="n"/>
      <c r="G139" s="9" t="n"/>
      <c r="H139" s="9" t="n"/>
      <c r="I139" s="9" t="n"/>
      <c r="N139" s="10" t="n"/>
    </row>
    <row r="140">
      <c r="A140" s="12" t="n"/>
      <c r="B140" s="12" t="n"/>
      <c r="C140" s="12" t="n"/>
      <c r="D140" s="12" t="n"/>
      <c r="E140" s="12" t="n"/>
      <c r="F140" s="14" t="n"/>
      <c r="G140" s="14" t="n"/>
      <c r="H140" s="14" t="n"/>
      <c r="I140" s="14" t="n"/>
      <c r="J140" s="12" t="n"/>
      <c r="K140" s="12" t="n"/>
      <c r="L140" s="12" t="n"/>
      <c r="M140" s="12" t="n"/>
      <c r="N140" s="13" t="n"/>
      <c r="O140" s="12" t="n"/>
      <c r="P140" s="12" t="n"/>
    </row>
    <row r="141">
      <c r="F141" s="9" t="n"/>
      <c r="G141" s="9" t="n"/>
      <c r="H141" s="9" t="n"/>
      <c r="I141" s="9" t="n"/>
      <c r="N141" s="10" t="n"/>
    </row>
    <row r="142">
      <c r="A142" s="12" t="n"/>
      <c r="B142" s="12" t="n"/>
      <c r="C142" s="12" t="n"/>
      <c r="D142" s="12" t="n"/>
      <c r="E142" s="12" t="n"/>
      <c r="F142" s="14" t="n"/>
      <c r="G142" s="14" t="n"/>
      <c r="H142" s="14" t="n"/>
      <c r="I142" s="14" t="n"/>
      <c r="J142" s="12" t="n"/>
      <c r="K142" s="12" t="n"/>
      <c r="L142" s="12" t="n"/>
      <c r="M142" s="12" t="n"/>
      <c r="N142" s="13" t="n"/>
      <c r="O142" s="12" t="n"/>
      <c r="P142" s="12" t="n"/>
    </row>
    <row r="143">
      <c r="F143" s="9" t="n"/>
      <c r="G143" s="9" t="n"/>
      <c r="H143" s="9" t="n"/>
      <c r="I143" s="9" t="n"/>
      <c r="N143" s="10" t="n"/>
    </row>
    <row r="144">
      <c r="A144" s="12" t="n"/>
      <c r="B144" s="12" t="n"/>
      <c r="C144" s="12" t="n"/>
      <c r="D144" s="12" t="n"/>
      <c r="E144" s="12" t="n"/>
      <c r="F144" s="14" t="n"/>
      <c r="G144" s="14" t="n"/>
      <c r="H144" s="14" t="n"/>
      <c r="I144" s="14" t="n"/>
      <c r="J144" s="12" t="n"/>
      <c r="K144" s="12" t="n"/>
      <c r="L144" s="12" t="n"/>
      <c r="M144" s="12" t="n"/>
      <c r="N144" s="13" t="n"/>
      <c r="O144" s="12" t="n"/>
      <c r="P144" s="12" t="n"/>
    </row>
    <row r="145">
      <c r="F145" s="9" t="n"/>
      <c r="G145" s="9" t="n"/>
      <c r="H145" s="9" t="n"/>
      <c r="I145" s="9" t="n"/>
      <c r="N145" s="10" t="n"/>
    </row>
    <row r="146">
      <c r="A146" s="12" t="n"/>
      <c r="B146" s="12" t="n"/>
      <c r="C146" s="12" t="n"/>
      <c r="D146" s="12" t="n"/>
      <c r="E146" s="12" t="n"/>
      <c r="F146" s="14" t="n"/>
      <c r="G146" s="14" t="n"/>
      <c r="H146" s="14" t="n"/>
      <c r="I146" s="14" t="n"/>
      <c r="J146" s="12" t="n"/>
      <c r="K146" s="12" t="n"/>
      <c r="L146" s="12" t="n"/>
      <c r="M146" s="12" t="n"/>
      <c r="N146" s="13" t="n"/>
      <c r="O146" s="12" t="n"/>
      <c r="P146" s="12" t="n"/>
    </row>
    <row r="147">
      <c r="F147" s="9" t="n"/>
      <c r="G147" s="9" t="n"/>
      <c r="H147" s="9" t="n"/>
      <c r="I147" s="9" t="n"/>
      <c r="N147" s="10" t="n"/>
    </row>
    <row r="148">
      <c r="A148" s="12" t="n"/>
      <c r="B148" s="12" t="n"/>
      <c r="C148" s="12" t="n"/>
      <c r="D148" s="12" t="n"/>
      <c r="E148" s="12" t="n"/>
      <c r="F148" s="14" t="n"/>
      <c r="G148" s="14" t="n"/>
      <c r="H148" s="14" t="n"/>
      <c r="I148" s="14" t="n"/>
      <c r="J148" s="12" t="n"/>
      <c r="K148" s="12" t="n"/>
      <c r="L148" s="12" t="n"/>
      <c r="M148" s="12" t="n"/>
      <c r="N148" s="13" t="n"/>
      <c r="O148" s="12" t="n"/>
      <c r="P148" s="12" t="n"/>
    </row>
    <row r="149">
      <c r="F149" s="9" t="n"/>
      <c r="G149" s="9" t="n"/>
      <c r="H149" s="9" t="n"/>
      <c r="I149" s="9" t="n"/>
      <c r="N149" s="10" t="n"/>
    </row>
    <row r="150">
      <c r="A150" s="12" t="n"/>
      <c r="B150" s="12" t="n"/>
      <c r="C150" s="12" t="n"/>
      <c r="D150" s="12" t="n"/>
      <c r="E150" s="12" t="n"/>
      <c r="F150" s="14" t="n"/>
      <c r="G150" s="14" t="n"/>
      <c r="H150" s="14" t="n"/>
      <c r="I150" s="14" t="n"/>
      <c r="J150" s="12" t="n"/>
      <c r="K150" s="12" t="n"/>
      <c r="L150" s="12" t="n"/>
      <c r="M150" s="12" t="n"/>
      <c r="N150" s="13" t="n"/>
      <c r="O150" s="12" t="n"/>
      <c r="P150" s="12" t="n"/>
    </row>
    <row r="151">
      <c r="F151" s="9" t="n"/>
      <c r="G151" s="9" t="n"/>
      <c r="H151" s="9" t="n"/>
      <c r="I151" s="9" t="n"/>
      <c r="N151" s="10" t="n"/>
    </row>
    <row r="152">
      <c r="A152" s="12" t="n"/>
      <c r="B152" s="12" t="n"/>
      <c r="C152" s="12" t="n"/>
      <c r="D152" s="12" t="n"/>
      <c r="E152" s="12" t="n"/>
      <c r="F152" s="14" t="n"/>
      <c r="G152" s="14" t="n"/>
      <c r="H152" s="14" t="n"/>
      <c r="I152" s="14" t="n"/>
      <c r="J152" s="12" t="n"/>
      <c r="K152" s="12" t="n"/>
      <c r="L152" s="12" t="n"/>
      <c r="M152" s="12" t="n"/>
      <c r="N152" s="13" t="n"/>
      <c r="O152" s="12" t="n"/>
      <c r="P152" s="12" t="n"/>
    </row>
    <row r="153">
      <c r="F153" s="9" t="n"/>
      <c r="G153" s="9" t="n"/>
      <c r="H153" s="9" t="n"/>
      <c r="I153" s="9" t="n"/>
      <c r="N153" s="10" t="n"/>
    </row>
    <row r="154">
      <c r="A154" s="12" t="n"/>
      <c r="B154" s="12" t="n"/>
      <c r="C154" s="12" t="n"/>
      <c r="D154" s="12" t="n"/>
      <c r="E154" s="12" t="n"/>
      <c r="F154" s="14" t="n"/>
      <c r="G154" s="14" t="n"/>
      <c r="H154" s="14" t="n"/>
      <c r="I154" s="14" t="n"/>
      <c r="J154" s="12" t="n"/>
      <c r="K154" s="12" t="n"/>
      <c r="L154" s="12" t="n"/>
      <c r="M154" s="12" t="n"/>
      <c r="N154" s="13" t="n"/>
      <c r="O154" s="12" t="n"/>
      <c r="P154" s="12" t="n"/>
    </row>
    <row r="155">
      <c r="F155" s="9" t="n"/>
      <c r="G155" s="9" t="n"/>
      <c r="H155" s="9" t="n"/>
      <c r="I155" s="9" t="n"/>
      <c r="N155" s="10" t="n"/>
    </row>
    <row r="156">
      <c r="A156" s="12" t="n"/>
      <c r="B156" s="12" t="n"/>
      <c r="C156" s="12" t="n"/>
      <c r="D156" s="12" t="n"/>
      <c r="E156" s="12" t="n"/>
      <c r="F156" s="14" t="n"/>
      <c r="G156" s="14" t="n"/>
      <c r="H156" s="14" t="n"/>
      <c r="I156" s="14" t="n"/>
      <c r="J156" s="12" t="n"/>
      <c r="K156" s="12" t="n"/>
      <c r="L156" s="12" t="n"/>
      <c r="M156" s="12" t="n"/>
      <c r="N156" s="13" t="n"/>
      <c r="O156" s="12" t="n"/>
      <c r="P156" s="12" t="n"/>
    </row>
    <row r="157">
      <c r="F157" s="9" t="n"/>
      <c r="G157" s="9" t="n"/>
      <c r="H157" s="9" t="n"/>
      <c r="I157" s="9" t="n"/>
      <c r="N157" s="10" t="n"/>
    </row>
    <row r="158">
      <c r="A158" s="12" t="n"/>
      <c r="B158" s="12" t="n"/>
      <c r="C158" s="12" t="n"/>
      <c r="D158" s="12" t="n"/>
      <c r="E158" s="12" t="n"/>
      <c r="F158" s="14" t="n"/>
      <c r="G158" s="14" t="n"/>
      <c r="H158" s="14" t="n"/>
      <c r="I158" s="14" t="n"/>
      <c r="J158" s="12" t="n"/>
      <c r="K158" s="12" t="n"/>
      <c r="L158" s="12" t="n"/>
      <c r="M158" s="12" t="n"/>
      <c r="N158" s="13" t="n"/>
      <c r="O158" s="12" t="n"/>
      <c r="P158" s="12" t="n"/>
    </row>
    <row r="159">
      <c r="F159" s="9" t="n"/>
      <c r="G159" s="9" t="n"/>
      <c r="H159" s="9" t="n"/>
      <c r="I159" s="9" t="n"/>
      <c r="N159" s="10" t="n"/>
    </row>
    <row r="160">
      <c r="A160" s="12" t="n"/>
      <c r="B160" s="12" t="n"/>
      <c r="C160" s="12" t="n"/>
      <c r="D160" s="12" t="n"/>
      <c r="E160" s="12" t="n"/>
      <c r="F160" s="14" t="n"/>
      <c r="G160" s="14" t="n"/>
      <c r="H160" s="14" t="n"/>
      <c r="I160" s="14" t="n"/>
      <c r="J160" s="12" t="n"/>
      <c r="K160" s="12" t="n"/>
      <c r="L160" s="12" t="n"/>
      <c r="M160" s="12" t="n"/>
      <c r="N160" s="13" t="n"/>
      <c r="O160" s="12" t="n"/>
      <c r="P160" s="12" t="n"/>
    </row>
    <row r="161">
      <c r="F161" s="9" t="n"/>
      <c r="G161" s="9" t="n"/>
      <c r="H161" s="9" t="n"/>
      <c r="I161" s="9" t="n"/>
      <c r="N161" s="10" t="n"/>
    </row>
    <row r="162">
      <c r="A162" s="12" t="n"/>
      <c r="B162" s="12" t="n"/>
      <c r="C162" s="12" t="n"/>
      <c r="D162" s="12" t="n"/>
      <c r="E162" s="12" t="n"/>
      <c r="F162" s="14" t="n"/>
      <c r="G162" s="14" t="n"/>
      <c r="H162" s="14" t="n"/>
      <c r="I162" s="14" t="n"/>
      <c r="J162" s="12" t="n"/>
      <c r="K162" s="12" t="n"/>
      <c r="L162" s="12" t="n"/>
      <c r="M162" s="12" t="n"/>
      <c r="N162" s="13" t="n"/>
      <c r="O162" s="12" t="n"/>
      <c r="P162" s="12" t="n"/>
    </row>
    <row r="163">
      <c r="F163" s="9" t="n"/>
      <c r="G163" s="9" t="n"/>
      <c r="H163" s="9" t="n"/>
      <c r="I163" s="9" t="n"/>
      <c r="N163" s="10" t="n"/>
    </row>
    <row r="164">
      <c r="A164" s="12" t="n"/>
      <c r="B164" s="12" t="n"/>
      <c r="C164" s="12" t="n"/>
      <c r="D164" s="12" t="n"/>
      <c r="E164" s="12" t="n"/>
      <c r="F164" s="14" t="n"/>
      <c r="G164" s="14" t="n"/>
      <c r="H164" s="14" t="n"/>
      <c r="I164" s="14" t="n"/>
      <c r="J164" s="12" t="n"/>
      <c r="K164" s="12" t="n"/>
      <c r="L164" s="12" t="n"/>
      <c r="M164" s="12" t="n"/>
      <c r="N164" s="13" t="n"/>
      <c r="O164" s="12" t="n"/>
      <c r="P164" s="12" t="n"/>
    </row>
    <row r="165">
      <c r="F165" s="9" t="n"/>
      <c r="G165" s="9" t="n"/>
      <c r="H165" s="9" t="n"/>
      <c r="I165" s="9" t="n"/>
      <c r="N165" s="10" t="n"/>
    </row>
    <row r="166">
      <c r="A166" s="12" t="n"/>
      <c r="B166" s="12" t="n"/>
      <c r="C166" s="12" t="n"/>
      <c r="D166" s="12" t="n"/>
      <c r="E166" s="12" t="n"/>
      <c r="F166" s="14" t="n"/>
      <c r="G166" s="14" t="n"/>
      <c r="H166" s="14" t="n"/>
      <c r="I166" s="14" t="n"/>
      <c r="J166" s="12" t="n"/>
      <c r="K166" s="12" t="n"/>
      <c r="L166" s="12" t="n"/>
      <c r="M166" s="12" t="n"/>
      <c r="N166" s="13" t="n"/>
      <c r="O166" s="12" t="n"/>
      <c r="P166" s="12" t="n"/>
    </row>
    <row r="167">
      <c r="F167" s="9" t="n"/>
      <c r="G167" s="9" t="n"/>
      <c r="H167" s="9" t="n"/>
      <c r="I167" s="9" t="n"/>
      <c r="N167" s="10" t="n"/>
    </row>
    <row r="168">
      <c r="A168" s="12" t="n"/>
      <c r="B168" s="12" t="n"/>
      <c r="C168" s="12" t="n"/>
      <c r="D168" s="12" t="n"/>
      <c r="E168" s="12" t="n"/>
      <c r="F168" s="14" t="n"/>
      <c r="G168" s="14" t="n"/>
      <c r="H168" s="14" t="n"/>
      <c r="I168" s="14" t="n"/>
      <c r="J168" s="12" t="n"/>
      <c r="K168" s="12" t="n"/>
      <c r="L168" s="12" t="n"/>
      <c r="M168" s="12" t="n"/>
      <c r="N168" s="13" t="n"/>
      <c r="O168" s="12" t="n"/>
      <c r="P168" s="12" t="n"/>
    </row>
    <row r="169">
      <c r="F169" s="9" t="n"/>
      <c r="G169" s="9" t="n"/>
      <c r="H169" s="9" t="n"/>
      <c r="I169" s="9" t="n"/>
      <c r="N169" s="10" t="n"/>
    </row>
    <row r="170">
      <c r="A170" s="12" t="n"/>
      <c r="B170" s="12" t="n"/>
      <c r="C170" s="12" t="n"/>
      <c r="D170" s="12" t="n"/>
      <c r="E170" s="12" t="n"/>
      <c r="F170" s="14" t="n"/>
      <c r="G170" s="14" t="n"/>
      <c r="H170" s="14" t="n"/>
      <c r="I170" s="14" t="n"/>
      <c r="J170" s="12" t="n"/>
      <c r="K170" s="12" t="n"/>
      <c r="L170" s="12" t="n"/>
      <c r="M170" s="12" t="n"/>
      <c r="N170" s="13" t="n"/>
      <c r="O170" s="12" t="n"/>
      <c r="P170" s="12" t="n"/>
    </row>
    <row r="171">
      <c r="F171" s="9" t="n"/>
      <c r="G171" s="9" t="n"/>
      <c r="H171" s="9" t="n"/>
      <c r="I171" s="9" t="n"/>
      <c r="N171" s="10" t="n"/>
    </row>
    <row r="172">
      <c r="A172" s="12" t="n"/>
      <c r="B172" s="12" t="n"/>
      <c r="C172" s="12" t="n"/>
      <c r="D172" s="12" t="n"/>
      <c r="E172" s="12" t="n"/>
      <c r="F172" s="14" t="n"/>
      <c r="G172" s="14" t="n"/>
      <c r="H172" s="14" t="n"/>
      <c r="I172" s="14" t="n"/>
      <c r="J172" s="12" t="n"/>
      <c r="K172" s="12" t="n"/>
      <c r="L172" s="12" t="n"/>
      <c r="M172" s="12" t="n"/>
      <c r="N172" s="13" t="n"/>
      <c r="O172" s="12" t="n"/>
      <c r="P172" s="12" t="n"/>
    </row>
    <row r="173">
      <c r="F173" s="9" t="n"/>
      <c r="G173" s="9" t="n"/>
      <c r="H173" s="9" t="n"/>
      <c r="I173" s="9" t="n"/>
      <c r="N173" s="10" t="n"/>
    </row>
    <row r="174">
      <c r="A174" s="12" t="n"/>
      <c r="B174" s="12" t="n"/>
      <c r="C174" s="12" t="n"/>
      <c r="D174" s="12" t="n"/>
      <c r="E174" s="12" t="n"/>
      <c r="F174" s="14" t="n"/>
      <c r="G174" s="14" t="n"/>
      <c r="H174" s="14" t="n"/>
      <c r="I174" s="14" t="n"/>
      <c r="J174" s="12" t="n"/>
      <c r="K174" s="12" t="n"/>
      <c r="L174" s="12" t="n"/>
      <c r="M174" s="12" t="n"/>
      <c r="N174" s="13" t="n"/>
      <c r="O174" s="12" t="n"/>
      <c r="P174" s="12" t="n"/>
    </row>
    <row r="175">
      <c r="F175" s="9" t="n"/>
      <c r="G175" s="9" t="n"/>
      <c r="H175" s="9" t="n"/>
      <c r="I175" s="9" t="n"/>
      <c r="N175" s="10" t="n"/>
    </row>
    <row r="176">
      <c r="A176" s="12" t="n"/>
      <c r="B176" s="12" t="n"/>
      <c r="C176" s="12" t="n"/>
      <c r="D176" s="12" t="n"/>
      <c r="E176" s="12" t="n"/>
      <c r="F176" s="14" t="n"/>
      <c r="G176" s="14" t="n"/>
      <c r="H176" s="14" t="n"/>
      <c r="I176" s="14" t="n"/>
      <c r="J176" s="12" t="n"/>
      <c r="K176" s="12" t="n"/>
      <c r="L176" s="12" t="n"/>
      <c r="M176" s="12" t="n"/>
      <c r="N176" s="13" t="n"/>
      <c r="O176" s="12" t="n"/>
      <c r="P176" s="12" t="n"/>
    </row>
    <row r="177">
      <c r="F177" s="9" t="n"/>
      <c r="G177" s="9" t="n"/>
      <c r="H177" s="9" t="n"/>
      <c r="I177" s="9" t="n"/>
      <c r="N177" s="10" t="n"/>
    </row>
    <row r="178">
      <c r="A178" s="12" t="n"/>
      <c r="B178" s="12" t="n"/>
      <c r="C178" s="12" t="n"/>
      <c r="D178" s="12" t="n"/>
      <c r="E178" s="12" t="n"/>
      <c r="F178" s="14" t="n"/>
      <c r="G178" s="14" t="n"/>
      <c r="H178" s="14" t="n"/>
      <c r="I178" s="14" t="n"/>
      <c r="J178" s="12" t="n"/>
      <c r="K178" s="12" t="n"/>
      <c r="L178" s="12" t="n"/>
      <c r="M178" s="12" t="n"/>
      <c r="N178" s="13" t="n"/>
      <c r="O178" s="12" t="n"/>
      <c r="P178" s="12" t="n"/>
    </row>
    <row r="179">
      <c r="F179" s="9" t="n"/>
      <c r="G179" s="9" t="n"/>
      <c r="H179" s="9" t="n"/>
      <c r="I179" s="9" t="n"/>
      <c r="N179" s="10" t="n"/>
    </row>
    <row r="180">
      <c r="A180" s="12" t="n"/>
      <c r="B180" s="12" t="n"/>
      <c r="C180" s="12" t="n"/>
      <c r="D180" s="12" t="n"/>
      <c r="E180" s="12" t="n"/>
      <c r="F180" s="14" t="n"/>
      <c r="G180" s="14" t="n"/>
      <c r="H180" s="14" t="n"/>
      <c r="I180" s="14" t="n"/>
      <c r="J180" s="12" t="n"/>
      <c r="K180" s="12" t="n"/>
      <c r="L180" s="12" t="n"/>
      <c r="M180" s="12" t="n"/>
      <c r="N180" s="13" t="n"/>
      <c r="O180" s="12" t="n"/>
      <c r="P180" s="12" t="n"/>
    </row>
    <row r="181">
      <c r="F181" s="9" t="n"/>
      <c r="G181" s="9" t="n"/>
      <c r="H181" s="9" t="n"/>
      <c r="I181" s="9" t="n"/>
      <c r="N181" s="10" t="n"/>
    </row>
    <row r="182">
      <c r="A182" s="12" t="n"/>
      <c r="B182" s="12" t="n"/>
      <c r="C182" s="12" t="n"/>
      <c r="D182" s="12" t="n"/>
      <c r="E182" s="12" t="n"/>
      <c r="F182" s="14" t="n"/>
      <c r="G182" s="14" t="n"/>
      <c r="H182" s="14" t="n"/>
      <c r="I182" s="14" t="n"/>
      <c r="J182" s="12" t="n"/>
      <c r="K182" s="12" t="n"/>
      <c r="L182" s="12" t="n"/>
      <c r="M182" s="12" t="n"/>
      <c r="N182" s="13" t="n"/>
      <c r="O182" s="12" t="n"/>
      <c r="P182" s="12" t="n"/>
    </row>
    <row r="183">
      <c r="F183" s="9" t="n"/>
      <c r="G183" s="9" t="n"/>
      <c r="H183" s="9" t="n"/>
      <c r="I183" s="9" t="n"/>
      <c r="N183" s="10" t="n"/>
    </row>
    <row r="184">
      <c r="A184" s="12" t="n"/>
      <c r="B184" s="12" t="n"/>
      <c r="C184" s="12" t="n"/>
      <c r="D184" s="12" t="n"/>
      <c r="E184" s="12" t="n"/>
      <c r="F184" s="14" t="n"/>
      <c r="G184" s="14" t="n"/>
      <c r="H184" s="14" t="n"/>
      <c r="I184" s="14" t="n"/>
      <c r="J184" s="12" t="n"/>
      <c r="K184" s="12" t="n"/>
      <c r="L184" s="12" t="n"/>
      <c r="M184" s="12" t="n"/>
      <c r="N184" s="13" t="n"/>
      <c r="O184" s="12" t="n"/>
      <c r="P184" s="12" t="n"/>
    </row>
    <row r="185">
      <c r="F185" s="9" t="n"/>
      <c r="G185" s="9" t="n"/>
      <c r="H185" s="9" t="n"/>
      <c r="I185" s="9" t="n"/>
      <c r="N185" s="10" t="n"/>
    </row>
    <row r="186">
      <c r="A186" s="12" t="n"/>
      <c r="B186" s="12" t="n"/>
      <c r="C186" s="12" t="n"/>
      <c r="D186" s="12" t="n"/>
      <c r="E186" s="12" t="n"/>
      <c r="F186" s="14" t="n"/>
      <c r="G186" s="14" t="n"/>
      <c r="H186" s="14" t="n"/>
      <c r="I186" s="14" t="n"/>
      <c r="J186" s="12" t="n"/>
      <c r="K186" s="12" t="n"/>
      <c r="L186" s="12" t="n"/>
      <c r="M186" s="12" t="n"/>
      <c r="N186" s="13" t="n"/>
      <c r="O186" s="12" t="n"/>
      <c r="P186" s="12" t="n"/>
    </row>
    <row r="187">
      <c r="F187" s="9" t="n"/>
      <c r="G187" s="9" t="n"/>
      <c r="H187" s="9" t="n"/>
      <c r="I187" s="9" t="n"/>
      <c r="N187" s="10" t="n"/>
    </row>
    <row r="188">
      <c r="A188" s="12" t="n"/>
      <c r="B188" s="12" t="n"/>
      <c r="C188" s="12" t="n"/>
      <c r="D188" s="12" t="n"/>
      <c r="E188" s="12" t="n"/>
      <c r="F188" s="14" t="n"/>
      <c r="G188" s="14" t="n"/>
      <c r="H188" s="14" t="n"/>
      <c r="I188" s="14" t="n"/>
      <c r="J188" s="12" t="n"/>
      <c r="K188" s="12" t="n"/>
      <c r="L188" s="12" t="n"/>
      <c r="M188" s="12" t="n"/>
      <c r="N188" s="13" t="n"/>
      <c r="O188" s="12" t="n"/>
      <c r="P188" s="12" t="n"/>
    </row>
    <row r="189">
      <c r="F189" s="9" t="n"/>
      <c r="G189" s="9" t="n"/>
      <c r="H189" s="9" t="n"/>
      <c r="I189" s="9" t="n"/>
      <c r="N189" s="10" t="n"/>
    </row>
    <row r="190">
      <c r="A190" s="12" t="n"/>
      <c r="B190" s="12" t="n"/>
      <c r="C190" s="12" t="n"/>
      <c r="D190" s="12" t="n"/>
      <c r="E190" s="12" t="n"/>
      <c r="F190" s="14" t="n"/>
      <c r="G190" s="14" t="n"/>
      <c r="H190" s="14" t="n"/>
      <c r="I190" s="14" t="n"/>
      <c r="J190" s="12" t="n"/>
      <c r="K190" s="12" t="n"/>
      <c r="L190" s="12" t="n"/>
      <c r="M190" s="12" t="n"/>
      <c r="N190" s="13" t="n"/>
      <c r="O190" s="12" t="n"/>
      <c r="P190" s="12" t="n"/>
    </row>
    <row r="191">
      <c r="F191" s="9" t="n"/>
      <c r="G191" s="9" t="n"/>
      <c r="H191" s="9" t="n"/>
      <c r="I191" s="9" t="n"/>
      <c r="N191" s="10" t="n"/>
    </row>
    <row r="192">
      <c r="A192" s="12" t="n"/>
      <c r="B192" s="12" t="n"/>
      <c r="C192" s="12" t="n"/>
      <c r="D192" s="12" t="n"/>
      <c r="E192" s="12" t="n"/>
      <c r="F192" s="14" t="n"/>
      <c r="G192" s="14" t="n"/>
      <c r="H192" s="14" t="n"/>
      <c r="I192" s="14" t="n"/>
      <c r="J192" s="12" t="n"/>
      <c r="K192" s="12" t="n"/>
      <c r="L192" s="12" t="n"/>
      <c r="M192" s="12" t="n"/>
      <c r="N192" s="13" t="n"/>
      <c r="O192" s="12" t="n"/>
      <c r="P192" s="12" t="n"/>
    </row>
    <row r="193">
      <c r="F193" s="9" t="n"/>
      <c r="G193" s="9" t="n"/>
      <c r="H193" s="9" t="n"/>
      <c r="I193" s="9" t="n"/>
      <c r="N193" s="10" t="n"/>
    </row>
    <row r="194">
      <c r="A194" s="12" t="n"/>
      <c r="B194" s="12" t="n"/>
      <c r="C194" s="12" t="n"/>
      <c r="D194" s="12" t="n"/>
      <c r="E194" s="12" t="n"/>
      <c r="F194" s="14" t="n"/>
      <c r="G194" s="14" t="n"/>
      <c r="H194" s="14" t="n"/>
      <c r="I194" s="14" t="n"/>
      <c r="J194" s="12" t="n"/>
      <c r="K194" s="12" t="n"/>
      <c r="L194" s="12" t="n"/>
      <c r="M194" s="12" t="n"/>
      <c r="N194" s="13" t="n"/>
      <c r="O194" s="12" t="n"/>
      <c r="P194" s="12" t="n"/>
    </row>
    <row r="195">
      <c r="F195" s="9" t="n"/>
      <c r="G195" s="9" t="n"/>
      <c r="H195" s="9" t="n"/>
      <c r="I195" s="9" t="n"/>
      <c r="N195" s="10" t="n"/>
    </row>
    <row r="196">
      <c r="A196" s="12" t="n"/>
      <c r="B196" s="12" t="n"/>
      <c r="C196" s="12" t="n"/>
      <c r="D196" s="12" t="n"/>
      <c r="E196" s="12" t="n"/>
      <c r="F196" s="14" t="n"/>
      <c r="G196" s="14" t="n"/>
      <c r="H196" s="14" t="n"/>
      <c r="I196" s="14" t="n"/>
      <c r="J196" s="12" t="n"/>
      <c r="K196" s="12" t="n"/>
      <c r="L196" s="12" t="n"/>
      <c r="M196" s="12" t="n"/>
      <c r="N196" s="13" t="n"/>
      <c r="O196" s="12" t="n"/>
      <c r="P196" s="12" t="n"/>
    </row>
    <row r="197">
      <c r="F197" s="9" t="n"/>
      <c r="G197" s="9" t="n"/>
      <c r="H197" s="9" t="n"/>
      <c r="I197" s="9" t="n"/>
      <c r="N197" s="10" t="n"/>
    </row>
    <row r="198">
      <c r="A198" s="12" t="n"/>
      <c r="B198" s="12" t="n"/>
      <c r="C198" s="12" t="n"/>
      <c r="D198" s="12" t="n"/>
      <c r="E198" s="12" t="n"/>
      <c r="F198" s="14" t="n"/>
      <c r="G198" s="14" t="n"/>
      <c r="H198" s="14" t="n"/>
      <c r="I198" s="14" t="n"/>
      <c r="J198" s="12" t="n"/>
      <c r="K198" s="12" t="n"/>
      <c r="L198" s="12" t="n"/>
      <c r="M198" s="12" t="n"/>
      <c r="N198" s="13" t="n"/>
      <c r="O198" s="12" t="n"/>
      <c r="P198" s="12" t="n"/>
    </row>
    <row r="199">
      <c r="F199" s="9" t="n"/>
      <c r="G199" s="9" t="n"/>
      <c r="H199" s="9" t="n"/>
      <c r="I199" s="9" t="n"/>
      <c r="N199" s="10" t="n"/>
    </row>
    <row r="200">
      <c r="A200" s="12" t="n"/>
      <c r="B200" s="12" t="n"/>
      <c r="C200" s="12" t="n"/>
      <c r="D200" s="12" t="n"/>
      <c r="E200" s="12" t="n"/>
      <c r="F200" s="14" t="n"/>
      <c r="G200" s="14" t="n"/>
      <c r="H200" s="14" t="n"/>
      <c r="I200" s="14" t="n"/>
      <c r="J200" s="12" t="n"/>
      <c r="K200" s="12" t="n"/>
      <c r="L200" s="12" t="n"/>
      <c r="M200" s="12" t="n"/>
      <c r="N200" s="13" t="n"/>
      <c r="O200" s="12" t="n"/>
      <c r="P200" s="12" t="n"/>
    </row>
    <row r="201">
      <c r="F201" s="9" t="n"/>
      <c r="G201" s="9" t="n"/>
      <c r="H201" s="9" t="n"/>
      <c r="I201" s="9" t="n"/>
      <c r="N201" s="10" t="n"/>
    </row>
    <row r="202">
      <c r="A202" s="12" t="n"/>
      <c r="B202" s="12" t="n"/>
      <c r="C202" s="12" t="n"/>
      <c r="D202" s="12" t="n"/>
      <c r="E202" s="12" t="n"/>
      <c r="F202" s="14" t="n"/>
      <c r="G202" s="14" t="n"/>
      <c r="H202" s="14" t="n"/>
      <c r="I202" s="14" t="n"/>
      <c r="J202" s="12" t="n"/>
      <c r="K202" s="12" t="n"/>
      <c r="L202" s="12" t="n"/>
      <c r="M202" s="12" t="n"/>
      <c r="N202" s="13" t="n"/>
      <c r="O202" s="12" t="n"/>
      <c r="P202" s="12" t="n"/>
    </row>
    <row r="203">
      <c r="F203" s="9" t="n"/>
      <c r="G203" s="9" t="n"/>
      <c r="H203" s="9" t="n"/>
      <c r="I203" s="9" t="n"/>
      <c r="N203" s="10" t="n"/>
    </row>
    <row r="204">
      <c r="A204" s="12" t="n"/>
      <c r="B204" s="12" t="n"/>
      <c r="C204" s="12" t="n"/>
      <c r="D204" s="12" t="n"/>
      <c r="E204" s="12" t="n"/>
      <c r="F204" s="14" t="n"/>
      <c r="G204" s="14" t="n"/>
      <c r="H204" s="14" t="n"/>
      <c r="I204" s="14" t="n"/>
      <c r="J204" s="12" t="n"/>
      <c r="K204" s="12" t="n"/>
      <c r="L204" s="12" t="n"/>
      <c r="M204" s="12" t="n"/>
      <c r="N204" s="13" t="n"/>
      <c r="O204" s="12" t="n"/>
      <c r="P204" s="12" t="n"/>
    </row>
    <row r="205">
      <c r="F205" s="9" t="n"/>
      <c r="G205" s="9" t="n"/>
      <c r="H205" s="9" t="n"/>
      <c r="I205" s="9" t="n"/>
      <c r="N205" s="10" t="n"/>
    </row>
    <row r="206">
      <c r="A206" s="12" t="n"/>
      <c r="B206" s="12" t="n"/>
      <c r="C206" s="12" t="n"/>
      <c r="D206" s="12" t="n"/>
      <c r="E206" s="12" t="n"/>
      <c r="F206" s="14" t="n"/>
      <c r="G206" s="14" t="n"/>
      <c r="H206" s="14" t="n"/>
      <c r="I206" s="14" t="n"/>
      <c r="J206" s="12" t="n"/>
      <c r="K206" s="12" t="n"/>
      <c r="L206" s="12" t="n"/>
      <c r="M206" s="12" t="n"/>
      <c r="N206" s="13" t="n"/>
      <c r="O206" s="12" t="n"/>
      <c r="P206" s="12" t="n"/>
    </row>
    <row r="207">
      <c r="F207" s="9" t="n"/>
      <c r="G207" s="9" t="n"/>
      <c r="H207" s="9" t="n"/>
      <c r="I207" s="9" t="n"/>
      <c r="N207" s="10" t="n"/>
    </row>
    <row r="208">
      <c r="A208" s="12" t="n"/>
      <c r="B208" s="12" t="n"/>
      <c r="C208" s="12" t="n"/>
      <c r="D208" s="12" t="n"/>
      <c r="E208" s="12" t="n"/>
      <c r="F208" s="14" t="n"/>
      <c r="G208" s="14" t="n"/>
      <c r="H208" s="14" t="n"/>
      <c r="I208" s="14" t="n"/>
      <c r="J208" s="12" t="n"/>
      <c r="K208" s="12" t="n"/>
      <c r="L208" s="12" t="n"/>
      <c r="M208" s="12" t="n"/>
      <c r="N208" s="13" t="n"/>
      <c r="O208" s="12" t="n"/>
      <c r="P208" s="12" t="n"/>
    </row>
    <row r="209">
      <c r="F209" s="9" t="n"/>
      <c r="G209" s="9" t="n"/>
      <c r="H209" s="9" t="n"/>
      <c r="I209" s="9" t="n"/>
      <c r="N209" s="10" t="n"/>
    </row>
    <row r="210">
      <c r="A210" s="12" t="n"/>
      <c r="B210" s="12" t="n"/>
      <c r="C210" s="12" t="n"/>
      <c r="D210" s="12" t="n"/>
      <c r="E210" s="12" t="n"/>
      <c r="F210" s="14" t="n"/>
      <c r="G210" s="14" t="n"/>
      <c r="H210" s="14" t="n"/>
      <c r="I210" s="14" t="n"/>
      <c r="J210" s="12" t="n"/>
      <c r="K210" s="12" t="n"/>
      <c r="L210" s="12" t="n"/>
      <c r="M210" s="12" t="n"/>
      <c r="N210" s="13" t="n"/>
      <c r="O210" s="12" t="n"/>
      <c r="P210" s="12" t="n"/>
    </row>
    <row r="211">
      <c r="F211" s="9" t="n"/>
      <c r="G211" s="9" t="n"/>
      <c r="H211" s="9" t="n"/>
      <c r="I211" s="9" t="n"/>
      <c r="N211" s="10" t="n"/>
    </row>
    <row r="212">
      <c r="A212" s="12" t="n"/>
      <c r="B212" s="12" t="n"/>
      <c r="C212" s="12" t="n"/>
      <c r="D212" s="12" t="n"/>
      <c r="E212" s="12" t="n"/>
      <c r="F212" s="14" t="n"/>
      <c r="G212" s="14" t="n"/>
      <c r="H212" s="14" t="n"/>
      <c r="I212" s="14" t="n"/>
      <c r="J212" s="12" t="n"/>
      <c r="K212" s="12" t="n"/>
      <c r="L212" s="12" t="n"/>
      <c r="M212" s="12" t="n"/>
      <c r="N212" s="13" t="n"/>
      <c r="O212" s="12" t="n"/>
      <c r="P212" s="12" t="n"/>
    </row>
    <row r="213">
      <c r="F213" s="9" t="n"/>
      <c r="G213" s="9" t="n"/>
      <c r="H213" s="9" t="n"/>
      <c r="I213" s="9" t="n"/>
      <c r="N213" s="10" t="n"/>
    </row>
    <row r="214">
      <c r="A214" s="12" t="n"/>
      <c r="B214" s="12" t="n"/>
      <c r="C214" s="12" t="n"/>
      <c r="D214" s="12" t="n"/>
      <c r="E214" s="12" t="n"/>
      <c r="F214" s="14" t="n"/>
      <c r="G214" s="14" t="n"/>
      <c r="H214" s="14" t="n"/>
      <c r="I214" s="14" t="n"/>
      <c r="J214" s="12" t="n"/>
      <c r="K214" s="12" t="n"/>
      <c r="L214" s="12" t="n"/>
      <c r="M214" s="12" t="n"/>
      <c r="N214" s="13" t="n"/>
      <c r="O214" s="12" t="n"/>
      <c r="P214" s="12" t="n"/>
    </row>
    <row r="215">
      <c r="F215" s="9" t="n"/>
      <c r="G215" s="9" t="n"/>
      <c r="H215" s="9" t="n"/>
      <c r="I215" s="9" t="n"/>
      <c r="N215" s="10" t="n"/>
    </row>
    <row r="216">
      <c r="A216" s="12" t="n"/>
      <c r="B216" s="12" t="n"/>
      <c r="C216" s="12" t="n"/>
      <c r="D216" s="12" t="n"/>
      <c r="E216" s="12" t="n"/>
      <c r="F216" s="14" t="n"/>
      <c r="G216" s="14" t="n"/>
      <c r="H216" s="14" t="n"/>
      <c r="I216" s="14" t="n"/>
      <c r="J216" s="12" t="n"/>
      <c r="K216" s="12" t="n"/>
      <c r="L216" s="12" t="n"/>
      <c r="M216" s="12" t="n"/>
      <c r="N216" s="13" t="n"/>
      <c r="O216" s="12" t="n"/>
      <c r="P216" s="12" t="n"/>
    </row>
    <row r="217">
      <c r="F217" s="9" t="n"/>
      <c r="G217" s="9" t="n"/>
      <c r="H217" s="9" t="n"/>
      <c r="I217" s="9" t="n"/>
      <c r="N217" s="10" t="n"/>
    </row>
    <row r="218">
      <c r="A218" s="12" t="n"/>
      <c r="B218" s="12" t="n"/>
      <c r="C218" s="12" t="n"/>
      <c r="D218" s="12" t="n"/>
      <c r="E218" s="12" t="n"/>
      <c r="F218" s="14" t="n"/>
      <c r="G218" s="14" t="n"/>
      <c r="H218" s="14" t="n"/>
      <c r="I218" s="14" t="n"/>
      <c r="J218" s="12" t="n"/>
      <c r="K218" s="12" t="n"/>
      <c r="L218" s="12" t="n"/>
      <c r="M218" s="12" t="n"/>
      <c r="N218" s="13" t="n"/>
      <c r="O218" s="12" t="n"/>
      <c r="P218" s="12" t="n"/>
    </row>
    <row r="219">
      <c r="F219" s="9" t="n"/>
      <c r="G219" s="9" t="n"/>
      <c r="H219" s="9" t="n"/>
      <c r="I219" s="9" t="n"/>
      <c r="N219" s="10" t="n"/>
    </row>
    <row r="220">
      <c r="A220" s="12" t="n"/>
      <c r="B220" s="12" t="n"/>
      <c r="C220" s="12" t="n"/>
      <c r="D220" s="12" t="n"/>
      <c r="E220" s="12" t="n"/>
      <c r="F220" s="14" t="n"/>
      <c r="G220" s="14" t="n"/>
      <c r="H220" s="14" t="n"/>
      <c r="I220" s="14" t="n"/>
      <c r="J220" s="12" t="n"/>
      <c r="K220" s="12" t="n"/>
      <c r="L220" s="12" t="n"/>
      <c r="M220" s="12" t="n"/>
      <c r="N220" s="13" t="n"/>
      <c r="O220" s="12" t="n"/>
      <c r="P220" s="12" t="n"/>
    </row>
    <row r="221">
      <c r="F221" s="9" t="n"/>
      <c r="G221" s="9" t="n"/>
      <c r="H221" s="9" t="n"/>
      <c r="I221" s="9" t="n"/>
      <c r="N221" s="10" t="n"/>
    </row>
    <row r="222">
      <c r="A222" s="12" t="n"/>
      <c r="B222" s="12" t="n"/>
      <c r="C222" s="12" t="n"/>
      <c r="D222" s="12" t="n"/>
      <c r="E222" s="12" t="n"/>
      <c r="F222" s="14" t="n"/>
      <c r="G222" s="14" t="n"/>
      <c r="H222" s="14" t="n"/>
      <c r="I222" s="14" t="n"/>
      <c r="J222" s="12" t="n"/>
      <c r="K222" s="12" t="n"/>
      <c r="L222" s="12" t="n"/>
      <c r="M222" s="12" t="n"/>
      <c r="N222" s="13" t="n"/>
      <c r="O222" s="12" t="n"/>
      <c r="P222" s="12" t="n"/>
    </row>
    <row r="223">
      <c r="F223" s="9" t="n"/>
      <c r="G223" s="9" t="n"/>
      <c r="H223" s="9" t="n"/>
      <c r="I223" s="9" t="n"/>
      <c r="N223" s="10" t="n"/>
    </row>
    <row r="224">
      <c r="A224" s="12" t="n"/>
      <c r="B224" s="12" t="n"/>
      <c r="C224" s="12" t="n"/>
      <c r="D224" s="12" t="n"/>
      <c r="E224" s="12" t="n"/>
      <c r="F224" s="14" t="n"/>
      <c r="G224" s="14" t="n"/>
      <c r="H224" s="14" t="n"/>
      <c r="I224" s="14" t="n"/>
      <c r="J224" s="12" t="n"/>
      <c r="K224" s="12" t="n"/>
      <c r="L224" s="12" t="n"/>
      <c r="M224" s="12" t="n"/>
      <c r="N224" s="13" t="n"/>
      <c r="O224" s="12" t="n"/>
      <c r="P224" s="12" t="n"/>
    </row>
    <row r="225">
      <c r="F225" s="9" t="n"/>
      <c r="G225" s="9" t="n"/>
      <c r="H225" s="9" t="n"/>
      <c r="I225" s="9" t="n"/>
      <c r="N225" s="10" t="n"/>
    </row>
    <row r="226">
      <c r="A226" s="12" t="n"/>
      <c r="B226" s="12" t="n"/>
      <c r="C226" s="12" t="n"/>
      <c r="D226" s="12" t="n"/>
      <c r="E226" s="12" t="n"/>
      <c r="F226" s="14" t="n"/>
      <c r="G226" s="14" t="n"/>
      <c r="H226" s="14" t="n"/>
      <c r="I226" s="14" t="n"/>
      <c r="J226" s="12" t="n"/>
      <c r="K226" s="12" t="n"/>
      <c r="L226" s="12" t="n"/>
      <c r="M226" s="12" t="n"/>
      <c r="N226" s="13" t="n"/>
      <c r="O226" s="12" t="n"/>
      <c r="P226" s="12" t="n"/>
    </row>
    <row r="227">
      <c r="F227" s="9" t="n"/>
      <c r="G227" s="9" t="n"/>
      <c r="H227" s="9" t="n"/>
      <c r="I227" s="9" t="n"/>
      <c r="N227" s="10" t="n"/>
    </row>
    <row r="228">
      <c r="A228" s="12" t="n"/>
      <c r="B228" s="12" t="n"/>
      <c r="C228" s="12" t="n"/>
      <c r="D228" s="12" t="n"/>
      <c r="E228" s="12" t="n"/>
      <c r="F228" s="14" t="n"/>
      <c r="G228" s="14" t="n"/>
      <c r="H228" s="14" t="n"/>
      <c r="I228" s="14" t="n"/>
      <c r="J228" s="12" t="n"/>
      <c r="K228" s="12" t="n"/>
      <c r="L228" s="12" t="n"/>
      <c r="M228" s="12" t="n"/>
      <c r="N228" s="13" t="n"/>
      <c r="O228" s="12" t="n"/>
      <c r="P228" s="12" t="n"/>
    </row>
    <row r="229">
      <c r="F229" s="9" t="n"/>
      <c r="G229" s="9" t="n"/>
      <c r="H229" s="9" t="n"/>
      <c r="I229" s="9" t="n"/>
      <c r="N229" s="10" t="n"/>
    </row>
    <row r="230">
      <c r="A230" s="12" t="n"/>
      <c r="B230" s="12" t="n"/>
      <c r="C230" s="12" t="n"/>
      <c r="D230" s="12" t="n"/>
      <c r="E230" s="12" t="n"/>
      <c r="F230" s="14" t="n"/>
      <c r="G230" s="14" t="n"/>
      <c r="H230" s="14" t="n"/>
      <c r="I230" s="14" t="n"/>
      <c r="J230" s="12" t="n"/>
      <c r="K230" s="12" t="n"/>
      <c r="L230" s="12" t="n"/>
      <c r="M230" s="12" t="n"/>
      <c r="N230" s="13" t="n"/>
      <c r="O230" s="12" t="n"/>
      <c r="P230" s="12" t="n"/>
    </row>
    <row r="231">
      <c r="F231" s="9" t="n"/>
      <c r="G231" s="9" t="n"/>
      <c r="H231" s="9" t="n"/>
      <c r="I231" s="9" t="n"/>
      <c r="N231" s="10" t="n"/>
    </row>
    <row r="232">
      <c r="A232" s="12" t="n"/>
      <c r="B232" s="12" t="n"/>
      <c r="C232" s="12" t="n"/>
      <c r="D232" s="12" t="n"/>
      <c r="E232" s="12" t="n"/>
      <c r="F232" s="14" t="n"/>
      <c r="G232" s="14" t="n"/>
      <c r="H232" s="14" t="n"/>
      <c r="I232" s="14" t="n"/>
      <c r="J232" s="12" t="n"/>
      <c r="K232" s="12" t="n"/>
      <c r="L232" s="12" t="n"/>
      <c r="M232" s="12" t="n"/>
      <c r="N232" s="13" t="n"/>
      <c r="O232" s="12" t="n"/>
      <c r="P232" s="12" t="n"/>
    </row>
    <row r="233">
      <c r="F233" s="9" t="n"/>
      <c r="G233" s="9" t="n"/>
      <c r="H233" s="9" t="n"/>
      <c r="I233" s="9" t="n"/>
      <c r="N233" s="10" t="n"/>
    </row>
    <row r="234">
      <c r="A234" s="12" t="n"/>
      <c r="B234" s="12" t="n"/>
      <c r="C234" s="12" t="n"/>
      <c r="D234" s="12" t="n"/>
      <c r="E234" s="12" t="n"/>
      <c r="F234" s="14" t="n"/>
      <c r="G234" s="14" t="n"/>
      <c r="H234" s="14" t="n"/>
      <c r="I234" s="14" t="n"/>
      <c r="J234" s="12" t="n"/>
      <c r="K234" s="12" t="n"/>
      <c r="L234" s="12" t="n"/>
      <c r="M234" s="12" t="n"/>
      <c r="N234" s="13" t="n"/>
      <c r="O234" s="12" t="n"/>
      <c r="P234" s="12" t="n"/>
    </row>
    <row r="235">
      <c r="F235" s="9" t="n"/>
      <c r="G235" s="9" t="n"/>
      <c r="H235" s="9" t="n"/>
      <c r="I235" s="9" t="n"/>
      <c r="N235" s="10" t="n"/>
    </row>
    <row r="236">
      <c r="A236" s="12" t="n"/>
      <c r="B236" s="12" t="n"/>
      <c r="C236" s="12" t="n"/>
      <c r="D236" s="12" t="n"/>
      <c r="E236" s="12" t="n"/>
      <c r="F236" s="14" t="n"/>
      <c r="G236" s="14" t="n"/>
      <c r="H236" s="14" t="n"/>
      <c r="I236" s="14" t="n"/>
      <c r="J236" s="12" t="n"/>
      <c r="K236" s="12" t="n"/>
      <c r="L236" s="12" t="n"/>
      <c r="M236" s="12" t="n"/>
      <c r="N236" s="13" t="n"/>
      <c r="O236" s="12" t="n"/>
      <c r="P236" s="12" t="n"/>
    </row>
    <row r="237">
      <c r="F237" s="9" t="n"/>
      <c r="G237" s="9" t="n"/>
      <c r="H237" s="9" t="n"/>
      <c r="I237" s="9" t="n"/>
      <c r="N237" s="10" t="n"/>
    </row>
    <row r="238">
      <c r="A238" s="12" t="n"/>
      <c r="B238" s="12" t="n"/>
      <c r="C238" s="12" t="n"/>
      <c r="D238" s="12" t="n"/>
      <c r="E238" s="12" t="n"/>
      <c r="F238" s="14" t="n"/>
      <c r="G238" s="14" t="n"/>
      <c r="H238" s="14" t="n"/>
      <c r="I238" s="14" t="n"/>
      <c r="J238" s="12" t="n"/>
      <c r="K238" s="12" t="n"/>
      <c r="L238" s="12" t="n"/>
      <c r="M238" s="12" t="n"/>
      <c r="N238" s="13" t="n"/>
      <c r="O238" s="12" t="n"/>
      <c r="P238" s="12" t="n"/>
    </row>
    <row r="239">
      <c r="F239" s="9" t="n"/>
      <c r="G239" s="9" t="n"/>
      <c r="H239" s="9" t="n"/>
      <c r="I239" s="9" t="n"/>
      <c r="N239" s="10" t="n"/>
    </row>
    <row r="240">
      <c r="A240" s="12" t="n"/>
      <c r="B240" s="12" t="n"/>
      <c r="C240" s="12" t="n"/>
      <c r="D240" s="12" t="n"/>
      <c r="E240" s="12" t="n"/>
      <c r="F240" s="14" t="n"/>
      <c r="G240" s="14" t="n"/>
      <c r="H240" s="14" t="n"/>
      <c r="I240" s="14" t="n"/>
      <c r="J240" s="12" t="n"/>
      <c r="K240" s="12" t="n"/>
      <c r="L240" s="12" t="n"/>
      <c r="M240" s="12" t="n"/>
      <c r="N240" s="13" t="n"/>
      <c r="O240" s="12" t="n"/>
      <c r="P240" s="12" t="n"/>
    </row>
    <row r="241">
      <c r="F241" s="9" t="n"/>
      <c r="G241" s="9" t="n"/>
      <c r="H241" s="9" t="n"/>
      <c r="I241" s="9" t="n"/>
      <c r="N241" s="10" t="n"/>
    </row>
    <row r="242">
      <c r="A242" s="12" t="n"/>
      <c r="B242" s="12" t="n"/>
      <c r="C242" s="12" t="n"/>
      <c r="D242" s="12" t="n"/>
      <c r="E242" s="12" t="n"/>
      <c r="F242" s="14" t="n"/>
      <c r="G242" s="14" t="n"/>
      <c r="H242" s="14" t="n"/>
      <c r="I242" s="14" t="n"/>
      <c r="J242" s="12" t="n"/>
      <c r="K242" s="12" t="n"/>
      <c r="L242" s="12" t="n"/>
      <c r="M242" s="12" t="n"/>
      <c r="N242" s="13" t="n"/>
      <c r="O242" s="12" t="n"/>
      <c r="P242" s="12" t="n"/>
    </row>
    <row r="243">
      <c r="F243" s="9" t="n"/>
      <c r="G243" s="9" t="n"/>
      <c r="H243" s="9" t="n"/>
      <c r="I243" s="9" t="n"/>
      <c r="N243" s="10" t="n"/>
    </row>
    <row r="244">
      <c r="A244" s="12" t="n"/>
      <c r="B244" s="12" t="n"/>
      <c r="C244" s="12" t="n"/>
      <c r="D244" s="12" t="n"/>
      <c r="E244" s="12" t="n"/>
      <c r="F244" s="14" t="n"/>
      <c r="G244" s="14" t="n"/>
      <c r="H244" s="14" t="n"/>
      <c r="I244" s="14" t="n"/>
      <c r="J244" s="12" t="n"/>
      <c r="K244" s="12" t="n"/>
      <c r="L244" s="12" t="n"/>
      <c r="M244" s="12" t="n"/>
      <c r="N244" s="13" t="n"/>
      <c r="O244" s="12" t="n"/>
      <c r="P244" s="12" t="n"/>
    </row>
    <row r="245">
      <c r="F245" s="9" t="n"/>
      <c r="G245" s="9" t="n"/>
      <c r="H245" s="9" t="n"/>
      <c r="I245" s="9" t="n"/>
      <c r="N245" s="10" t="n"/>
    </row>
    <row r="246">
      <c r="A246" s="12" t="n"/>
      <c r="B246" s="12" t="n"/>
      <c r="C246" s="12" t="n"/>
      <c r="D246" s="12" t="n"/>
      <c r="E246" s="12" t="n"/>
      <c r="F246" s="14" t="n"/>
      <c r="G246" s="14" t="n"/>
      <c r="H246" s="14" t="n"/>
      <c r="I246" s="14" t="n"/>
      <c r="J246" s="12" t="n"/>
      <c r="K246" s="12" t="n"/>
      <c r="L246" s="12" t="n"/>
      <c r="M246" s="12" t="n"/>
      <c r="N246" s="13" t="n"/>
      <c r="O246" s="12" t="n"/>
      <c r="P246" s="12" t="n"/>
    </row>
    <row r="247">
      <c r="F247" s="9" t="n"/>
      <c r="G247" s="9" t="n"/>
      <c r="H247" s="9" t="n"/>
      <c r="I247" s="9" t="n"/>
      <c r="N247" s="10" t="n"/>
    </row>
    <row r="248">
      <c r="A248" s="12" t="n"/>
      <c r="B248" s="12" t="n"/>
      <c r="C248" s="12" t="n"/>
      <c r="D248" s="12" t="n"/>
      <c r="E248" s="12" t="n"/>
      <c r="F248" s="14" t="n"/>
      <c r="G248" s="14" t="n"/>
      <c r="H248" s="14" t="n"/>
      <c r="I248" s="14" t="n"/>
      <c r="J248" s="12" t="n"/>
      <c r="K248" s="12" t="n"/>
      <c r="L248" s="12" t="n"/>
      <c r="M248" s="12" t="n"/>
      <c r="N248" s="13" t="n"/>
      <c r="O248" s="12" t="n"/>
      <c r="P248" s="12" t="n"/>
    </row>
    <row r="249">
      <c r="F249" s="9" t="n"/>
      <c r="G249" s="9" t="n"/>
      <c r="H249" s="9" t="n"/>
      <c r="I249" s="9" t="n"/>
      <c r="N249" s="10" t="n"/>
    </row>
    <row r="250">
      <c r="A250" s="12" t="n"/>
      <c r="B250" s="12" t="n"/>
      <c r="C250" s="12" t="n"/>
      <c r="D250" s="12" t="n"/>
      <c r="E250" s="12" t="n"/>
      <c r="F250" s="14" t="n"/>
      <c r="G250" s="14" t="n"/>
      <c r="H250" s="14" t="n"/>
      <c r="I250" s="14" t="n"/>
      <c r="J250" s="12" t="n"/>
      <c r="K250" s="12" t="n"/>
      <c r="L250" s="12" t="n"/>
      <c r="M250" s="12" t="n"/>
      <c r="N250" s="13" t="n"/>
      <c r="O250" s="12" t="n"/>
      <c r="P250" s="12" t="n"/>
    </row>
    <row r="251">
      <c r="F251" s="9" t="n"/>
      <c r="G251" s="9" t="n"/>
      <c r="H251" s="9" t="n"/>
      <c r="I251" s="9" t="n"/>
      <c r="N251" s="10" t="n"/>
    </row>
  </sheetData>
  <autoFilter ref="A1:P251"/>
  <conditionalFormatting sqref="A2:P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4">
    <dataValidation sqref="J2:J251" showDropDown="0" showInputMessage="0" showErrorMessage="0" allowBlank="1" type="list">
      <formula1>='Lists'!$J$2:$J$10</formula1>
    </dataValidation>
    <dataValidation sqref="O2:O251" showDropDown="0" showInputMessage="0" showErrorMessage="0" allowBlank="1" type="list">
      <formula1>='Lists'!$Y$2:$Y$8</formula1>
    </dataValidation>
    <dataValidation sqref="C2:C251" showDropDown="0" showInputMessage="0" showErrorMessage="0" allowBlank="1" type="list">
      <formula1>='Room List'!$A$2:$A$251</formula1>
    </dataValidation>
    <dataValidation sqref="B2:B251" showDropDown="0" showInputMessage="0" showErrorMessage="0" allowBlank="1" type="list">
      <formula1>='Vendor &amp; Supplier Database'!$A$2:$A$251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42" customHeight="1">
      <c r="A1" s="11" t="inlineStr">
        <is>
          <t>Item</t>
        </is>
      </c>
      <c r="B1" s="11" t="inlineStr">
        <is>
          <t>Room</t>
        </is>
      </c>
      <c r="C1" s="11" t="inlineStr">
        <is>
          <t>Vendor</t>
        </is>
      </c>
      <c r="D1" s="11" t="inlineStr">
        <is>
          <t>Delivery address</t>
        </is>
      </c>
      <c r="E1" s="11" t="inlineStr">
        <is>
          <t>Expected delivery date</t>
        </is>
      </c>
      <c r="F1" s="11" t="inlineStr">
        <is>
          <t>Actual delivery date</t>
        </is>
      </c>
      <c r="G1" s="11" t="inlineStr">
        <is>
          <t>Delivery status</t>
        </is>
      </c>
      <c r="H1" s="11" t="inlineStr">
        <is>
          <t>Received by</t>
        </is>
      </c>
      <c r="I1" s="11" t="inlineStr">
        <is>
          <t>Damage check</t>
        </is>
      </c>
      <c r="J1" s="11" t="inlineStr">
        <is>
          <t>Damage notes</t>
        </is>
      </c>
      <c r="K1" s="11" t="inlineStr">
        <is>
          <t>Storage location</t>
        </is>
      </c>
      <c r="L1" s="11" t="inlineStr">
        <is>
          <t>Install date</t>
        </is>
      </c>
      <c r="M1" s="11" t="inlineStr">
        <is>
          <t>Installer</t>
        </is>
      </c>
      <c r="N1" s="11" t="inlineStr">
        <is>
          <t>Installation status</t>
        </is>
      </c>
      <c r="O1" s="11" t="inlineStr">
        <is>
          <t>Punch list notes</t>
        </is>
      </c>
    </row>
    <row r="2">
      <c r="A2" s="12" t="n"/>
      <c r="B2" s="12" t="n"/>
      <c r="C2" s="12" t="n"/>
      <c r="D2" s="12" t="n"/>
      <c r="E2" s="14" t="n"/>
      <c r="F2" s="14" t="n"/>
      <c r="G2" s="12" t="n"/>
      <c r="H2" s="12" t="n"/>
      <c r="I2" s="12" t="n"/>
      <c r="J2" s="12" t="n"/>
      <c r="K2" s="12" t="n"/>
      <c r="L2" s="14" t="n"/>
      <c r="M2" s="12" t="n"/>
      <c r="N2" s="12" t="n"/>
      <c r="O2" s="12" t="n"/>
    </row>
    <row r="3">
      <c r="E3" s="9" t="n"/>
      <c r="F3" s="9" t="n"/>
      <c r="L3" s="9" t="n"/>
    </row>
    <row r="4">
      <c r="A4" s="12" t="n"/>
      <c r="B4" s="12" t="n"/>
      <c r="C4" s="12" t="n"/>
      <c r="D4" s="12" t="n"/>
      <c r="E4" s="14" t="n"/>
      <c r="F4" s="14" t="n"/>
      <c r="G4" s="12" t="n"/>
      <c r="H4" s="12" t="n"/>
      <c r="I4" s="12" t="n"/>
      <c r="J4" s="12" t="n"/>
      <c r="K4" s="12" t="n"/>
      <c r="L4" s="14" t="n"/>
      <c r="M4" s="12" t="n"/>
      <c r="N4" s="12" t="n"/>
      <c r="O4" s="12" t="n"/>
    </row>
    <row r="5">
      <c r="E5" s="9" t="n"/>
      <c r="F5" s="9" t="n"/>
      <c r="L5" s="9" t="n"/>
    </row>
    <row r="6">
      <c r="A6" s="12" t="n"/>
      <c r="B6" s="12" t="n"/>
      <c r="C6" s="12" t="n"/>
      <c r="D6" s="12" t="n"/>
      <c r="E6" s="14" t="n"/>
      <c r="F6" s="14" t="n"/>
      <c r="G6" s="12" t="n"/>
      <c r="H6" s="12" t="n"/>
      <c r="I6" s="12" t="n"/>
      <c r="J6" s="12" t="n"/>
      <c r="K6" s="12" t="n"/>
      <c r="L6" s="14" t="n"/>
      <c r="M6" s="12" t="n"/>
      <c r="N6" s="12" t="n"/>
      <c r="O6" s="12" t="n"/>
    </row>
    <row r="7">
      <c r="E7" s="9" t="n"/>
      <c r="F7" s="9" t="n"/>
      <c r="L7" s="9" t="n"/>
    </row>
    <row r="8">
      <c r="A8" s="12" t="n"/>
      <c r="B8" s="12" t="n"/>
      <c r="C8" s="12" t="n"/>
      <c r="D8" s="12" t="n"/>
      <c r="E8" s="14" t="n"/>
      <c r="F8" s="14" t="n"/>
      <c r="G8" s="12" t="n"/>
      <c r="H8" s="12" t="n"/>
      <c r="I8" s="12" t="n"/>
      <c r="J8" s="12" t="n"/>
      <c r="K8" s="12" t="n"/>
      <c r="L8" s="14" t="n"/>
      <c r="M8" s="12" t="n"/>
      <c r="N8" s="12" t="n"/>
      <c r="O8" s="12" t="n"/>
    </row>
    <row r="9">
      <c r="E9" s="9" t="n"/>
      <c r="F9" s="9" t="n"/>
      <c r="L9" s="9" t="n"/>
    </row>
    <row r="10">
      <c r="A10" s="12" t="n"/>
      <c r="B10" s="12" t="n"/>
      <c r="C10" s="12" t="n"/>
      <c r="D10" s="12" t="n"/>
      <c r="E10" s="14" t="n"/>
      <c r="F10" s="14" t="n"/>
      <c r="G10" s="12" t="n"/>
      <c r="H10" s="12" t="n"/>
      <c r="I10" s="12" t="n"/>
      <c r="J10" s="12" t="n"/>
      <c r="K10" s="12" t="n"/>
      <c r="L10" s="14" t="n"/>
      <c r="M10" s="12" t="n"/>
      <c r="N10" s="12" t="n"/>
      <c r="O10" s="12" t="n"/>
    </row>
    <row r="11">
      <c r="E11" s="9" t="n"/>
      <c r="F11" s="9" t="n"/>
      <c r="L11" s="9" t="n"/>
    </row>
    <row r="12">
      <c r="A12" s="12" t="n"/>
      <c r="B12" s="12" t="n"/>
      <c r="C12" s="12" t="n"/>
      <c r="D12" s="12" t="n"/>
      <c r="E12" s="14" t="n"/>
      <c r="F12" s="14" t="n"/>
      <c r="G12" s="12" t="n"/>
      <c r="H12" s="12" t="n"/>
      <c r="I12" s="12" t="n"/>
      <c r="J12" s="12" t="n"/>
      <c r="K12" s="12" t="n"/>
      <c r="L12" s="14" t="n"/>
      <c r="M12" s="12" t="n"/>
      <c r="N12" s="12" t="n"/>
      <c r="O12" s="12" t="n"/>
    </row>
    <row r="13">
      <c r="E13" s="9" t="n"/>
      <c r="F13" s="9" t="n"/>
      <c r="L13" s="9" t="n"/>
    </row>
    <row r="14">
      <c r="A14" s="12" t="n"/>
      <c r="B14" s="12" t="n"/>
      <c r="C14" s="12" t="n"/>
      <c r="D14" s="12" t="n"/>
      <c r="E14" s="14" t="n"/>
      <c r="F14" s="14" t="n"/>
      <c r="G14" s="12" t="n"/>
      <c r="H14" s="12" t="n"/>
      <c r="I14" s="12" t="n"/>
      <c r="J14" s="12" t="n"/>
      <c r="K14" s="12" t="n"/>
      <c r="L14" s="14" t="n"/>
      <c r="M14" s="12" t="n"/>
      <c r="N14" s="12" t="n"/>
      <c r="O14" s="12" t="n"/>
    </row>
    <row r="15">
      <c r="E15" s="9" t="n"/>
      <c r="F15" s="9" t="n"/>
      <c r="L15" s="9" t="n"/>
    </row>
    <row r="16">
      <c r="A16" s="12" t="n"/>
      <c r="B16" s="12" t="n"/>
      <c r="C16" s="12" t="n"/>
      <c r="D16" s="12" t="n"/>
      <c r="E16" s="14" t="n"/>
      <c r="F16" s="14" t="n"/>
      <c r="G16" s="12" t="n"/>
      <c r="H16" s="12" t="n"/>
      <c r="I16" s="12" t="n"/>
      <c r="J16" s="12" t="n"/>
      <c r="K16" s="12" t="n"/>
      <c r="L16" s="14" t="n"/>
      <c r="M16" s="12" t="n"/>
      <c r="N16" s="12" t="n"/>
      <c r="O16" s="12" t="n"/>
    </row>
    <row r="17">
      <c r="E17" s="9" t="n"/>
      <c r="F17" s="9" t="n"/>
      <c r="L17" s="9" t="n"/>
    </row>
    <row r="18">
      <c r="A18" s="12" t="n"/>
      <c r="B18" s="12" t="n"/>
      <c r="C18" s="12" t="n"/>
      <c r="D18" s="12" t="n"/>
      <c r="E18" s="14" t="n"/>
      <c r="F18" s="14" t="n"/>
      <c r="G18" s="12" t="n"/>
      <c r="H18" s="12" t="n"/>
      <c r="I18" s="12" t="n"/>
      <c r="J18" s="12" t="n"/>
      <c r="K18" s="12" t="n"/>
      <c r="L18" s="14" t="n"/>
      <c r="M18" s="12" t="n"/>
      <c r="N18" s="12" t="n"/>
      <c r="O18" s="12" t="n"/>
    </row>
    <row r="19">
      <c r="E19" s="9" t="n"/>
      <c r="F19" s="9" t="n"/>
      <c r="L19" s="9" t="n"/>
    </row>
    <row r="20">
      <c r="A20" s="12" t="n"/>
      <c r="B20" s="12" t="n"/>
      <c r="C20" s="12" t="n"/>
      <c r="D20" s="12" t="n"/>
      <c r="E20" s="14" t="n"/>
      <c r="F20" s="14" t="n"/>
      <c r="G20" s="12" t="n"/>
      <c r="H20" s="12" t="n"/>
      <c r="I20" s="12" t="n"/>
      <c r="J20" s="12" t="n"/>
      <c r="K20" s="12" t="n"/>
      <c r="L20" s="14" t="n"/>
      <c r="M20" s="12" t="n"/>
      <c r="N20" s="12" t="n"/>
      <c r="O20" s="12" t="n"/>
    </row>
    <row r="21">
      <c r="E21" s="9" t="n"/>
      <c r="F21" s="9" t="n"/>
      <c r="L21" s="9" t="n"/>
    </row>
    <row r="22">
      <c r="A22" s="12" t="n"/>
      <c r="B22" s="12" t="n"/>
      <c r="C22" s="12" t="n"/>
      <c r="D22" s="12" t="n"/>
      <c r="E22" s="14" t="n"/>
      <c r="F22" s="14" t="n"/>
      <c r="G22" s="12" t="n"/>
      <c r="H22" s="12" t="n"/>
      <c r="I22" s="12" t="n"/>
      <c r="J22" s="12" t="n"/>
      <c r="K22" s="12" t="n"/>
      <c r="L22" s="14" t="n"/>
      <c r="M22" s="12" t="n"/>
      <c r="N22" s="12" t="n"/>
      <c r="O22" s="12" t="n"/>
    </row>
    <row r="23">
      <c r="E23" s="9" t="n"/>
      <c r="F23" s="9" t="n"/>
      <c r="L23" s="9" t="n"/>
    </row>
    <row r="24">
      <c r="A24" s="12" t="n"/>
      <c r="B24" s="12" t="n"/>
      <c r="C24" s="12" t="n"/>
      <c r="D24" s="12" t="n"/>
      <c r="E24" s="14" t="n"/>
      <c r="F24" s="14" t="n"/>
      <c r="G24" s="12" t="n"/>
      <c r="H24" s="12" t="n"/>
      <c r="I24" s="12" t="n"/>
      <c r="J24" s="12" t="n"/>
      <c r="K24" s="12" t="n"/>
      <c r="L24" s="14" t="n"/>
      <c r="M24" s="12" t="n"/>
      <c r="N24" s="12" t="n"/>
      <c r="O24" s="12" t="n"/>
    </row>
    <row r="25">
      <c r="E25" s="9" t="n"/>
      <c r="F25" s="9" t="n"/>
      <c r="L25" s="9" t="n"/>
    </row>
    <row r="26">
      <c r="A26" s="12" t="n"/>
      <c r="B26" s="12" t="n"/>
      <c r="C26" s="12" t="n"/>
      <c r="D26" s="12" t="n"/>
      <c r="E26" s="14" t="n"/>
      <c r="F26" s="14" t="n"/>
      <c r="G26" s="12" t="n"/>
      <c r="H26" s="12" t="n"/>
      <c r="I26" s="12" t="n"/>
      <c r="J26" s="12" t="n"/>
      <c r="K26" s="12" t="n"/>
      <c r="L26" s="14" t="n"/>
      <c r="M26" s="12" t="n"/>
      <c r="N26" s="12" t="n"/>
      <c r="O26" s="12" t="n"/>
    </row>
    <row r="27">
      <c r="E27" s="9" t="n"/>
      <c r="F27" s="9" t="n"/>
      <c r="L27" s="9" t="n"/>
    </row>
    <row r="28">
      <c r="A28" s="12" t="n"/>
      <c r="B28" s="12" t="n"/>
      <c r="C28" s="12" t="n"/>
      <c r="D28" s="12" t="n"/>
      <c r="E28" s="14" t="n"/>
      <c r="F28" s="14" t="n"/>
      <c r="G28" s="12" t="n"/>
      <c r="H28" s="12" t="n"/>
      <c r="I28" s="12" t="n"/>
      <c r="J28" s="12" t="n"/>
      <c r="K28" s="12" t="n"/>
      <c r="L28" s="14" t="n"/>
      <c r="M28" s="12" t="n"/>
      <c r="N28" s="12" t="n"/>
      <c r="O28" s="12" t="n"/>
    </row>
    <row r="29">
      <c r="E29" s="9" t="n"/>
      <c r="F29" s="9" t="n"/>
      <c r="L29" s="9" t="n"/>
    </row>
    <row r="30">
      <c r="A30" s="12" t="n"/>
      <c r="B30" s="12" t="n"/>
      <c r="C30" s="12" t="n"/>
      <c r="D30" s="12" t="n"/>
      <c r="E30" s="14" t="n"/>
      <c r="F30" s="14" t="n"/>
      <c r="G30" s="12" t="n"/>
      <c r="H30" s="12" t="n"/>
      <c r="I30" s="12" t="n"/>
      <c r="J30" s="12" t="n"/>
      <c r="K30" s="12" t="n"/>
      <c r="L30" s="14" t="n"/>
      <c r="M30" s="12" t="n"/>
      <c r="N30" s="12" t="n"/>
      <c r="O30" s="12" t="n"/>
    </row>
    <row r="31">
      <c r="E31" s="9" t="n"/>
      <c r="F31" s="9" t="n"/>
      <c r="L31" s="9" t="n"/>
    </row>
    <row r="32">
      <c r="A32" s="12" t="n"/>
      <c r="B32" s="12" t="n"/>
      <c r="C32" s="12" t="n"/>
      <c r="D32" s="12" t="n"/>
      <c r="E32" s="14" t="n"/>
      <c r="F32" s="14" t="n"/>
      <c r="G32" s="12" t="n"/>
      <c r="H32" s="12" t="n"/>
      <c r="I32" s="12" t="n"/>
      <c r="J32" s="12" t="n"/>
      <c r="K32" s="12" t="n"/>
      <c r="L32" s="14" t="n"/>
      <c r="M32" s="12" t="n"/>
      <c r="N32" s="12" t="n"/>
      <c r="O32" s="12" t="n"/>
    </row>
    <row r="33">
      <c r="E33" s="9" t="n"/>
      <c r="F33" s="9" t="n"/>
      <c r="L33" s="9" t="n"/>
    </row>
    <row r="34">
      <c r="A34" s="12" t="n"/>
      <c r="B34" s="12" t="n"/>
      <c r="C34" s="12" t="n"/>
      <c r="D34" s="12" t="n"/>
      <c r="E34" s="14" t="n"/>
      <c r="F34" s="14" t="n"/>
      <c r="G34" s="12" t="n"/>
      <c r="H34" s="12" t="n"/>
      <c r="I34" s="12" t="n"/>
      <c r="J34" s="12" t="n"/>
      <c r="K34" s="12" t="n"/>
      <c r="L34" s="14" t="n"/>
      <c r="M34" s="12" t="n"/>
      <c r="N34" s="12" t="n"/>
      <c r="O34" s="12" t="n"/>
    </row>
    <row r="35">
      <c r="E35" s="9" t="n"/>
      <c r="F35" s="9" t="n"/>
      <c r="L35" s="9" t="n"/>
    </row>
    <row r="36">
      <c r="A36" s="12" t="n"/>
      <c r="B36" s="12" t="n"/>
      <c r="C36" s="12" t="n"/>
      <c r="D36" s="12" t="n"/>
      <c r="E36" s="14" t="n"/>
      <c r="F36" s="14" t="n"/>
      <c r="G36" s="12" t="n"/>
      <c r="H36" s="12" t="n"/>
      <c r="I36" s="12" t="n"/>
      <c r="J36" s="12" t="n"/>
      <c r="K36" s="12" t="n"/>
      <c r="L36" s="14" t="n"/>
      <c r="M36" s="12" t="n"/>
      <c r="N36" s="12" t="n"/>
      <c r="O36" s="12" t="n"/>
    </row>
    <row r="37">
      <c r="E37" s="9" t="n"/>
      <c r="F37" s="9" t="n"/>
      <c r="L37" s="9" t="n"/>
    </row>
    <row r="38">
      <c r="A38" s="12" t="n"/>
      <c r="B38" s="12" t="n"/>
      <c r="C38" s="12" t="n"/>
      <c r="D38" s="12" t="n"/>
      <c r="E38" s="14" t="n"/>
      <c r="F38" s="14" t="n"/>
      <c r="G38" s="12" t="n"/>
      <c r="H38" s="12" t="n"/>
      <c r="I38" s="12" t="n"/>
      <c r="J38" s="12" t="n"/>
      <c r="K38" s="12" t="n"/>
      <c r="L38" s="14" t="n"/>
      <c r="M38" s="12" t="n"/>
      <c r="N38" s="12" t="n"/>
      <c r="O38" s="12" t="n"/>
    </row>
    <row r="39">
      <c r="E39" s="9" t="n"/>
      <c r="F39" s="9" t="n"/>
      <c r="L39" s="9" t="n"/>
    </row>
    <row r="40">
      <c r="A40" s="12" t="n"/>
      <c r="B40" s="12" t="n"/>
      <c r="C40" s="12" t="n"/>
      <c r="D40" s="12" t="n"/>
      <c r="E40" s="14" t="n"/>
      <c r="F40" s="14" t="n"/>
      <c r="G40" s="12" t="n"/>
      <c r="H40" s="12" t="n"/>
      <c r="I40" s="12" t="n"/>
      <c r="J40" s="12" t="n"/>
      <c r="K40" s="12" t="n"/>
      <c r="L40" s="14" t="n"/>
      <c r="M40" s="12" t="n"/>
      <c r="N40" s="12" t="n"/>
      <c r="O40" s="12" t="n"/>
    </row>
    <row r="41">
      <c r="E41" s="9" t="n"/>
      <c r="F41" s="9" t="n"/>
      <c r="L41" s="9" t="n"/>
    </row>
    <row r="42">
      <c r="A42" s="12" t="n"/>
      <c r="B42" s="12" t="n"/>
      <c r="C42" s="12" t="n"/>
      <c r="D42" s="12" t="n"/>
      <c r="E42" s="14" t="n"/>
      <c r="F42" s="14" t="n"/>
      <c r="G42" s="12" t="n"/>
      <c r="H42" s="12" t="n"/>
      <c r="I42" s="12" t="n"/>
      <c r="J42" s="12" t="n"/>
      <c r="K42" s="12" t="n"/>
      <c r="L42" s="14" t="n"/>
      <c r="M42" s="12" t="n"/>
      <c r="N42" s="12" t="n"/>
      <c r="O42" s="12" t="n"/>
    </row>
    <row r="43">
      <c r="E43" s="9" t="n"/>
      <c r="F43" s="9" t="n"/>
      <c r="L43" s="9" t="n"/>
    </row>
    <row r="44">
      <c r="A44" s="12" t="n"/>
      <c r="B44" s="12" t="n"/>
      <c r="C44" s="12" t="n"/>
      <c r="D44" s="12" t="n"/>
      <c r="E44" s="14" t="n"/>
      <c r="F44" s="14" t="n"/>
      <c r="G44" s="12" t="n"/>
      <c r="H44" s="12" t="n"/>
      <c r="I44" s="12" t="n"/>
      <c r="J44" s="12" t="n"/>
      <c r="K44" s="12" t="n"/>
      <c r="L44" s="14" t="n"/>
      <c r="M44" s="12" t="n"/>
      <c r="N44" s="12" t="n"/>
      <c r="O44" s="12" t="n"/>
    </row>
    <row r="45">
      <c r="E45" s="9" t="n"/>
      <c r="F45" s="9" t="n"/>
      <c r="L45" s="9" t="n"/>
    </row>
    <row r="46">
      <c r="A46" s="12" t="n"/>
      <c r="B46" s="12" t="n"/>
      <c r="C46" s="12" t="n"/>
      <c r="D46" s="12" t="n"/>
      <c r="E46" s="14" t="n"/>
      <c r="F46" s="14" t="n"/>
      <c r="G46" s="12" t="n"/>
      <c r="H46" s="12" t="n"/>
      <c r="I46" s="12" t="n"/>
      <c r="J46" s="12" t="n"/>
      <c r="K46" s="12" t="n"/>
      <c r="L46" s="14" t="n"/>
      <c r="M46" s="12" t="n"/>
      <c r="N46" s="12" t="n"/>
      <c r="O46" s="12" t="n"/>
    </row>
    <row r="47">
      <c r="E47" s="9" t="n"/>
      <c r="F47" s="9" t="n"/>
      <c r="L47" s="9" t="n"/>
    </row>
    <row r="48">
      <c r="A48" s="12" t="n"/>
      <c r="B48" s="12" t="n"/>
      <c r="C48" s="12" t="n"/>
      <c r="D48" s="12" t="n"/>
      <c r="E48" s="14" t="n"/>
      <c r="F48" s="14" t="n"/>
      <c r="G48" s="12" t="n"/>
      <c r="H48" s="12" t="n"/>
      <c r="I48" s="12" t="n"/>
      <c r="J48" s="12" t="n"/>
      <c r="K48" s="12" t="n"/>
      <c r="L48" s="14" t="n"/>
      <c r="M48" s="12" t="n"/>
      <c r="N48" s="12" t="n"/>
      <c r="O48" s="12" t="n"/>
    </row>
    <row r="49">
      <c r="E49" s="9" t="n"/>
      <c r="F49" s="9" t="n"/>
      <c r="L49" s="9" t="n"/>
    </row>
    <row r="50">
      <c r="A50" s="12" t="n"/>
      <c r="B50" s="12" t="n"/>
      <c r="C50" s="12" t="n"/>
      <c r="D50" s="12" t="n"/>
      <c r="E50" s="14" t="n"/>
      <c r="F50" s="14" t="n"/>
      <c r="G50" s="12" t="n"/>
      <c r="H50" s="12" t="n"/>
      <c r="I50" s="12" t="n"/>
      <c r="J50" s="12" t="n"/>
      <c r="K50" s="12" t="n"/>
      <c r="L50" s="14" t="n"/>
      <c r="M50" s="12" t="n"/>
      <c r="N50" s="12" t="n"/>
      <c r="O50" s="12" t="n"/>
    </row>
    <row r="51">
      <c r="E51" s="9" t="n"/>
      <c r="F51" s="9" t="n"/>
      <c r="L51" s="9" t="n"/>
    </row>
    <row r="52">
      <c r="A52" s="12" t="n"/>
      <c r="B52" s="12" t="n"/>
      <c r="C52" s="12" t="n"/>
      <c r="D52" s="12" t="n"/>
      <c r="E52" s="14" t="n"/>
      <c r="F52" s="14" t="n"/>
      <c r="G52" s="12" t="n"/>
      <c r="H52" s="12" t="n"/>
      <c r="I52" s="12" t="n"/>
      <c r="J52" s="12" t="n"/>
      <c r="K52" s="12" t="n"/>
      <c r="L52" s="14" t="n"/>
      <c r="M52" s="12" t="n"/>
      <c r="N52" s="12" t="n"/>
      <c r="O52" s="12" t="n"/>
    </row>
    <row r="53">
      <c r="E53" s="9" t="n"/>
      <c r="F53" s="9" t="n"/>
      <c r="L53" s="9" t="n"/>
    </row>
    <row r="54">
      <c r="A54" s="12" t="n"/>
      <c r="B54" s="12" t="n"/>
      <c r="C54" s="12" t="n"/>
      <c r="D54" s="12" t="n"/>
      <c r="E54" s="14" t="n"/>
      <c r="F54" s="14" t="n"/>
      <c r="G54" s="12" t="n"/>
      <c r="H54" s="12" t="n"/>
      <c r="I54" s="12" t="n"/>
      <c r="J54" s="12" t="n"/>
      <c r="K54" s="12" t="n"/>
      <c r="L54" s="14" t="n"/>
      <c r="M54" s="12" t="n"/>
      <c r="N54" s="12" t="n"/>
      <c r="O54" s="12" t="n"/>
    </row>
    <row r="55">
      <c r="E55" s="9" t="n"/>
      <c r="F55" s="9" t="n"/>
      <c r="L55" s="9" t="n"/>
    </row>
    <row r="56">
      <c r="A56" s="12" t="n"/>
      <c r="B56" s="12" t="n"/>
      <c r="C56" s="12" t="n"/>
      <c r="D56" s="12" t="n"/>
      <c r="E56" s="14" t="n"/>
      <c r="F56" s="14" t="n"/>
      <c r="G56" s="12" t="n"/>
      <c r="H56" s="12" t="n"/>
      <c r="I56" s="12" t="n"/>
      <c r="J56" s="12" t="n"/>
      <c r="K56" s="12" t="n"/>
      <c r="L56" s="14" t="n"/>
      <c r="M56" s="12" t="n"/>
      <c r="N56" s="12" t="n"/>
      <c r="O56" s="12" t="n"/>
    </row>
    <row r="57">
      <c r="E57" s="9" t="n"/>
      <c r="F57" s="9" t="n"/>
      <c r="L57" s="9" t="n"/>
    </row>
    <row r="58">
      <c r="A58" s="12" t="n"/>
      <c r="B58" s="12" t="n"/>
      <c r="C58" s="12" t="n"/>
      <c r="D58" s="12" t="n"/>
      <c r="E58" s="14" t="n"/>
      <c r="F58" s="14" t="n"/>
      <c r="G58" s="12" t="n"/>
      <c r="H58" s="12" t="n"/>
      <c r="I58" s="12" t="n"/>
      <c r="J58" s="12" t="n"/>
      <c r="K58" s="12" t="n"/>
      <c r="L58" s="14" t="n"/>
      <c r="M58" s="12" t="n"/>
      <c r="N58" s="12" t="n"/>
      <c r="O58" s="12" t="n"/>
    </row>
    <row r="59">
      <c r="E59" s="9" t="n"/>
      <c r="F59" s="9" t="n"/>
      <c r="L59" s="9" t="n"/>
    </row>
    <row r="60">
      <c r="A60" s="12" t="n"/>
      <c r="B60" s="12" t="n"/>
      <c r="C60" s="12" t="n"/>
      <c r="D60" s="12" t="n"/>
      <c r="E60" s="14" t="n"/>
      <c r="F60" s="14" t="n"/>
      <c r="G60" s="12" t="n"/>
      <c r="H60" s="12" t="n"/>
      <c r="I60" s="12" t="n"/>
      <c r="J60" s="12" t="n"/>
      <c r="K60" s="12" t="n"/>
      <c r="L60" s="14" t="n"/>
      <c r="M60" s="12" t="n"/>
      <c r="N60" s="12" t="n"/>
      <c r="O60" s="12" t="n"/>
    </row>
    <row r="61">
      <c r="E61" s="9" t="n"/>
      <c r="F61" s="9" t="n"/>
      <c r="L61" s="9" t="n"/>
    </row>
    <row r="62">
      <c r="A62" s="12" t="n"/>
      <c r="B62" s="12" t="n"/>
      <c r="C62" s="12" t="n"/>
      <c r="D62" s="12" t="n"/>
      <c r="E62" s="14" t="n"/>
      <c r="F62" s="14" t="n"/>
      <c r="G62" s="12" t="n"/>
      <c r="H62" s="12" t="n"/>
      <c r="I62" s="12" t="n"/>
      <c r="J62" s="12" t="n"/>
      <c r="K62" s="12" t="n"/>
      <c r="L62" s="14" t="n"/>
      <c r="M62" s="12" t="n"/>
      <c r="N62" s="12" t="n"/>
      <c r="O62" s="12" t="n"/>
    </row>
    <row r="63">
      <c r="E63" s="9" t="n"/>
      <c r="F63" s="9" t="n"/>
      <c r="L63" s="9" t="n"/>
    </row>
    <row r="64">
      <c r="A64" s="12" t="n"/>
      <c r="B64" s="12" t="n"/>
      <c r="C64" s="12" t="n"/>
      <c r="D64" s="12" t="n"/>
      <c r="E64" s="14" t="n"/>
      <c r="F64" s="14" t="n"/>
      <c r="G64" s="12" t="n"/>
      <c r="H64" s="12" t="n"/>
      <c r="I64" s="12" t="n"/>
      <c r="J64" s="12" t="n"/>
      <c r="K64" s="12" t="n"/>
      <c r="L64" s="14" t="n"/>
      <c r="M64" s="12" t="n"/>
      <c r="N64" s="12" t="n"/>
      <c r="O64" s="12" t="n"/>
    </row>
    <row r="65">
      <c r="E65" s="9" t="n"/>
      <c r="F65" s="9" t="n"/>
      <c r="L65" s="9" t="n"/>
    </row>
    <row r="66">
      <c r="A66" s="12" t="n"/>
      <c r="B66" s="12" t="n"/>
      <c r="C66" s="12" t="n"/>
      <c r="D66" s="12" t="n"/>
      <c r="E66" s="14" t="n"/>
      <c r="F66" s="14" t="n"/>
      <c r="G66" s="12" t="n"/>
      <c r="H66" s="12" t="n"/>
      <c r="I66" s="12" t="n"/>
      <c r="J66" s="12" t="n"/>
      <c r="K66" s="12" t="n"/>
      <c r="L66" s="14" t="n"/>
      <c r="M66" s="12" t="n"/>
      <c r="N66" s="12" t="n"/>
      <c r="O66" s="12" t="n"/>
    </row>
    <row r="67">
      <c r="E67" s="9" t="n"/>
      <c r="F67" s="9" t="n"/>
      <c r="L67" s="9" t="n"/>
    </row>
    <row r="68">
      <c r="A68" s="12" t="n"/>
      <c r="B68" s="12" t="n"/>
      <c r="C68" s="12" t="n"/>
      <c r="D68" s="12" t="n"/>
      <c r="E68" s="14" t="n"/>
      <c r="F68" s="14" t="n"/>
      <c r="G68" s="12" t="n"/>
      <c r="H68" s="12" t="n"/>
      <c r="I68" s="12" t="n"/>
      <c r="J68" s="12" t="n"/>
      <c r="K68" s="12" t="n"/>
      <c r="L68" s="14" t="n"/>
      <c r="M68" s="12" t="n"/>
      <c r="N68" s="12" t="n"/>
      <c r="O68" s="12" t="n"/>
    </row>
    <row r="69">
      <c r="E69" s="9" t="n"/>
      <c r="F69" s="9" t="n"/>
      <c r="L69" s="9" t="n"/>
    </row>
    <row r="70">
      <c r="A70" s="12" t="n"/>
      <c r="B70" s="12" t="n"/>
      <c r="C70" s="12" t="n"/>
      <c r="D70" s="12" t="n"/>
      <c r="E70" s="14" t="n"/>
      <c r="F70" s="14" t="n"/>
      <c r="G70" s="12" t="n"/>
      <c r="H70" s="12" t="n"/>
      <c r="I70" s="12" t="n"/>
      <c r="J70" s="12" t="n"/>
      <c r="K70" s="12" t="n"/>
      <c r="L70" s="14" t="n"/>
      <c r="M70" s="12" t="n"/>
      <c r="N70" s="12" t="n"/>
      <c r="O70" s="12" t="n"/>
    </row>
    <row r="71">
      <c r="E71" s="9" t="n"/>
      <c r="F71" s="9" t="n"/>
      <c r="L71" s="9" t="n"/>
    </row>
    <row r="72">
      <c r="A72" s="12" t="n"/>
      <c r="B72" s="12" t="n"/>
      <c r="C72" s="12" t="n"/>
      <c r="D72" s="12" t="n"/>
      <c r="E72" s="14" t="n"/>
      <c r="F72" s="14" t="n"/>
      <c r="G72" s="12" t="n"/>
      <c r="H72" s="12" t="n"/>
      <c r="I72" s="12" t="n"/>
      <c r="J72" s="12" t="n"/>
      <c r="K72" s="12" t="n"/>
      <c r="L72" s="14" t="n"/>
      <c r="M72" s="12" t="n"/>
      <c r="N72" s="12" t="n"/>
      <c r="O72" s="12" t="n"/>
    </row>
    <row r="73">
      <c r="E73" s="9" t="n"/>
      <c r="F73" s="9" t="n"/>
      <c r="L73" s="9" t="n"/>
    </row>
    <row r="74">
      <c r="A74" s="12" t="n"/>
      <c r="B74" s="12" t="n"/>
      <c r="C74" s="12" t="n"/>
      <c r="D74" s="12" t="n"/>
      <c r="E74" s="14" t="n"/>
      <c r="F74" s="14" t="n"/>
      <c r="G74" s="12" t="n"/>
      <c r="H74" s="12" t="n"/>
      <c r="I74" s="12" t="n"/>
      <c r="J74" s="12" t="n"/>
      <c r="K74" s="12" t="n"/>
      <c r="L74" s="14" t="n"/>
      <c r="M74" s="12" t="n"/>
      <c r="N74" s="12" t="n"/>
      <c r="O74" s="12" t="n"/>
    </row>
    <row r="75">
      <c r="E75" s="9" t="n"/>
      <c r="F75" s="9" t="n"/>
      <c r="L75" s="9" t="n"/>
    </row>
    <row r="76">
      <c r="A76" s="12" t="n"/>
      <c r="B76" s="12" t="n"/>
      <c r="C76" s="12" t="n"/>
      <c r="D76" s="12" t="n"/>
      <c r="E76" s="14" t="n"/>
      <c r="F76" s="14" t="n"/>
      <c r="G76" s="12" t="n"/>
      <c r="H76" s="12" t="n"/>
      <c r="I76" s="12" t="n"/>
      <c r="J76" s="12" t="n"/>
      <c r="K76" s="12" t="n"/>
      <c r="L76" s="14" t="n"/>
      <c r="M76" s="12" t="n"/>
      <c r="N76" s="12" t="n"/>
      <c r="O76" s="12" t="n"/>
    </row>
    <row r="77">
      <c r="E77" s="9" t="n"/>
      <c r="F77" s="9" t="n"/>
      <c r="L77" s="9" t="n"/>
    </row>
    <row r="78">
      <c r="A78" s="12" t="n"/>
      <c r="B78" s="12" t="n"/>
      <c r="C78" s="12" t="n"/>
      <c r="D78" s="12" t="n"/>
      <c r="E78" s="14" t="n"/>
      <c r="F78" s="14" t="n"/>
      <c r="G78" s="12" t="n"/>
      <c r="H78" s="12" t="n"/>
      <c r="I78" s="12" t="n"/>
      <c r="J78" s="12" t="n"/>
      <c r="K78" s="12" t="n"/>
      <c r="L78" s="14" t="n"/>
      <c r="M78" s="12" t="n"/>
      <c r="N78" s="12" t="n"/>
      <c r="O78" s="12" t="n"/>
    </row>
    <row r="79">
      <c r="E79" s="9" t="n"/>
      <c r="F79" s="9" t="n"/>
      <c r="L79" s="9" t="n"/>
    </row>
    <row r="80">
      <c r="A80" s="12" t="n"/>
      <c r="B80" s="12" t="n"/>
      <c r="C80" s="12" t="n"/>
      <c r="D80" s="12" t="n"/>
      <c r="E80" s="14" t="n"/>
      <c r="F80" s="14" t="n"/>
      <c r="G80" s="12" t="n"/>
      <c r="H80" s="12" t="n"/>
      <c r="I80" s="12" t="n"/>
      <c r="J80" s="12" t="n"/>
      <c r="K80" s="12" t="n"/>
      <c r="L80" s="14" t="n"/>
      <c r="M80" s="12" t="n"/>
      <c r="N80" s="12" t="n"/>
      <c r="O80" s="12" t="n"/>
    </row>
    <row r="81">
      <c r="E81" s="9" t="n"/>
      <c r="F81" s="9" t="n"/>
      <c r="L81" s="9" t="n"/>
    </row>
    <row r="82">
      <c r="A82" s="12" t="n"/>
      <c r="B82" s="12" t="n"/>
      <c r="C82" s="12" t="n"/>
      <c r="D82" s="12" t="n"/>
      <c r="E82" s="14" t="n"/>
      <c r="F82" s="14" t="n"/>
      <c r="G82" s="12" t="n"/>
      <c r="H82" s="12" t="n"/>
      <c r="I82" s="12" t="n"/>
      <c r="J82" s="12" t="n"/>
      <c r="K82" s="12" t="n"/>
      <c r="L82" s="14" t="n"/>
      <c r="M82" s="12" t="n"/>
      <c r="N82" s="12" t="n"/>
      <c r="O82" s="12" t="n"/>
    </row>
    <row r="83">
      <c r="E83" s="9" t="n"/>
      <c r="F83" s="9" t="n"/>
      <c r="L83" s="9" t="n"/>
    </row>
    <row r="84">
      <c r="A84" s="12" t="n"/>
      <c r="B84" s="12" t="n"/>
      <c r="C84" s="12" t="n"/>
      <c r="D84" s="12" t="n"/>
      <c r="E84" s="14" t="n"/>
      <c r="F84" s="14" t="n"/>
      <c r="G84" s="12" t="n"/>
      <c r="H84" s="12" t="n"/>
      <c r="I84" s="12" t="n"/>
      <c r="J84" s="12" t="n"/>
      <c r="K84" s="12" t="n"/>
      <c r="L84" s="14" t="n"/>
      <c r="M84" s="12" t="n"/>
      <c r="N84" s="12" t="n"/>
      <c r="O84" s="12" t="n"/>
    </row>
    <row r="85">
      <c r="E85" s="9" t="n"/>
      <c r="F85" s="9" t="n"/>
      <c r="L85" s="9" t="n"/>
    </row>
    <row r="86">
      <c r="A86" s="12" t="n"/>
      <c r="B86" s="12" t="n"/>
      <c r="C86" s="12" t="n"/>
      <c r="D86" s="12" t="n"/>
      <c r="E86" s="14" t="n"/>
      <c r="F86" s="14" t="n"/>
      <c r="G86" s="12" t="n"/>
      <c r="H86" s="12" t="n"/>
      <c r="I86" s="12" t="n"/>
      <c r="J86" s="12" t="n"/>
      <c r="K86" s="12" t="n"/>
      <c r="L86" s="14" t="n"/>
      <c r="M86" s="12" t="n"/>
      <c r="N86" s="12" t="n"/>
      <c r="O86" s="12" t="n"/>
    </row>
    <row r="87">
      <c r="E87" s="9" t="n"/>
      <c r="F87" s="9" t="n"/>
      <c r="L87" s="9" t="n"/>
    </row>
    <row r="88">
      <c r="A88" s="12" t="n"/>
      <c r="B88" s="12" t="n"/>
      <c r="C88" s="12" t="n"/>
      <c r="D88" s="12" t="n"/>
      <c r="E88" s="14" t="n"/>
      <c r="F88" s="14" t="n"/>
      <c r="G88" s="12" t="n"/>
      <c r="H88" s="12" t="n"/>
      <c r="I88" s="12" t="n"/>
      <c r="J88" s="12" t="n"/>
      <c r="K88" s="12" t="n"/>
      <c r="L88" s="14" t="n"/>
      <c r="M88" s="12" t="n"/>
      <c r="N88" s="12" t="n"/>
      <c r="O88" s="12" t="n"/>
    </row>
    <row r="89">
      <c r="E89" s="9" t="n"/>
      <c r="F89" s="9" t="n"/>
      <c r="L89" s="9" t="n"/>
    </row>
    <row r="90">
      <c r="A90" s="12" t="n"/>
      <c r="B90" s="12" t="n"/>
      <c r="C90" s="12" t="n"/>
      <c r="D90" s="12" t="n"/>
      <c r="E90" s="14" t="n"/>
      <c r="F90" s="14" t="n"/>
      <c r="G90" s="12" t="n"/>
      <c r="H90" s="12" t="n"/>
      <c r="I90" s="12" t="n"/>
      <c r="J90" s="12" t="n"/>
      <c r="K90" s="12" t="n"/>
      <c r="L90" s="14" t="n"/>
      <c r="M90" s="12" t="n"/>
      <c r="N90" s="12" t="n"/>
      <c r="O90" s="12" t="n"/>
    </row>
    <row r="91">
      <c r="E91" s="9" t="n"/>
      <c r="F91" s="9" t="n"/>
      <c r="L91" s="9" t="n"/>
    </row>
    <row r="92">
      <c r="A92" s="12" t="n"/>
      <c r="B92" s="12" t="n"/>
      <c r="C92" s="12" t="n"/>
      <c r="D92" s="12" t="n"/>
      <c r="E92" s="14" t="n"/>
      <c r="F92" s="14" t="n"/>
      <c r="G92" s="12" t="n"/>
      <c r="H92" s="12" t="n"/>
      <c r="I92" s="12" t="n"/>
      <c r="J92" s="12" t="n"/>
      <c r="K92" s="12" t="n"/>
      <c r="L92" s="14" t="n"/>
      <c r="M92" s="12" t="n"/>
      <c r="N92" s="12" t="n"/>
      <c r="O92" s="12" t="n"/>
    </row>
    <row r="93">
      <c r="E93" s="9" t="n"/>
      <c r="F93" s="9" t="n"/>
      <c r="L93" s="9" t="n"/>
    </row>
    <row r="94">
      <c r="A94" s="12" t="n"/>
      <c r="B94" s="12" t="n"/>
      <c r="C94" s="12" t="n"/>
      <c r="D94" s="12" t="n"/>
      <c r="E94" s="14" t="n"/>
      <c r="F94" s="14" t="n"/>
      <c r="G94" s="12" t="n"/>
      <c r="H94" s="12" t="n"/>
      <c r="I94" s="12" t="n"/>
      <c r="J94" s="12" t="n"/>
      <c r="K94" s="12" t="n"/>
      <c r="L94" s="14" t="n"/>
      <c r="M94" s="12" t="n"/>
      <c r="N94" s="12" t="n"/>
      <c r="O94" s="12" t="n"/>
    </row>
    <row r="95">
      <c r="E95" s="9" t="n"/>
      <c r="F95" s="9" t="n"/>
      <c r="L95" s="9" t="n"/>
    </row>
    <row r="96">
      <c r="A96" s="12" t="n"/>
      <c r="B96" s="12" t="n"/>
      <c r="C96" s="12" t="n"/>
      <c r="D96" s="12" t="n"/>
      <c r="E96" s="14" t="n"/>
      <c r="F96" s="14" t="n"/>
      <c r="G96" s="12" t="n"/>
      <c r="H96" s="12" t="n"/>
      <c r="I96" s="12" t="n"/>
      <c r="J96" s="12" t="n"/>
      <c r="K96" s="12" t="n"/>
      <c r="L96" s="14" t="n"/>
      <c r="M96" s="12" t="n"/>
      <c r="N96" s="12" t="n"/>
      <c r="O96" s="12" t="n"/>
    </row>
    <row r="97">
      <c r="E97" s="9" t="n"/>
      <c r="F97" s="9" t="n"/>
      <c r="L97" s="9" t="n"/>
    </row>
    <row r="98">
      <c r="A98" s="12" t="n"/>
      <c r="B98" s="12" t="n"/>
      <c r="C98" s="12" t="n"/>
      <c r="D98" s="12" t="n"/>
      <c r="E98" s="14" t="n"/>
      <c r="F98" s="14" t="n"/>
      <c r="G98" s="12" t="n"/>
      <c r="H98" s="12" t="n"/>
      <c r="I98" s="12" t="n"/>
      <c r="J98" s="12" t="n"/>
      <c r="K98" s="12" t="n"/>
      <c r="L98" s="14" t="n"/>
      <c r="M98" s="12" t="n"/>
      <c r="N98" s="12" t="n"/>
      <c r="O98" s="12" t="n"/>
    </row>
    <row r="99">
      <c r="E99" s="9" t="n"/>
      <c r="F99" s="9" t="n"/>
      <c r="L99" s="9" t="n"/>
    </row>
    <row r="100">
      <c r="A100" s="12" t="n"/>
      <c r="B100" s="12" t="n"/>
      <c r="C100" s="12" t="n"/>
      <c r="D100" s="12" t="n"/>
      <c r="E100" s="14" t="n"/>
      <c r="F100" s="14" t="n"/>
      <c r="G100" s="12" t="n"/>
      <c r="H100" s="12" t="n"/>
      <c r="I100" s="12" t="n"/>
      <c r="J100" s="12" t="n"/>
      <c r="K100" s="12" t="n"/>
      <c r="L100" s="14" t="n"/>
      <c r="M100" s="12" t="n"/>
      <c r="N100" s="12" t="n"/>
      <c r="O100" s="12" t="n"/>
    </row>
    <row r="101">
      <c r="E101" s="9" t="n"/>
      <c r="F101" s="9" t="n"/>
      <c r="L101" s="9" t="n"/>
    </row>
    <row r="102">
      <c r="A102" s="12" t="n"/>
      <c r="B102" s="12" t="n"/>
      <c r="C102" s="12" t="n"/>
      <c r="D102" s="12" t="n"/>
      <c r="E102" s="14" t="n"/>
      <c r="F102" s="14" t="n"/>
      <c r="G102" s="12" t="n"/>
      <c r="H102" s="12" t="n"/>
      <c r="I102" s="12" t="n"/>
      <c r="J102" s="12" t="n"/>
      <c r="K102" s="12" t="n"/>
      <c r="L102" s="14" t="n"/>
      <c r="M102" s="12" t="n"/>
      <c r="N102" s="12" t="n"/>
      <c r="O102" s="12" t="n"/>
    </row>
    <row r="103">
      <c r="E103" s="9" t="n"/>
      <c r="F103" s="9" t="n"/>
      <c r="L103" s="9" t="n"/>
    </row>
    <row r="104">
      <c r="A104" s="12" t="n"/>
      <c r="B104" s="12" t="n"/>
      <c r="C104" s="12" t="n"/>
      <c r="D104" s="12" t="n"/>
      <c r="E104" s="14" t="n"/>
      <c r="F104" s="14" t="n"/>
      <c r="G104" s="12" t="n"/>
      <c r="H104" s="12" t="n"/>
      <c r="I104" s="12" t="n"/>
      <c r="J104" s="12" t="n"/>
      <c r="K104" s="12" t="n"/>
      <c r="L104" s="14" t="n"/>
      <c r="M104" s="12" t="n"/>
      <c r="N104" s="12" t="n"/>
      <c r="O104" s="12" t="n"/>
    </row>
    <row r="105">
      <c r="E105" s="9" t="n"/>
      <c r="F105" s="9" t="n"/>
      <c r="L105" s="9" t="n"/>
    </row>
    <row r="106">
      <c r="A106" s="12" t="n"/>
      <c r="B106" s="12" t="n"/>
      <c r="C106" s="12" t="n"/>
      <c r="D106" s="12" t="n"/>
      <c r="E106" s="14" t="n"/>
      <c r="F106" s="14" t="n"/>
      <c r="G106" s="12" t="n"/>
      <c r="H106" s="12" t="n"/>
      <c r="I106" s="12" t="n"/>
      <c r="J106" s="12" t="n"/>
      <c r="K106" s="12" t="n"/>
      <c r="L106" s="14" t="n"/>
      <c r="M106" s="12" t="n"/>
      <c r="N106" s="12" t="n"/>
      <c r="O106" s="12" t="n"/>
    </row>
    <row r="107">
      <c r="E107" s="9" t="n"/>
      <c r="F107" s="9" t="n"/>
      <c r="L107" s="9" t="n"/>
    </row>
    <row r="108">
      <c r="A108" s="12" t="n"/>
      <c r="B108" s="12" t="n"/>
      <c r="C108" s="12" t="n"/>
      <c r="D108" s="12" t="n"/>
      <c r="E108" s="14" t="n"/>
      <c r="F108" s="14" t="n"/>
      <c r="G108" s="12" t="n"/>
      <c r="H108" s="12" t="n"/>
      <c r="I108" s="12" t="n"/>
      <c r="J108" s="12" t="n"/>
      <c r="K108" s="12" t="n"/>
      <c r="L108" s="14" t="n"/>
      <c r="M108" s="12" t="n"/>
      <c r="N108" s="12" t="n"/>
      <c r="O108" s="12" t="n"/>
    </row>
    <row r="109">
      <c r="E109" s="9" t="n"/>
      <c r="F109" s="9" t="n"/>
      <c r="L109" s="9" t="n"/>
    </row>
    <row r="110">
      <c r="A110" s="12" t="n"/>
      <c r="B110" s="12" t="n"/>
      <c r="C110" s="12" t="n"/>
      <c r="D110" s="12" t="n"/>
      <c r="E110" s="14" t="n"/>
      <c r="F110" s="14" t="n"/>
      <c r="G110" s="12" t="n"/>
      <c r="H110" s="12" t="n"/>
      <c r="I110" s="12" t="n"/>
      <c r="J110" s="12" t="n"/>
      <c r="K110" s="12" t="n"/>
      <c r="L110" s="14" t="n"/>
      <c r="M110" s="12" t="n"/>
      <c r="N110" s="12" t="n"/>
      <c r="O110" s="12" t="n"/>
    </row>
    <row r="111">
      <c r="E111" s="9" t="n"/>
      <c r="F111" s="9" t="n"/>
      <c r="L111" s="9" t="n"/>
    </row>
    <row r="112">
      <c r="A112" s="12" t="n"/>
      <c r="B112" s="12" t="n"/>
      <c r="C112" s="12" t="n"/>
      <c r="D112" s="12" t="n"/>
      <c r="E112" s="14" t="n"/>
      <c r="F112" s="14" t="n"/>
      <c r="G112" s="12" t="n"/>
      <c r="H112" s="12" t="n"/>
      <c r="I112" s="12" t="n"/>
      <c r="J112" s="12" t="n"/>
      <c r="K112" s="12" t="n"/>
      <c r="L112" s="14" t="n"/>
      <c r="M112" s="12" t="n"/>
      <c r="N112" s="12" t="n"/>
      <c r="O112" s="12" t="n"/>
    </row>
    <row r="113">
      <c r="E113" s="9" t="n"/>
      <c r="F113" s="9" t="n"/>
      <c r="L113" s="9" t="n"/>
    </row>
    <row r="114">
      <c r="A114" s="12" t="n"/>
      <c r="B114" s="12" t="n"/>
      <c r="C114" s="12" t="n"/>
      <c r="D114" s="12" t="n"/>
      <c r="E114" s="14" t="n"/>
      <c r="F114" s="14" t="n"/>
      <c r="G114" s="12" t="n"/>
      <c r="H114" s="12" t="n"/>
      <c r="I114" s="12" t="n"/>
      <c r="J114" s="12" t="n"/>
      <c r="K114" s="12" t="n"/>
      <c r="L114" s="14" t="n"/>
      <c r="M114" s="12" t="n"/>
      <c r="N114" s="12" t="n"/>
      <c r="O114" s="12" t="n"/>
    </row>
    <row r="115">
      <c r="E115" s="9" t="n"/>
      <c r="F115" s="9" t="n"/>
      <c r="L115" s="9" t="n"/>
    </row>
    <row r="116">
      <c r="A116" s="12" t="n"/>
      <c r="B116" s="12" t="n"/>
      <c r="C116" s="12" t="n"/>
      <c r="D116" s="12" t="n"/>
      <c r="E116" s="14" t="n"/>
      <c r="F116" s="14" t="n"/>
      <c r="G116" s="12" t="n"/>
      <c r="H116" s="12" t="n"/>
      <c r="I116" s="12" t="n"/>
      <c r="J116" s="12" t="n"/>
      <c r="K116" s="12" t="n"/>
      <c r="L116" s="14" t="n"/>
      <c r="M116" s="12" t="n"/>
      <c r="N116" s="12" t="n"/>
      <c r="O116" s="12" t="n"/>
    </row>
    <row r="117">
      <c r="E117" s="9" t="n"/>
      <c r="F117" s="9" t="n"/>
      <c r="L117" s="9" t="n"/>
    </row>
    <row r="118">
      <c r="A118" s="12" t="n"/>
      <c r="B118" s="12" t="n"/>
      <c r="C118" s="12" t="n"/>
      <c r="D118" s="12" t="n"/>
      <c r="E118" s="14" t="n"/>
      <c r="F118" s="14" t="n"/>
      <c r="G118" s="12" t="n"/>
      <c r="H118" s="12" t="n"/>
      <c r="I118" s="12" t="n"/>
      <c r="J118" s="12" t="n"/>
      <c r="K118" s="12" t="n"/>
      <c r="L118" s="14" t="n"/>
      <c r="M118" s="12" t="n"/>
      <c r="N118" s="12" t="n"/>
      <c r="O118" s="12" t="n"/>
    </row>
    <row r="119">
      <c r="E119" s="9" t="n"/>
      <c r="F119" s="9" t="n"/>
      <c r="L119" s="9" t="n"/>
    </row>
    <row r="120">
      <c r="A120" s="12" t="n"/>
      <c r="B120" s="12" t="n"/>
      <c r="C120" s="12" t="n"/>
      <c r="D120" s="12" t="n"/>
      <c r="E120" s="14" t="n"/>
      <c r="F120" s="14" t="n"/>
      <c r="G120" s="12" t="n"/>
      <c r="H120" s="12" t="n"/>
      <c r="I120" s="12" t="n"/>
      <c r="J120" s="12" t="n"/>
      <c r="K120" s="12" t="n"/>
      <c r="L120" s="14" t="n"/>
      <c r="M120" s="12" t="n"/>
      <c r="N120" s="12" t="n"/>
      <c r="O120" s="12" t="n"/>
    </row>
    <row r="121">
      <c r="E121" s="9" t="n"/>
      <c r="F121" s="9" t="n"/>
      <c r="L121" s="9" t="n"/>
    </row>
    <row r="122">
      <c r="A122" s="12" t="n"/>
      <c r="B122" s="12" t="n"/>
      <c r="C122" s="12" t="n"/>
      <c r="D122" s="12" t="n"/>
      <c r="E122" s="14" t="n"/>
      <c r="F122" s="14" t="n"/>
      <c r="G122" s="12" t="n"/>
      <c r="H122" s="12" t="n"/>
      <c r="I122" s="12" t="n"/>
      <c r="J122" s="12" t="n"/>
      <c r="K122" s="12" t="n"/>
      <c r="L122" s="14" t="n"/>
      <c r="M122" s="12" t="n"/>
      <c r="N122" s="12" t="n"/>
      <c r="O122" s="12" t="n"/>
    </row>
    <row r="123">
      <c r="E123" s="9" t="n"/>
      <c r="F123" s="9" t="n"/>
      <c r="L123" s="9" t="n"/>
    </row>
    <row r="124">
      <c r="A124" s="12" t="n"/>
      <c r="B124" s="12" t="n"/>
      <c r="C124" s="12" t="n"/>
      <c r="D124" s="12" t="n"/>
      <c r="E124" s="14" t="n"/>
      <c r="F124" s="14" t="n"/>
      <c r="G124" s="12" t="n"/>
      <c r="H124" s="12" t="n"/>
      <c r="I124" s="12" t="n"/>
      <c r="J124" s="12" t="n"/>
      <c r="K124" s="12" t="n"/>
      <c r="L124" s="14" t="n"/>
      <c r="M124" s="12" t="n"/>
      <c r="N124" s="12" t="n"/>
      <c r="O124" s="12" t="n"/>
    </row>
    <row r="125">
      <c r="E125" s="9" t="n"/>
      <c r="F125" s="9" t="n"/>
      <c r="L125" s="9" t="n"/>
    </row>
    <row r="126">
      <c r="A126" s="12" t="n"/>
      <c r="B126" s="12" t="n"/>
      <c r="C126" s="12" t="n"/>
      <c r="D126" s="12" t="n"/>
      <c r="E126" s="14" t="n"/>
      <c r="F126" s="14" t="n"/>
      <c r="G126" s="12" t="n"/>
      <c r="H126" s="12" t="n"/>
      <c r="I126" s="12" t="n"/>
      <c r="J126" s="12" t="n"/>
      <c r="K126" s="12" t="n"/>
      <c r="L126" s="14" t="n"/>
      <c r="M126" s="12" t="n"/>
      <c r="N126" s="12" t="n"/>
      <c r="O126" s="12" t="n"/>
    </row>
    <row r="127">
      <c r="E127" s="9" t="n"/>
      <c r="F127" s="9" t="n"/>
      <c r="L127" s="9" t="n"/>
    </row>
    <row r="128">
      <c r="A128" s="12" t="n"/>
      <c r="B128" s="12" t="n"/>
      <c r="C128" s="12" t="n"/>
      <c r="D128" s="12" t="n"/>
      <c r="E128" s="14" t="n"/>
      <c r="F128" s="14" t="n"/>
      <c r="G128" s="12" t="n"/>
      <c r="H128" s="12" t="n"/>
      <c r="I128" s="12" t="n"/>
      <c r="J128" s="12" t="n"/>
      <c r="K128" s="12" t="n"/>
      <c r="L128" s="14" t="n"/>
      <c r="M128" s="12" t="n"/>
      <c r="N128" s="12" t="n"/>
      <c r="O128" s="12" t="n"/>
    </row>
    <row r="129">
      <c r="E129" s="9" t="n"/>
      <c r="F129" s="9" t="n"/>
      <c r="L129" s="9" t="n"/>
    </row>
    <row r="130">
      <c r="A130" s="12" t="n"/>
      <c r="B130" s="12" t="n"/>
      <c r="C130" s="12" t="n"/>
      <c r="D130" s="12" t="n"/>
      <c r="E130" s="14" t="n"/>
      <c r="F130" s="14" t="n"/>
      <c r="G130" s="12" t="n"/>
      <c r="H130" s="12" t="n"/>
      <c r="I130" s="12" t="n"/>
      <c r="J130" s="12" t="n"/>
      <c r="K130" s="12" t="n"/>
      <c r="L130" s="14" t="n"/>
      <c r="M130" s="12" t="n"/>
      <c r="N130" s="12" t="n"/>
      <c r="O130" s="12" t="n"/>
    </row>
    <row r="131">
      <c r="E131" s="9" t="n"/>
      <c r="F131" s="9" t="n"/>
      <c r="L131" s="9" t="n"/>
    </row>
    <row r="132">
      <c r="A132" s="12" t="n"/>
      <c r="B132" s="12" t="n"/>
      <c r="C132" s="12" t="n"/>
      <c r="D132" s="12" t="n"/>
      <c r="E132" s="14" t="n"/>
      <c r="F132" s="14" t="n"/>
      <c r="G132" s="12" t="n"/>
      <c r="H132" s="12" t="n"/>
      <c r="I132" s="12" t="n"/>
      <c r="J132" s="12" t="n"/>
      <c r="K132" s="12" t="n"/>
      <c r="L132" s="14" t="n"/>
      <c r="M132" s="12" t="n"/>
      <c r="N132" s="12" t="n"/>
      <c r="O132" s="12" t="n"/>
    </row>
    <row r="133">
      <c r="E133" s="9" t="n"/>
      <c r="F133" s="9" t="n"/>
      <c r="L133" s="9" t="n"/>
    </row>
    <row r="134">
      <c r="A134" s="12" t="n"/>
      <c r="B134" s="12" t="n"/>
      <c r="C134" s="12" t="n"/>
      <c r="D134" s="12" t="n"/>
      <c r="E134" s="14" t="n"/>
      <c r="F134" s="14" t="n"/>
      <c r="G134" s="12" t="n"/>
      <c r="H134" s="12" t="n"/>
      <c r="I134" s="12" t="n"/>
      <c r="J134" s="12" t="n"/>
      <c r="K134" s="12" t="n"/>
      <c r="L134" s="14" t="n"/>
      <c r="M134" s="12" t="n"/>
      <c r="N134" s="12" t="n"/>
      <c r="O134" s="12" t="n"/>
    </row>
    <row r="135">
      <c r="E135" s="9" t="n"/>
      <c r="F135" s="9" t="n"/>
      <c r="L135" s="9" t="n"/>
    </row>
    <row r="136">
      <c r="A136" s="12" t="n"/>
      <c r="B136" s="12" t="n"/>
      <c r="C136" s="12" t="n"/>
      <c r="D136" s="12" t="n"/>
      <c r="E136" s="14" t="n"/>
      <c r="F136" s="14" t="n"/>
      <c r="G136" s="12" t="n"/>
      <c r="H136" s="12" t="n"/>
      <c r="I136" s="12" t="n"/>
      <c r="J136" s="12" t="n"/>
      <c r="K136" s="12" t="n"/>
      <c r="L136" s="14" t="n"/>
      <c r="M136" s="12" t="n"/>
      <c r="N136" s="12" t="n"/>
      <c r="O136" s="12" t="n"/>
    </row>
    <row r="137">
      <c r="E137" s="9" t="n"/>
      <c r="F137" s="9" t="n"/>
      <c r="L137" s="9" t="n"/>
    </row>
    <row r="138">
      <c r="A138" s="12" t="n"/>
      <c r="B138" s="12" t="n"/>
      <c r="C138" s="12" t="n"/>
      <c r="D138" s="12" t="n"/>
      <c r="E138" s="14" t="n"/>
      <c r="F138" s="14" t="n"/>
      <c r="G138" s="12" t="n"/>
      <c r="H138" s="12" t="n"/>
      <c r="I138" s="12" t="n"/>
      <c r="J138" s="12" t="n"/>
      <c r="K138" s="12" t="n"/>
      <c r="L138" s="14" t="n"/>
      <c r="M138" s="12" t="n"/>
      <c r="N138" s="12" t="n"/>
      <c r="O138" s="12" t="n"/>
    </row>
    <row r="139">
      <c r="E139" s="9" t="n"/>
      <c r="F139" s="9" t="n"/>
      <c r="L139" s="9" t="n"/>
    </row>
    <row r="140">
      <c r="A140" s="12" t="n"/>
      <c r="B140" s="12" t="n"/>
      <c r="C140" s="12" t="n"/>
      <c r="D140" s="12" t="n"/>
      <c r="E140" s="14" t="n"/>
      <c r="F140" s="14" t="n"/>
      <c r="G140" s="12" t="n"/>
      <c r="H140" s="12" t="n"/>
      <c r="I140" s="12" t="n"/>
      <c r="J140" s="12" t="n"/>
      <c r="K140" s="12" t="n"/>
      <c r="L140" s="14" t="n"/>
      <c r="M140" s="12" t="n"/>
      <c r="N140" s="12" t="n"/>
      <c r="O140" s="12" t="n"/>
    </row>
    <row r="141">
      <c r="E141" s="9" t="n"/>
      <c r="F141" s="9" t="n"/>
      <c r="L141" s="9" t="n"/>
    </row>
    <row r="142">
      <c r="A142" s="12" t="n"/>
      <c r="B142" s="12" t="n"/>
      <c r="C142" s="12" t="n"/>
      <c r="D142" s="12" t="n"/>
      <c r="E142" s="14" t="n"/>
      <c r="F142" s="14" t="n"/>
      <c r="G142" s="12" t="n"/>
      <c r="H142" s="12" t="n"/>
      <c r="I142" s="12" t="n"/>
      <c r="J142" s="12" t="n"/>
      <c r="K142" s="12" t="n"/>
      <c r="L142" s="14" t="n"/>
      <c r="M142" s="12" t="n"/>
      <c r="N142" s="12" t="n"/>
      <c r="O142" s="12" t="n"/>
    </row>
    <row r="143">
      <c r="E143" s="9" t="n"/>
      <c r="F143" s="9" t="n"/>
      <c r="L143" s="9" t="n"/>
    </row>
    <row r="144">
      <c r="A144" s="12" t="n"/>
      <c r="B144" s="12" t="n"/>
      <c r="C144" s="12" t="n"/>
      <c r="D144" s="12" t="n"/>
      <c r="E144" s="14" t="n"/>
      <c r="F144" s="14" t="n"/>
      <c r="G144" s="12" t="n"/>
      <c r="H144" s="12" t="n"/>
      <c r="I144" s="12" t="n"/>
      <c r="J144" s="12" t="n"/>
      <c r="K144" s="12" t="n"/>
      <c r="L144" s="14" t="n"/>
      <c r="M144" s="12" t="n"/>
      <c r="N144" s="12" t="n"/>
      <c r="O144" s="12" t="n"/>
    </row>
    <row r="145">
      <c r="E145" s="9" t="n"/>
      <c r="F145" s="9" t="n"/>
      <c r="L145" s="9" t="n"/>
    </row>
    <row r="146">
      <c r="A146" s="12" t="n"/>
      <c r="B146" s="12" t="n"/>
      <c r="C146" s="12" t="n"/>
      <c r="D146" s="12" t="n"/>
      <c r="E146" s="14" t="n"/>
      <c r="F146" s="14" t="n"/>
      <c r="G146" s="12" t="n"/>
      <c r="H146" s="12" t="n"/>
      <c r="I146" s="12" t="n"/>
      <c r="J146" s="12" t="n"/>
      <c r="K146" s="12" t="n"/>
      <c r="L146" s="14" t="n"/>
      <c r="M146" s="12" t="n"/>
      <c r="N146" s="12" t="n"/>
      <c r="O146" s="12" t="n"/>
    </row>
    <row r="147">
      <c r="E147" s="9" t="n"/>
      <c r="F147" s="9" t="n"/>
      <c r="L147" s="9" t="n"/>
    </row>
    <row r="148">
      <c r="A148" s="12" t="n"/>
      <c r="B148" s="12" t="n"/>
      <c r="C148" s="12" t="n"/>
      <c r="D148" s="12" t="n"/>
      <c r="E148" s="14" t="n"/>
      <c r="F148" s="14" t="n"/>
      <c r="G148" s="12" t="n"/>
      <c r="H148" s="12" t="n"/>
      <c r="I148" s="12" t="n"/>
      <c r="J148" s="12" t="n"/>
      <c r="K148" s="12" t="n"/>
      <c r="L148" s="14" t="n"/>
      <c r="M148" s="12" t="n"/>
      <c r="N148" s="12" t="n"/>
      <c r="O148" s="12" t="n"/>
    </row>
    <row r="149">
      <c r="E149" s="9" t="n"/>
      <c r="F149" s="9" t="n"/>
      <c r="L149" s="9" t="n"/>
    </row>
    <row r="150">
      <c r="A150" s="12" t="n"/>
      <c r="B150" s="12" t="n"/>
      <c r="C150" s="12" t="n"/>
      <c r="D150" s="12" t="n"/>
      <c r="E150" s="14" t="n"/>
      <c r="F150" s="14" t="n"/>
      <c r="G150" s="12" t="n"/>
      <c r="H150" s="12" t="n"/>
      <c r="I150" s="12" t="n"/>
      <c r="J150" s="12" t="n"/>
      <c r="K150" s="12" t="n"/>
      <c r="L150" s="14" t="n"/>
      <c r="M150" s="12" t="n"/>
      <c r="N150" s="12" t="n"/>
      <c r="O150" s="12" t="n"/>
    </row>
    <row r="151">
      <c r="E151" s="9" t="n"/>
      <c r="F151" s="9" t="n"/>
      <c r="L151" s="9" t="n"/>
    </row>
    <row r="152">
      <c r="A152" s="12" t="n"/>
      <c r="B152" s="12" t="n"/>
      <c r="C152" s="12" t="n"/>
      <c r="D152" s="12" t="n"/>
      <c r="E152" s="14" t="n"/>
      <c r="F152" s="14" t="n"/>
      <c r="G152" s="12" t="n"/>
      <c r="H152" s="12" t="n"/>
      <c r="I152" s="12" t="n"/>
      <c r="J152" s="12" t="n"/>
      <c r="K152" s="12" t="n"/>
      <c r="L152" s="14" t="n"/>
      <c r="M152" s="12" t="n"/>
      <c r="N152" s="12" t="n"/>
      <c r="O152" s="12" t="n"/>
    </row>
    <row r="153">
      <c r="E153" s="9" t="n"/>
      <c r="F153" s="9" t="n"/>
      <c r="L153" s="9" t="n"/>
    </row>
    <row r="154">
      <c r="A154" s="12" t="n"/>
      <c r="B154" s="12" t="n"/>
      <c r="C154" s="12" t="n"/>
      <c r="D154" s="12" t="n"/>
      <c r="E154" s="14" t="n"/>
      <c r="F154" s="14" t="n"/>
      <c r="G154" s="12" t="n"/>
      <c r="H154" s="12" t="n"/>
      <c r="I154" s="12" t="n"/>
      <c r="J154" s="12" t="n"/>
      <c r="K154" s="12" t="n"/>
      <c r="L154" s="14" t="n"/>
      <c r="M154" s="12" t="n"/>
      <c r="N154" s="12" t="n"/>
      <c r="O154" s="12" t="n"/>
    </row>
    <row r="155">
      <c r="E155" s="9" t="n"/>
      <c r="F155" s="9" t="n"/>
      <c r="L155" s="9" t="n"/>
    </row>
    <row r="156">
      <c r="A156" s="12" t="n"/>
      <c r="B156" s="12" t="n"/>
      <c r="C156" s="12" t="n"/>
      <c r="D156" s="12" t="n"/>
      <c r="E156" s="14" t="n"/>
      <c r="F156" s="14" t="n"/>
      <c r="G156" s="12" t="n"/>
      <c r="H156" s="12" t="n"/>
      <c r="I156" s="12" t="n"/>
      <c r="J156" s="12" t="n"/>
      <c r="K156" s="12" t="n"/>
      <c r="L156" s="14" t="n"/>
      <c r="M156" s="12" t="n"/>
      <c r="N156" s="12" t="n"/>
      <c r="O156" s="12" t="n"/>
    </row>
    <row r="157">
      <c r="E157" s="9" t="n"/>
      <c r="F157" s="9" t="n"/>
      <c r="L157" s="9" t="n"/>
    </row>
    <row r="158">
      <c r="A158" s="12" t="n"/>
      <c r="B158" s="12" t="n"/>
      <c r="C158" s="12" t="n"/>
      <c r="D158" s="12" t="n"/>
      <c r="E158" s="14" t="n"/>
      <c r="F158" s="14" t="n"/>
      <c r="G158" s="12" t="n"/>
      <c r="H158" s="12" t="n"/>
      <c r="I158" s="12" t="n"/>
      <c r="J158" s="12" t="n"/>
      <c r="K158" s="12" t="n"/>
      <c r="L158" s="14" t="n"/>
      <c r="M158" s="12" t="n"/>
      <c r="N158" s="12" t="n"/>
      <c r="O158" s="12" t="n"/>
    </row>
    <row r="159">
      <c r="E159" s="9" t="n"/>
      <c r="F159" s="9" t="n"/>
      <c r="L159" s="9" t="n"/>
    </row>
    <row r="160">
      <c r="A160" s="12" t="n"/>
      <c r="B160" s="12" t="n"/>
      <c r="C160" s="12" t="n"/>
      <c r="D160" s="12" t="n"/>
      <c r="E160" s="14" t="n"/>
      <c r="F160" s="14" t="n"/>
      <c r="G160" s="12" t="n"/>
      <c r="H160" s="12" t="n"/>
      <c r="I160" s="12" t="n"/>
      <c r="J160" s="12" t="n"/>
      <c r="K160" s="12" t="n"/>
      <c r="L160" s="14" t="n"/>
      <c r="M160" s="12" t="n"/>
      <c r="N160" s="12" t="n"/>
      <c r="O160" s="12" t="n"/>
    </row>
    <row r="161">
      <c r="E161" s="9" t="n"/>
      <c r="F161" s="9" t="n"/>
      <c r="L161" s="9" t="n"/>
    </row>
    <row r="162">
      <c r="A162" s="12" t="n"/>
      <c r="B162" s="12" t="n"/>
      <c r="C162" s="12" t="n"/>
      <c r="D162" s="12" t="n"/>
      <c r="E162" s="14" t="n"/>
      <c r="F162" s="14" t="n"/>
      <c r="G162" s="12" t="n"/>
      <c r="H162" s="12" t="n"/>
      <c r="I162" s="12" t="n"/>
      <c r="J162" s="12" t="n"/>
      <c r="K162" s="12" t="n"/>
      <c r="L162" s="14" t="n"/>
      <c r="M162" s="12" t="n"/>
      <c r="N162" s="12" t="n"/>
      <c r="O162" s="12" t="n"/>
    </row>
    <row r="163">
      <c r="E163" s="9" t="n"/>
      <c r="F163" s="9" t="n"/>
      <c r="L163" s="9" t="n"/>
    </row>
    <row r="164">
      <c r="A164" s="12" t="n"/>
      <c r="B164" s="12" t="n"/>
      <c r="C164" s="12" t="n"/>
      <c r="D164" s="12" t="n"/>
      <c r="E164" s="14" t="n"/>
      <c r="F164" s="14" t="n"/>
      <c r="G164" s="12" t="n"/>
      <c r="H164" s="12" t="n"/>
      <c r="I164" s="12" t="n"/>
      <c r="J164" s="12" t="n"/>
      <c r="K164" s="12" t="n"/>
      <c r="L164" s="14" t="n"/>
      <c r="M164" s="12" t="n"/>
      <c r="N164" s="12" t="n"/>
      <c r="O164" s="12" t="n"/>
    </row>
    <row r="165">
      <c r="E165" s="9" t="n"/>
      <c r="F165" s="9" t="n"/>
      <c r="L165" s="9" t="n"/>
    </row>
    <row r="166">
      <c r="A166" s="12" t="n"/>
      <c r="B166" s="12" t="n"/>
      <c r="C166" s="12" t="n"/>
      <c r="D166" s="12" t="n"/>
      <c r="E166" s="14" t="n"/>
      <c r="F166" s="14" t="n"/>
      <c r="G166" s="12" t="n"/>
      <c r="H166" s="12" t="n"/>
      <c r="I166" s="12" t="n"/>
      <c r="J166" s="12" t="n"/>
      <c r="K166" s="12" t="n"/>
      <c r="L166" s="14" t="n"/>
      <c r="M166" s="12" t="n"/>
      <c r="N166" s="12" t="n"/>
      <c r="O166" s="12" t="n"/>
    </row>
    <row r="167">
      <c r="E167" s="9" t="n"/>
      <c r="F167" s="9" t="n"/>
      <c r="L167" s="9" t="n"/>
    </row>
    <row r="168">
      <c r="A168" s="12" t="n"/>
      <c r="B168" s="12" t="n"/>
      <c r="C168" s="12" t="n"/>
      <c r="D168" s="12" t="n"/>
      <c r="E168" s="14" t="n"/>
      <c r="F168" s="14" t="n"/>
      <c r="G168" s="12" t="n"/>
      <c r="H168" s="12" t="n"/>
      <c r="I168" s="12" t="n"/>
      <c r="J168" s="12" t="n"/>
      <c r="K168" s="12" t="n"/>
      <c r="L168" s="14" t="n"/>
      <c r="M168" s="12" t="n"/>
      <c r="N168" s="12" t="n"/>
      <c r="O168" s="12" t="n"/>
    </row>
    <row r="169">
      <c r="E169" s="9" t="n"/>
      <c r="F169" s="9" t="n"/>
      <c r="L169" s="9" t="n"/>
    </row>
    <row r="170">
      <c r="A170" s="12" t="n"/>
      <c r="B170" s="12" t="n"/>
      <c r="C170" s="12" t="n"/>
      <c r="D170" s="12" t="n"/>
      <c r="E170" s="14" t="n"/>
      <c r="F170" s="14" t="n"/>
      <c r="G170" s="12" t="n"/>
      <c r="H170" s="12" t="n"/>
      <c r="I170" s="12" t="n"/>
      <c r="J170" s="12" t="n"/>
      <c r="K170" s="12" t="n"/>
      <c r="L170" s="14" t="n"/>
      <c r="M170" s="12" t="n"/>
      <c r="N170" s="12" t="n"/>
      <c r="O170" s="12" t="n"/>
    </row>
    <row r="171">
      <c r="E171" s="9" t="n"/>
      <c r="F171" s="9" t="n"/>
      <c r="L171" s="9" t="n"/>
    </row>
    <row r="172">
      <c r="A172" s="12" t="n"/>
      <c r="B172" s="12" t="n"/>
      <c r="C172" s="12" t="n"/>
      <c r="D172" s="12" t="n"/>
      <c r="E172" s="14" t="n"/>
      <c r="F172" s="14" t="n"/>
      <c r="G172" s="12" t="n"/>
      <c r="H172" s="12" t="n"/>
      <c r="I172" s="12" t="n"/>
      <c r="J172" s="12" t="n"/>
      <c r="K172" s="12" t="n"/>
      <c r="L172" s="14" t="n"/>
      <c r="M172" s="12" t="n"/>
      <c r="N172" s="12" t="n"/>
      <c r="O172" s="12" t="n"/>
    </row>
    <row r="173">
      <c r="E173" s="9" t="n"/>
      <c r="F173" s="9" t="n"/>
      <c r="L173" s="9" t="n"/>
    </row>
    <row r="174">
      <c r="A174" s="12" t="n"/>
      <c r="B174" s="12" t="n"/>
      <c r="C174" s="12" t="n"/>
      <c r="D174" s="12" t="n"/>
      <c r="E174" s="14" t="n"/>
      <c r="F174" s="14" t="n"/>
      <c r="G174" s="12" t="n"/>
      <c r="H174" s="12" t="n"/>
      <c r="I174" s="12" t="n"/>
      <c r="J174" s="12" t="n"/>
      <c r="K174" s="12" t="n"/>
      <c r="L174" s="14" t="n"/>
      <c r="M174" s="12" t="n"/>
      <c r="N174" s="12" t="n"/>
      <c r="O174" s="12" t="n"/>
    </row>
    <row r="175">
      <c r="E175" s="9" t="n"/>
      <c r="F175" s="9" t="n"/>
      <c r="L175" s="9" t="n"/>
    </row>
    <row r="176">
      <c r="A176" s="12" t="n"/>
      <c r="B176" s="12" t="n"/>
      <c r="C176" s="12" t="n"/>
      <c r="D176" s="12" t="n"/>
      <c r="E176" s="14" t="n"/>
      <c r="F176" s="14" t="n"/>
      <c r="G176" s="12" t="n"/>
      <c r="H176" s="12" t="n"/>
      <c r="I176" s="12" t="n"/>
      <c r="J176" s="12" t="n"/>
      <c r="K176" s="12" t="n"/>
      <c r="L176" s="14" t="n"/>
      <c r="M176" s="12" t="n"/>
      <c r="N176" s="12" t="n"/>
      <c r="O176" s="12" t="n"/>
    </row>
    <row r="177">
      <c r="E177" s="9" t="n"/>
      <c r="F177" s="9" t="n"/>
      <c r="L177" s="9" t="n"/>
    </row>
    <row r="178">
      <c r="A178" s="12" t="n"/>
      <c r="B178" s="12" t="n"/>
      <c r="C178" s="12" t="n"/>
      <c r="D178" s="12" t="n"/>
      <c r="E178" s="14" t="n"/>
      <c r="F178" s="14" t="n"/>
      <c r="G178" s="12" t="n"/>
      <c r="H178" s="12" t="n"/>
      <c r="I178" s="12" t="n"/>
      <c r="J178" s="12" t="n"/>
      <c r="K178" s="12" t="n"/>
      <c r="L178" s="14" t="n"/>
      <c r="M178" s="12" t="n"/>
      <c r="N178" s="12" t="n"/>
      <c r="O178" s="12" t="n"/>
    </row>
    <row r="179">
      <c r="E179" s="9" t="n"/>
      <c r="F179" s="9" t="n"/>
      <c r="L179" s="9" t="n"/>
    </row>
    <row r="180">
      <c r="A180" s="12" t="n"/>
      <c r="B180" s="12" t="n"/>
      <c r="C180" s="12" t="n"/>
      <c r="D180" s="12" t="n"/>
      <c r="E180" s="14" t="n"/>
      <c r="F180" s="14" t="n"/>
      <c r="G180" s="12" t="n"/>
      <c r="H180" s="12" t="n"/>
      <c r="I180" s="12" t="n"/>
      <c r="J180" s="12" t="n"/>
      <c r="K180" s="12" t="n"/>
      <c r="L180" s="14" t="n"/>
      <c r="M180" s="12" t="n"/>
      <c r="N180" s="12" t="n"/>
      <c r="O180" s="12" t="n"/>
    </row>
    <row r="181">
      <c r="E181" s="9" t="n"/>
      <c r="F181" s="9" t="n"/>
      <c r="L181" s="9" t="n"/>
    </row>
    <row r="182">
      <c r="A182" s="12" t="n"/>
      <c r="B182" s="12" t="n"/>
      <c r="C182" s="12" t="n"/>
      <c r="D182" s="12" t="n"/>
      <c r="E182" s="14" t="n"/>
      <c r="F182" s="14" t="n"/>
      <c r="G182" s="12" t="n"/>
      <c r="H182" s="12" t="n"/>
      <c r="I182" s="12" t="n"/>
      <c r="J182" s="12" t="n"/>
      <c r="K182" s="12" t="n"/>
      <c r="L182" s="14" t="n"/>
      <c r="M182" s="12" t="n"/>
      <c r="N182" s="12" t="n"/>
      <c r="O182" s="12" t="n"/>
    </row>
    <row r="183">
      <c r="E183" s="9" t="n"/>
      <c r="F183" s="9" t="n"/>
      <c r="L183" s="9" t="n"/>
    </row>
    <row r="184">
      <c r="A184" s="12" t="n"/>
      <c r="B184" s="12" t="n"/>
      <c r="C184" s="12" t="n"/>
      <c r="D184" s="12" t="n"/>
      <c r="E184" s="14" t="n"/>
      <c r="F184" s="14" t="n"/>
      <c r="G184" s="12" t="n"/>
      <c r="H184" s="12" t="n"/>
      <c r="I184" s="12" t="n"/>
      <c r="J184" s="12" t="n"/>
      <c r="K184" s="12" t="n"/>
      <c r="L184" s="14" t="n"/>
      <c r="M184" s="12" t="n"/>
      <c r="N184" s="12" t="n"/>
      <c r="O184" s="12" t="n"/>
    </row>
    <row r="185">
      <c r="E185" s="9" t="n"/>
      <c r="F185" s="9" t="n"/>
      <c r="L185" s="9" t="n"/>
    </row>
    <row r="186">
      <c r="A186" s="12" t="n"/>
      <c r="B186" s="12" t="n"/>
      <c r="C186" s="12" t="n"/>
      <c r="D186" s="12" t="n"/>
      <c r="E186" s="14" t="n"/>
      <c r="F186" s="14" t="n"/>
      <c r="G186" s="12" t="n"/>
      <c r="H186" s="12" t="n"/>
      <c r="I186" s="12" t="n"/>
      <c r="J186" s="12" t="n"/>
      <c r="K186" s="12" t="n"/>
      <c r="L186" s="14" t="n"/>
      <c r="M186" s="12" t="n"/>
      <c r="N186" s="12" t="n"/>
      <c r="O186" s="12" t="n"/>
    </row>
    <row r="187">
      <c r="E187" s="9" t="n"/>
      <c r="F187" s="9" t="n"/>
      <c r="L187" s="9" t="n"/>
    </row>
    <row r="188">
      <c r="A188" s="12" t="n"/>
      <c r="B188" s="12" t="n"/>
      <c r="C188" s="12" t="n"/>
      <c r="D188" s="12" t="n"/>
      <c r="E188" s="14" t="n"/>
      <c r="F188" s="14" t="n"/>
      <c r="G188" s="12" t="n"/>
      <c r="H188" s="12" t="n"/>
      <c r="I188" s="12" t="n"/>
      <c r="J188" s="12" t="n"/>
      <c r="K188" s="12" t="n"/>
      <c r="L188" s="14" t="n"/>
      <c r="M188" s="12" t="n"/>
      <c r="N188" s="12" t="n"/>
      <c r="O188" s="12" t="n"/>
    </row>
    <row r="189">
      <c r="E189" s="9" t="n"/>
      <c r="F189" s="9" t="n"/>
      <c r="L189" s="9" t="n"/>
    </row>
    <row r="190">
      <c r="A190" s="12" t="n"/>
      <c r="B190" s="12" t="n"/>
      <c r="C190" s="12" t="n"/>
      <c r="D190" s="12" t="n"/>
      <c r="E190" s="14" t="n"/>
      <c r="F190" s="14" t="n"/>
      <c r="G190" s="12" t="n"/>
      <c r="H190" s="12" t="n"/>
      <c r="I190" s="12" t="n"/>
      <c r="J190" s="12" t="n"/>
      <c r="K190" s="12" t="n"/>
      <c r="L190" s="14" t="n"/>
      <c r="M190" s="12" t="n"/>
      <c r="N190" s="12" t="n"/>
      <c r="O190" s="12" t="n"/>
    </row>
    <row r="191">
      <c r="E191" s="9" t="n"/>
      <c r="F191" s="9" t="n"/>
      <c r="L191" s="9" t="n"/>
    </row>
    <row r="192">
      <c r="A192" s="12" t="n"/>
      <c r="B192" s="12" t="n"/>
      <c r="C192" s="12" t="n"/>
      <c r="D192" s="12" t="n"/>
      <c r="E192" s="14" t="n"/>
      <c r="F192" s="14" t="n"/>
      <c r="G192" s="12" t="n"/>
      <c r="H192" s="12" t="n"/>
      <c r="I192" s="12" t="n"/>
      <c r="J192" s="12" t="n"/>
      <c r="K192" s="12" t="n"/>
      <c r="L192" s="14" t="n"/>
      <c r="M192" s="12" t="n"/>
      <c r="N192" s="12" t="n"/>
      <c r="O192" s="12" t="n"/>
    </row>
    <row r="193">
      <c r="E193" s="9" t="n"/>
      <c r="F193" s="9" t="n"/>
      <c r="L193" s="9" t="n"/>
    </row>
    <row r="194">
      <c r="A194" s="12" t="n"/>
      <c r="B194" s="12" t="n"/>
      <c r="C194" s="12" t="n"/>
      <c r="D194" s="12" t="n"/>
      <c r="E194" s="14" t="n"/>
      <c r="F194" s="14" t="n"/>
      <c r="G194" s="12" t="n"/>
      <c r="H194" s="12" t="n"/>
      <c r="I194" s="12" t="n"/>
      <c r="J194" s="12" t="n"/>
      <c r="K194" s="12" t="n"/>
      <c r="L194" s="14" t="n"/>
      <c r="M194" s="12" t="n"/>
      <c r="N194" s="12" t="n"/>
      <c r="O194" s="12" t="n"/>
    </row>
    <row r="195">
      <c r="E195" s="9" t="n"/>
      <c r="F195" s="9" t="n"/>
      <c r="L195" s="9" t="n"/>
    </row>
    <row r="196">
      <c r="A196" s="12" t="n"/>
      <c r="B196" s="12" t="n"/>
      <c r="C196" s="12" t="n"/>
      <c r="D196" s="12" t="n"/>
      <c r="E196" s="14" t="n"/>
      <c r="F196" s="14" t="n"/>
      <c r="G196" s="12" t="n"/>
      <c r="H196" s="12" t="n"/>
      <c r="I196" s="12" t="n"/>
      <c r="J196" s="12" t="n"/>
      <c r="K196" s="12" t="n"/>
      <c r="L196" s="14" t="n"/>
      <c r="M196" s="12" t="n"/>
      <c r="N196" s="12" t="n"/>
      <c r="O196" s="12" t="n"/>
    </row>
    <row r="197">
      <c r="E197" s="9" t="n"/>
      <c r="F197" s="9" t="n"/>
      <c r="L197" s="9" t="n"/>
    </row>
    <row r="198">
      <c r="A198" s="12" t="n"/>
      <c r="B198" s="12" t="n"/>
      <c r="C198" s="12" t="n"/>
      <c r="D198" s="12" t="n"/>
      <c r="E198" s="14" t="n"/>
      <c r="F198" s="14" t="n"/>
      <c r="G198" s="12" t="n"/>
      <c r="H198" s="12" t="n"/>
      <c r="I198" s="12" t="n"/>
      <c r="J198" s="12" t="n"/>
      <c r="K198" s="12" t="n"/>
      <c r="L198" s="14" t="n"/>
      <c r="M198" s="12" t="n"/>
      <c r="N198" s="12" t="n"/>
      <c r="O198" s="12" t="n"/>
    </row>
    <row r="199">
      <c r="E199" s="9" t="n"/>
      <c r="F199" s="9" t="n"/>
      <c r="L199" s="9" t="n"/>
    </row>
    <row r="200">
      <c r="A200" s="12" t="n"/>
      <c r="B200" s="12" t="n"/>
      <c r="C200" s="12" t="n"/>
      <c r="D200" s="12" t="n"/>
      <c r="E200" s="14" t="n"/>
      <c r="F200" s="14" t="n"/>
      <c r="G200" s="12" t="n"/>
      <c r="H200" s="12" t="n"/>
      <c r="I200" s="12" t="n"/>
      <c r="J200" s="12" t="n"/>
      <c r="K200" s="12" t="n"/>
      <c r="L200" s="14" t="n"/>
      <c r="M200" s="12" t="n"/>
      <c r="N200" s="12" t="n"/>
      <c r="O200" s="12" t="n"/>
    </row>
    <row r="201">
      <c r="E201" s="9" t="n"/>
      <c r="F201" s="9" t="n"/>
      <c r="L201" s="9" t="n"/>
    </row>
    <row r="202">
      <c r="A202" s="12" t="n"/>
      <c r="B202" s="12" t="n"/>
      <c r="C202" s="12" t="n"/>
      <c r="D202" s="12" t="n"/>
      <c r="E202" s="14" t="n"/>
      <c r="F202" s="14" t="n"/>
      <c r="G202" s="12" t="n"/>
      <c r="H202" s="12" t="n"/>
      <c r="I202" s="12" t="n"/>
      <c r="J202" s="12" t="n"/>
      <c r="K202" s="12" t="n"/>
      <c r="L202" s="14" t="n"/>
      <c r="M202" s="12" t="n"/>
      <c r="N202" s="12" t="n"/>
      <c r="O202" s="12" t="n"/>
    </row>
    <row r="203">
      <c r="E203" s="9" t="n"/>
      <c r="F203" s="9" t="n"/>
      <c r="L203" s="9" t="n"/>
    </row>
    <row r="204">
      <c r="A204" s="12" t="n"/>
      <c r="B204" s="12" t="n"/>
      <c r="C204" s="12" t="n"/>
      <c r="D204" s="12" t="n"/>
      <c r="E204" s="14" t="n"/>
      <c r="F204" s="14" t="n"/>
      <c r="G204" s="12" t="n"/>
      <c r="H204" s="12" t="n"/>
      <c r="I204" s="12" t="n"/>
      <c r="J204" s="12" t="n"/>
      <c r="K204" s="12" t="n"/>
      <c r="L204" s="14" t="n"/>
      <c r="M204" s="12" t="n"/>
      <c r="N204" s="12" t="n"/>
      <c r="O204" s="12" t="n"/>
    </row>
    <row r="205">
      <c r="E205" s="9" t="n"/>
      <c r="F205" s="9" t="n"/>
      <c r="L205" s="9" t="n"/>
    </row>
    <row r="206">
      <c r="A206" s="12" t="n"/>
      <c r="B206" s="12" t="n"/>
      <c r="C206" s="12" t="n"/>
      <c r="D206" s="12" t="n"/>
      <c r="E206" s="14" t="n"/>
      <c r="F206" s="14" t="n"/>
      <c r="G206" s="12" t="n"/>
      <c r="H206" s="12" t="n"/>
      <c r="I206" s="12" t="n"/>
      <c r="J206" s="12" t="n"/>
      <c r="K206" s="12" t="n"/>
      <c r="L206" s="14" t="n"/>
      <c r="M206" s="12" t="n"/>
      <c r="N206" s="12" t="n"/>
      <c r="O206" s="12" t="n"/>
    </row>
    <row r="207">
      <c r="E207" s="9" t="n"/>
      <c r="F207" s="9" t="n"/>
      <c r="L207" s="9" t="n"/>
    </row>
    <row r="208">
      <c r="A208" s="12" t="n"/>
      <c r="B208" s="12" t="n"/>
      <c r="C208" s="12" t="n"/>
      <c r="D208" s="12" t="n"/>
      <c r="E208" s="14" t="n"/>
      <c r="F208" s="14" t="n"/>
      <c r="G208" s="12" t="n"/>
      <c r="H208" s="12" t="n"/>
      <c r="I208" s="12" t="n"/>
      <c r="J208" s="12" t="n"/>
      <c r="K208" s="12" t="n"/>
      <c r="L208" s="14" t="n"/>
      <c r="M208" s="12" t="n"/>
      <c r="N208" s="12" t="n"/>
      <c r="O208" s="12" t="n"/>
    </row>
    <row r="209">
      <c r="E209" s="9" t="n"/>
      <c r="F209" s="9" t="n"/>
      <c r="L209" s="9" t="n"/>
    </row>
    <row r="210">
      <c r="A210" s="12" t="n"/>
      <c r="B210" s="12" t="n"/>
      <c r="C210" s="12" t="n"/>
      <c r="D210" s="12" t="n"/>
      <c r="E210" s="14" t="n"/>
      <c r="F210" s="14" t="n"/>
      <c r="G210" s="12" t="n"/>
      <c r="H210" s="12" t="n"/>
      <c r="I210" s="12" t="n"/>
      <c r="J210" s="12" t="n"/>
      <c r="K210" s="12" t="n"/>
      <c r="L210" s="14" t="n"/>
      <c r="M210" s="12" t="n"/>
      <c r="N210" s="12" t="n"/>
      <c r="O210" s="12" t="n"/>
    </row>
    <row r="211">
      <c r="E211" s="9" t="n"/>
      <c r="F211" s="9" t="n"/>
      <c r="L211" s="9" t="n"/>
    </row>
    <row r="212">
      <c r="A212" s="12" t="n"/>
      <c r="B212" s="12" t="n"/>
      <c r="C212" s="12" t="n"/>
      <c r="D212" s="12" t="n"/>
      <c r="E212" s="14" t="n"/>
      <c r="F212" s="14" t="n"/>
      <c r="G212" s="12" t="n"/>
      <c r="H212" s="12" t="n"/>
      <c r="I212" s="12" t="n"/>
      <c r="J212" s="12" t="n"/>
      <c r="K212" s="12" t="n"/>
      <c r="L212" s="14" t="n"/>
      <c r="M212" s="12" t="n"/>
      <c r="N212" s="12" t="n"/>
      <c r="O212" s="12" t="n"/>
    </row>
    <row r="213">
      <c r="E213" s="9" t="n"/>
      <c r="F213" s="9" t="n"/>
      <c r="L213" s="9" t="n"/>
    </row>
    <row r="214">
      <c r="A214" s="12" t="n"/>
      <c r="B214" s="12" t="n"/>
      <c r="C214" s="12" t="n"/>
      <c r="D214" s="12" t="n"/>
      <c r="E214" s="14" t="n"/>
      <c r="F214" s="14" t="n"/>
      <c r="G214" s="12" t="n"/>
      <c r="H214" s="12" t="n"/>
      <c r="I214" s="12" t="n"/>
      <c r="J214" s="12" t="n"/>
      <c r="K214" s="12" t="n"/>
      <c r="L214" s="14" t="n"/>
      <c r="M214" s="12" t="n"/>
      <c r="N214" s="12" t="n"/>
      <c r="O214" s="12" t="n"/>
    </row>
    <row r="215">
      <c r="E215" s="9" t="n"/>
      <c r="F215" s="9" t="n"/>
      <c r="L215" s="9" t="n"/>
    </row>
    <row r="216">
      <c r="A216" s="12" t="n"/>
      <c r="B216" s="12" t="n"/>
      <c r="C216" s="12" t="n"/>
      <c r="D216" s="12" t="n"/>
      <c r="E216" s="14" t="n"/>
      <c r="F216" s="14" t="n"/>
      <c r="G216" s="12" t="n"/>
      <c r="H216" s="12" t="n"/>
      <c r="I216" s="12" t="n"/>
      <c r="J216" s="12" t="n"/>
      <c r="K216" s="12" t="n"/>
      <c r="L216" s="14" t="n"/>
      <c r="M216" s="12" t="n"/>
      <c r="N216" s="12" t="n"/>
      <c r="O216" s="12" t="n"/>
    </row>
    <row r="217">
      <c r="E217" s="9" t="n"/>
      <c r="F217" s="9" t="n"/>
      <c r="L217" s="9" t="n"/>
    </row>
    <row r="218">
      <c r="A218" s="12" t="n"/>
      <c r="B218" s="12" t="n"/>
      <c r="C218" s="12" t="n"/>
      <c r="D218" s="12" t="n"/>
      <c r="E218" s="14" t="n"/>
      <c r="F218" s="14" t="n"/>
      <c r="G218" s="12" t="n"/>
      <c r="H218" s="12" t="n"/>
      <c r="I218" s="12" t="n"/>
      <c r="J218" s="12" t="n"/>
      <c r="K218" s="12" t="n"/>
      <c r="L218" s="14" t="n"/>
      <c r="M218" s="12" t="n"/>
      <c r="N218" s="12" t="n"/>
      <c r="O218" s="12" t="n"/>
    </row>
    <row r="219">
      <c r="E219" s="9" t="n"/>
      <c r="F219" s="9" t="n"/>
      <c r="L219" s="9" t="n"/>
    </row>
    <row r="220">
      <c r="A220" s="12" t="n"/>
      <c r="B220" s="12" t="n"/>
      <c r="C220" s="12" t="n"/>
      <c r="D220" s="12" t="n"/>
      <c r="E220" s="14" t="n"/>
      <c r="F220" s="14" t="n"/>
      <c r="G220" s="12" t="n"/>
      <c r="H220" s="12" t="n"/>
      <c r="I220" s="12" t="n"/>
      <c r="J220" s="12" t="n"/>
      <c r="K220" s="12" t="n"/>
      <c r="L220" s="14" t="n"/>
      <c r="M220" s="12" t="n"/>
      <c r="N220" s="12" t="n"/>
      <c r="O220" s="12" t="n"/>
    </row>
    <row r="221">
      <c r="E221" s="9" t="n"/>
      <c r="F221" s="9" t="n"/>
      <c r="L221" s="9" t="n"/>
    </row>
    <row r="222">
      <c r="A222" s="12" t="n"/>
      <c r="B222" s="12" t="n"/>
      <c r="C222" s="12" t="n"/>
      <c r="D222" s="12" t="n"/>
      <c r="E222" s="14" t="n"/>
      <c r="F222" s="14" t="n"/>
      <c r="G222" s="12" t="n"/>
      <c r="H222" s="12" t="n"/>
      <c r="I222" s="12" t="n"/>
      <c r="J222" s="12" t="n"/>
      <c r="K222" s="12" t="n"/>
      <c r="L222" s="14" t="n"/>
      <c r="M222" s="12" t="n"/>
      <c r="N222" s="12" t="n"/>
      <c r="O222" s="12" t="n"/>
    </row>
    <row r="223">
      <c r="E223" s="9" t="n"/>
      <c r="F223" s="9" t="n"/>
      <c r="L223" s="9" t="n"/>
    </row>
    <row r="224">
      <c r="A224" s="12" t="n"/>
      <c r="B224" s="12" t="n"/>
      <c r="C224" s="12" t="n"/>
      <c r="D224" s="12" t="n"/>
      <c r="E224" s="14" t="n"/>
      <c r="F224" s="14" t="n"/>
      <c r="G224" s="12" t="n"/>
      <c r="H224" s="12" t="n"/>
      <c r="I224" s="12" t="n"/>
      <c r="J224" s="12" t="n"/>
      <c r="K224" s="12" t="n"/>
      <c r="L224" s="14" t="n"/>
      <c r="M224" s="12" t="n"/>
      <c r="N224" s="12" t="n"/>
      <c r="O224" s="12" t="n"/>
    </row>
    <row r="225">
      <c r="E225" s="9" t="n"/>
      <c r="F225" s="9" t="n"/>
      <c r="L225" s="9" t="n"/>
    </row>
    <row r="226">
      <c r="A226" s="12" t="n"/>
      <c r="B226" s="12" t="n"/>
      <c r="C226" s="12" t="n"/>
      <c r="D226" s="12" t="n"/>
      <c r="E226" s="14" t="n"/>
      <c r="F226" s="14" t="n"/>
      <c r="G226" s="12" t="n"/>
      <c r="H226" s="12" t="n"/>
      <c r="I226" s="12" t="n"/>
      <c r="J226" s="12" t="n"/>
      <c r="K226" s="12" t="n"/>
      <c r="L226" s="14" t="n"/>
      <c r="M226" s="12" t="n"/>
      <c r="N226" s="12" t="n"/>
      <c r="O226" s="12" t="n"/>
    </row>
    <row r="227">
      <c r="E227" s="9" t="n"/>
      <c r="F227" s="9" t="n"/>
      <c r="L227" s="9" t="n"/>
    </row>
    <row r="228">
      <c r="A228" s="12" t="n"/>
      <c r="B228" s="12" t="n"/>
      <c r="C228" s="12" t="n"/>
      <c r="D228" s="12" t="n"/>
      <c r="E228" s="14" t="n"/>
      <c r="F228" s="14" t="n"/>
      <c r="G228" s="12" t="n"/>
      <c r="H228" s="12" t="n"/>
      <c r="I228" s="12" t="n"/>
      <c r="J228" s="12" t="n"/>
      <c r="K228" s="12" t="n"/>
      <c r="L228" s="14" t="n"/>
      <c r="M228" s="12" t="n"/>
      <c r="N228" s="12" t="n"/>
      <c r="O228" s="12" t="n"/>
    </row>
    <row r="229">
      <c r="E229" s="9" t="n"/>
      <c r="F229" s="9" t="n"/>
      <c r="L229" s="9" t="n"/>
    </row>
    <row r="230">
      <c r="A230" s="12" t="n"/>
      <c r="B230" s="12" t="n"/>
      <c r="C230" s="12" t="n"/>
      <c r="D230" s="12" t="n"/>
      <c r="E230" s="14" t="n"/>
      <c r="F230" s="14" t="n"/>
      <c r="G230" s="12" t="n"/>
      <c r="H230" s="12" t="n"/>
      <c r="I230" s="12" t="n"/>
      <c r="J230" s="12" t="n"/>
      <c r="K230" s="12" t="n"/>
      <c r="L230" s="14" t="n"/>
      <c r="M230" s="12" t="n"/>
      <c r="N230" s="12" t="n"/>
      <c r="O230" s="12" t="n"/>
    </row>
    <row r="231">
      <c r="E231" s="9" t="n"/>
      <c r="F231" s="9" t="n"/>
      <c r="L231" s="9" t="n"/>
    </row>
    <row r="232">
      <c r="A232" s="12" t="n"/>
      <c r="B232" s="12" t="n"/>
      <c r="C232" s="12" t="n"/>
      <c r="D232" s="12" t="n"/>
      <c r="E232" s="14" t="n"/>
      <c r="F232" s="14" t="n"/>
      <c r="G232" s="12" t="n"/>
      <c r="H232" s="12" t="n"/>
      <c r="I232" s="12" t="n"/>
      <c r="J232" s="12" t="n"/>
      <c r="K232" s="12" t="n"/>
      <c r="L232" s="14" t="n"/>
      <c r="M232" s="12" t="n"/>
      <c r="N232" s="12" t="n"/>
      <c r="O232" s="12" t="n"/>
    </row>
    <row r="233">
      <c r="E233" s="9" t="n"/>
      <c r="F233" s="9" t="n"/>
      <c r="L233" s="9" t="n"/>
    </row>
    <row r="234">
      <c r="A234" s="12" t="n"/>
      <c r="B234" s="12" t="n"/>
      <c r="C234" s="12" t="n"/>
      <c r="D234" s="12" t="n"/>
      <c r="E234" s="14" t="n"/>
      <c r="F234" s="14" t="n"/>
      <c r="G234" s="12" t="n"/>
      <c r="H234" s="12" t="n"/>
      <c r="I234" s="12" t="n"/>
      <c r="J234" s="12" t="n"/>
      <c r="K234" s="12" t="n"/>
      <c r="L234" s="14" t="n"/>
      <c r="M234" s="12" t="n"/>
      <c r="N234" s="12" t="n"/>
      <c r="O234" s="12" t="n"/>
    </row>
    <row r="235">
      <c r="E235" s="9" t="n"/>
      <c r="F235" s="9" t="n"/>
      <c r="L235" s="9" t="n"/>
    </row>
    <row r="236">
      <c r="A236" s="12" t="n"/>
      <c r="B236" s="12" t="n"/>
      <c r="C236" s="12" t="n"/>
      <c r="D236" s="12" t="n"/>
      <c r="E236" s="14" t="n"/>
      <c r="F236" s="14" t="n"/>
      <c r="G236" s="12" t="n"/>
      <c r="H236" s="12" t="n"/>
      <c r="I236" s="12" t="n"/>
      <c r="J236" s="12" t="n"/>
      <c r="K236" s="12" t="n"/>
      <c r="L236" s="14" t="n"/>
      <c r="M236" s="12" t="n"/>
      <c r="N236" s="12" t="n"/>
      <c r="O236" s="12" t="n"/>
    </row>
    <row r="237">
      <c r="E237" s="9" t="n"/>
      <c r="F237" s="9" t="n"/>
      <c r="L237" s="9" t="n"/>
    </row>
    <row r="238">
      <c r="A238" s="12" t="n"/>
      <c r="B238" s="12" t="n"/>
      <c r="C238" s="12" t="n"/>
      <c r="D238" s="12" t="n"/>
      <c r="E238" s="14" t="n"/>
      <c r="F238" s="14" t="n"/>
      <c r="G238" s="12" t="n"/>
      <c r="H238" s="12" t="n"/>
      <c r="I238" s="12" t="n"/>
      <c r="J238" s="12" t="n"/>
      <c r="K238" s="12" t="n"/>
      <c r="L238" s="14" t="n"/>
      <c r="M238" s="12" t="n"/>
      <c r="N238" s="12" t="n"/>
      <c r="O238" s="12" t="n"/>
    </row>
    <row r="239">
      <c r="E239" s="9" t="n"/>
      <c r="F239" s="9" t="n"/>
      <c r="L239" s="9" t="n"/>
    </row>
    <row r="240">
      <c r="A240" s="12" t="n"/>
      <c r="B240" s="12" t="n"/>
      <c r="C240" s="12" t="n"/>
      <c r="D240" s="12" t="n"/>
      <c r="E240" s="14" t="n"/>
      <c r="F240" s="14" t="n"/>
      <c r="G240" s="12" t="n"/>
      <c r="H240" s="12" t="n"/>
      <c r="I240" s="12" t="n"/>
      <c r="J240" s="12" t="n"/>
      <c r="K240" s="12" t="n"/>
      <c r="L240" s="14" t="n"/>
      <c r="M240" s="12" t="n"/>
      <c r="N240" s="12" t="n"/>
      <c r="O240" s="12" t="n"/>
    </row>
    <row r="241">
      <c r="E241" s="9" t="n"/>
      <c r="F241" s="9" t="n"/>
      <c r="L241" s="9" t="n"/>
    </row>
    <row r="242">
      <c r="A242" s="12" t="n"/>
      <c r="B242" s="12" t="n"/>
      <c r="C242" s="12" t="n"/>
      <c r="D242" s="12" t="n"/>
      <c r="E242" s="14" t="n"/>
      <c r="F242" s="14" t="n"/>
      <c r="G242" s="12" t="n"/>
      <c r="H242" s="12" t="n"/>
      <c r="I242" s="12" t="n"/>
      <c r="J242" s="12" t="n"/>
      <c r="K242" s="12" t="n"/>
      <c r="L242" s="14" t="n"/>
      <c r="M242" s="12" t="n"/>
      <c r="N242" s="12" t="n"/>
      <c r="O242" s="12" t="n"/>
    </row>
    <row r="243">
      <c r="E243" s="9" t="n"/>
      <c r="F243" s="9" t="n"/>
      <c r="L243" s="9" t="n"/>
    </row>
    <row r="244">
      <c r="A244" s="12" t="n"/>
      <c r="B244" s="12" t="n"/>
      <c r="C244" s="12" t="n"/>
      <c r="D244" s="12" t="n"/>
      <c r="E244" s="14" t="n"/>
      <c r="F244" s="14" t="n"/>
      <c r="G244" s="12" t="n"/>
      <c r="H244" s="12" t="n"/>
      <c r="I244" s="12" t="n"/>
      <c r="J244" s="12" t="n"/>
      <c r="K244" s="12" t="n"/>
      <c r="L244" s="14" t="n"/>
      <c r="M244" s="12" t="n"/>
      <c r="N244" s="12" t="n"/>
      <c r="O244" s="12" t="n"/>
    </row>
    <row r="245">
      <c r="E245" s="9" t="n"/>
      <c r="F245" s="9" t="n"/>
      <c r="L245" s="9" t="n"/>
    </row>
    <row r="246">
      <c r="A246" s="12" t="n"/>
      <c r="B246" s="12" t="n"/>
      <c r="C246" s="12" t="n"/>
      <c r="D246" s="12" t="n"/>
      <c r="E246" s="14" t="n"/>
      <c r="F246" s="14" t="n"/>
      <c r="G246" s="12" t="n"/>
      <c r="H246" s="12" t="n"/>
      <c r="I246" s="12" t="n"/>
      <c r="J246" s="12" t="n"/>
      <c r="K246" s="12" t="n"/>
      <c r="L246" s="14" t="n"/>
      <c r="M246" s="12" t="n"/>
      <c r="N246" s="12" t="n"/>
      <c r="O246" s="12" t="n"/>
    </row>
    <row r="247">
      <c r="E247" s="9" t="n"/>
      <c r="F247" s="9" t="n"/>
      <c r="L247" s="9" t="n"/>
    </row>
    <row r="248">
      <c r="A248" s="12" t="n"/>
      <c r="B248" s="12" t="n"/>
      <c r="C248" s="12" t="n"/>
      <c r="D248" s="12" t="n"/>
      <c r="E248" s="14" t="n"/>
      <c r="F248" s="14" t="n"/>
      <c r="G248" s="12" t="n"/>
      <c r="H248" s="12" t="n"/>
      <c r="I248" s="12" t="n"/>
      <c r="J248" s="12" t="n"/>
      <c r="K248" s="12" t="n"/>
      <c r="L248" s="14" t="n"/>
      <c r="M248" s="12" t="n"/>
      <c r="N248" s="12" t="n"/>
      <c r="O248" s="12" t="n"/>
    </row>
    <row r="249">
      <c r="E249" s="9" t="n"/>
      <c r="F249" s="9" t="n"/>
      <c r="L249" s="9" t="n"/>
    </row>
    <row r="250">
      <c r="A250" s="12" t="n"/>
      <c r="B250" s="12" t="n"/>
      <c r="C250" s="12" t="n"/>
      <c r="D250" s="12" t="n"/>
      <c r="E250" s="14" t="n"/>
      <c r="F250" s="14" t="n"/>
      <c r="G250" s="12" t="n"/>
      <c r="H250" s="12" t="n"/>
      <c r="I250" s="12" t="n"/>
      <c r="J250" s="12" t="n"/>
      <c r="K250" s="12" t="n"/>
      <c r="L250" s="14" t="n"/>
      <c r="M250" s="12" t="n"/>
      <c r="N250" s="12" t="n"/>
      <c r="O250" s="12" t="n"/>
    </row>
    <row r="251">
      <c r="E251" s="9" t="n"/>
      <c r="F251" s="9" t="n"/>
      <c r="L251" s="9" t="n"/>
    </row>
  </sheetData>
  <autoFilter ref="A1:O251"/>
  <conditionalFormatting sqref="A2:O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5">
    <dataValidation sqref="G2:G251" showDropDown="0" showInputMessage="0" showErrorMessage="0" allowBlank="1" type="list">
      <formula1>='Lists'!$L$2:$L$9</formula1>
    </dataValidation>
    <dataValidation sqref="I2:I251" showDropDown="0" showInputMessage="0" showErrorMessage="0" allowBlank="1" type="list">
      <formula1>='Lists'!$S$2:$S$6</formula1>
    </dataValidation>
    <dataValidation sqref="N2:N251" showDropDown="0" showInputMessage="0" showErrorMessage="0" allowBlank="1" type="list">
      <formula1>='Lists'!$M$2:$M$7</formula1>
    </dataValidation>
    <dataValidation sqref="B2:B251" showDropDown="0" showInputMessage="0" showErrorMessage="0" allowBlank="1" type="list">
      <formula1>='Room List'!$A$2:$A$251</formula1>
    </dataValidation>
    <dataValidation sqref="C2:C251" showDropDown="0" showInputMessage="0" showErrorMessage="0" allowBlank="1" type="list">
      <formula1>='Vendor &amp; Supplier Database'!$A$2:$A$251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2" customHeight="1">
      <c r="A1" s="11" t="inlineStr">
        <is>
          <t>Item/design decision</t>
        </is>
      </c>
      <c r="B1" s="11" t="inlineStr">
        <is>
          <t>Room</t>
        </is>
      </c>
      <c r="C1" s="11" t="inlineStr">
        <is>
          <t>Approval type</t>
        </is>
      </c>
      <c r="D1" s="11" t="inlineStr">
        <is>
          <t>Sent to client date</t>
        </is>
      </c>
      <c r="E1" s="11" t="inlineStr">
        <is>
          <t>Client response date</t>
        </is>
      </c>
      <c r="F1" s="11" t="inlineStr">
        <is>
          <t>Status</t>
        </is>
      </c>
      <c r="G1" s="11" t="inlineStr">
        <is>
          <t>Approved option</t>
        </is>
      </c>
      <c r="H1" s="11" t="inlineStr">
        <is>
          <t>Client comments</t>
        </is>
      </c>
      <c r="I1" s="11" t="inlineStr">
        <is>
          <t>Revision needed</t>
        </is>
      </c>
      <c r="J1" s="11" t="inlineStr">
        <is>
          <t>Final approval date</t>
        </is>
      </c>
    </row>
    <row r="2">
      <c r="A2" s="12" t="n"/>
      <c r="B2" s="12" t="n"/>
      <c r="C2" s="12" t="n"/>
      <c r="D2" s="14" t="n"/>
      <c r="E2" s="14" t="n"/>
      <c r="F2" s="12" t="n"/>
      <c r="G2" s="12" t="n"/>
      <c r="H2" s="12" t="n"/>
      <c r="I2" s="12" t="n"/>
      <c r="J2" s="14" t="n"/>
    </row>
    <row r="3">
      <c r="D3" s="9" t="n"/>
      <c r="E3" s="9" t="n"/>
      <c r="J3" s="9" t="n"/>
    </row>
    <row r="4">
      <c r="A4" s="12" t="n"/>
      <c r="B4" s="12" t="n"/>
      <c r="C4" s="12" t="n"/>
      <c r="D4" s="14" t="n"/>
      <c r="E4" s="14" t="n"/>
      <c r="F4" s="12" t="n"/>
      <c r="G4" s="12" t="n"/>
      <c r="H4" s="12" t="n"/>
      <c r="I4" s="12" t="n"/>
      <c r="J4" s="14" t="n"/>
    </row>
    <row r="5">
      <c r="D5" s="9" t="n"/>
      <c r="E5" s="9" t="n"/>
      <c r="J5" s="9" t="n"/>
    </row>
    <row r="6">
      <c r="A6" s="12" t="n"/>
      <c r="B6" s="12" t="n"/>
      <c r="C6" s="12" t="n"/>
      <c r="D6" s="14" t="n"/>
      <c r="E6" s="14" t="n"/>
      <c r="F6" s="12" t="n"/>
      <c r="G6" s="12" t="n"/>
      <c r="H6" s="12" t="n"/>
      <c r="I6" s="12" t="n"/>
      <c r="J6" s="14" t="n"/>
    </row>
    <row r="7">
      <c r="D7" s="9" t="n"/>
      <c r="E7" s="9" t="n"/>
      <c r="J7" s="9" t="n"/>
    </row>
    <row r="8">
      <c r="A8" s="12" t="n"/>
      <c r="B8" s="12" t="n"/>
      <c r="C8" s="12" t="n"/>
      <c r="D8" s="14" t="n"/>
      <c r="E8" s="14" t="n"/>
      <c r="F8" s="12" t="n"/>
      <c r="G8" s="12" t="n"/>
      <c r="H8" s="12" t="n"/>
      <c r="I8" s="12" t="n"/>
      <c r="J8" s="14" t="n"/>
    </row>
    <row r="9">
      <c r="D9" s="9" t="n"/>
      <c r="E9" s="9" t="n"/>
      <c r="J9" s="9" t="n"/>
    </row>
    <row r="10">
      <c r="A10" s="12" t="n"/>
      <c r="B10" s="12" t="n"/>
      <c r="C10" s="12" t="n"/>
      <c r="D10" s="14" t="n"/>
      <c r="E10" s="14" t="n"/>
      <c r="F10" s="12" t="n"/>
      <c r="G10" s="12" t="n"/>
      <c r="H10" s="12" t="n"/>
      <c r="I10" s="12" t="n"/>
      <c r="J10" s="14" t="n"/>
    </row>
    <row r="11">
      <c r="D11" s="9" t="n"/>
      <c r="E11" s="9" t="n"/>
      <c r="J11" s="9" t="n"/>
    </row>
    <row r="12">
      <c r="A12" s="12" t="n"/>
      <c r="B12" s="12" t="n"/>
      <c r="C12" s="12" t="n"/>
      <c r="D12" s="14" t="n"/>
      <c r="E12" s="14" t="n"/>
      <c r="F12" s="12" t="n"/>
      <c r="G12" s="12" t="n"/>
      <c r="H12" s="12" t="n"/>
      <c r="I12" s="12" t="n"/>
      <c r="J12" s="14" t="n"/>
    </row>
    <row r="13">
      <c r="D13" s="9" t="n"/>
      <c r="E13" s="9" t="n"/>
      <c r="J13" s="9" t="n"/>
    </row>
    <row r="14">
      <c r="A14" s="12" t="n"/>
      <c r="B14" s="12" t="n"/>
      <c r="C14" s="12" t="n"/>
      <c r="D14" s="14" t="n"/>
      <c r="E14" s="14" t="n"/>
      <c r="F14" s="12" t="n"/>
      <c r="G14" s="12" t="n"/>
      <c r="H14" s="12" t="n"/>
      <c r="I14" s="12" t="n"/>
      <c r="J14" s="14" t="n"/>
    </row>
    <row r="15">
      <c r="D15" s="9" t="n"/>
      <c r="E15" s="9" t="n"/>
      <c r="J15" s="9" t="n"/>
    </row>
    <row r="16">
      <c r="A16" s="12" t="n"/>
      <c r="B16" s="12" t="n"/>
      <c r="C16" s="12" t="n"/>
      <c r="D16" s="14" t="n"/>
      <c r="E16" s="14" t="n"/>
      <c r="F16" s="12" t="n"/>
      <c r="G16" s="12" t="n"/>
      <c r="H16" s="12" t="n"/>
      <c r="I16" s="12" t="n"/>
      <c r="J16" s="14" t="n"/>
    </row>
    <row r="17">
      <c r="D17" s="9" t="n"/>
      <c r="E17" s="9" t="n"/>
      <c r="J17" s="9" t="n"/>
    </row>
    <row r="18">
      <c r="A18" s="12" t="n"/>
      <c r="B18" s="12" t="n"/>
      <c r="C18" s="12" t="n"/>
      <c r="D18" s="14" t="n"/>
      <c r="E18" s="14" t="n"/>
      <c r="F18" s="12" t="n"/>
      <c r="G18" s="12" t="n"/>
      <c r="H18" s="12" t="n"/>
      <c r="I18" s="12" t="n"/>
      <c r="J18" s="14" t="n"/>
    </row>
    <row r="19">
      <c r="D19" s="9" t="n"/>
      <c r="E19" s="9" t="n"/>
      <c r="J19" s="9" t="n"/>
    </row>
    <row r="20">
      <c r="A20" s="12" t="n"/>
      <c r="B20" s="12" t="n"/>
      <c r="C20" s="12" t="n"/>
      <c r="D20" s="14" t="n"/>
      <c r="E20" s="14" t="n"/>
      <c r="F20" s="12" t="n"/>
      <c r="G20" s="12" t="n"/>
      <c r="H20" s="12" t="n"/>
      <c r="I20" s="12" t="n"/>
      <c r="J20" s="14" t="n"/>
    </row>
    <row r="21">
      <c r="D21" s="9" t="n"/>
      <c r="E21" s="9" t="n"/>
      <c r="J21" s="9" t="n"/>
    </row>
    <row r="22">
      <c r="A22" s="12" t="n"/>
      <c r="B22" s="12" t="n"/>
      <c r="C22" s="12" t="n"/>
      <c r="D22" s="14" t="n"/>
      <c r="E22" s="14" t="n"/>
      <c r="F22" s="12" t="n"/>
      <c r="G22" s="12" t="n"/>
      <c r="H22" s="12" t="n"/>
      <c r="I22" s="12" t="n"/>
      <c r="J22" s="14" t="n"/>
    </row>
    <row r="23">
      <c r="D23" s="9" t="n"/>
      <c r="E23" s="9" t="n"/>
      <c r="J23" s="9" t="n"/>
    </row>
    <row r="24">
      <c r="A24" s="12" t="n"/>
      <c r="B24" s="12" t="n"/>
      <c r="C24" s="12" t="n"/>
      <c r="D24" s="14" t="n"/>
      <c r="E24" s="14" t="n"/>
      <c r="F24" s="12" t="n"/>
      <c r="G24" s="12" t="n"/>
      <c r="H24" s="12" t="n"/>
      <c r="I24" s="12" t="n"/>
      <c r="J24" s="14" t="n"/>
    </row>
    <row r="25">
      <c r="D25" s="9" t="n"/>
      <c r="E25" s="9" t="n"/>
      <c r="J25" s="9" t="n"/>
    </row>
    <row r="26">
      <c r="A26" s="12" t="n"/>
      <c r="B26" s="12" t="n"/>
      <c r="C26" s="12" t="n"/>
      <c r="D26" s="14" t="n"/>
      <c r="E26" s="14" t="n"/>
      <c r="F26" s="12" t="n"/>
      <c r="G26" s="12" t="n"/>
      <c r="H26" s="12" t="n"/>
      <c r="I26" s="12" t="n"/>
      <c r="J26" s="14" t="n"/>
    </row>
    <row r="27">
      <c r="D27" s="9" t="n"/>
      <c r="E27" s="9" t="n"/>
      <c r="J27" s="9" t="n"/>
    </row>
    <row r="28">
      <c r="A28" s="12" t="n"/>
      <c r="B28" s="12" t="n"/>
      <c r="C28" s="12" t="n"/>
      <c r="D28" s="14" t="n"/>
      <c r="E28" s="14" t="n"/>
      <c r="F28" s="12" t="n"/>
      <c r="G28" s="12" t="n"/>
      <c r="H28" s="12" t="n"/>
      <c r="I28" s="12" t="n"/>
      <c r="J28" s="14" t="n"/>
    </row>
    <row r="29">
      <c r="D29" s="9" t="n"/>
      <c r="E29" s="9" t="n"/>
      <c r="J29" s="9" t="n"/>
    </row>
    <row r="30">
      <c r="A30" s="12" t="n"/>
      <c r="B30" s="12" t="n"/>
      <c r="C30" s="12" t="n"/>
      <c r="D30" s="14" t="n"/>
      <c r="E30" s="14" t="n"/>
      <c r="F30" s="12" t="n"/>
      <c r="G30" s="12" t="n"/>
      <c r="H30" s="12" t="n"/>
      <c r="I30" s="12" t="n"/>
      <c r="J30" s="14" t="n"/>
    </row>
    <row r="31">
      <c r="D31" s="9" t="n"/>
      <c r="E31" s="9" t="n"/>
      <c r="J31" s="9" t="n"/>
    </row>
    <row r="32">
      <c r="A32" s="12" t="n"/>
      <c r="B32" s="12" t="n"/>
      <c r="C32" s="12" t="n"/>
      <c r="D32" s="14" t="n"/>
      <c r="E32" s="14" t="n"/>
      <c r="F32" s="12" t="n"/>
      <c r="G32" s="12" t="n"/>
      <c r="H32" s="12" t="n"/>
      <c r="I32" s="12" t="n"/>
      <c r="J32" s="14" t="n"/>
    </row>
    <row r="33">
      <c r="D33" s="9" t="n"/>
      <c r="E33" s="9" t="n"/>
      <c r="J33" s="9" t="n"/>
    </row>
    <row r="34">
      <c r="A34" s="12" t="n"/>
      <c r="B34" s="12" t="n"/>
      <c r="C34" s="12" t="n"/>
      <c r="D34" s="14" t="n"/>
      <c r="E34" s="14" t="n"/>
      <c r="F34" s="12" t="n"/>
      <c r="G34" s="12" t="n"/>
      <c r="H34" s="12" t="n"/>
      <c r="I34" s="12" t="n"/>
      <c r="J34" s="14" t="n"/>
    </row>
    <row r="35">
      <c r="D35" s="9" t="n"/>
      <c r="E35" s="9" t="n"/>
      <c r="J35" s="9" t="n"/>
    </row>
    <row r="36">
      <c r="A36" s="12" t="n"/>
      <c r="B36" s="12" t="n"/>
      <c r="C36" s="12" t="n"/>
      <c r="D36" s="14" t="n"/>
      <c r="E36" s="14" t="n"/>
      <c r="F36" s="12" t="n"/>
      <c r="G36" s="12" t="n"/>
      <c r="H36" s="12" t="n"/>
      <c r="I36" s="12" t="n"/>
      <c r="J36" s="14" t="n"/>
    </row>
    <row r="37">
      <c r="D37" s="9" t="n"/>
      <c r="E37" s="9" t="n"/>
      <c r="J37" s="9" t="n"/>
    </row>
    <row r="38">
      <c r="A38" s="12" t="n"/>
      <c r="B38" s="12" t="n"/>
      <c r="C38" s="12" t="n"/>
      <c r="D38" s="14" t="n"/>
      <c r="E38" s="14" t="n"/>
      <c r="F38" s="12" t="n"/>
      <c r="G38" s="12" t="n"/>
      <c r="H38" s="12" t="n"/>
      <c r="I38" s="12" t="n"/>
      <c r="J38" s="14" t="n"/>
    </row>
    <row r="39">
      <c r="D39" s="9" t="n"/>
      <c r="E39" s="9" t="n"/>
      <c r="J39" s="9" t="n"/>
    </row>
    <row r="40">
      <c r="A40" s="12" t="n"/>
      <c r="B40" s="12" t="n"/>
      <c r="C40" s="12" t="n"/>
      <c r="D40" s="14" t="n"/>
      <c r="E40" s="14" t="n"/>
      <c r="F40" s="12" t="n"/>
      <c r="G40" s="12" t="n"/>
      <c r="H40" s="12" t="n"/>
      <c r="I40" s="12" t="n"/>
      <c r="J40" s="14" t="n"/>
    </row>
    <row r="41">
      <c r="D41" s="9" t="n"/>
      <c r="E41" s="9" t="n"/>
      <c r="J41" s="9" t="n"/>
    </row>
    <row r="42">
      <c r="A42" s="12" t="n"/>
      <c r="B42" s="12" t="n"/>
      <c r="C42" s="12" t="n"/>
      <c r="D42" s="14" t="n"/>
      <c r="E42" s="14" t="n"/>
      <c r="F42" s="12" t="n"/>
      <c r="G42" s="12" t="n"/>
      <c r="H42" s="12" t="n"/>
      <c r="I42" s="12" t="n"/>
      <c r="J42" s="14" t="n"/>
    </row>
    <row r="43">
      <c r="D43" s="9" t="n"/>
      <c r="E43" s="9" t="n"/>
      <c r="J43" s="9" t="n"/>
    </row>
    <row r="44">
      <c r="A44" s="12" t="n"/>
      <c r="B44" s="12" t="n"/>
      <c r="C44" s="12" t="n"/>
      <c r="D44" s="14" t="n"/>
      <c r="E44" s="14" t="n"/>
      <c r="F44" s="12" t="n"/>
      <c r="G44" s="12" t="n"/>
      <c r="H44" s="12" t="n"/>
      <c r="I44" s="12" t="n"/>
      <c r="J44" s="14" t="n"/>
    </row>
    <row r="45">
      <c r="D45" s="9" t="n"/>
      <c r="E45" s="9" t="n"/>
      <c r="J45" s="9" t="n"/>
    </row>
    <row r="46">
      <c r="A46" s="12" t="n"/>
      <c r="B46" s="12" t="n"/>
      <c r="C46" s="12" t="n"/>
      <c r="D46" s="14" t="n"/>
      <c r="E46" s="14" t="n"/>
      <c r="F46" s="12" t="n"/>
      <c r="G46" s="12" t="n"/>
      <c r="H46" s="12" t="n"/>
      <c r="I46" s="12" t="n"/>
      <c r="J46" s="14" t="n"/>
    </row>
    <row r="47">
      <c r="D47" s="9" t="n"/>
      <c r="E47" s="9" t="n"/>
      <c r="J47" s="9" t="n"/>
    </row>
    <row r="48">
      <c r="A48" s="12" t="n"/>
      <c r="B48" s="12" t="n"/>
      <c r="C48" s="12" t="n"/>
      <c r="D48" s="14" t="n"/>
      <c r="E48" s="14" t="n"/>
      <c r="F48" s="12" t="n"/>
      <c r="G48" s="12" t="n"/>
      <c r="H48" s="12" t="n"/>
      <c r="I48" s="12" t="n"/>
      <c r="J48" s="14" t="n"/>
    </row>
    <row r="49">
      <c r="D49" s="9" t="n"/>
      <c r="E49" s="9" t="n"/>
      <c r="J49" s="9" t="n"/>
    </row>
    <row r="50">
      <c r="A50" s="12" t="n"/>
      <c r="B50" s="12" t="n"/>
      <c r="C50" s="12" t="n"/>
      <c r="D50" s="14" t="n"/>
      <c r="E50" s="14" t="n"/>
      <c r="F50" s="12" t="n"/>
      <c r="G50" s="12" t="n"/>
      <c r="H50" s="12" t="n"/>
      <c r="I50" s="12" t="n"/>
      <c r="J50" s="14" t="n"/>
    </row>
    <row r="51">
      <c r="D51" s="9" t="n"/>
      <c r="E51" s="9" t="n"/>
      <c r="J51" s="9" t="n"/>
    </row>
    <row r="52">
      <c r="A52" s="12" t="n"/>
      <c r="B52" s="12" t="n"/>
      <c r="C52" s="12" t="n"/>
      <c r="D52" s="14" t="n"/>
      <c r="E52" s="14" t="n"/>
      <c r="F52" s="12" t="n"/>
      <c r="G52" s="12" t="n"/>
      <c r="H52" s="12" t="n"/>
      <c r="I52" s="12" t="n"/>
      <c r="J52" s="14" t="n"/>
    </row>
    <row r="53">
      <c r="D53" s="9" t="n"/>
      <c r="E53" s="9" t="n"/>
      <c r="J53" s="9" t="n"/>
    </row>
    <row r="54">
      <c r="A54" s="12" t="n"/>
      <c r="B54" s="12" t="n"/>
      <c r="C54" s="12" t="n"/>
      <c r="D54" s="14" t="n"/>
      <c r="E54" s="14" t="n"/>
      <c r="F54" s="12" t="n"/>
      <c r="G54" s="12" t="n"/>
      <c r="H54" s="12" t="n"/>
      <c r="I54" s="12" t="n"/>
      <c r="J54" s="14" t="n"/>
    </row>
    <row r="55">
      <c r="D55" s="9" t="n"/>
      <c r="E55" s="9" t="n"/>
      <c r="J55" s="9" t="n"/>
    </row>
    <row r="56">
      <c r="A56" s="12" t="n"/>
      <c r="B56" s="12" t="n"/>
      <c r="C56" s="12" t="n"/>
      <c r="D56" s="14" t="n"/>
      <c r="E56" s="14" t="n"/>
      <c r="F56" s="12" t="n"/>
      <c r="G56" s="12" t="n"/>
      <c r="H56" s="12" t="n"/>
      <c r="I56" s="12" t="n"/>
      <c r="J56" s="14" t="n"/>
    </row>
    <row r="57">
      <c r="D57" s="9" t="n"/>
      <c r="E57" s="9" t="n"/>
      <c r="J57" s="9" t="n"/>
    </row>
    <row r="58">
      <c r="A58" s="12" t="n"/>
      <c r="B58" s="12" t="n"/>
      <c r="C58" s="12" t="n"/>
      <c r="D58" s="14" t="n"/>
      <c r="E58" s="14" t="n"/>
      <c r="F58" s="12" t="n"/>
      <c r="G58" s="12" t="n"/>
      <c r="H58" s="12" t="n"/>
      <c r="I58" s="12" t="n"/>
      <c r="J58" s="14" t="n"/>
    </row>
    <row r="59">
      <c r="D59" s="9" t="n"/>
      <c r="E59" s="9" t="n"/>
      <c r="J59" s="9" t="n"/>
    </row>
    <row r="60">
      <c r="A60" s="12" t="n"/>
      <c r="B60" s="12" t="n"/>
      <c r="C60" s="12" t="n"/>
      <c r="D60" s="14" t="n"/>
      <c r="E60" s="14" t="n"/>
      <c r="F60" s="12" t="n"/>
      <c r="G60" s="12" t="n"/>
      <c r="H60" s="12" t="n"/>
      <c r="I60" s="12" t="n"/>
      <c r="J60" s="14" t="n"/>
    </row>
    <row r="61">
      <c r="D61" s="9" t="n"/>
      <c r="E61" s="9" t="n"/>
      <c r="J61" s="9" t="n"/>
    </row>
    <row r="62">
      <c r="A62" s="12" t="n"/>
      <c r="B62" s="12" t="n"/>
      <c r="C62" s="12" t="n"/>
      <c r="D62" s="14" t="n"/>
      <c r="E62" s="14" t="n"/>
      <c r="F62" s="12" t="n"/>
      <c r="G62" s="12" t="n"/>
      <c r="H62" s="12" t="n"/>
      <c r="I62" s="12" t="n"/>
      <c r="J62" s="14" t="n"/>
    </row>
    <row r="63">
      <c r="D63" s="9" t="n"/>
      <c r="E63" s="9" t="n"/>
      <c r="J63" s="9" t="n"/>
    </row>
    <row r="64">
      <c r="A64" s="12" t="n"/>
      <c r="B64" s="12" t="n"/>
      <c r="C64" s="12" t="n"/>
      <c r="D64" s="14" t="n"/>
      <c r="E64" s="14" t="n"/>
      <c r="F64" s="12" t="n"/>
      <c r="G64" s="12" t="n"/>
      <c r="H64" s="12" t="n"/>
      <c r="I64" s="12" t="n"/>
      <c r="J64" s="14" t="n"/>
    </row>
    <row r="65">
      <c r="D65" s="9" t="n"/>
      <c r="E65" s="9" t="n"/>
      <c r="J65" s="9" t="n"/>
    </row>
    <row r="66">
      <c r="A66" s="12" t="n"/>
      <c r="B66" s="12" t="n"/>
      <c r="C66" s="12" t="n"/>
      <c r="D66" s="14" t="n"/>
      <c r="E66" s="14" t="n"/>
      <c r="F66" s="12" t="n"/>
      <c r="G66" s="12" t="n"/>
      <c r="H66" s="12" t="n"/>
      <c r="I66" s="12" t="n"/>
      <c r="J66" s="14" t="n"/>
    </row>
    <row r="67">
      <c r="D67" s="9" t="n"/>
      <c r="E67" s="9" t="n"/>
      <c r="J67" s="9" t="n"/>
    </row>
    <row r="68">
      <c r="A68" s="12" t="n"/>
      <c r="B68" s="12" t="n"/>
      <c r="C68" s="12" t="n"/>
      <c r="D68" s="14" t="n"/>
      <c r="E68" s="14" t="n"/>
      <c r="F68" s="12" t="n"/>
      <c r="G68" s="12" t="n"/>
      <c r="H68" s="12" t="n"/>
      <c r="I68" s="12" t="n"/>
      <c r="J68" s="14" t="n"/>
    </row>
    <row r="69">
      <c r="D69" s="9" t="n"/>
      <c r="E69" s="9" t="n"/>
      <c r="J69" s="9" t="n"/>
    </row>
    <row r="70">
      <c r="A70" s="12" t="n"/>
      <c r="B70" s="12" t="n"/>
      <c r="C70" s="12" t="n"/>
      <c r="D70" s="14" t="n"/>
      <c r="E70" s="14" t="n"/>
      <c r="F70" s="12" t="n"/>
      <c r="G70" s="12" t="n"/>
      <c r="H70" s="12" t="n"/>
      <c r="I70" s="12" t="n"/>
      <c r="J70" s="14" t="n"/>
    </row>
    <row r="71">
      <c r="D71" s="9" t="n"/>
      <c r="E71" s="9" t="n"/>
      <c r="J71" s="9" t="n"/>
    </row>
    <row r="72">
      <c r="A72" s="12" t="n"/>
      <c r="B72" s="12" t="n"/>
      <c r="C72" s="12" t="n"/>
      <c r="D72" s="14" t="n"/>
      <c r="E72" s="14" t="n"/>
      <c r="F72" s="12" t="n"/>
      <c r="G72" s="12" t="n"/>
      <c r="H72" s="12" t="n"/>
      <c r="I72" s="12" t="n"/>
      <c r="J72" s="14" t="n"/>
    </row>
    <row r="73">
      <c r="D73" s="9" t="n"/>
      <c r="E73" s="9" t="n"/>
      <c r="J73" s="9" t="n"/>
    </row>
    <row r="74">
      <c r="A74" s="12" t="n"/>
      <c r="B74" s="12" t="n"/>
      <c r="C74" s="12" t="n"/>
      <c r="D74" s="14" t="n"/>
      <c r="E74" s="14" t="n"/>
      <c r="F74" s="12" t="n"/>
      <c r="G74" s="12" t="n"/>
      <c r="H74" s="12" t="n"/>
      <c r="I74" s="12" t="n"/>
      <c r="J74" s="14" t="n"/>
    </row>
    <row r="75">
      <c r="D75" s="9" t="n"/>
      <c r="E75" s="9" t="n"/>
      <c r="J75" s="9" t="n"/>
    </row>
    <row r="76">
      <c r="A76" s="12" t="n"/>
      <c r="B76" s="12" t="n"/>
      <c r="C76" s="12" t="n"/>
      <c r="D76" s="14" t="n"/>
      <c r="E76" s="14" t="n"/>
      <c r="F76" s="12" t="n"/>
      <c r="G76" s="12" t="n"/>
      <c r="H76" s="12" t="n"/>
      <c r="I76" s="12" t="n"/>
      <c r="J76" s="14" t="n"/>
    </row>
    <row r="77">
      <c r="D77" s="9" t="n"/>
      <c r="E77" s="9" t="n"/>
      <c r="J77" s="9" t="n"/>
    </row>
    <row r="78">
      <c r="A78" s="12" t="n"/>
      <c r="B78" s="12" t="n"/>
      <c r="C78" s="12" t="n"/>
      <c r="D78" s="14" t="n"/>
      <c r="E78" s="14" t="n"/>
      <c r="F78" s="12" t="n"/>
      <c r="G78" s="12" t="n"/>
      <c r="H78" s="12" t="n"/>
      <c r="I78" s="12" t="n"/>
      <c r="J78" s="14" t="n"/>
    </row>
    <row r="79">
      <c r="D79" s="9" t="n"/>
      <c r="E79" s="9" t="n"/>
      <c r="J79" s="9" t="n"/>
    </row>
    <row r="80">
      <c r="A80" s="12" t="n"/>
      <c r="B80" s="12" t="n"/>
      <c r="C80" s="12" t="n"/>
      <c r="D80" s="14" t="n"/>
      <c r="E80" s="14" t="n"/>
      <c r="F80" s="12" t="n"/>
      <c r="G80" s="12" t="n"/>
      <c r="H80" s="12" t="n"/>
      <c r="I80" s="12" t="n"/>
      <c r="J80" s="14" t="n"/>
    </row>
    <row r="81">
      <c r="D81" s="9" t="n"/>
      <c r="E81" s="9" t="n"/>
      <c r="J81" s="9" t="n"/>
    </row>
    <row r="82">
      <c r="A82" s="12" t="n"/>
      <c r="B82" s="12" t="n"/>
      <c r="C82" s="12" t="n"/>
      <c r="D82" s="14" t="n"/>
      <c r="E82" s="14" t="n"/>
      <c r="F82" s="12" t="n"/>
      <c r="G82" s="12" t="n"/>
      <c r="H82" s="12" t="n"/>
      <c r="I82" s="12" t="n"/>
      <c r="J82" s="14" t="n"/>
    </row>
    <row r="83">
      <c r="D83" s="9" t="n"/>
      <c r="E83" s="9" t="n"/>
      <c r="J83" s="9" t="n"/>
    </row>
    <row r="84">
      <c r="A84" s="12" t="n"/>
      <c r="B84" s="12" t="n"/>
      <c r="C84" s="12" t="n"/>
      <c r="D84" s="14" t="n"/>
      <c r="E84" s="14" t="n"/>
      <c r="F84" s="12" t="n"/>
      <c r="G84" s="12" t="n"/>
      <c r="H84" s="12" t="n"/>
      <c r="I84" s="12" t="n"/>
      <c r="J84" s="14" t="n"/>
    </row>
    <row r="85">
      <c r="D85" s="9" t="n"/>
      <c r="E85" s="9" t="n"/>
      <c r="J85" s="9" t="n"/>
    </row>
    <row r="86">
      <c r="A86" s="12" t="n"/>
      <c r="B86" s="12" t="n"/>
      <c r="C86" s="12" t="n"/>
      <c r="D86" s="14" t="n"/>
      <c r="E86" s="14" t="n"/>
      <c r="F86" s="12" t="n"/>
      <c r="G86" s="12" t="n"/>
      <c r="H86" s="12" t="n"/>
      <c r="I86" s="12" t="n"/>
      <c r="J86" s="14" t="n"/>
    </row>
    <row r="87">
      <c r="D87" s="9" t="n"/>
      <c r="E87" s="9" t="n"/>
      <c r="J87" s="9" t="n"/>
    </row>
    <row r="88">
      <c r="A88" s="12" t="n"/>
      <c r="B88" s="12" t="n"/>
      <c r="C88" s="12" t="n"/>
      <c r="D88" s="14" t="n"/>
      <c r="E88" s="14" t="n"/>
      <c r="F88" s="12" t="n"/>
      <c r="G88" s="12" t="n"/>
      <c r="H88" s="12" t="n"/>
      <c r="I88" s="12" t="n"/>
      <c r="J88" s="14" t="n"/>
    </row>
    <row r="89">
      <c r="D89" s="9" t="n"/>
      <c r="E89" s="9" t="n"/>
      <c r="J89" s="9" t="n"/>
    </row>
    <row r="90">
      <c r="A90" s="12" t="n"/>
      <c r="B90" s="12" t="n"/>
      <c r="C90" s="12" t="n"/>
      <c r="D90" s="14" t="n"/>
      <c r="E90" s="14" t="n"/>
      <c r="F90" s="12" t="n"/>
      <c r="G90" s="12" t="n"/>
      <c r="H90" s="12" t="n"/>
      <c r="I90" s="12" t="n"/>
      <c r="J90" s="14" t="n"/>
    </row>
    <row r="91">
      <c r="D91" s="9" t="n"/>
      <c r="E91" s="9" t="n"/>
      <c r="J91" s="9" t="n"/>
    </row>
    <row r="92">
      <c r="A92" s="12" t="n"/>
      <c r="B92" s="12" t="n"/>
      <c r="C92" s="12" t="n"/>
      <c r="D92" s="14" t="n"/>
      <c r="E92" s="14" t="n"/>
      <c r="F92" s="12" t="n"/>
      <c r="G92" s="12" t="n"/>
      <c r="H92" s="12" t="n"/>
      <c r="I92" s="12" t="n"/>
      <c r="J92" s="14" t="n"/>
    </row>
    <row r="93">
      <c r="D93" s="9" t="n"/>
      <c r="E93" s="9" t="n"/>
      <c r="J93" s="9" t="n"/>
    </row>
    <row r="94">
      <c r="A94" s="12" t="n"/>
      <c r="B94" s="12" t="n"/>
      <c r="C94" s="12" t="n"/>
      <c r="D94" s="14" t="n"/>
      <c r="E94" s="14" t="n"/>
      <c r="F94" s="12" t="n"/>
      <c r="G94" s="12" t="n"/>
      <c r="H94" s="12" t="n"/>
      <c r="I94" s="12" t="n"/>
      <c r="J94" s="14" t="n"/>
    </row>
    <row r="95">
      <c r="D95" s="9" t="n"/>
      <c r="E95" s="9" t="n"/>
      <c r="J95" s="9" t="n"/>
    </row>
    <row r="96">
      <c r="A96" s="12" t="n"/>
      <c r="B96" s="12" t="n"/>
      <c r="C96" s="12" t="n"/>
      <c r="D96" s="14" t="n"/>
      <c r="E96" s="14" t="n"/>
      <c r="F96" s="12" t="n"/>
      <c r="G96" s="12" t="n"/>
      <c r="H96" s="12" t="n"/>
      <c r="I96" s="12" t="n"/>
      <c r="J96" s="14" t="n"/>
    </row>
    <row r="97">
      <c r="D97" s="9" t="n"/>
      <c r="E97" s="9" t="n"/>
      <c r="J97" s="9" t="n"/>
    </row>
    <row r="98">
      <c r="A98" s="12" t="n"/>
      <c r="B98" s="12" t="n"/>
      <c r="C98" s="12" t="n"/>
      <c r="D98" s="14" t="n"/>
      <c r="E98" s="14" t="n"/>
      <c r="F98" s="12" t="n"/>
      <c r="G98" s="12" t="n"/>
      <c r="H98" s="12" t="n"/>
      <c r="I98" s="12" t="n"/>
      <c r="J98" s="14" t="n"/>
    </row>
    <row r="99">
      <c r="D99" s="9" t="n"/>
      <c r="E99" s="9" t="n"/>
      <c r="J99" s="9" t="n"/>
    </row>
    <row r="100">
      <c r="A100" s="12" t="n"/>
      <c r="B100" s="12" t="n"/>
      <c r="C100" s="12" t="n"/>
      <c r="D100" s="14" t="n"/>
      <c r="E100" s="14" t="n"/>
      <c r="F100" s="12" t="n"/>
      <c r="G100" s="12" t="n"/>
      <c r="H100" s="12" t="n"/>
      <c r="I100" s="12" t="n"/>
      <c r="J100" s="14" t="n"/>
    </row>
    <row r="101">
      <c r="D101" s="9" t="n"/>
      <c r="E101" s="9" t="n"/>
      <c r="J101" s="9" t="n"/>
    </row>
    <row r="102">
      <c r="A102" s="12" t="n"/>
      <c r="B102" s="12" t="n"/>
      <c r="C102" s="12" t="n"/>
      <c r="D102" s="14" t="n"/>
      <c r="E102" s="14" t="n"/>
      <c r="F102" s="12" t="n"/>
      <c r="G102" s="12" t="n"/>
      <c r="H102" s="12" t="n"/>
      <c r="I102" s="12" t="n"/>
      <c r="J102" s="14" t="n"/>
    </row>
    <row r="103">
      <c r="D103" s="9" t="n"/>
      <c r="E103" s="9" t="n"/>
      <c r="J103" s="9" t="n"/>
    </row>
    <row r="104">
      <c r="A104" s="12" t="n"/>
      <c r="B104" s="12" t="n"/>
      <c r="C104" s="12" t="n"/>
      <c r="D104" s="14" t="n"/>
      <c r="E104" s="14" t="n"/>
      <c r="F104" s="12" t="n"/>
      <c r="G104" s="12" t="n"/>
      <c r="H104" s="12" t="n"/>
      <c r="I104" s="12" t="n"/>
      <c r="J104" s="14" t="n"/>
    </row>
    <row r="105">
      <c r="D105" s="9" t="n"/>
      <c r="E105" s="9" t="n"/>
      <c r="J105" s="9" t="n"/>
    </row>
    <row r="106">
      <c r="A106" s="12" t="n"/>
      <c r="B106" s="12" t="n"/>
      <c r="C106" s="12" t="n"/>
      <c r="D106" s="14" t="n"/>
      <c r="E106" s="14" t="n"/>
      <c r="F106" s="12" t="n"/>
      <c r="G106" s="12" t="n"/>
      <c r="H106" s="12" t="n"/>
      <c r="I106" s="12" t="n"/>
      <c r="J106" s="14" t="n"/>
    </row>
    <row r="107">
      <c r="D107" s="9" t="n"/>
      <c r="E107" s="9" t="n"/>
      <c r="J107" s="9" t="n"/>
    </row>
    <row r="108">
      <c r="A108" s="12" t="n"/>
      <c r="B108" s="12" t="n"/>
      <c r="C108" s="12" t="n"/>
      <c r="D108" s="14" t="n"/>
      <c r="E108" s="14" t="n"/>
      <c r="F108" s="12" t="n"/>
      <c r="G108" s="12" t="n"/>
      <c r="H108" s="12" t="n"/>
      <c r="I108" s="12" t="n"/>
      <c r="J108" s="14" t="n"/>
    </row>
    <row r="109">
      <c r="D109" s="9" t="n"/>
      <c r="E109" s="9" t="n"/>
      <c r="J109" s="9" t="n"/>
    </row>
    <row r="110">
      <c r="A110" s="12" t="n"/>
      <c r="B110" s="12" t="n"/>
      <c r="C110" s="12" t="n"/>
      <c r="D110" s="14" t="n"/>
      <c r="E110" s="14" t="n"/>
      <c r="F110" s="12" t="n"/>
      <c r="G110" s="12" t="n"/>
      <c r="H110" s="12" t="n"/>
      <c r="I110" s="12" t="n"/>
      <c r="J110" s="14" t="n"/>
    </row>
    <row r="111">
      <c r="D111" s="9" t="n"/>
      <c r="E111" s="9" t="n"/>
      <c r="J111" s="9" t="n"/>
    </row>
    <row r="112">
      <c r="A112" s="12" t="n"/>
      <c r="B112" s="12" t="n"/>
      <c r="C112" s="12" t="n"/>
      <c r="D112" s="14" t="n"/>
      <c r="E112" s="14" t="n"/>
      <c r="F112" s="12" t="n"/>
      <c r="G112" s="12" t="n"/>
      <c r="H112" s="12" t="n"/>
      <c r="I112" s="12" t="n"/>
      <c r="J112" s="14" t="n"/>
    </row>
    <row r="113">
      <c r="D113" s="9" t="n"/>
      <c r="E113" s="9" t="n"/>
      <c r="J113" s="9" t="n"/>
    </row>
    <row r="114">
      <c r="A114" s="12" t="n"/>
      <c r="B114" s="12" t="n"/>
      <c r="C114" s="12" t="n"/>
      <c r="D114" s="14" t="n"/>
      <c r="E114" s="14" t="n"/>
      <c r="F114" s="12" t="n"/>
      <c r="G114" s="12" t="n"/>
      <c r="H114" s="12" t="n"/>
      <c r="I114" s="12" t="n"/>
      <c r="J114" s="14" t="n"/>
    </row>
    <row r="115">
      <c r="D115" s="9" t="n"/>
      <c r="E115" s="9" t="n"/>
      <c r="J115" s="9" t="n"/>
    </row>
    <row r="116">
      <c r="A116" s="12" t="n"/>
      <c r="B116" s="12" t="n"/>
      <c r="C116" s="12" t="n"/>
      <c r="D116" s="14" t="n"/>
      <c r="E116" s="14" t="n"/>
      <c r="F116" s="12" t="n"/>
      <c r="G116" s="12" t="n"/>
      <c r="H116" s="12" t="n"/>
      <c r="I116" s="12" t="n"/>
      <c r="J116" s="14" t="n"/>
    </row>
    <row r="117">
      <c r="D117" s="9" t="n"/>
      <c r="E117" s="9" t="n"/>
      <c r="J117" s="9" t="n"/>
    </row>
    <row r="118">
      <c r="A118" s="12" t="n"/>
      <c r="B118" s="12" t="n"/>
      <c r="C118" s="12" t="n"/>
      <c r="D118" s="14" t="n"/>
      <c r="E118" s="14" t="n"/>
      <c r="F118" s="12" t="n"/>
      <c r="G118" s="12" t="n"/>
      <c r="H118" s="12" t="n"/>
      <c r="I118" s="12" t="n"/>
      <c r="J118" s="14" t="n"/>
    </row>
    <row r="119">
      <c r="D119" s="9" t="n"/>
      <c r="E119" s="9" t="n"/>
      <c r="J119" s="9" t="n"/>
    </row>
    <row r="120">
      <c r="A120" s="12" t="n"/>
      <c r="B120" s="12" t="n"/>
      <c r="C120" s="12" t="n"/>
      <c r="D120" s="14" t="n"/>
      <c r="E120" s="14" t="n"/>
      <c r="F120" s="12" t="n"/>
      <c r="G120" s="12" t="n"/>
      <c r="H120" s="12" t="n"/>
      <c r="I120" s="12" t="n"/>
      <c r="J120" s="14" t="n"/>
    </row>
    <row r="121">
      <c r="D121" s="9" t="n"/>
      <c r="E121" s="9" t="n"/>
      <c r="J121" s="9" t="n"/>
    </row>
    <row r="122">
      <c r="A122" s="12" t="n"/>
      <c r="B122" s="12" t="n"/>
      <c r="C122" s="12" t="n"/>
      <c r="D122" s="14" t="n"/>
      <c r="E122" s="14" t="n"/>
      <c r="F122" s="12" t="n"/>
      <c r="G122" s="12" t="n"/>
      <c r="H122" s="12" t="n"/>
      <c r="I122" s="12" t="n"/>
      <c r="J122" s="14" t="n"/>
    </row>
    <row r="123">
      <c r="D123" s="9" t="n"/>
      <c r="E123" s="9" t="n"/>
      <c r="J123" s="9" t="n"/>
    </row>
    <row r="124">
      <c r="A124" s="12" t="n"/>
      <c r="B124" s="12" t="n"/>
      <c r="C124" s="12" t="n"/>
      <c r="D124" s="14" t="n"/>
      <c r="E124" s="14" t="n"/>
      <c r="F124" s="12" t="n"/>
      <c r="G124" s="12" t="n"/>
      <c r="H124" s="12" t="n"/>
      <c r="I124" s="12" t="n"/>
      <c r="J124" s="14" t="n"/>
    </row>
    <row r="125">
      <c r="D125" s="9" t="n"/>
      <c r="E125" s="9" t="n"/>
      <c r="J125" s="9" t="n"/>
    </row>
    <row r="126">
      <c r="A126" s="12" t="n"/>
      <c r="B126" s="12" t="n"/>
      <c r="C126" s="12" t="n"/>
      <c r="D126" s="14" t="n"/>
      <c r="E126" s="14" t="n"/>
      <c r="F126" s="12" t="n"/>
      <c r="G126" s="12" t="n"/>
      <c r="H126" s="12" t="n"/>
      <c r="I126" s="12" t="n"/>
      <c r="J126" s="14" t="n"/>
    </row>
    <row r="127">
      <c r="D127" s="9" t="n"/>
      <c r="E127" s="9" t="n"/>
      <c r="J127" s="9" t="n"/>
    </row>
    <row r="128">
      <c r="A128" s="12" t="n"/>
      <c r="B128" s="12" t="n"/>
      <c r="C128" s="12" t="n"/>
      <c r="D128" s="14" t="n"/>
      <c r="E128" s="14" t="n"/>
      <c r="F128" s="12" t="n"/>
      <c r="G128" s="12" t="n"/>
      <c r="H128" s="12" t="n"/>
      <c r="I128" s="12" t="n"/>
      <c r="J128" s="14" t="n"/>
    </row>
    <row r="129">
      <c r="D129" s="9" t="n"/>
      <c r="E129" s="9" t="n"/>
      <c r="J129" s="9" t="n"/>
    </row>
    <row r="130">
      <c r="A130" s="12" t="n"/>
      <c r="B130" s="12" t="n"/>
      <c r="C130" s="12" t="n"/>
      <c r="D130" s="14" t="n"/>
      <c r="E130" s="14" t="n"/>
      <c r="F130" s="12" t="n"/>
      <c r="G130" s="12" t="n"/>
      <c r="H130" s="12" t="n"/>
      <c r="I130" s="12" t="n"/>
      <c r="J130" s="14" t="n"/>
    </row>
    <row r="131">
      <c r="D131" s="9" t="n"/>
      <c r="E131" s="9" t="n"/>
      <c r="J131" s="9" t="n"/>
    </row>
    <row r="132">
      <c r="A132" s="12" t="n"/>
      <c r="B132" s="12" t="n"/>
      <c r="C132" s="12" t="n"/>
      <c r="D132" s="14" t="n"/>
      <c r="E132" s="14" t="n"/>
      <c r="F132" s="12" t="n"/>
      <c r="G132" s="12" t="n"/>
      <c r="H132" s="12" t="n"/>
      <c r="I132" s="12" t="n"/>
      <c r="J132" s="14" t="n"/>
    </row>
    <row r="133">
      <c r="D133" s="9" t="n"/>
      <c r="E133" s="9" t="n"/>
      <c r="J133" s="9" t="n"/>
    </row>
    <row r="134">
      <c r="A134" s="12" t="n"/>
      <c r="B134" s="12" t="n"/>
      <c r="C134" s="12" t="n"/>
      <c r="D134" s="14" t="n"/>
      <c r="E134" s="14" t="n"/>
      <c r="F134" s="12" t="n"/>
      <c r="G134" s="12" t="n"/>
      <c r="H134" s="12" t="n"/>
      <c r="I134" s="12" t="n"/>
      <c r="J134" s="14" t="n"/>
    </row>
    <row r="135">
      <c r="D135" s="9" t="n"/>
      <c r="E135" s="9" t="n"/>
      <c r="J135" s="9" t="n"/>
    </row>
    <row r="136">
      <c r="A136" s="12" t="n"/>
      <c r="B136" s="12" t="n"/>
      <c r="C136" s="12" t="n"/>
      <c r="D136" s="14" t="n"/>
      <c r="E136" s="14" t="n"/>
      <c r="F136" s="12" t="n"/>
      <c r="G136" s="12" t="n"/>
      <c r="H136" s="12" t="n"/>
      <c r="I136" s="12" t="n"/>
      <c r="J136" s="14" t="n"/>
    </row>
    <row r="137">
      <c r="D137" s="9" t="n"/>
      <c r="E137" s="9" t="n"/>
      <c r="J137" s="9" t="n"/>
    </row>
    <row r="138">
      <c r="A138" s="12" t="n"/>
      <c r="B138" s="12" t="n"/>
      <c r="C138" s="12" t="n"/>
      <c r="D138" s="14" t="n"/>
      <c r="E138" s="14" t="n"/>
      <c r="F138" s="12" t="n"/>
      <c r="G138" s="12" t="n"/>
      <c r="H138" s="12" t="n"/>
      <c r="I138" s="12" t="n"/>
      <c r="J138" s="14" t="n"/>
    </row>
    <row r="139">
      <c r="D139" s="9" t="n"/>
      <c r="E139" s="9" t="n"/>
      <c r="J139" s="9" t="n"/>
    </row>
    <row r="140">
      <c r="A140" s="12" t="n"/>
      <c r="B140" s="12" t="n"/>
      <c r="C140" s="12" t="n"/>
      <c r="D140" s="14" t="n"/>
      <c r="E140" s="14" t="n"/>
      <c r="F140" s="12" t="n"/>
      <c r="G140" s="12" t="n"/>
      <c r="H140" s="12" t="n"/>
      <c r="I140" s="12" t="n"/>
      <c r="J140" s="14" t="n"/>
    </row>
    <row r="141">
      <c r="D141" s="9" t="n"/>
      <c r="E141" s="9" t="n"/>
      <c r="J141" s="9" t="n"/>
    </row>
    <row r="142">
      <c r="A142" s="12" t="n"/>
      <c r="B142" s="12" t="n"/>
      <c r="C142" s="12" t="n"/>
      <c r="D142" s="14" t="n"/>
      <c r="E142" s="14" t="n"/>
      <c r="F142" s="12" t="n"/>
      <c r="G142" s="12" t="n"/>
      <c r="H142" s="12" t="n"/>
      <c r="I142" s="12" t="n"/>
      <c r="J142" s="14" t="n"/>
    </row>
    <row r="143">
      <c r="D143" s="9" t="n"/>
      <c r="E143" s="9" t="n"/>
      <c r="J143" s="9" t="n"/>
    </row>
    <row r="144">
      <c r="A144" s="12" t="n"/>
      <c r="B144" s="12" t="n"/>
      <c r="C144" s="12" t="n"/>
      <c r="D144" s="14" t="n"/>
      <c r="E144" s="14" t="n"/>
      <c r="F144" s="12" t="n"/>
      <c r="G144" s="12" t="n"/>
      <c r="H144" s="12" t="n"/>
      <c r="I144" s="12" t="n"/>
      <c r="J144" s="14" t="n"/>
    </row>
    <row r="145">
      <c r="D145" s="9" t="n"/>
      <c r="E145" s="9" t="n"/>
      <c r="J145" s="9" t="n"/>
    </row>
    <row r="146">
      <c r="A146" s="12" t="n"/>
      <c r="B146" s="12" t="n"/>
      <c r="C146" s="12" t="n"/>
      <c r="D146" s="14" t="n"/>
      <c r="E146" s="14" t="n"/>
      <c r="F146" s="12" t="n"/>
      <c r="G146" s="12" t="n"/>
      <c r="H146" s="12" t="n"/>
      <c r="I146" s="12" t="n"/>
      <c r="J146" s="14" t="n"/>
    </row>
    <row r="147">
      <c r="D147" s="9" t="n"/>
      <c r="E147" s="9" t="n"/>
      <c r="J147" s="9" t="n"/>
    </row>
    <row r="148">
      <c r="A148" s="12" t="n"/>
      <c r="B148" s="12" t="n"/>
      <c r="C148" s="12" t="n"/>
      <c r="D148" s="14" t="n"/>
      <c r="E148" s="14" t="n"/>
      <c r="F148" s="12" t="n"/>
      <c r="G148" s="12" t="n"/>
      <c r="H148" s="12" t="n"/>
      <c r="I148" s="12" t="n"/>
      <c r="J148" s="14" t="n"/>
    </row>
    <row r="149">
      <c r="D149" s="9" t="n"/>
      <c r="E149" s="9" t="n"/>
      <c r="J149" s="9" t="n"/>
    </row>
    <row r="150">
      <c r="A150" s="12" t="n"/>
      <c r="B150" s="12" t="n"/>
      <c r="C150" s="12" t="n"/>
      <c r="D150" s="14" t="n"/>
      <c r="E150" s="14" t="n"/>
      <c r="F150" s="12" t="n"/>
      <c r="G150" s="12" t="n"/>
      <c r="H150" s="12" t="n"/>
      <c r="I150" s="12" t="n"/>
      <c r="J150" s="14" t="n"/>
    </row>
    <row r="151">
      <c r="D151" s="9" t="n"/>
      <c r="E151" s="9" t="n"/>
      <c r="J151" s="9" t="n"/>
    </row>
    <row r="152">
      <c r="A152" s="12" t="n"/>
      <c r="B152" s="12" t="n"/>
      <c r="C152" s="12" t="n"/>
      <c r="D152" s="14" t="n"/>
      <c r="E152" s="14" t="n"/>
      <c r="F152" s="12" t="n"/>
      <c r="G152" s="12" t="n"/>
      <c r="H152" s="12" t="n"/>
      <c r="I152" s="12" t="n"/>
      <c r="J152" s="14" t="n"/>
    </row>
    <row r="153">
      <c r="D153" s="9" t="n"/>
      <c r="E153" s="9" t="n"/>
      <c r="J153" s="9" t="n"/>
    </row>
    <row r="154">
      <c r="A154" s="12" t="n"/>
      <c r="B154" s="12" t="n"/>
      <c r="C154" s="12" t="n"/>
      <c r="D154" s="14" t="n"/>
      <c r="E154" s="14" t="n"/>
      <c r="F154" s="12" t="n"/>
      <c r="G154" s="12" t="n"/>
      <c r="H154" s="12" t="n"/>
      <c r="I154" s="12" t="n"/>
      <c r="J154" s="14" t="n"/>
    </row>
    <row r="155">
      <c r="D155" s="9" t="n"/>
      <c r="E155" s="9" t="n"/>
      <c r="J155" s="9" t="n"/>
    </row>
    <row r="156">
      <c r="A156" s="12" t="n"/>
      <c r="B156" s="12" t="n"/>
      <c r="C156" s="12" t="n"/>
      <c r="D156" s="14" t="n"/>
      <c r="E156" s="14" t="n"/>
      <c r="F156" s="12" t="n"/>
      <c r="G156" s="12" t="n"/>
      <c r="H156" s="12" t="n"/>
      <c r="I156" s="12" t="n"/>
      <c r="J156" s="14" t="n"/>
    </row>
    <row r="157">
      <c r="D157" s="9" t="n"/>
      <c r="E157" s="9" t="n"/>
      <c r="J157" s="9" t="n"/>
    </row>
    <row r="158">
      <c r="A158" s="12" t="n"/>
      <c r="B158" s="12" t="n"/>
      <c r="C158" s="12" t="n"/>
      <c r="D158" s="14" t="n"/>
      <c r="E158" s="14" t="n"/>
      <c r="F158" s="12" t="n"/>
      <c r="G158" s="12" t="n"/>
      <c r="H158" s="12" t="n"/>
      <c r="I158" s="12" t="n"/>
      <c r="J158" s="14" t="n"/>
    </row>
    <row r="159">
      <c r="D159" s="9" t="n"/>
      <c r="E159" s="9" t="n"/>
      <c r="J159" s="9" t="n"/>
    </row>
    <row r="160">
      <c r="A160" s="12" t="n"/>
      <c r="B160" s="12" t="n"/>
      <c r="C160" s="12" t="n"/>
      <c r="D160" s="14" t="n"/>
      <c r="E160" s="14" t="n"/>
      <c r="F160" s="12" t="n"/>
      <c r="G160" s="12" t="n"/>
      <c r="H160" s="12" t="n"/>
      <c r="I160" s="12" t="n"/>
      <c r="J160" s="14" t="n"/>
    </row>
    <row r="161">
      <c r="D161" s="9" t="n"/>
      <c r="E161" s="9" t="n"/>
      <c r="J161" s="9" t="n"/>
    </row>
    <row r="162">
      <c r="A162" s="12" t="n"/>
      <c r="B162" s="12" t="n"/>
      <c r="C162" s="12" t="n"/>
      <c r="D162" s="14" t="n"/>
      <c r="E162" s="14" t="n"/>
      <c r="F162" s="12" t="n"/>
      <c r="G162" s="12" t="n"/>
      <c r="H162" s="12" t="n"/>
      <c r="I162" s="12" t="n"/>
      <c r="J162" s="14" t="n"/>
    </row>
    <row r="163">
      <c r="D163" s="9" t="n"/>
      <c r="E163" s="9" t="n"/>
      <c r="J163" s="9" t="n"/>
    </row>
    <row r="164">
      <c r="A164" s="12" t="n"/>
      <c r="B164" s="12" t="n"/>
      <c r="C164" s="12" t="n"/>
      <c r="D164" s="14" t="n"/>
      <c r="E164" s="14" t="n"/>
      <c r="F164" s="12" t="n"/>
      <c r="G164" s="12" t="n"/>
      <c r="H164" s="12" t="n"/>
      <c r="I164" s="12" t="n"/>
      <c r="J164" s="14" t="n"/>
    </row>
    <row r="165">
      <c r="D165" s="9" t="n"/>
      <c r="E165" s="9" t="n"/>
      <c r="J165" s="9" t="n"/>
    </row>
    <row r="166">
      <c r="A166" s="12" t="n"/>
      <c r="B166" s="12" t="n"/>
      <c r="C166" s="12" t="n"/>
      <c r="D166" s="14" t="n"/>
      <c r="E166" s="14" t="n"/>
      <c r="F166" s="12" t="n"/>
      <c r="G166" s="12" t="n"/>
      <c r="H166" s="12" t="n"/>
      <c r="I166" s="12" t="n"/>
      <c r="J166" s="14" t="n"/>
    </row>
    <row r="167">
      <c r="D167" s="9" t="n"/>
      <c r="E167" s="9" t="n"/>
      <c r="J167" s="9" t="n"/>
    </row>
    <row r="168">
      <c r="A168" s="12" t="n"/>
      <c r="B168" s="12" t="n"/>
      <c r="C168" s="12" t="n"/>
      <c r="D168" s="14" t="n"/>
      <c r="E168" s="14" t="n"/>
      <c r="F168" s="12" t="n"/>
      <c r="G168" s="12" t="n"/>
      <c r="H168" s="12" t="n"/>
      <c r="I168" s="12" t="n"/>
      <c r="J168" s="14" t="n"/>
    </row>
    <row r="169">
      <c r="D169" s="9" t="n"/>
      <c r="E169" s="9" t="n"/>
      <c r="J169" s="9" t="n"/>
    </row>
    <row r="170">
      <c r="A170" s="12" t="n"/>
      <c r="B170" s="12" t="n"/>
      <c r="C170" s="12" t="n"/>
      <c r="D170" s="14" t="n"/>
      <c r="E170" s="14" t="n"/>
      <c r="F170" s="12" t="n"/>
      <c r="G170" s="12" t="n"/>
      <c r="H170" s="12" t="n"/>
      <c r="I170" s="12" t="n"/>
      <c r="J170" s="14" t="n"/>
    </row>
    <row r="171">
      <c r="D171" s="9" t="n"/>
      <c r="E171" s="9" t="n"/>
      <c r="J171" s="9" t="n"/>
    </row>
    <row r="172">
      <c r="A172" s="12" t="n"/>
      <c r="B172" s="12" t="n"/>
      <c r="C172" s="12" t="n"/>
      <c r="D172" s="14" t="n"/>
      <c r="E172" s="14" t="n"/>
      <c r="F172" s="12" t="n"/>
      <c r="G172" s="12" t="n"/>
      <c r="H172" s="12" t="n"/>
      <c r="I172" s="12" t="n"/>
      <c r="J172" s="14" t="n"/>
    </row>
    <row r="173">
      <c r="D173" s="9" t="n"/>
      <c r="E173" s="9" t="n"/>
      <c r="J173" s="9" t="n"/>
    </row>
    <row r="174">
      <c r="A174" s="12" t="n"/>
      <c r="B174" s="12" t="n"/>
      <c r="C174" s="12" t="n"/>
      <c r="D174" s="14" t="n"/>
      <c r="E174" s="14" t="n"/>
      <c r="F174" s="12" t="n"/>
      <c r="G174" s="12" t="n"/>
      <c r="H174" s="12" t="n"/>
      <c r="I174" s="12" t="n"/>
      <c r="J174" s="14" t="n"/>
    </row>
    <row r="175">
      <c r="D175" s="9" t="n"/>
      <c r="E175" s="9" t="n"/>
      <c r="J175" s="9" t="n"/>
    </row>
    <row r="176">
      <c r="A176" s="12" t="n"/>
      <c r="B176" s="12" t="n"/>
      <c r="C176" s="12" t="n"/>
      <c r="D176" s="14" t="n"/>
      <c r="E176" s="14" t="n"/>
      <c r="F176" s="12" t="n"/>
      <c r="G176" s="12" t="n"/>
      <c r="H176" s="12" t="n"/>
      <c r="I176" s="12" t="n"/>
      <c r="J176" s="14" t="n"/>
    </row>
    <row r="177">
      <c r="D177" s="9" t="n"/>
      <c r="E177" s="9" t="n"/>
      <c r="J177" s="9" t="n"/>
    </row>
    <row r="178">
      <c r="A178" s="12" t="n"/>
      <c r="B178" s="12" t="n"/>
      <c r="C178" s="12" t="n"/>
      <c r="D178" s="14" t="n"/>
      <c r="E178" s="14" t="n"/>
      <c r="F178" s="12" t="n"/>
      <c r="G178" s="12" t="n"/>
      <c r="H178" s="12" t="n"/>
      <c r="I178" s="12" t="n"/>
      <c r="J178" s="14" t="n"/>
    </row>
    <row r="179">
      <c r="D179" s="9" t="n"/>
      <c r="E179" s="9" t="n"/>
      <c r="J179" s="9" t="n"/>
    </row>
    <row r="180">
      <c r="A180" s="12" t="n"/>
      <c r="B180" s="12" t="n"/>
      <c r="C180" s="12" t="n"/>
      <c r="D180" s="14" t="n"/>
      <c r="E180" s="14" t="n"/>
      <c r="F180" s="12" t="n"/>
      <c r="G180" s="12" t="n"/>
      <c r="H180" s="12" t="n"/>
      <c r="I180" s="12" t="n"/>
      <c r="J180" s="14" t="n"/>
    </row>
    <row r="181">
      <c r="D181" s="9" t="n"/>
      <c r="E181" s="9" t="n"/>
      <c r="J181" s="9" t="n"/>
    </row>
    <row r="182">
      <c r="A182" s="12" t="n"/>
      <c r="B182" s="12" t="n"/>
      <c r="C182" s="12" t="n"/>
      <c r="D182" s="14" t="n"/>
      <c r="E182" s="14" t="n"/>
      <c r="F182" s="12" t="n"/>
      <c r="G182" s="12" t="n"/>
      <c r="H182" s="12" t="n"/>
      <c r="I182" s="12" t="n"/>
      <c r="J182" s="14" t="n"/>
    </row>
    <row r="183">
      <c r="D183" s="9" t="n"/>
      <c r="E183" s="9" t="n"/>
      <c r="J183" s="9" t="n"/>
    </row>
    <row r="184">
      <c r="A184" s="12" t="n"/>
      <c r="B184" s="12" t="n"/>
      <c r="C184" s="12" t="n"/>
      <c r="D184" s="14" t="n"/>
      <c r="E184" s="14" t="n"/>
      <c r="F184" s="12" t="n"/>
      <c r="G184" s="12" t="n"/>
      <c r="H184" s="12" t="n"/>
      <c r="I184" s="12" t="n"/>
      <c r="J184" s="14" t="n"/>
    </row>
    <row r="185">
      <c r="D185" s="9" t="n"/>
      <c r="E185" s="9" t="n"/>
      <c r="J185" s="9" t="n"/>
    </row>
    <row r="186">
      <c r="A186" s="12" t="n"/>
      <c r="B186" s="12" t="n"/>
      <c r="C186" s="12" t="n"/>
      <c r="D186" s="14" t="n"/>
      <c r="E186" s="14" t="n"/>
      <c r="F186" s="12" t="n"/>
      <c r="G186" s="12" t="n"/>
      <c r="H186" s="12" t="n"/>
      <c r="I186" s="12" t="n"/>
      <c r="J186" s="14" t="n"/>
    </row>
    <row r="187">
      <c r="D187" s="9" t="n"/>
      <c r="E187" s="9" t="n"/>
      <c r="J187" s="9" t="n"/>
    </row>
    <row r="188">
      <c r="A188" s="12" t="n"/>
      <c r="B188" s="12" t="n"/>
      <c r="C188" s="12" t="n"/>
      <c r="D188" s="14" t="n"/>
      <c r="E188" s="14" t="n"/>
      <c r="F188" s="12" t="n"/>
      <c r="G188" s="12" t="n"/>
      <c r="H188" s="12" t="n"/>
      <c r="I188" s="12" t="n"/>
      <c r="J188" s="14" t="n"/>
    </row>
    <row r="189">
      <c r="D189" s="9" t="n"/>
      <c r="E189" s="9" t="n"/>
      <c r="J189" s="9" t="n"/>
    </row>
    <row r="190">
      <c r="A190" s="12" t="n"/>
      <c r="B190" s="12" t="n"/>
      <c r="C190" s="12" t="n"/>
      <c r="D190" s="14" t="n"/>
      <c r="E190" s="14" t="n"/>
      <c r="F190" s="12" t="n"/>
      <c r="G190" s="12" t="n"/>
      <c r="H190" s="12" t="n"/>
      <c r="I190" s="12" t="n"/>
      <c r="J190" s="14" t="n"/>
    </row>
    <row r="191">
      <c r="D191" s="9" t="n"/>
      <c r="E191" s="9" t="n"/>
      <c r="J191" s="9" t="n"/>
    </row>
    <row r="192">
      <c r="A192" s="12" t="n"/>
      <c r="B192" s="12" t="n"/>
      <c r="C192" s="12" t="n"/>
      <c r="D192" s="14" t="n"/>
      <c r="E192" s="14" t="n"/>
      <c r="F192" s="12" t="n"/>
      <c r="G192" s="12" t="n"/>
      <c r="H192" s="12" t="n"/>
      <c r="I192" s="12" t="n"/>
      <c r="J192" s="14" t="n"/>
    </row>
    <row r="193">
      <c r="D193" s="9" t="n"/>
      <c r="E193" s="9" t="n"/>
      <c r="J193" s="9" t="n"/>
    </row>
    <row r="194">
      <c r="A194" s="12" t="n"/>
      <c r="B194" s="12" t="n"/>
      <c r="C194" s="12" t="n"/>
      <c r="D194" s="14" t="n"/>
      <c r="E194" s="14" t="n"/>
      <c r="F194" s="12" t="n"/>
      <c r="G194" s="12" t="n"/>
      <c r="H194" s="12" t="n"/>
      <c r="I194" s="12" t="n"/>
      <c r="J194" s="14" t="n"/>
    </row>
    <row r="195">
      <c r="D195" s="9" t="n"/>
      <c r="E195" s="9" t="n"/>
      <c r="J195" s="9" t="n"/>
    </row>
    <row r="196">
      <c r="A196" s="12" t="n"/>
      <c r="B196" s="12" t="n"/>
      <c r="C196" s="12" t="n"/>
      <c r="D196" s="14" t="n"/>
      <c r="E196" s="14" t="n"/>
      <c r="F196" s="12" t="n"/>
      <c r="G196" s="12" t="n"/>
      <c r="H196" s="12" t="n"/>
      <c r="I196" s="12" t="n"/>
      <c r="J196" s="14" t="n"/>
    </row>
    <row r="197">
      <c r="D197" s="9" t="n"/>
      <c r="E197" s="9" t="n"/>
      <c r="J197" s="9" t="n"/>
    </row>
    <row r="198">
      <c r="A198" s="12" t="n"/>
      <c r="B198" s="12" t="n"/>
      <c r="C198" s="12" t="n"/>
      <c r="D198" s="14" t="n"/>
      <c r="E198" s="14" t="n"/>
      <c r="F198" s="12" t="n"/>
      <c r="G198" s="12" t="n"/>
      <c r="H198" s="12" t="n"/>
      <c r="I198" s="12" t="n"/>
      <c r="J198" s="14" t="n"/>
    </row>
    <row r="199">
      <c r="D199" s="9" t="n"/>
      <c r="E199" s="9" t="n"/>
      <c r="J199" s="9" t="n"/>
    </row>
    <row r="200">
      <c r="A200" s="12" t="n"/>
      <c r="B200" s="12" t="n"/>
      <c r="C200" s="12" t="n"/>
      <c r="D200" s="14" t="n"/>
      <c r="E200" s="14" t="n"/>
      <c r="F200" s="12" t="n"/>
      <c r="G200" s="12" t="n"/>
      <c r="H200" s="12" t="n"/>
      <c r="I200" s="12" t="n"/>
      <c r="J200" s="14" t="n"/>
    </row>
    <row r="201">
      <c r="D201" s="9" t="n"/>
      <c r="E201" s="9" t="n"/>
      <c r="J201" s="9" t="n"/>
    </row>
    <row r="202">
      <c r="A202" s="12" t="n"/>
      <c r="B202" s="12" t="n"/>
      <c r="C202" s="12" t="n"/>
      <c r="D202" s="14" t="n"/>
      <c r="E202" s="14" t="n"/>
      <c r="F202" s="12" t="n"/>
      <c r="G202" s="12" t="n"/>
      <c r="H202" s="12" t="n"/>
      <c r="I202" s="12" t="n"/>
      <c r="J202" s="14" t="n"/>
    </row>
    <row r="203">
      <c r="D203" s="9" t="n"/>
      <c r="E203" s="9" t="n"/>
      <c r="J203" s="9" t="n"/>
    </row>
    <row r="204">
      <c r="A204" s="12" t="n"/>
      <c r="B204" s="12" t="n"/>
      <c r="C204" s="12" t="n"/>
      <c r="D204" s="14" t="n"/>
      <c r="E204" s="14" t="n"/>
      <c r="F204" s="12" t="n"/>
      <c r="G204" s="12" t="n"/>
      <c r="H204" s="12" t="n"/>
      <c r="I204" s="12" t="n"/>
      <c r="J204" s="14" t="n"/>
    </row>
    <row r="205">
      <c r="D205" s="9" t="n"/>
      <c r="E205" s="9" t="n"/>
      <c r="J205" s="9" t="n"/>
    </row>
    <row r="206">
      <c r="A206" s="12" t="n"/>
      <c r="B206" s="12" t="n"/>
      <c r="C206" s="12" t="n"/>
      <c r="D206" s="14" t="n"/>
      <c r="E206" s="14" t="n"/>
      <c r="F206" s="12" t="n"/>
      <c r="G206" s="12" t="n"/>
      <c r="H206" s="12" t="n"/>
      <c r="I206" s="12" t="n"/>
      <c r="J206" s="14" t="n"/>
    </row>
    <row r="207">
      <c r="D207" s="9" t="n"/>
      <c r="E207" s="9" t="n"/>
      <c r="J207" s="9" t="n"/>
    </row>
    <row r="208">
      <c r="A208" s="12" t="n"/>
      <c r="B208" s="12" t="n"/>
      <c r="C208" s="12" t="n"/>
      <c r="D208" s="14" t="n"/>
      <c r="E208" s="14" t="n"/>
      <c r="F208" s="12" t="n"/>
      <c r="G208" s="12" t="n"/>
      <c r="H208" s="12" t="n"/>
      <c r="I208" s="12" t="n"/>
      <c r="J208" s="14" t="n"/>
    </row>
    <row r="209">
      <c r="D209" s="9" t="n"/>
      <c r="E209" s="9" t="n"/>
      <c r="J209" s="9" t="n"/>
    </row>
    <row r="210">
      <c r="A210" s="12" t="n"/>
      <c r="B210" s="12" t="n"/>
      <c r="C210" s="12" t="n"/>
      <c r="D210" s="14" t="n"/>
      <c r="E210" s="14" t="n"/>
      <c r="F210" s="12" t="n"/>
      <c r="G210" s="12" t="n"/>
      <c r="H210" s="12" t="n"/>
      <c r="I210" s="12" t="n"/>
      <c r="J210" s="14" t="n"/>
    </row>
    <row r="211">
      <c r="D211" s="9" t="n"/>
      <c r="E211" s="9" t="n"/>
      <c r="J211" s="9" t="n"/>
    </row>
    <row r="212">
      <c r="A212" s="12" t="n"/>
      <c r="B212" s="12" t="n"/>
      <c r="C212" s="12" t="n"/>
      <c r="D212" s="14" t="n"/>
      <c r="E212" s="14" t="n"/>
      <c r="F212" s="12" t="n"/>
      <c r="G212" s="12" t="n"/>
      <c r="H212" s="12" t="n"/>
      <c r="I212" s="12" t="n"/>
      <c r="J212" s="14" t="n"/>
    </row>
    <row r="213">
      <c r="D213" s="9" t="n"/>
      <c r="E213" s="9" t="n"/>
      <c r="J213" s="9" t="n"/>
    </row>
    <row r="214">
      <c r="A214" s="12" t="n"/>
      <c r="B214" s="12" t="n"/>
      <c r="C214" s="12" t="n"/>
      <c r="D214" s="14" t="n"/>
      <c r="E214" s="14" t="n"/>
      <c r="F214" s="12" t="n"/>
      <c r="G214" s="12" t="n"/>
      <c r="H214" s="12" t="n"/>
      <c r="I214" s="12" t="n"/>
      <c r="J214" s="14" t="n"/>
    </row>
    <row r="215">
      <c r="D215" s="9" t="n"/>
      <c r="E215" s="9" t="n"/>
      <c r="J215" s="9" t="n"/>
    </row>
    <row r="216">
      <c r="A216" s="12" t="n"/>
      <c r="B216" s="12" t="n"/>
      <c r="C216" s="12" t="n"/>
      <c r="D216" s="14" t="n"/>
      <c r="E216" s="14" t="n"/>
      <c r="F216" s="12" t="n"/>
      <c r="G216" s="12" t="n"/>
      <c r="H216" s="12" t="n"/>
      <c r="I216" s="12" t="n"/>
      <c r="J216" s="14" t="n"/>
    </row>
    <row r="217">
      <c r="D217" s="9" t="n"/>
      <c r="E217" s="9" t="n"/>
      <c r="J217" s="9" t="n"/>
    </row>
    <row r="218">
      <c r="A218" s="12" t="n"/>
      <c r="B218" s="12" t="n"/>
      <c r="C218" s="12" t="n"/>
      <c r="D218" s="14" t="n"/>
      <c r="E218" s="14" t="n"/>
      <c r="F218" s="12" t="n"/>
      <c r="G218" s="12" t="n"/>
      <c r="H218" s="12" t="n"/>
      <c r="I218" s="12" t="n"/>
      <c r="J218" s="14" t="n"/>
    </row>
    <row r="219">
      <c r="D219" s="9" t="n"/>
      <c r="E219" s="9" t="n"/>
      <c r="J219" s="9" t="n"/>
    </row>
    <row r="220">
      <c r="A220" s="12" t="n"/>
      <c r="B220" s="12" t="n"/>
      <c r="C220" s="12" t="n"/>
      <c r="D220" s="14" t="n"/>
      <c r="E220" s="14" t="n"/>
      <c r="F220" s="12" t="n"/>
      <c r="G220" s="12" t="n"/>
      <c r="H220" s="12" t="n"/>
      <c r="I220" s="12" t="n"/>
      <c r="J220" s="14" t="n"/>
    </row>
    <row r="221">
      <c r="D221" s="9" t="n"/>
      <c r="E221" s="9" t="n"/>
      <c r="J221" s="9" t="n"/>
    </row>
    <row r="222">
      <c r="A222" s="12" t="n"/>
      <c r="B222" s="12" t="n"/>
      <c r="C222" s="12" t="n"/>
      <c r="D222" s="14" t="n"/>
      <c r="E222" s="14" t="n"/>
      <c r="F222" s="12" t="n"/>
      <c r="G222" s="12" t="n"/>
      <c r="H222" s="12" t="n"/>
      <c r="I222" s="12" t="n"/>
      <c r="J222" s="14" t="n"/>
    </row>
    <row r="223">
      <c r="D223" s="9" t="n"/>
      <c r="E223" s="9" t="n"/>
      <c r="J223" s="9" t="n"/>
    </row>
    <row r="224">
      <c r="A224" s="12" t="n"/>
      <c r="B224" s="12" t="n"/>
      <c r="C224" s="12" t="n"/>
      <c r="D224" s="14" t="n"/>
      <c r="E224" s="14" t="n"/>
      <c r="F224" s="12" t="n"/>
      <c r="G224" s="12" t="n"/>
      <c r="H224" s="12" t="n"/>
      <c r="I224" s="12" t="n"/>
      <c r="J224" s="14" t="n"/>
    </row>
    <row r="225">
      <c r="D225" s="9" t="n"/>
      <c r="E225" s="9" t="n"/>
      <c r="J225" s="9" t="n"/>
    </row>
    <row r="226">
      <c r="A226" s="12" t="n"/>
      <c r="B226" s="12" t="n"/>
      <c r="C226" s="12" t="n"/>
      <c r="D226" s="14" t="n"/>
      <c r="E226" s="14" t="n"/>
      <c r="F226" s="12" t="n"/>
      <c r="G226" s="12" t="n"/>
      <c r="H226" s="12" t="n"/>
      <c r="I226" s="12" t="n"/>
      <c r="J226" s="14" t="n"/>
    </row>
    <row r="227">
      <c r="D227" s="9" t="n"/>
      <c r="E227" s="9" t="n"/>
      <c r="J227" s="9" t="n"/>
    </row>
    <row r="228">
      <c r="A228" s="12" t="n"/>
      <c r="B228" s="12" t="n"/>
      <c r="C228" s="12" t="n"/>
      <c r="D228" s="14" t="n"/>
      <c r="E228" s="14" t="n"/>
      <c r="F228" s="12" t="n"/>
      <c r="G228" s="12" t="n"/>
      <c r="H228" s="12" t="n"/>
      <c r="I228" s="12" t="n"/>
      <c r="J228" s="14" t="n"/>
    </row>
    <row r="229">
      <c r="D229" s="9" t="n"/>
      <c r="E229" s="9" t="n"/>
      <c r="J229" s="9" t="n"/>
    </row>
    <row r="230">
      <c r="A230" s="12" t="n"/>
      <c r="B230" s="12" t="n"/>
      <c r="C230" s="12" t="n"/>
      <c r="D230" s="14" t="n"/>
      <c r="E230" s="14" t="n"/>
      <c r="F230" s="12" t="n"/>
      <c r="G230" s="12" t="n"/>
      <c r="H230" s="12" t="n"/>
      <c r="I230" s="12" t="n"/>
      <c r="J230" s="14" t="n"/>
    </row>
    <row r="231">
      <c r="D231" s="9" t="n"/>
      <c r="E231" s="9" t="n"/>
      <c r="J231" s="9" t="n"/>
    </row>
    <row r="232">
      <c r="A232" s="12" t="n"/>
      <c r="B232" s="12" t="n"/>
      <c r="C232" s="12" t="n"/>
      <c r="D232" s="14" t="n"/>
      <c r="E232" s="14" t="n"/>
      <c r="F232" s="12" t="n"/>
      <c r="G232" s="12" t="n"/>
      <c r="H232" s="12" t="n"/>
      <c r="I232" s="12" t="n"/>
      <c r="J232" s="14" t="n"/>
    </row>
    <row r="233">
      <c r="D233" s="9" t="n"/>
      <c r="E233" s="9" t="n"/>
      <c r="J233" s="9" t="n"/>
    </row>
    <row r="234">
      <c r="A234" s="12" t="n"/>
      <c r="B234" s="12" t="n"/>
      <c r="C234" s="12" t="n"/>
      <c r="D234" s="14" t="n"/>
      <c r="E234" s="14" t="n"/>
      <c r="F234" s="12" t="n"/>
      <c r="G234" s="12" t="n"/>
      <c r="H234" s="12" t="n"/>
      <c r="I234" s="12" t="n"/>
      <c r="J234" s="14" t="n"/>
    </row>
    <row r="235">
      <c r="D235" s="9" t="n"/>
      <c r="E235" s="9" t="n"/>
      <c r="J235" s="9" t="n"/>
    </row>
    <row r="236">
      <c r="A236" s="12" t="n"/>
      <c r="B236" s="12" t="n"/>
      <c r="C236" s="12" t="n"/>
      <c r="D236" s="14" t="n"/>
      <c r="E236" s="14" t="n"/>
      <c r="F236" s="12" t="n"/>
      <c r="G236" s="12" t="n"/>
      <c r="H236" s="12" t="n"/>
      <c r="I236" s="12" t="n"/>
      <c r="J236" s="14" t="n"/>
    </row>
    <row r="237">
      <c r="D237" s="9" t="n"/>
      <c r="E237" s="9" t="n"/>
      <c r="J237" s="9" t="n"/>
    </row>
    <row r="238">
      <c r="A238" s="12" t="n"/>
      <c r="B238" s="12" t="n"/>
      <c r="C238" s="12" t="n"/>
      <c r="D238" s="14" t="n"/>
      <c r="E238" s="14" t="n"/>
      <c r="F238" s="12" t="n"/>
      <c r="G238" s="12" t="n"/>
      <c r="H238" s="12" t="n"/>
      <c r="I238" s="12" t="n"/>
      <c r="J238" s="14" t="n"/>
    </row>
    <row r="239">
      <c r="D239" s="9" t="n"/>
      <c r="E239" s="9" t="n"/>
      <c r="J239" s="9" t="n"/>
    </row>
    <row r="240">
      <c r="A240" s="12" t="n"/>
      <c r="B240" s="12" t="n"/>
      <c r="C240" s="12" t="n"/>
      <c r="D240" s="14" t="n"/>
      <c r="E240" s="14" t="n"/>
      <c r="F240" s="12" t="n"/>
      <c r="G240" s="12" t="n"/>
      <c r="H240" s="12" t="n"/>
      <c r="I240" s="12" t="n"/>
      <c r="J240" s="14" t="n"/>
    </row>
    <row r="241">
      <c r="D241" s="9" t="n"/>
      <c r="E241" s="9" t="n"/>
      <c r="J241" s="9" t="n"/>
    </row>
    <row r="242">
      <c r="A242" s="12" t="n"/>
      <c r="B242" s="12" t="n"/>
      <c r="C242" s="12" t="n"/>
      <c r="D242" s="14" t="n"/>
      <c r="E242" s="14" t="n"/>
      <c r="F242" s="12" t="n"/>
      <c r="G242" s="12" t="n"/>
      <c r="H242" s="12" t="n"/>
      <c r="I242" s="12" t="n"/>
      <c r="J242" s="14" t="n"/>
    </row>
    <row r="243">
      <c r="D243" s="9" t="n"/>
      <c r="E243" s="9" t="n"/>
      <c r="J243" s="9" t="n"/>
    </row>
    <row r="244">
      <c r="A244" s="12" t="n"/>
      <c r="B244" s="12" t="n"/>
      <c r="C244" s="12" t="n"/>
      <c r="D244" s="14" t="n"/>
      <c r="E244" s="14" t="n"/>
      <c r="F244" s="12" t="n"/>
      <c r="G244" s="12" t="n"/>
      <c r="H244" s="12" t="n"/>
      <c r="I244" s="12" t="n"/>
      <c r="J244" s="14" t="n"/>
    </row>
    <row r="245">
      <c r="D245" s="9" t="n"/>
      <c r="E245" s="9" t="n"/>
      <c r="J245" s="9" t="n"/>
    </row>
    <row r="246">
      <c r="A246" s="12" t="n"/>
      <c r="B246" s="12" t="n"/>
      <c r="C246" s="12" t="n"/>
      <c r="D246" s="14" t="n"/>
      <c r="E246" s="14" t="n"/>
      <c r="F246" s="12" t="n"/>
      <c r="G246" s="12" t="n"/>
      <c r="H246" s="12" t="n"/>
      <c r="I246" s="12" t="n"/>
      <c r="J246" s="14" t="n"/>
    </row>
    <row r="247">
      <c r="D247" s="9" t="n"/>
      <c r="E247" s="9" t="n"/>
      <c r="J247" s="9" t="n"/>
    </row>
    <row r="248">
      <c r="A248" s="12" t="n"/>
      <c r="B248" s="12" t="n"/>
      <c r="C248" s="12" t="n"/>
      <c r="D248" s="14" t="n"/>
      <c r="E248" s="14" t="n"/>
      <c r="F248" s="12" t="n"/>
      <c r="G248" s="12" t="n"/>
      <c r="H248" s="12" t="n"/>
      <c r="I248" s="12" t="n"/>
      <c r="J248" s="14" t="n"/>
    </row>
    <row r="249">
      <c r="D249" s="9" t="n"/>
      <c r="E249" s="9" t="n"/>
      <c r="J249" s="9" t="n"/>
    </row>
    <row r="250">
      <c r="A250" s="12" t="n"/>
      <c r="B250" s="12" t="n"/>
      <c r="C250" s="12" t="n"/>
      <c r="D250" s="14" t="n"/>
      <c r="E250" s="14" t="n"/>
      <c r="F250" s="12" t="n"/>
      <c r="G250" s="12" t="n"/>
      <c r="H250" s="12" t="n"/>
      <c r="I250" s="12" t="n"/>
      <c r="J250" s="14" t="n"/>
    </row>
    <row r="251">
      <c r="D251" s="9" t="n"/>
      <c r="E251" s="9" t="n"/>
      <c r="J251" s="9" t="n"/>
    </row>
  </sheetData>
  <autoFilter ref="A1:J251"/>
  <conditionalFormatting sqref="A2:J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4">
    <dataValidation sqref="C2:C251" showDropDown="0" showInputMessage="0" showErrorMessage="0" allowBlank="1" type="list">
      <formula1>='Lists'!$T$2:$T$9</formula1>
    </dataValidation>
    <dataValidation sqref="F2:F251" showDropDown="0" showInputMessage="0" showErrorMessage="0" allowBlank="1" type="list">
      <formula1>='Lists'!$K$2:$K$8</formula1>
    </dataValidation>
    <dataValidation sqref="I2:I251" showDropDown="0" showInputMessage="0" showErrorMessage="0" allowBlank="1" type="list">
      <formula1>='Lists'!$B$2:$B$3</formula1>
    </dataValidation>
    <dataValidation sqref="B2:B251" showDropDown="0" showInputMessage="0" showErrorMessage="0" allowBlank="1" type="list">
      <formula1>='Room List'!$A$2:$A$251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42" customHeight="1">
      <c r="A1" s="11" t="inlineStr">
        <is>
          <t>Phase</t>
        </is>
      </c>
      <c r="B1" s="11" t="inlineStr">
        <is>
          <t>Task</t>
        </is>
      </c>
      <c r="C1" s="11" t="inlineStr">
        <is>
          <t>Assigned to</t>
        </is>
      </c>
      <c r="D1" s="11" t="inlineStr">
        <is>
          <t>Start date</t>
        </is>
      </c>
      <c r="E1" s="11" t="inlineStr">
        <is>
          <t>Due date</t>
        </is>
      </c>
      <c r="F1" s="11" t="inlineStr">
        <is>
          <t>Completion date</t>
        </is>
      </c>
      <c r="G1" s="11" t="inlineStr">
        <is>
          <t>Status</t>
        </is>
      </c>
      <c r="H1" s="11" t="inlineStr">
        <is>
          <t>Priority</t>
        </is>
      </c>
      <c r="I1" s="11" t="inlineStr">
        <is>
          <t>Dependencies</t>
        </is>
      </c>
      <c r="J1" s="11" t="inlineStr">
        <is>
          <t>Notes</t>
        </is>
      </c>
      <c r="K1" s="11" t="inlineStr">
        <is>
          <t>Duration days</t>
        </is>
      </c>
      <c r="L1" s="11" t="inlineStr">
        <is>
          <t>Days overdue</t>
        </is>
      </c>
      <c r="M1" s="11" t="inlineStr">
        <is>
          <t>Gantt W1</t>
        </is>
      </c>
      <c r="N1" s="11" t="inlineStr">
        <is>
          <t>Gantt W2</t>
        </is>
      </c>
      <c r="O1" s="11" t="inlineStr">
        <is>
          <t>Gantt W3</t>
        </is>
      </c>
      <c r="P1" s="11" t="inlineStr">
        <is>
          <t>Gantt W4</t>
        </is>
      </c>
      <c r="Q1" s="11" t="inlineStr">
        <is>
          <t>Gantt W5</t>
        </is>
      </c>
      <c r="R1" s="11" t="inlineStr">
        <is>
          <t>Gantt W6</t>
        </is>
      </c>
      <c r="S1" s="11" t="inlineStr">
        <is>
          <t>Gantt W7</t>
        </is>
      </c>
      <c r="T1" s="11" t="inlineStr">
        <is>
          <t>Gantt W8</t>
        </is>
      </c>
      <c r="U1" s="11" t="inlineStr">
        <is>
          <t>Gantt W9</t>
        </is>
      </c>
      <c r="V1" s="11" t="inlineStr">
        <is>
          <t>Gantt W10</t>
        </is>
      </c>
      <c r="W1" s="11" t="inlineStr">
        <is>
          <t>Gantt W11</t>
        </is>
      </c>
      <c r="X1" s="11" t="inlineStr">
        <is>
          <t>Gantt W12</t>
        </is>
      </c>
    </row>
    <row r="2">
      <c r="A2" s="12" t="n"/>
      <c r="B2" s="12" t="n"/>
      <c r="C2" s="12" t="n"/>
      <c r="D2" s="14" t="n"/>
      <c r="E2" s="14" t="n"/>
      <c r="F2" s="14" t="n"/>
      <c r="G2" s="12" t="n"/>
      <c r="H2" s="12" t="n"/>
      <c r="I2" s="12" t="n"/>
      <c r="J2" s="12" t="n"/>
      <c r="K2" s="12">
        <f>IF(OR($D2="",$E2=""),"",$E2-$D2+1)</f>
        <v/>
      </c>
      <c r="L2" s="12">
        <f>IF(AND($E2&lt;TODAY(),$G2&lt;&gt;"Complete"),TODAY()-$E2,0)</f>
        <v/>
      </c>
      <c r="M2" s="12">
        <f>IF(OR($D2="",$E2=""),"",IF(AND($D2&lt;=IF('Client &amp; Project Profile'!$B$10="",TODAY(),'Client &amp; Project Profile'!$B$10)+0*7+6,$E2&gt;=IF('Client &amp; Project Profile'!$B$10="",TODAY(),'Client &amp; Project Profile'!$B$10)+0*7),"■",""))</f>
        <v/>
      </c>
      <c r="N2" s="12">
        <f>IF(OR($D2="",$E2=""),"",IF(AND($D2&lt;=IF('Client &amp; Project Profile'!$B$10="",TODAY(),'Client &amp; Project Profile'!$B$10)+1*7+6,$E2&gt;=IF('Client &amp; Project Profile'!$B$10="",TODAY(),'Client &amp; Project Profile'!$B$10)+1*7),"■",""))</f>
        <v/>
      </c>
      <c r="O2" s="12">
        <f>IF(OR($D2="",$E2=""),"",IF(AND($D2&lt;=IF('Client &amp; Project Profile'!$B$10="",TODAY(),'Client &amp; Project Profile'!$B$10)+2*7+6,$E2&gt;=IF('Client &amp; Project Profile'!$B$10="",TODAY(),'Client &amp; Project Profile'!$B$10)+2*7),"■",""))</f>
        <v/>
      </c>
      <c r="P2" s="12">
        <f>IF(OR($D2="",$E2=""),"",IF(AND($D2&lt;=IF('Client &amp; Project Profile'!$B$10="",TODAY(),'Client &amp; Project Profile'!$B$10)+3*7+6,$E2&gt;=IF('Client &amp; Project Profile'!$B$10="",TODAY(),'Client &amp; Project Profile'!$B$10)+3*7),"■",""))</f>
        <v/>
      </c>
      <c r="Q2" s="12">
        <f>IF(OR($D2="",$E2=""),"",IF(AND($D2&lt;=IF('Client &amp; Project Profile'!$B$10="",TODAY(),'Client &amp; Project Profile'!$B$10)+4*7+6,$E2&gt;=IF('Client &amp; Project Profile'!$B$10="",TODAY(),'Client &amp; Project Profile'!$B$10)+4*7),"■",""))</f>
        <v/>
      </c>
      <c r="R2" s="12">
        <f>IF(OR($D2="",$E2=""),"",IF(AND($D2&lt;=IF('Client &amp; Project Profile'!$B$10="",TODAY(),'Client &amp; Project Profile'!$B$10)+5*7+6,$E2&gt;=IF('Client &amp; Project Profile'!$B$10="",TODAY(),'Client &amp; Project Profile'!$B$10)+5*7),"■",""))</f>
        <v/>
      </c>
      <c r="S2" s="12">
        <f>IF(OR($D2="",$E2=""),"",IF(AND($D2&lt;=IF('Client &amp; Project Profile'!$B$10="",TODAY(),'Client &amp; Project Profile'!$B$10)+6*7+6,$E2&gt;=IF('Client &amp; Project Profile'!$B$10="",TODAY(),'Client &amp; Project Profile'!$B$10)+6*7),"■",""))</f>
        <v/>
      </c>
      <c r="T2" s="12">
        <f>IF(OR($D2="",$E2=""),"",IF(AND($D2&lt;=IF('Client &amp; Project Profile'!$B$10="",TODAY(),'Client &amp; Project Profile'!$B$10)+7*7+6,$E2&gt;=IF('Client &amp; Project Profile'!$B$10="",TODAY(),'Client &amp; Project Profile'!$B$10)+7*7),"■",""))</f>
        <v/>
      </c>
      <c r="U2" s="12">
        <f>IF(OR($D2="",$E2=""),"",IF(AND($D2&lt;=IF('Client &amp; Project Profile'!$B$10="",TODAY(),'Client &amp; Project Profile'!$B$10)+8*7+6,$E2&gt;=IF('Client &amp; Project Profile'!$B$10="",TODAY(),'Client &amp; Project Profile'!$B$10)+8*7),"■",""))</f>
        <v/>
      </c>
      <c r="V2" s="12">
        <f>IF(OR($D2="",$E2=""),"",IF(AND($D2&lt;=IF('Client &amp; Project Profile'!$B$10="",TODAY(),'Client &amp; Project Profile'!$B$10)+9*7+6,$E2&gt;=IF('Client &amp; Project Profile'!$B$10="",TODAY(),'Client &amp; Project Profile'!$B$10)+9*7),"■",""))</f>
        <v/>
      </c>
      <c r="W2" s="12">
        <f>IF(OR($D2="",$E2=""),"",IF(AND($D2&lt;=IF('Client &amp; Project Profile'!$B$10="",TODAY(),'Client &amp; Project Profile'!$B$10)+10*7+6,$E2&gt;=IF('Client &amp; Project Profile'!$B$10="",TODAY(),'Client &amp; Project Profile'!$B$10)+10*7),"■",""))</f>
        <v/>
      </c>
      <c r="X2" s="12">
        <f>IF(OR($D2="",$E2=""),"",IF(AND($D2&lt;=IF('Client &amp; Project Profile'!$B$10="",TODAY(),'Client &amp; Project Profile'!$B$10)+11*7+6,$E2&gt;=IF('Client &amp; Project Profile'!$B$10="",TODAY(),'Client &amp; Project Profile'!$B$10)+11*7),"■",""))</f>
        <v/>
      </c>
    </row>
    <row r="3">
      <c r="D3" s="9" t="n"/>
      <c r="E3" s="9" t="n"/>
      <c r="F3" s="9" t="n"/>
      <c r="K3">
        <f>IF(OR($D3="",$E3=""),"",$E3-$D3+1)</f>
        <v/>
      </c>
      <c r="L3">
        <f>IF(AND($E3&lt;TODAY(),$G3&lt;&gt;"Complete"),TODAY()-$E3,0)</f>
        <v/>
      </c>
      <c r="M3">
        <f>IF(OR($D3="",$E3=""),"",IF(AND($D3&lt;=IF('Client &amp; Project Profile'!$B$10="",TODAY(),'Client &amp; Project Profile'!$B$10)+0*7+6,$E3&gt;=IF('Client &amp; Project Profile'!$B$10="",TODAY(),'Client &amp; Project Profile'!$B$10)+0*7),"■",""))</f>
        <v/>
      </c>
      <c r="N3">
        <f>IF(OR($D3="",$E3=""),"",IF(AND($D3&lt;=IF('Client &amp; Project Profile'!$B$10="",TODAY(),'Client &amp; Project Profile'!$B$10)+1*7+6,$E3&gt;=IF('Client &amp; Project Profile'!$B$10="",TODAY(),'Client &amp; Project Profile'!$B$10)+1*7),"■",""))</f>
        <v/>
      </c>
      <c r="O3">
        <f>IF(OR($D3="",$E3=""),"",IF(AND($D3&lt;=IF('Client &amp; Project Profile'!$B$10="",TODAY(),'Client &amp; Project Profile'!$B$10)+2*7+6,$E3&gt;=IF('Client &amp; Project Profile'!$B$10="",TODAY(),'Client &amp; Project Profile'!$B$10)+2*7),"■",""))</f>
        <v/>
      </c>
      <c r="P3">
        <f>IF(OR($D3="",$E3=""),"",IF(AND($D3&lt;=IF('Client &amp; Project Profile'!$B$10="",TODAY(),'Client &amp; Project Profile'!$B$10)+3*7+6,$E3&gt;=IF('Client &amp; Project Profile'!$B$10="",TODAY(),'Client &amp; Project Profile'!$B$10)+3*7),"■",""))</f>
        <v/>
      </c>
      <c r="Q3">
        <f>IF(OR($D3="",$E3=""),"",IF(AND($D3&lt;=IF('Client &amp; Project Profile'!$B$10="",TODAY(),'Client &amp; Project Profile'!$B$10)+4*7+6,$E3&gt;=IF('Client &amp; Project Profile'!$B$10="",TODAY(),'Client &amp; Project Profile'!$B$10)+4*7),"■",""))</f>
        <v/>
      </c>
      <c r="R3">
        <f>IF(OR($D3="",$E3=""),"",IF(AND($D3&lt;=IF('Client &amp; Project Profile'!$B$10="",TODAY(),'Client &amp; Project Profile'!$B$10)+5*7+6,$E3&gt;=IF('Client &amp; Project Profile'!$B$10="",TODAY(),'Client &amp; Project Profile'!$B$10)+5*7),"■",""))</f>
        <v/>
      </c>
      <c r="S3">
        <f>IF(OR($D3="",$E3=""),"",IF(AND($D3&lt;=IF('Client &amp; Project Profile'!$B$10="",TODAY(),'Client &amp; Project Profile'!$B$10)+6*7+6,$E3&gt;=IF('Client &amp; Project Profile'!$B$10="",TODAY(),'Client &amp; Project Profile'!$B$10)+6*7),"■",""))</f>
        <v/>
      </c>
      <c r="T3">
        <f>IF(OR($D3="",$E3=""),"",IF(AND($D3&lt;=IF('Client &amp; Project Profile'!$B$10="",TODAY(),'Client &amp; Project Profile'!$B$10)+7*7+6,$E3&gt;=IF('Client &amp; Project Profile'!$B$10="",TODAY(),'Client &amp; Project Profile'!$B$10)+7*7),"■",""))</f>
        <v/>
      </c>
      <c r="U3">
        <f>IF(OR($D3="",$E3=""),"",IF(AND($D3&lt;=IF('Client &amp; Project Profile'!$B$10="",TODAY(),'Client &amp; Project Profile'!$B$10)+8*7+6,$E3&gt;=IF('Client &amp; Project Profile'!$B$10="",TODAY(),'Client &amp; Project Profile'!$B$10)+8*7),"■",""))</f>
        <v/>
      </c>
      <c r="V3">
        <f>IF(OR($D3="",$E3=""),"",IF(AND($D3&lt;=IF('Client &amp; Project Profile'!$B$10="",TODAY(),'Client &amp; Project Profile'!$B$10)+9*7+6,$E3&gt;=IF('Client &amp; Project Profile'!$B$10="",TODAY(),'Client &amp; Project Profile'!$B$10)+9*7),"■",""))</f>
        <v/>
      </c>
      <c r="W3">
        <f>IF(OR($D3="",$E3=""),"",IF(AND($D3&lt;=IF('Client &amp; Project Profile'!$B$10="",TODAY(),'Client &amp; Project Profile'!$B$10)+10*7+6,$E3&gt;=IF('Client &amp; Project Profile'!$B$10="",TODAY(),'Client &amp; Project Profile'!$B$10)+10*7),"■",""))</f>
        <v/>
      </c>
      <c r="X3">
        <f>IF(OR($D3="",$E3=""),"",IF(AND($D3&lt;=IF('Client &amp; Project Profile'!$B$10="",TODAY(),'Client &amp; Project Profile'!$B$10)+11*7+6,$E3&gt;=IF('Client &amp; Project Profile'!$B$10="",TODAY(),'Client &amp; Project Profile'!$B$10)+11*7),"■",""))</f>
        <v/>
      </c>
    </row>
    <row r="4">
      <c r="A4" s="12" t="n"/>
      <c r="B4" s="12" t="n"/>
      <c r="C4" s="12" t="n"/>
      <c r="D4" s="14" t="n"/>
      <c r="E4" s="14" t="n"/>
      <c r="F4" s="14" t="n"/>
      <c r="G4" s="12" t="n"/>
      <c r="H4" s="12" t="n"/>
      <c r="I4" s="12" t="n"/>
      <c r="J4" s="12" t="n"/>
      <c r="K4" s="12">
        <f>IF(OR($D4="",$E4=""),"",$E4-$D4+1)</f>
        <v/>
      </c>
      <c r="L4" s="12">
        <f>IF(AND($E4&lt;TODAY(),$G4&lt;&gt;"Complete"),TODAY()-$E4,0)</f>
        <v/>
      </c>
      <c r="M4" s="12">
        <f>IF(OR($D4="",$E4=""),"",IF(AND($D4&lt;=IF('Client &amp; Project Profile'!$B$10="",TODAY(),'Client &amp; Project Profile'!$B$10)+0*7+6,$E4&gt;=IF('Client &amp; Project Profile'!$B$10="",TODAY(),'Client &amp; Project Profile'!$B$10)+0*7),"■",""))</f>
        <v/>
      </c>
      <c r="N4" s="12">
        <f>IF(OR($D4="",$E4=""),"",IF(AND($D4&lt;=IF('Client &amp; Project Profile'!$B$10="",TODAY(),'Client &amp; Project Profile'!$B$10)+1*7+6,$E4&gt;=IF('Client &amp; Project Profile'!$B$10="",TODAY(),'Client &amp; Project Profile'!$B$10)+1*7),"■",""))</f>
        <v/>
      </c>
      <c r="O4" s="12">
        <f>IF(OR($D4="",$E4=""),"",IF(AND($D4&lt;=IF('Client &amp; Project Profile'!$B$10="",TODAY(),'Client &amp; Project Profile'!$B$10)+2*7+6,$E4&gt;=IF('Client &amp; Project Profile'!$B$10="",TODAY(),'Client &amp; Project Profile'!$B$10)+2*7),"■",""))</f>
        <v/>
      </c>
      <c r="P4" s="12">
        <f>IF(OR($D4="",$E4=""),"",IF(AND($D4&lt;=IF('Client &amp; Project Profile'!$B$10="",TODAY(),'Client &amp; Project Profile'!$B$10)+3*7+6,$E4&gt;=IF('Client &amp; Project Profile'!$B$10="",TODAY(),'Client &amp; Project Profile'!$B$10)+3*7),"■",""))</f>
        <v/>
      </c>
      <c r="Q4" s="12">
        <f>IF(OR($D4="",$E4=""),"",IF(AND($D4&lt;=IF('Client &amp; Project Profile'!$B$10="",TODAY(),'Client &amp; Project Profile'!$B$10)+4*7+6,$E4&gt;=IF('Client &amp; Project Profile'!$B$10="",TODAY(),'Client &amp; Project Profile'!$B$10)+4*7),"■",""))</f>
        <v/>
      </c>
      <c r="R4" s="12">
        <f>IF(OR($D4="",$E4=""),"",IF(AND($D4&lt;=IF('Client &amp; Project Profile'!$B$10="",TODAY(),'Client &amp; Project Profile'!$B$10)+5*7+6,$E4&gt;=IF('Client &amp; Project Profile'!$B$10="",TODAY(),'Client &amp; Project Profile'!$B$10)+5*7),"■",""))</f>
        <v/>
      </c>
      <c r="S4" s="12">
        <f>IF(OR($D4="",$E4=""),"",IF(AND($D4&lt;=IF('Client &amp; Project Profile'!$B$10="",TODAY(),'Client &amp; Project Profile'!$B$10)+6*7+6,$E4&gt;=IF('Client &amp; Project Profile'!$B$10="",TODAY(),'Client &amp; Project Profile'!$B$10)+6*7),"■",""))</f>
        <v/>
      </c>
      <c r="T4" s="12">
        <f>IF(OR($D4="",$E4=""),"",IF(AND($D4&lt;=IF('Client &amp; Project Profile'!$B$10="",TODAY(),'Client &amp; Project Profile'!$B$10)+7*7+6,$E4&gt;=IF('Client &amp; Project Profile'!$B$10="",TODAY(),'Client &amp; Project Profile'!$B$10)+7*7),"■",""))</f>
        <v/>
      </c>
      <c r="U4" s="12">
        <f>IF(OR($D4="",$E4=""),"",IF(AND($D4&lt;=IF('Client &amp; Project Profile'!$B$10="",TODAY(),'Client &amp; Project Profile'!$B$10)+8*7+6,$E4&gt;=IF('Client &amp; Project Profile'!$B$10="",TODAY(),'Client &amp; Project Profile'!$B$10)+8*7),"■",""))</f>
        <v/>
      </c>
      <c r="V4" s="12">
        <f>IF(OR($D4="",$E4=""),"",IF(AND($D4&lt;=IF('Client &amp; Project Profile'!$B$10="",TODAY(),'Client &amp; Project Profile'!$B$10)+9*7+6,$E4&gt;=IF('Client &amp; Project Profile'!$B$10="",TODAY(),'Client &amp; Project Profile'!$B$10)+9*7),"■",""))</f>
        <v/>
      </c>
      <c r="W4" s="12">
        <f>IF(OR($D4="",$E4=""),"",IF(AND($D4&lt;=IF('Client &amp; Project Profile'!$B$10="",TODAY(),'Client &amp; Project Profile'!$B$10)+10*7+6,$E4&gt;=IF('Client &amp; Project Profile'!$B$10="",TODAY(),'Client &amp; Project Profile'!$B$10)+10*7),"■",""))</f>
        <v/>
      </c>
      <c r="X4" s="12">
        <f>IF(OR($D4="",$E4=""),"",IF(AND($D4&lt;=IF('Client &amp; Project Profile'!$B$10="",TODAY(),'Client &amp; Project Profile'!$B$10)+11*7+6,$E4&gt;=IF('Client &amp; Project Profile'!$B$10="",TODAY(),'Client &amp; Project Profile'!$B$10)+11*7),"■",""))</f>
        <v/>
      </c>
    </row>
    <row r="5">
      <c r="D5" s="9" t="n"/>
      <c r="E5" s="9" t="n"/>
      <c r="F5" s="9" t="n"/>
      <c r="K5">
        <f>IF(OR($D5="",$E5=""),"",$E5-$D5+1)</f>
        <v/>
      </c>
      <c r="L5">
        <f>IF(AND($E5&lt;TODAY(),$G5&lt;&gt;"Complete"),TODAY()-$E5,0)</f>
        <v/>
      </c>
      <c r="M5">
        <f>IF(OR($D5="",$E5=""),"",IF(AND($D5&lt;=IF('Client &amp; Project Profile'!$B$10="",TODAY(),'Client &amp; Project Profile'!$B$10)+0*7+6,$E5&gt;=IF('Client &amp; Project Profile'!$B$10="",TODAY(),'Client &amp; Project Profile'!$B$10)+0*7),"■",""))</f>
        <v/>
      </c>
      <c r="N5">
        <f>IF(OR($D5="",$E5=""),"",IF(AND($D5&lt;=IF('Client &amp; Project Profile'!$B$10="",TODAY(),'Client &amp; Project Profile'!$B$10)+1*7+6,$E5&gt;=IF('Client &amp; Project Profile'!$B$10="",TODAY(),'Client &amp; Project Profile'!$B$10)+1*7),"■",""))</f>
        <v/>
      </c>
      <c r="O5">
        <f>IF(OR($D5="",$E5=""),"",IF(AND($D5&lt;=IF('Client &amp; Project Profile'!$B$10="",TODAY(),'Client &amp; Project Profile'!$B$10)+2*7+6,$E5&gt;=IF('Client &amp; Project Profile'!$B$10="",TODAY(),'Client &amp; Project Profile'!$B$10)+2*7),"■",""))</f>
        <v/>
      </c>
      <c r="P5">
        <f>IF(OR($D5="",$E5=""),"",IF(AND($D5&lt;=IF('Client &amp; Project Profile'!$B$10="",TODAY(),'Client &amp; Project Profile'!$B$10)+3*7+6,$E5&gt;=IF('Client &amp; Project Profile'!$B$10="",TODAY(),'Client &amp; Project Profile'!$B$10)+3*7),"■",""))</f>
        <v/>
      </c>
      <c r="Q5">
        <f>IF(OR($D5="",$E5=""),"",IF(AND($D5&lt;=IF('Client &amp; Project Profile'!$B$10="",TODAY(),'Client &amp; Project Profile'!$B$10)+4*7+6,$E5&gt;=IF('Client &amp; Project Profile'!$B$10="",TODAY(),'Client &amp; Project Profile'!$B$10)+4*7),"■",""))</f>
        <v/>
      </c>
      <c r="R5">
        <f>IF(OR($D5="",$E5=""),"",IF(AND($D5&lt;=IF('Client &amp; Project Profile'!$B$10="",TODAY(),'Client &amp; Project Profile'!$B$10)+5*7+6,$E5&gt;=IF('Client &amp; Project Profile'!$B$10="",TODAY(),'Client &amp; Project Profile'!$B$10)+5*7),"■",""))</f>
        <v/>
      </c>
      <c r="S5">
        <f>IF(OR($D5="",$E5=""),"",IF(AND($D5&lt;=IF('Client &amp; Project Profile'!$B$10="",TODAY(),'Client &amp; Project Profile'!$B$10)+6*7+6,$E5&gt;=IF('Client &amp; Project Profile'!$B$10="",TODAY(),'Client &amp; Project Profile'!$B$10)+6*7),"■",""))</f>
        <v/>
      </c>
      <c r="T5">
        <f>IF(OR($D5="",$E5=""),"",IF(AND($D5&lt;=IF('Client &amp; Project Profile'!$B$10="",TODAY(),'Client &amp; Project Profile'!$B$10)+7*7+6,$E5&gt;=IF('Client &amp; Project Profile'!$B$10="",TODAY(),'Client &amp; Project Profile'!$B$10)+7*7),"■",""))</f>
        <v/>
      </c>
      <c r="U5">
        <f>IF(OR($D5="",$E5=""),"",IF(AND($D5&lt;=IF('Client &amp; Project Profile'!$B$10="",TODAY(),'Client &amp; Project Profile'!$B$10)+8*7+6,$E5&gt;=IF('Client &amp; Project Profile'!$B$10="",TODAY(),'Client &amp; Project Profile'!$B$10)+8*7),"■",""))</f>
        <v/>
      </c>
      <c r="V5">
        <f>IF(OR($D5="",$E5=""),"",IF(AND($D5&lt;=IF('Client &amp; Project Profile'!$B$10="",TODAY(),'Client &amp; Project Profile'!$B$10)+9*7+6,$E5&gt;=IF('Client &amp; Project Profile'!$B$10="",TODAY(),'Client &amp; Project Profile'!$B$10)+9*7),"■",""))</f>
        <v/>
      </c>
      <c r="W5">
        <f>IF(OR($D5="",$E5=""),"",IF(AND($D5&lt;=IF('Client &amp; Project Profile'!$B$10="",TODAY(),'Client &amp; Project Profile'!$B$10)+10*7+6,$E5&gt;=IF('Client &amp; Project Profile'!$B$10="",TODAY(),'Client &amp; Project Profile'!$B$10)+10*7),"■",""))</f>
        <v/>
      </c>
      <c r="X5">
        <f>IF(OR($D5="",$E5=""),"",IF(AND($D5&lt;=IF('Client &amp; Project Profile'!$B$10="",TODAY(),'Client &amp; Project Profile'!$B$10)+11*7+6,$E5&gt;=IF('Client &amp; Project Profile'!$B$10="",TODAY(),'Client &amp; Project Profile'!$B$10)+11*7),"■",""))</f>
        <v/>
      </c>
    </row>
    <row r="6">
      <c r="A6" s="12" t="n"/>
      <c r="B6" s="12" t="n"/>
      <c r="C6" s="12" t="n"/>
      <c r="D6" s="14" t="n"/>
      <c r="E6" s="14" t="n"/>
      <c r="F6" s="14" t="n"/>
      <c r="G6" s="12" t="n"/>
      <c r="H6" s="12" t="n"/>
      <c r="I6" s="12" t="n"/>
      <c r="J6" s="12" t="n"/>
      <c r="K6" s="12">
        <f>IF(OR($D6="",$E6=""),"",$E6-$D6+1)</f>
        <v/>
      </c>
      <c r="L6" s="12">
        <f>IF(AND($E6&lt;TODAY(),$G6&lt;&gt;"Complete"),TODAY()-$E6,0)</f>
        <v/>
      </c>
      <c r="M6" s="12">
        <f>IF(OR($D6="",$E6=""),"",IF(AND($D6&lt;=IF('Client &amp; Project Profile'!$B$10="",TODAY(),'Client &amp; Project Profile'!$B$10)+0*7+6,$E6&gt;=IF('Client &amp; Project Profile'!$B$10="",TODAY(),'Client &amp; Project Profile'!$B$10)+0*7),"■",""))</f>
        <v/>
      </c>
      <c r="N6" s="12">
        <f>IF(OR($D6="",$E6=""),"",IF(AND($D6&lt;=IF('Client &amp; Project Profile'!$B$10="",TODAY(),'Client &amp; Project Profile'!$B$10)+1*7+6,$E6&gt;=IF('Client &amp; Project Profile'!$B$10="",TODAY(),'Client &amp; Project Profile'!$B$10)+1*7),"■",""))</f>
        <v/>
      </c>
      <c r="O6" s="12">
        <f>IF(OR($D6="",$E6=""),"",IF(AND($D6&lt;=IF('Client &amp; Project Profile'!$B$10="",TODAY(),'Client &amp; Project Profile'!$B$10)+2*7+6,$E6&gt;=IF('Client &amp; Project Profile'!$B$10="",TODAY(),'Client &amp; Project Profile'!$B$10)+2*7),"■",""))</f>
        <v/>
      </c>
      <c r="P6" s="12">
        <f>IF(OR($D6="",$E6=""),"",IF(AND($D6&lt;=IF('Client &amp; Project Profile'!$B$10="",TODAY(),'Client &amp; Project Profile'!$B$10)+3*7+6,$E6&gt;=IF('Client &amp; Project Profile'!$B$10="",TODAY(),'Client &amp; Project Profile'!$B$10)+3*7),"■",""))</f>
        <v/>
      </c>
      <c r="Q6" s="12">
        <f>IF(OR($D6="",$E6=""),"",IF(AND($D6&lt;=IF('Client &amp; Project Profile'!$B$10="",TODAY(),'Client &amp; Project Profile'!$B$10)+4*7+6,$E6&gt;=IF('Client &amp; Project Profile'!$B$10="",TODAY(),'Client &amp; Project Profile'!$B$10)+4*7),"■",""))</f>
        <v/>
      </c>
      <c r="R6" s="12">
        <f>IF(OR($D6="",$E6=""),"",IF(AND($D6&lt;=IF('Client &amp; Project Profile'!$B$10="",TODAY(),'Client &amp; Project Profile'!$B$10)+5*7+6,$E6&gt;=IF('Client &amp; Project Profile'!$B$10="",TODAY(),'Client &amp; Project Profile'!$B$10)+5*7),"■",""))</f>
        <v/>
      </c>
      <c r="S6" s="12">
        <f>IF(OR($D6="",$E6=""),"",IF(AND($D6&lt;=IF('Client &amp; Project Profile'!$B$10="",TODAY(),'Client &amp; Project Profile'!$B$10)+6*7+6,$E6&gt;=IF('Client &amp; Project Profile'!$B$10="",TODAY(),'Client &amp; Project Profile'!$B$10)+6*7),"■",""))</f>
        <v/>
      </c>
      <c r="T6" s="12">
        <f>IF(OR($D6="",$E6=""),"",IF(AND($D6&lt;=IF('Client &amp; Project Profile'!$B$10="",TODAY(),'Client &amp; Project Profile'!$B$10)+7*7+6,$E6&gt;=IF('Client &amp; Project Profile'!$B$10="",TODAY(),'Client &amp; Project Profile'!$B$10)+7*7),"■",""))</f>
        <v/>
      </c>
      <c r="U6" s="12">
        <f>IF(OR($D6="",$E6=""),"",IF(AND($D6&lt;=IF('Client &amp; Project Profile'!$B$10="",TODAY(),'Client &amp; Project Profile'!$B$10)+8*7+6,$E6&gt;=IF('Client &amp; Project Profile'!$B$10="",TODAY(),'Client &amp; Project Profile'!$B$10)+8*7),"■",""))</f>
        <v/>
      </c>
      <c r="V6" s="12">
        <f>IF(OR($D6="",$E6=""),"",IF(AND($D6&lt;=IF('Client &amp; Project Profile'!$B$10="",TODAY(),'Client &amp; Project Profile'!$B$10)+9*7+6,$E6&gt;=IF('Client &amp; Project Profile'!$B$10="",TODAY(),'Client &amp; Project Profile'!$B$10)+9*7),"■",""))</f>
        <v/>
      </c>
      <c r="W6" s="12">
        <f>IF(OR($D6="",$E6=""),"",IF(AND($D6&lt;=IF('Client &amp; Project Profile'!$B$10="",TODAY(),'Client &amp; Project Profile'!$B$10)+10*7+6,$E6&gt;=IF('Client &amp; Project Profile'!$B$10="",TODAY(),'Client &amp; Project Profile'!$B$10)+10*7),"■",""))</f>
        <v/>
      </c>
      <c r="X6" s="12">
        <f>IF(OR($D6="",$E6=""),"",IF(AND($D6&lt;=IF('Client &amp; Project Profile'!$B$10="",TODAY(),'Client &amp; Project Profile'!$B$10)+11*7+6,$E6&gt;=IF('Client &amp; Project Profile'!$B$10="",TODAY(),'Client &amp; Project Profile'!$B$10)+11*7),"■",""))</f>
        <v/>
      </c>
    </row>
    <row r="7">
      <c r="D7" s="9" t="n"/>
      <c r="E7" s="9" t="n"/>
      <c r="F7" s="9" t="n"/>
      <c r="K7">
        <f>IF(OR($D7="",$E7=""),"",$E7-$D7+1)</f>
        <v/>
      </c>
      <c r="L7">
        <f>IF(AND($E7&lt;TODAY(),$G7&lt;&gt;"Complete"),TODAY()-$E7,0)</f>
        <v/>
      </c>
      <c r="M7">
        <f>IF(OR($D7="",$E7=""),"",IF(AND($D7&lt;=IF('Client &amp; Project Profile'!$B$10="",TODAY(),'Client &amp; Project Profile'!$B$10)+0*7+6,$E7&gt;=IF('Client &amp; Project Profile'!$B$10="",TODAY(),'Client &amp; Project Profile'!$B$10)+0*7),"■",""))</f>
        <v/>
      </c>
      <c r="N7">
        <f>IF(OR($D7="",$E7=""),"",IF(AND($D7&lt;=IF('Client &amp; Project Profile'!$B$10="",TODAY(),'Client &amp; Project Profile'!$B$10)+1*7+6,$E7&gt;=IF('Client &amp; Project Profile'!$B$10="",TODAY(),'Client &amp; Project Profile'!$B$10)+1*7),"■",""))</f>
        <v/>
      </c>
      <c r="O7">
        <f>IF(OR($D7="",$E7=""),"",IF(AND($D7&lt;=IF('Client &amp; Project Profile'!$B$10="",TODAY(),'Client &amp; Project Profile'!$B$10)+2*7+6,$E7&gt;=IF('Client &amp; Project Profile'!$B$10="",TODAY(),'Client &amp; Project Profile'!$B$10)+2*7),"■",""))</f>
        <v/>
      </c>
      <c r="P7">
        <f>IF(OR($D7="",$E7=""),"",IF(AND($D7&lt;=IF('Client &amp; Project Profile'!$B$10="",TODAY(),'Client &amp; Project Profile'!$B$10)+3*7+6,$E7&gt;=IF('Client &amp; Project Profile'!$B$10="",TODAY(),'Client &amp; Project Profile'!$B$10)+3*7),"■",""))</f>
        <v/>
      </c>
      <c r="Q7">
        <f>IF(OR($D7="",$E7=""),"",IF(AND($D7&lt;=IF('Client &amp; Project Profile'!$B$10="",TODAY(),'Client &amp; Project Profile'!$B$10)+4*7+6,$E7&gt;=IF('Client &amp; Project Profile'!$B$10="",TODAY(),'Client &amp; Project Profile'!$B$10)+4*7),"■",""))</f>
        <v/>
      </c>
      <c r="R7">
        <f>IF(OR($D7="",$E7=""),"",IF(AND($D7&lt;=IF('Client &amp; Project Profile'!$B$10="",TODAY(),'Client &amp; Project Profile'!$B$10)+5*7+6,$E7&gt;=IF('Client &amp; Project Profile'!$B$10="",TODAY(),'Client &amp; Project Profile'!$B$10)+5*7),"■",""))</f>
        <v/>
      </c>
      <c r="S7">
        <f>IF(OR($D7="",$E7=""),"",IF(AND($D7&lt;=IF('Client &amp; Project Profile'!$B$10="",TODAY(),'Client &amp; Project Profile'!$B$10)+6*7+6,$E7&gt;=IF('Client &amp; Project Profile'!$B$10="",TODAY(),'Client &amp; Project Profile'!$B$10)+6*7),"■",""))</f>
        <v/>
      </c>
      <c r="T7">
        <f>IF(OR($D7="",$E7=""),"",IF(AND($D7&lt;=IF('Client &amp; Project Profile'!$B$10="",TODAY(),'Client &amp; Project Profile'!$B$10)+7*7+6,$E7&gt;=IF('Client &amp; Project Profile'!$B$10="",TODAY(),'Client &amp; Project Profile'!$B$10)+7*7),"■",""))</f>
        <v/>
      </c>
      <c r="U7">
        <f>IF(OR($D7="",$E7=""),"",IF(AND($D7&lt;=IF('Client &amp; Project Profile'!$B$10="",TODAY(),'Client &amp; Project Profile'!$B$10)+8*7+6,$E7&gt;=IF('Client &amp; Project Profile'!$B$10="",TODAY(),'Client &amp; Project Profile'!$B$10)+8*7),"■",""))</f>
        <v/>
      </c>
      <c r="V7">
        <f>IF(OR($D7="",$E7=""),"",IF(AND($D7&lt;=IF('Client &amp; Project Profile'!$B$10="",TODAY(),'Client &amp; Project Profile'!$B$10)+9*7+6,$E7&gt;=IF('Client &amp; Project Profile'!$B$10="",TODAY(),'Client &amp; Project Profile'!$B$10)+9*7),"■",""))</f>
        <v/>
      </c>
      <c r="W7">
        <f>IF(OR($D7="",$E7=""),"",IF(AND($D7&lt;=IF('Client &amp; Project Profile'!$B$10="",TODAY(),'Client &amp; Project Profile'!$B$10)+10*7+6,$E7&gt;=IF('Client &amp; Project Profile'!$B$10="",TODAY(),'Client &amp; Project Profile'!$B$10)+10*7),"■",""))</f>
        <v/>
      </c>
      <c r="X7">
        <f>IF(OR($D7="",$E7=""),"",IF(AND($D7&lt;=IF('Client &amp; Project Profile'!$B$10="",TODAY(),'Client &amp; Project Profile'!$B$10)+11*7+6,$E7&gt;=IF('Client &amp; Project Profile'!$B$10="",TODAY(),'Client &amp; Project Profile'!$B$10)+11*7),"■",""))</f>
        <v/>
      </c>
    </row>
    <row r="8">
      <c r="A8" s="12" t="n"/>
      <c r="B8" s="12" t="n"/>
      <c r="C8" s="12" t="n"/>
      <c r="D8" s="14" t="n"/>
      <c r="E8" s="14" t="n"/>
      <c r="F8" s="14" t="n"/>
      <c r="G8" s="12" t="n"/>
      <c r="H8" s="12" t="n"/>
      <c r="I8" s="12" t="n"/>
      <c r="J8" s="12" t="n"/>
      <c r="K8" s="12">
        <f>IF(OR($D8="",$E8=""),"",$E8-$D8+1)</f>
        <v/>
      </c>
      <c r="L8" s="12">
        <f>IF(AND($E8&lt;TODAY(),$G8&lt;&gt;"Complete"),TODAY()-$E8,0)</f>
        <v/>
      </c>
      <c r="M8" s="12">
        <f>IF(OR($D8="",$E8=""),"",IF(AND($D8&lt;=IF('Client &amp; Project Profile'!$B$10="",TODAY(),'Client &amp; Project Profile'!$B$10)+0*7+6,$E8&gt;=IF('Client &amp; Project Profile'!$B$10="",TODAY(),'Client &amp; Project Profile'!$B$10)+0*7),"■",""))</f>
        <v/>
      </c>
      <c r="N8" s="12">
        <f>IF(OR($D8="",$E8=""),"",IF(AND($D8&lt;=IF('Client &amp; Project Profile'!$B$10="",TODAY(),'Client &amp; Project Profile'!$B$10)+1*7+6,$E8&gt;=IF('Client &amp; Project Profile'!$B$10="",TODAY(),'Client &amp; Project Profile'!$B$10)+1*7),"■",""))</f>
        <v/>
      </c>
      <c r="O8" s="12">
        <f>IF(OR($D8="",$E8=""),"",IF(AND($D8&lt;=IF('Client &amp; Project Profile'!$B$10="",TODAY(),'Client &amp; Project Profile'!$B$10)+2*7+6,$E8&gt;=IF('Client &amp; Project Profile'!$B$10="",TODAY(),'Client &amp; Project Profile'!$B$10)+2*7),"■",""))</f>
        <v/>
      </c>
      <c r="P8" s="12">
        <f>IF(OR($D8="",$E8=""),"",IF(AND($D8&lt;=IF('Client &amp; Project Profile'!$B$10="",TODAY(),'Client &amp; Project Profile'!$B$10)+3*7+6,$E8&gt;=IF('Client &amp; Project Profile'!$B$10="",TODAY(),'Client &amp; Project Profile'!$B$10)+3*7),"■",""))</f>
        <v/>
      </c>
      <c r="Q8" s="12">
        <f>IF(OR($D8="",$E8=""),"",IF(AND($D8&lt;=IF('Client &amp; Project Profile'!$B$10="",TODAY(),'Client &amp; Project Profile'!$B$10)+4*7+6,$E8&gt;=IF('Client &amp; Project Profile'!$B$10="",TODAY(),'Client &amp; Project Profile'!$B$10)+4*7),"■",""))</f>
        <v/>
      </c>
      <c r="R8" s="12">
        <f>IF(OR($D8="",$E8=""),"",IF(AND($D8&lt;=IF('Client &amp; Project Profile'!$B$10="",TODAY(),'Client &amp; Project Profile'!$B$10)+5*7+6,$E8&gt;=IF('Client &amp; Project Profile'!$B$10="",TODAY(),'Client &amp; Project Profile'!$B$10)+5*7),"■",""))</f>
        <v/>
      </c>
      <c r="S8" s="12">
        <f>IF(OR($D8="",$E8=""),"",IF(AND($D8&lt;=IF('Client &amp; Project Profile'!$B$10="",TODAY(),'Client &amp; Project Profile'!$B$10)+6*7+6,$E8&gt;=IF('Client &amp; Project Profile'!$B$10="",TODAY(),'Client &amp; Project Profile'!$B$10)+6*7),"■",""))</f>
        <v/>
      </c>
      <c r="T8" s="12">
        <f>IF(OR($D8="",$E8=""),"",IF(AND($D8&lt;=IF('Client &amp; Project Profile'!$B$10="",TODAY(),'Client &amp; Project Profile'!$B$10)+7*7+6,$E8&gt;=IF('Client &amp; Project Profile'!$B$10="",TODAY(),'Client &amp; Project Profile'!$B$10)+7*7),"■",""))</f>
        <v/>
      </c>
      <c r="U8" s="12">
        <f>IF(OR($D8="",$E8=""),"",IF(AND($D8&lt;=IF('Client &amp; Project Profile'!$B$10="",TODAY(),'Client &amp; Project Profile'!$B$10)+8*7+6,$E8&gt;=IF('Client &amp; Project Profile'!$B$10="",TODAY(),'Client &amp; Project Profile'!$B$10)+8*7),"■",""))</f>
        <v/>
      </c>
      <c r="V8" s="12">
        <f>IF(OR($D8="",$E8=""),"",IF(AND($D8&lt;=IF('Client &amp; Project Profile'!$B$10="",TODAY(),'Client &amp; Project Profile'!$B$10)+9*7+6,$E8&gt;=IF('Client &amp; Project Profile'!$B$10="",TODAY(),'Client &amp; Project Profile'!$B$10)+9*7),"■",""))</f>
        <v/>
      </c>
      <c r="W8" s="12">
        <f>IF(OR($D8="",$E8=""),"",IF(AND($D8&lt;=IF('Client &amp; Project Profile'!$B$10="",TODAY(),'Client &amp; Project Profile'!$B$10)+10*7+6,$E8&gt;=IF('Client &amp; Project Profile'!$B$10="",TODAY(),'Client &amp; Project Profile'!$B$10)+10*7),"■",""))</f>
        <v/>
      </c>
      <c r="X8" s="12">
        <f>IF(OR($D8="",$E8=""),"",IF(AND($D8&lt;=IF('Client &amp; Project Profile'!$B$10="",TODAY(),'Client &amp; Project Profile'!$B$10)+11*7+6,$E8&gt;=IF('Client &amp; Project Profile'!$B$10="",TODAY(),'Client &amp; Project Profile'!$B$10)+11*7),"■",""))</f>
        <v/>
      </c>
    </row>
    <row r="9">
      <c r="D9" s="9" t="n"/>
      <c r="E9" s="9" t="n"/>
      <c r="F9" s="9" t="n"/>
      <c r="K9">
        <f>IF(OR($D9="",$E9=""),"",$E9-$D9+1)</f>
        <v/>
      </c>
      <c r="L9">
        <f>IF(AND($E9&lt;TODAY(),$G9&lt;&gt;"Complete"),TODAY()-$E9,0)</f>
        <v/>
      </c>
      <c r="M9">
        <f>IF(OR($D9="",$E9=""),"",IF(AND($D9&lt;=IF('Client &amp; Project Profile'!$B$10="",TODAY(),'Client &amp; Project Profile'!$B$10)+0*7+6,$E9&gt;=IF('Client &amp; Project Profile'!$B$10="",TODAY(),'Client &amp; Project Profile'!$B$10)+0*7),"■",""))</f>
        <v/>
      </c>
      <c r="N9">
        <f>IF(OR($D9="",$E9=""),"",IF(AND($D9&lt;=IF('Client &amp; Project Profile'!$B$10="",TODAY(),'Client &amp; Project Profile'!$B$10)+1*7+6,$E9&gt;=IF('Client &amp; Project Profile'!$B$10="",TODAY(),'Client &amp; Project Profile'!$B$10)+1*7),"■",""))</f>
        <v/>
      </c>
      <c r="O9">
        <f>IF(OR($D9="",$E9=""),"",IF(AND($D9&lt;=IF('Client &amp; Project Profile'!$B$10="",TODAY(),'Client &amp; Project Profile'!$B$10)+2*7+6,$E9&gt;=IF('Client &amp; Project Profile'!$B$10="",TODAY(),'Client &amp; Project Profile'!$B$10)+2*7),"■",""))</f>
        <v/>
      </c>
      <c r="P9">
        <f>IF(OR($D9="",$E9=""),"",IF(AND($D9&lt;=IF('Client &amp; Project Profile'!$B$10="",TODAY(),'Client &amp; Project Profile'!$B$10)+3*7+6,$E9&gt;=IF('Client &amp; Project Profile'!$B$10="",TODAY(),'Client &amp; Project Profile'!$B$10)+3*7),"■",""))</f>
        <v/>
      </c>
      <c r="Q9">
        <f>IF(OR($D9="",$E9=""),"",IF(AND($D9&lt;=IF('Client &amp; Project Profile'!$B$10="",TODAY(),'Client &amp; Project Profile'!$B$10)+4*7+6,$E9&gt;=IF('Client &amp; Project Profile'!$B$10="",TODAY(),'Client &amp; Project Profile'!$B$10)+4*7),"■",""))</f>
        <v/>
      </c>
      <c r="R9">
        <f>IF(OR($D9="",$E9=""),"",IF(AND($D9&lt;=IF('Client &amp; Project Profile'!$B$10="",TODAY(),'Client &amp; Project Profile'!$B$10)+5*7+6,$E9&gt;=IF('Client &amp; Project Profile'!$B$10="",TODAY(),'Client &amp; Project Profile'!$B$10)+5*7),"■",""))</f>
        <v/>
      </c>
      <c r="S9">
        <f>IF(OR($D9="",$E9=""),"",IF(AND($D9&lt;=IF('Client &amp; Project Profile'!$B$10="",TODAY(),'Client &amp; Project Profile'!$B$10)+6*7+6,$E9&gt;=IF('Client &amp; Project Profile'!$B$10="",TODAY(),'Client &amp; Project Profile'!$B$10)+6*7),"■",""))</f>
        <v/>
      </c>
      <c r="T9">
        <f>IF(OR($D9="",$E9=""),"",IF(AND($D9&lt;=IF('Client &amp; Project Profile'!$B$10="",TODAY(),'Client &amp; Project Profile'!$B$10)+7*7+6,$E9&gt;=IF('Client &amp; Project Profile'!$B$10="",TODAY(),'Client &amp; Project Profile'!$B$10)+7*7),"■",""))</f>
        <v/>
      </c>
      <c r="U9">
        <f>IF(OR($D9="",$E9=""),"",IF(AND($D9&lt;=IF('Client &amp; Project Profile'!$B$10="",TODAY(),'Client &amp; Project Profile'!$B$10)+8*7+6,$E9&gt;=IF('Client &amp; Project Profile'!$B$10="",TODAY(),'Client &amp; Project Profile'!$B$10)+8*7),"■",""))</f>
        <v/>
      </c>
      <c r="V9">
        <f>IF(OR($D9="",$E9=""),"",IF(AND($D9&lt;=IF('Client &amp; Project Profile'!$B$10="",TODAY(),'Client &amp; Project Profile'!$B$10)+9*7+6,$E9&gt;=IF('Client &amp; Project Profile'!$B$10="",TODAY(),'Client &amp; Project Profile'!$B$10)+9*7),"■",""))</f>
        <v/>
      </c>
      <c r="W9">
        <f>IF(OR($D9="",$E9=""),"",IF(AND($D9&lt;=IF('Client &amp; Project Profile'!$B$10="",TODAY(),'Client &amp; Project Profile'!$B$10)+10*7+6,$E9&gt;=IF('Client &amp; Project Profile'!$B$10="",TODAY(),'Client &amp; Project Profile'!$B$10)+10*7),"■",""))</f>
        <v/>
      </c>
      <c r="X9">
        <f>IF(OR($D9="",$E9=""),"",IF(AND($D9&lt;=IF('Client &amp; Project Profile'!$B$10="",TODAY(),'Client &amp; Project Profile'!$B$10)+11*7+6,$E9&gt;=IF('Client &amp; Project Profile'!$B$10="",TODAY(),'Client &amp; Project Profile'!$B$10)+11*7),"■",""))</f>
        <v/>
      </c>
    </row>
    <row r="10">
      <c r="A10" s="12" t="n"/>
      <c r="B10" s="12" t="n"/>
      <c r="C10" s="12" t="n"/>
      <c r="D10" s="14" t="n"/>
      <c r="E10" s="14" t="n"/>
      <c r="F10" s="14" t="n"/>
      <c r="G10" s="12" t="n"/>
      <c r="H10" s="12" t="n"/>
      <c r="I10" s="12" t="n"/>
      <c r="J10" s="12" t="n"/>
      <c r="K10" s="12">
        <f>IF(OR($D10="",$E10=""),"",$E10-$D10+1)</f>
        <v/>
      </c>
      <c r="L10" s="12">
        <f>IF(AND($E10&lt;TODAY(),$G10&lt;&gt;"Complete"),TODAY()-$E10,0)</f>
        <v/>
      </c>
      <c r="M10" s="12">
        <f>IF(OR($D10="",$E10=""),"",IF(AND($D10&lt;=IF('Client &amp; Project Profile'!$B$10="",TODAY(),'Client &amp; Project Profile'!$B$10)+0*7+6,$E10&gt;=IF('Client &amp; Project Profile'!$B$10="",TODAY(),'Client &amp; Project Profile'!$B$10)+0*7),"■",""))</f>
        <v/>
      </c>
      <c r="N10" s="12">
        <f>IF(OR($D10="",$E10=""),"",IF(AND($D10&lt;=IF('Client &amp; Project Profile'!$B$10="",TODAY(),'Client &amp; Project Profile'!$B$10)+1*7+6,$E10&gt;=IF('Client &amp; Project Profile'!$B$10="",TODAY(),'Client &amp; Project Profile'!$B$10)+1*7),"■",""))</f>
        <v/>
      </c>
      <c r="O10" s="12">
        <f>IF(OR($D10="",$E10=""),"",IF(AND($D10&lt;=IF('Client &amp; Project Profile'!$B$10="",TODAY(),'Client &amp; Project Profile'!$B$10)+2*7+6,$E10&gt;=IF('Client &amp; Project Profile'!$B$10="",TODAY(),'Client &amp; Project Profile'!$B$10)+2*7),"■",""))</f>
        <v/>
      </c>
      <c r="P10" s="12">
        <f>IF(OR($D10="",$E10=""),"",IF(AND($D10&lt;=IF('Client &amp; Project Profile'!$B$10="",TODAY(),'Client &amp; Project Profile'!$B$10)+3*7+6,$E10&gt;=IF('Client &amp; Project Profile'!$B$10="",TODAY(),'Client &amp; Project Profile'!$B$10)+3*7),"■",""))</f>
        <v/>
      </c>
      <c r="Q10" s="12">
        <f>IF(OR($D10="",$E10=""),"",IF(AND($D10&lt;=IF('Client &amp; Project Profile'!$B$10="",TODAY(),'Client &amp; Project Profile'!$B$10)+4*7+6,$E10&gt;=IF('Client &amp; Project Profile'!$B$10="",TODAY(),'Client &amp; Project Profile'!$B$10)+4*7),"■",""))</f>
        <v/>
      </c>
      <c r="R10" s="12">
        <f>IF(OR($D10="",$E10=""),"",IF(AND($D10&lt;=IF('Client &amp; Project Profile'!$B$10="",TODAY(),'Client &amp; Project Profile'!$B$10)+5*7+6,$E10&gt;=IF('Client &amp; Project Profile'!$B$10="",TODAY(),'Client &amp; Project Profile'!$B$10)+5*7),"■",""))</f>
        <v/>
      </c>
      <c r="S10" s="12">
        <f>IF(OR($D10="",$E10=""),"",IF(AND($D10&lt;=IF('Client &amp; Project Profile'!$B$10="",TODAY(),'Client &amp; Project Profile'!$B$10)+6*7+6,$E10&gt;=IF('Client &amp; Project Profile'!$B$10="",TODAY(),'Client &amp; Project Profile'!$B$10)+6*7),"■",""))</f>
        <v/>
      </c>
      <c r="T10" s="12">
        <f>IF(OR($D10="",$E10=""),"",IF(AND($D10&lt;=IF('Client &amp; Project Profile'!$B$10="",TODAY(),'Client &amp; Project Profile'!$B$10)+7*7+6,$E10&gt;=IF('Client &amp; Project Profile'!$B$10="",TODAY(),'Client &amp; Project Profile'!$B$10)+7*7),"■",""))</f>
        <v/>
      </c>
      <c r="U10" s="12">
        <f>IF(OR($D10="",$E10=""),"",IF(AND($D10&lt;=IF('Client &amp; Project Profile'!$B$10="",TODAY(),'Client &amp; Project Profile'!$B$10)+8*7+6,$E10&gt;=IF('Client &amp; Project Profile'!$B$10="",TODAY(),'Client &amp; Project Profile'!$B$10)+8*7),"■",""))</f>
        <v/>
      </c>
      <c r="V10" s="12">
        <f>IF(OR($D10="",$E10=""),"",IF(AND($D10&lt;=IF('Client &amp; Project Profile'!$B$10="",TODAY(),'Client &amp; Project Profile'!$B$10)+9*7+6,$E10&gt;=IF('Client &amp; Project Profile'!$B$10="",TODAY(),'Client &amp; Project Profile'!$B$10)+9*7),"■",""))</f>
        <v/>
      </c>
      <c r="W10" s="12">
        <f>IF(OR($D10="",$E10=""),"",IF(AND($D10&lt;=IF('Client &amp; Project Profile'!$B$10="",TODAY(),'Client &amp; Project Profile'!$B$10)+10*7+6,$E10&gt;=IF('Client &amp; Project Profile'!$B$10="",TODAY(),'Client &amp; Project Profile'!$B$10)+10*7),"■",""))</f>
        <v/>
      </c>
      <c r="X10" s="12">
        <f>IF(OR($D10="",$E10=""),"",IF(AND($D10&lt;=IF('Client &amp; Project Profile'!$B$10="",TODAY(),'Client &amp; Project Profile'!$B$10)+11*7+6,$E10&gt;=IF('Client &amp; Project Profile'!$B$10="",TODAY(),'Client &amp; Project Profile'!$B$10)+11*7),"■",""))</f>
        <v/>
      </c>
    </row>
    <row r="11">
      <c r="D11" s="9" t="n"/>
      <c r="E11" s="9" t="n"/>
      <c r="F11" s="9" t="n"/>
      <c r="K11">
        <f>IF(OR($D11="",$E11=""),"",$E11-$D11+1)</f>
        <v/>
      </c>
      <c r="L11">
        <f>IF(AND($E11&lt;TODAY(),$G11&lt;&gt;"Complete"),TODAY()-$E11,0)</f>
        <v/>
      </c>
      <c r="M11">
        <f>IF(OR($D11="",$E11=""),"",IF(AND($D11&lt;=IF('Client &amp; Project Profile'!$B$10="",TODAY(),'Client &amp; Project Profile'!$B$10)+0*7+6,$E11&gt;=IF('Client &amp; Project Profile'!$B$10="",TODAY(),'Client &amp; Project Profile'!$B$10)+0*7),"■",""))</f>
        <v/>
      </c>
      <c r="N11">
        <f>IF(OR($D11="",$E11=""),"",IF(AND($D11&lt;=IF('Client &amp; Project Profile'!$B$10="",TODAY(),'Client &amp; Project Profile'!$B$10)+1*7+6,$E11&gt;=IF('Client &amp; Project Profile'!$B$10="",TODAY(),'Client &amp; Project Profile'!$B$10)+1*7),"■",""))</f>
        <v/>
      </c>
      <c r="O11">
        <f>IF(OR($D11="",$E11=""),"",IF(AND($D11&lt;=IF('Client &amp; Project Profile'!$B$10="",TODAY(),'Client &amp; Project Profile'!$B$10)+2*7+6,$E11&gt;=IF('Client &amp; Project Profile'!$B$10="",TODAY(),'Client &amp; Project Profile'!$B$10)+2*7),"■",""))</f>
        <v/>
      </c>
      <c r="P11">
        <f>IF(OR($D11="",$E11=""),"",IF(AND($D11&lt;=IF('Client &amp; Project Profile'!$B$10="",TODAY(),'Client &amp; Project Profile'!$B$10)+3*7+6,$E11&gt;=IF('Client &amp; Project Profile'!$B$10="",TODAY(),'Client &amp; Project Profile'!$B$10)+3*7),"■",""))</f>
        <v/>
      </c>
      <c r="Q11">
        <f>IF(OR($D11="",$E11=""),"",IF(AND($D11&lt;=IF('Client &amp; Project Profile'!$B$10="",TODAY(),'Client &amp; Project Profile'!$B$10)+4*7+6,$E11&gt;=IF('Client &amp; Project Profile'!$B$10="",TODAY(),'Client &amp; Project Profile'!$B$10)+4*7),"■",""))</f>
        <v/>
      </c>
      <c r="R11">
        <f>IF(OR($D11="",$E11=""),"",IF(AND($D11&lt;=IF('Client &amp; Project Profile'!$B$10="",TODAY(),'Client &amp; Project Profile'!$B$10)+5*7+6,$E11&gt;=IF('Client &amp; Project Profile'!$B$10="",TODAY(),'Client &amp; Project Profile'!$B$10)+5*7),"■",""))</f>
        <v/>
      </c>
      <c r="S11">
        <f>IF(OR($D11="",$E11=""),"",IF(AND($D11&lt;=IF('Client &amp; Project Profile'!$B$10="",TODAY(),'Client &amp; Project Profile'!$B$10)+6*7+6,$E11&gt;=IF('Client &amp; Project Profile'!$B$10="",TODAY(),'Client &amp; Project Profile'!$B$10)+6*7),"■",""))</f>
        <v/>
      </c>
      <c r="T11">
        <f>IF(OR($D11="",$E11=""),"",IF(AND($D11&lt;=IF('Client &amp; Project Profile'!$B$10="",TODAY(),'Client &amp; Project Profile'!$B$10)+7*7+6,$E11&gt;=IF('Client &amp; Project Profile'!$B$10="",TODAY(),'Client &amp; Project Profile'!$B$10)+7*7),"■",""))</f>
        <v/>
      </c>
      <c r="U11">
        <f>IF(OR($D11="",$E11=""),"",IF(AND($D11&lt;=IF('Client &amp; Project Profile'!$B$10="",TODAY(),'Client &amp; Project Profile'!$B$10)+8*7+6,$E11&gt;=IF('Client &amp; Project Profile'!$B$10="",TODAY(),'Client &amp; Project Profile'!$B$10)+8*7),"■",""))</f>
        <v/>
      </c>
      <c r="V11">
        <f>IF(OR($D11="",$E11=""),"",IF(AND($D11&lt;=IF('Client &amp; Project Profile'!$B$10="",TODAY(),'Client &amp; Project Profile'!$B$10)+9*7+6,$E11&gt;=IF('Client &amp; Project Profile'!$B$10="",TODAY(),'Client &amp; Project Profile'!$B$10)+9*7),"■",""))</f>
        <v/>
      </c>
      <c r="W11">
        <f>IF(OR($D11="",$E11=""),"",IF(AND($D11&lt;=IF('Client &amp; Project Profile'!$B$10="",TODAY(),'Client &amp; Project Profile'!$B$10)+10*7+6,$E11&gt;=IF('Client &amp; Project Profile'!$B$10="",TODAY(),'Client &amp; Project Profile'!$B$10)+10*7),"■",""))</f>
        <v/>
      </c>
      <c r="X11">
        <f>IF(OR($D11="",$E11=""),"",IF(AND($D11&lt;=IF('Client &amp; Project Profile'!$B$10="",TODAY(),'Client &amp; Project Profile'!$B$10)+11*7+6,$E11&gt;=IF('Client &amp; Project Profile'!$B$10="",TODAY(),'Client &amp; Project Profile'!$B$10)+11*7),"■",""))</f>
        <v/>
      </c>
    </row>
    <row r="12">
      <c r="A12" s="12" t="n"/>
      <c r="B12" s="12" t="n"/>
      <c r="C12" s="12" t="n"/>
      <c r="D12" s="14" t="n"/>
      <c r="E12" s="14" t="n"/>
      <c r="F12" s="14" t="n"/>
      <c r="G12" s="12" t="n"/>
      <c r="H12" s="12" t="n"/>
      <c r="I12" s="12" t="n"/>
      <c r="J12" s="12" t="n"/>
      <c r="K12" s="12">
        <f>IF(OR($D12="",$E12=""),"",$E12-$D12+1)</f>
        <v/>
      </c>
      <c r="L12" s="12">
        <f>IF(AND($E12&lt;TODAY(),$G12&lt;&gt;"Complete"),TODAY()-$E12,0)</f>
        <v/>
      </c>
      <c r="M12" s="12">
        <f>IF(OR($D12="",$E12=""),"",IF(AND($D12&lt;=IF('Client &amp; Project Profile'!$B$10="",TODAY(),'Client &amp; Project Profile'!$B$10)+0*7+6,$E12&gt;=IF('Client &amp; Project Profile'!$B$10="",TODAY(),'Client &amp; Project Profile'!$B$10)+0*7),"■",""))</f>
        <v/>
      </c>
      <c r="N12" s="12">
        <f>IF(OR($D12="",$E12=""),"",IF(AND($D12&lt;=IF('Client &amp; Project Profile'!$B$10="",TODAY(),'Client &amp; Project Profile'!$B$10)+1*7+6,$E12&gt;=IF('Client &amp; Project Profile'!$B$10="",TODAY(),'Client &amp; Project Profile'!$B$10)+1*7),"■",""))</f>
        <v/>
      </c>
      <c r="O12" s="12">
        <f>IF(OR($D12="",$E12=""),"",IF(AND($D12&lt;=IF('Client &amp; Project Profile'!$B$10="",TODAY(),'Client &amp; Project Profile'!$B$10)+2*7+6,$E12&gt;=IF('Client &amp; Project Profile'!$B$10="",TODAY(),'Client &amp; Project Profile'!$B$10)+2*7),"■",""))</f>
        <v/>
      </c>
      <c r="P12" s="12">
        <f>IF(OR($D12="",$E12=""),"",IF(AND($D12&lt;=IF('Client &amp; Project Profile'!$B$10="",TODAY(),'Client &amp; Project Profile'!$B$10)+3*7+6,$E12&gt;=IF('Client &amp; Project Profile'!$B$10="",TODAY(),'Client &amp; Project Profile'!$B$10)+3*7),"■",""))</f>
        <v/>
      </c>
      <c r="Q12" s="12">
        <f>IF(OR($D12="",$E12=""),"",IF(AND($D12&lt;=IF('Client &amp; Project Profile'!$B$10="",TODAY(),'Client &amp; Project Profile'!$B$10)+4*7+6,$E12&gt;=IF('Client &amp; Project Profile'!$B$10="",TODAY(),'Client &amp; Project Profile'!$B$10)+4*7),"■",""))</f>
        <v/>
      </c>
      <c r="R12" s="12">
        <f>IF(OR($D12="",$E12=""),"",IF(AND($D12&lt;=IF('Client &amp; Project Profile'!$B$10="",TODAY(),'Client &amp; Project Profile'!$B$10)+5*7+6,$E12&gt;=IF('Client &amp; Project Profile'!$B$10="",TODAY(),'Client &amp; Project Profile'!$B$10)+5*7),"■",""))</f>
        <v/>
      </c>
      <c r="S12" s="12">
        <f>IF(OR($D12="",$E12=""),"",IF(AND($D12&lt;=IF('Client &amp; Project Profile'!$B$10="",TODAY(),'Client &amp; Project Profile'!$B$10)+6*7+6,$E12&gt;=IF('Client &amp; Project Profile'!$B$10="",TODAY(),'Client &amp; Project Profile'!$B$10)+6*7),"■",""))</f>
        <v/>
      </c>
      <c r="T12" s="12">
        <f>IF(OR($D12="",$E12=""),"",IF(AND($D12&lt;=IF('Client &amp; Project Profile'!$B$10="",TODAY(),'Client &amp; Project Profile'!$B$10)+7*7+6,$E12&gt;=IF('Client &amp; Project Profile'!$B$10="",TODAY(),'Client &amp; Project Profile'!$B$10)+7*7),"■",""))</f>
        <v/>
      </c>
      <c r="U12" s="12">
        <f>IF(OR($D12="",$E12=""),"",IF(AND($D12&lt;=IF('Client &amp; Project Profile'!$B$10="",TODAY(),'Client &amp; Project Profile'!$B$10)+8*7+6,$E12&gt;=IF('Client &amp; Project Profile'!$B$10="",TODAY(),'Client &amp; Project Profile'!$B$10)+8*7),"■",""))</f>
        <v/>
      </c>
      <c r="V12" s="12">
        <f>IF(OR($D12="",$E12=""),"",IF(AND($D12&lt;=IF('Client &amp; Project Profile'!$B$10="",TODAY(),'Client &amp; Project Profile'!$B$10)+9*7+6,$E12&gt;=IF('Client &amp; Project Profile'!$B$10="",TODAY(),'Client &amp; Project Profile'!$B$10)+9*7),"■",""))</f>
        <v/>
      </c>
      <c r="W12" s="12">
        <f>IF(OR($D12="",$E12=""),"",IF(AND($D12&lt;=IF('Client &amp; Project Profile'!$B$10="",TODAY(),'Client &amp; Project Profile'!$B$10)+10*7+6,$E12&gt;=IF('Client &amp; Project Profile'!$B$10="",TODAY(),'Client &amp; Project Profile'!$B$10)+10*7),"■",""))</f>
        <v/>
      </c>
      <c r="X12" s="12">
        <f>IF(OR($D12="",$E12=""),"",IF(AND($D12&lt;=IF('Client &amp; Project Profile'!$B$10="",TODAY(),'Client &amp; Project Profile'!$B$10)+11*7+6,$E12&gt;=IF('Client &amp; Project Profile'!$B$10="",TODAY(),'Client &amp; Project Profile'!$B$10)+11*7),"■",""))</f>
        <v/>
      </c>
    </row>
    <row r="13">
      <c r="D13" s="9" t="n"/>
      <c r="E13" s="9" t="n"/>
      <c r="F13" s="9" t="n"/>
      <c r="K13">
        <f>IF(OR($D13="",$E13=""),"",$E13-$D13+1)</f>
        <v/>
      </c>
      <c r="L13">
        <f>IF(AND($E13&lt;TODAY(),$G13&lt;&gt;"Complete"),TODAY()-$E13,0)</f>
        <v/>
      </c>
      <c r="M13">
        <f>IF(OR($D13="",$E13=""),"",IF(AND($D13&lt;=IF('Client &amp; Project Profile'!$B$10="",TODAY(),'Client &amp; Project Profile'!$B$10)+0*7+6,$E13&gt;=IF('Client &amp; Project Profile'!$B$10="",TODAY(),'Client &amp; Project Profile'!$B$10)+0*7),"■",""))</f>
        <v/>
      </c>
      <c r="N13">
        <f>IF(OR($D13="",$E13=""),"",IF(AND($D13&lt;=IF('Client &amp; Project Profile'!$B$10="",TODAY(),'Client &amp; Project Profile'!$B$10)+1*7+6,$E13&gt;=IF('Client &amp; Project Profile'!$B$10="",TODAY(),'Client &amp; Project Profile'!$B$10)+1*7),"■",""))</f>
        <v/>
      </c>
      <c r="O13">
        <f>IF(OR($D13="",$E13=""),"",IF(AND($D13&lt;=IF('Client &amp; Project Profile'!$B$10="",TODAY(),'Client &amp; Project Profile'!$B$10)+2*7+6,$E13&gt;=IF('Client &amp; Project Profile'!$B$10="",TODAY(),'Client &amp; Project Profile'!$B$10)+2*7),"■",""))</f>
        <v/>
      </c>
      <c r="P13">
        <f>IF(OR($D13="",$E13=""),"",IF(AND($D13&lt;=IF('Client &amp; Project Profile'!$B$10="",TODAY(),'Client &amp; Project Profile'!$B$10)+3*7+6,$E13&gt;=IF('Client &amp; Project Profile'!$B$10="",TODAY(),'Client &amp; Project Profile'!$B$10)+3*7),"■",""))</f>
        <v/>
      </c>
      <c r="Q13">
        <f>IF(OR($D13="",$E13=""),"",IF(AND($D13&lt;=IF('Client &amp; Project Profile'!$B$10="",TODAY(),'Client &amp; Project Profile'!$B$10)+4*7+6,$E13&gt;=IF('Client &amp; Project Profile'!$B$10="",TODAY(),'Client &amp; Project Profile'!$B$10)+4*7),"■",""))</f>
        <v/>
      </c>
      <c r="R13">
        <f>IF(OR($D13="",$E13=""),"",IF(AND($D13&lt;=IF('Client &amp; Project Profile'!$B$10="",TODAY(),'Client &amp; Project Profile'!$B$10)+5*7+6,$E13&gt;=IF('Client &amp; Project Profile'!$B$10="",TODAY(),'Client &amp; Project Profile'!$B$10)+5*7),"■",""))</f>
        <v/>
      </c>
      <c r="S13">
        <f>IF(OR($D13="",$E13=""),"",IF(AND($D13&lt;=IF('Client &amp; Project Profile'!$B$10="",TODAY(),'Client &amp; Project Profile'!$B$10)+6*7+6,$E13&gt;=IF('Client &amp; Project Profile'!$B$10="",TODAY(),'Client &amp; Project Profile'!$B$10)+6*7),"■",""))</f>
        <v/>
      </c>
      <c r="T13">
        <f>IF(OR($D13="",$E13=""),"",IF(AND($D13&lt;=IF('Client &amp; Project Profile'!$B$10="",TODAY(),'Client &amp; Project Profile'!$B$10)+7*7+6,$E13&gt;=IF('Client &amp; Project Profile'!$B$10="",TODAY(),'Client &amp; Project Profile'!$B$10)+7*7),"■",""))</f>
        <v/>
      </c>
      <c r="U13">
        <f>IF(OR($D13="",$E13=""),"",IF(AND($D13&lt;=IF('Client &amp; Project Profile'!$B$10="",TODAY(),'Client &amp; Project Profile'!$B$10)+8*7+6,$E13&gt;=IF('Client &amp; Project Profile'!$B$10="",TODAY(),'Client &amp; Project Profile'!$B$10)+8*7),"■",""))</f>
        <v/>
      </c>
      <c r="V13">
        <f>IF(OR($D13="",$E13=""),"",IF(AND($D13&lt;=IF('Client &amp; Project Profile'!$B$10="",TODAY(),'Client &amp; Project Profile'!$B$10)+9*7+6,$E13&gt;=IF('Client &amp; Project Profile'!$B$10="",TODAY(),'Client &amp; Project Profile'!$B$10)+9*7),"■",""))</f>
        <v/>
      </c>
      <c r="W13">
        <f>IF(OR($D13="",$E13=""),"",IF(AND($D13&lt;=IF('Client &amp; Project Profile'!$B$10="",TODAY(),'Client &amp; Project Profile'!$B$10)+10*7+6,$E13&gt;=IF('Client &amp; Project Profile'!$B$10="",TODAY(),'Client &amp; Project Profile'!$B$10)+10*7),"■",""))</f>
        <v/>
      </c>
      <c r="X13">
        <f>IF(OR($D13="",$E13=""),"",IF(AND($D13&lt;=IF('Client &amp; Project Profile'!$B$10="",TODAY(),'Client &amp; Project Profile'!$B$10)+11*7+6,$E13&gt;=IF('Client &amp; Project Profile'!$B$10="",TODAY(),'Client &amp; Project Profile'!$B$10)+11*7),"■",""))</f>
        <v/>
      </c>
    </row>
    <row r="14">
      <c r="A14" s="12" t="n"/>
      <c r="B14" s="12" t="n"/>
      <c r="C14" s="12" t="n"/>
      <c r="D14" s="14" t="n"/>
      <c r="E14" s="14" t="n"/>
      <c r="F14" s="14" t="n"/>
      <c r="G14" s="12" t="n"/>
      <c r="H14" s="12" t="n"/>
      <c r="I14" s="12" t="n"/>
      <c r="J14" s="12" t="n"/>
      <c r="K14" s="12">
        <f>IF(OR($D14="",$E14=""),"",$E14-$D14+1)</f>
        <v/>
      </c>
      <c r="L14" s="12">
        <f>IF(AND($E14&lt;TODAY(),$G14&lt;&gt;"Complete"),TODAY()-$E14,0)</f>
        <v/>
      </c>
      <c r="M14" s="12">
        <f>IF(OR($D14="",$E14=""),"",IF(AND($D14&lt;=IF('Client &amp; Project Profile'!$B$10="",TODAY(),'Client &amp; Project Profile'!$B$10)+0*7+6,$E14&gt;=IF('Client &amp; Project Profile'!$B$10="",TODAY(),'Client &amp; Project Profile'!$B$10)+0*7),"■",""))</f>
        <v/>
      </c>
      <c r="N14" s="12">
        <f>IF(OR($D14="",$E14=""),"",IF(AND($D14&lt;=IF('Client &amp; Project Profile'!$B$10="",TODAY(),'Client &amp; Project Profile'!$B$10)+1*7+6,$E14&gt;=IF('Client &amp; Project Profile'!$B$10="",TODAY(),'Client &amp; Project Profile'!$B$10)+1*7),"■",""))</f>
        <v/>
      </c>
      <c r="O14" s="12">
        <f>IF(OR($D14="",$E14=""),"",IF(AND($D14&lt;=IF('Client &amp; Project Profile'!$B$10="",TODAY(),'Client &amp; Project Profile'!$B$10)+2*7+6,$E14&gt;=IF('Client &amp; Project Profile'!$B$10="",TODAY(),'Client &amp; Project Profile'!$B$10)+2*7),"■",""))</f>
        <v/>
      </c>
      <c r="P14" s="12">
        <f>IF(OR($D14="",$E14=""),"",IF(AND($D14&lt;=IF('Client &amp; Project Profile'!$B$10="",TODAY(),'Client &amp; Project Profile'!$B$10)+3*7+6,$E14&gt;=IF('Client &amp; Project Profile'!$B$10="",TODAY(),'Client &amp; Project Profile'!$B$10)+3*7),"■",""))</f>
        <v/>
      </c>
      <c r="Q14" s="12">
        <f>IF(OR($D14="",$E14=""),"",IF(AND($D14&lt;=IF('Client &amp; Project Profile'!$B$10="",TODAY(),'Client &amp; Project Profile'!$B$10)+4*7+6,$E14&gt;=IF('Client &amp; Project Profile'!$B$10="",TODAY(),'Client &amp; Project Profile'!$B$10)+4*7),"■",""))</f>
        <v/>
      </c>
      <c r="R14" s="12">
        <f>IF(OR($D14="",$E14=""),"",IF(AND($D14&lt;=IF('Client &amp; Project Profile'!$B$10="",TODAY(),'Client &amp; Project Profile'!$B$10)+5*7+6,$E14&gt;=IF('Client &amp; Project Profile'!$B$10="",TODAY(),'Client &amp; Project Profile'!$B$10)+5*7),"■",""))</f>
        <v/>
      </c>
      <c r="S14" s="12">
        <f>IF(OR($D14="",$E14=""),"",IF(AND($D14&lt;=IF('Client &amp; Project Profile'!$B$10="",TODAY(),'Client &amp; Project Profile'!$B$10)+6*7+6,$E14&gt;=IF('Client &amp; Project Profile'!$B$10="",TODAY(),'Client &amp; Project Profile'!$B$10)+6*7),"■",""))</f>
        <v/>
      </c>
      <c r="T14" s="12">
        <f>IF(OR($D14="",$E14=""),"",IF(AND($D14&lt;=IF('Client &amp; Project Profile'!$B$10="",TODAY(),'Client &amp; Project Profile'!$B$10)+7*7+6,$E14&gt;=IF('Client &amp; Project Profile'!$B$10="",TODAY(),'Client &amp; Project Profile'!$B$10)+7*7),"■",""))</f>
        <v/>
      </c>
      <c r="U14" s="12">
        <f>IF(OR($D14="",$E14=""),"",IF(AND($D14&lt;=IF('Client &amp; Project Profile'!$B$10="",TODAY(),'Client &amp; Project Profile'!$B$10)+8*7+6,$E14&gt;=IF('Client &amp; Project Profile'!$B$10="",TODAY(),'Client &amp; Project Profile'!$B$10)+8*7),"■",""))</f>
        <v/>
      </c>
      <c r="V14" s="12">
        <f>IF(OR($D14="",$E14=""),"",IF(AND($D14&lt;=IF('Client &amp; Project Profile'!$B$10="",TODAY(),'Client &amp; Project Profile'!$B$10)+9*7+6,$E14&gt;=IF('Client &amp; Project Profile'!$B$10="",TODAY(),'Client &amp; Project Profile'!$B$10)+9*7),"■",""))</f>
        <v/>
      </c>
      <c r="W14" s="12">
        <f>IF(OR($D14="",$E14=""),"",IF(AND($D14&lt;=IF('Client &amp; Project Profile'!$B$10="",TODAY(),'Client &amp; Project Profile'!$B$10)+10*7+6,$E14&gt;=IF('Client &amp; Project Profile'!$B$10="",TODAY(),'Client &amp; Project Profile'!$B$10)+10*7),"■",""))</f>
        <v/>
      </c>
      <c r="X14" s="12">
        <f>IF(OR($D14="",$E14=""),"",IF(AND($D14&lt;=IF('Client &amp; Project Profile'!$B$10="",TODAY(),'Client &amp; Project Profile'!$B$10)+11*7+6,$E14&gt;=IF('Client &amp; Project Profile'!$B$10="",TODAY(),'Client &amp; Project Profile'!$B$10)+11*7),"■",""))</f>
        <v/>
      </c>
    </row>
    <row r="15">
      <c r="D15" s="9" t="n"/>
      <c r="E15" s="9" t="n"/>
      <c r="F15" s="9" t="n"/>
      <c r="K15">
        <f>IF(OR($D15="",$E15=""),"",$E15-$D15+1)</f>
        <v/>
      </c>
      <c r="L15">
        <f>IF(AND($E15&lt;TODAY(),$G15&lt;&gt;"Complete"),TODAY()-$E15,0)</f>
        <v/>
      </c>
      <c r="M15">
        <f>IF(OR($D15="",$E15=""),"",IF(AND($D15&lt;=IF('Client &amp; Project Profile'!$B$10="",TODAY(),'Client &amp; Project Profile'!$B$10)+0*7+6,$E15&gt;=IF('Client &amp; Project Profile'!$B$10="",TODAY(),'Client &amp; Project Profile'!$B$10)+0*7),"■",""))</f>
        <v/>
      </c>
      <c r="N15">
        <f>IF(OR($D15="",$E15=""),"",IF(AND($D15&lt;=IF('Client &amp; Project Profile'!$B$10="",TODAY(),'Client &amp; Project Profile'!$B$10)+1*7+6,$E15&gt;=IF('Client &amp; Project Profile'!$B$10="",TODAY(),'Client &amp; Project Profile'!$B$10)+1*7),"■",""))</f>
        <v/>
      </c>
      <c r="O15">
        <f>IF(OR($D15="",$E15=""),"",IF(AND($D15&lt;=IF('Client &amp; Project Profile'!$B$10="",TODAY(),'Client &amp; Project Profile'!$B$10)+2*7+6,$E15&gt;=IF('Client &amp; Project Profile'!$B$10="",TODAY(),'Client &amp; Project Profile'!$B$10)+2*7),"■",""))</f>
        <v/>
      </c>
      <c r="P15">
        <f>IF(OR($D15="",$E15=""),"",IF(AND($D15&lt;=IF('Client &amp; Project Profile'!$B$10="",TODAY(),'Client &amp; Project Profile'!$B$10)+3*7+6,$E15&gt;=IF('Client &amp; Project Profile'!$B$10="",TODAY(),'Client &amp; Project Profile'!$B$10)+3*7),"■",""))</f>
        <v/>
      </c>
      <c r="Q15">
        <f>IF(OR($D15="",$E15=""),"",IF(AND($D15&lt;=IF('Client &amp; Project Profile'!$B$10="",TODAY(),'Client &amp; Project Profile'!$B$10)+4*7+6,$E15&gt;=IF('Client &amp; Project Profile'!$B$10="",TODAY(),'Client &amp; Project Profile'!$B$10)+4*7),"■",""))</f>
        <v/>
      </c>
      <c r="R15">
        <f>IF(OR($D15="",$E15=""),"",IF(AND($D15&lt;=IF('Client &amp; Project Profile'!$B$10="",TODAY(),'Client &amp; Project Profile'!$B$10)+5*7+6,$E15&gt;=IF('Client &amp; Project Profile'!$B$10="",TODAY(),'Client &amp; Project Profile'!$B$10)+5*7),"■",""))</f>
        <v/>
      </c>
      <c r="S15">
        <f>IF(OR($D15="",$E15=""),"",IF(AND($D15&lt;=IF('Client &amp; Project Profile'!$B$10="",TODAY(),'Client &amp; Project Profile'!$B$10)+6*7+6,$E15&gt;=IF('Client &amp; Project Profile'!$B$10="",TODAY(),'Client &amp; Project Profile'!$B$10)+6*7),"■",""))</f>
        <v/>
      </c>
      <c r="T15">
        <f>IF(OR($D15="",$E15=""),"",IF(AND($D15&lt;=IF('Client &amp; Project Profile'!$B$10="",TODAY(),'Client &amp; Project Profile'!$B$10)+7*7+6,$E15&gt;=IF('Client &amp; Project Profile'!$B$10="",TODAY(),'Client &amp; Project Profile'!$B$10)+7*7),"■",""))</f>
        <v/>
      </c>
      <c r="U15">
        <f>IF(OR($D15="",$E15=""),"",IF(AND($D15&lt;=IF('Client &amp; Project Profile'!$B$10="",TODAY(),'Client &amp; Project Profile'!$B$10)+8*7+6,$E15&gt;=IF('Client &amp; Project Profile'!$B$10="",TODAY(),'Client &amp; Project Profile'!$B$10)+8*7),"■",""))</f>
        <v/>
      </c>
      <c r="V15">
        <f>IF(OR($D15="",$E15=""),"",IF(AND($D15&lt;=IF('Client &amp; Project Profile'!$B$10="",TODAY(),'Client &amp; Project Profile'!$B$10)+9*7+6,$E15&gt;=IF('Client &amp; Project Profile'!$B$10="",TODAY(),'Client &amp; Project Profile'!$B$10)+9*7),"■",""))</f>
        <v/>
      </c>
      <c r="W15">
        <f>IF(OR($D15="",$E15=""),"",IF(AND($D15&lt;=IF('Client &amp; Project Profile'!$B$10="",TODAY(),'Client &amp; Project Profile'!$B$10)+10*7+6,$E15&gt;=IF('Client &amp; Project Profile'!$B$10="",TODAY(),'Client &amp; Project Profile'!$B$10)+10*7),"■",""))</f>
        <v/>
      </c>
      <c r="X15">
        <f>IF(OR($D15="",$E15=""),"",IF(AND($D15&lt;=IF('Client &amp; Project Profile'!$B$10="",TODAY(),'Client &amp; Project Profile'!$B$10)+11*7+6,$E15&gt;=IF('Client &amp; Project Profile'!$B$10="",TODAY(),'Client &amp; Project Profile'!$B$10)+11*7),"■",""))</f>
        <v/>
      </c>
    </row>
    <row r="16">
      <c r="A16" s="12" t="n"/>
      <c r="B16" s="12" t="n"/>
      <c r="C16" s="12" t="n"/>
      <c r="D16" s="14" t="n"/>
      <c r="E16" s="14" t="n"/>
      <c r="F16" s="14" t="n"/>
      <c r="G16" s="12" t="n"/>
      <c r="H16" s="12" t="n"/>
      <c r="I16" s="12" t="n"/>
      <c r="J16" s="12" t="n"/>
      <c r="K16" s="12">
        <f>IF(OR($D16="",$E16=""),"",$E16-$D16+1)</f>
        <v/>
      </c>
      <c r="L16" s="12">
        <f>IF(AND($E16&lt;TODAY(),$G16&lt;&gt;"Complete"),TODAY()-$E16,0)</f>
        <v/>
      </c>
      <c r="M16" s="12">
        <f>IF(OR($D16="",$E16=""),"",IF(AND($D16&lt;=IF('Client &amp; Project Profile'!$B$10="",TODAY(),'Client &amp; Project Profile'!$B$10)+0*7+6,$E16&gt;=IF('Client &amp; Project Profile'!$B$10="",TODAY(),'Client &amp; Project Profile'!$B$10)+0*7),"■",""))</f>
        <v/>
      </c>
      <c r="N16" s="12">
        <f>IF(OR($D16="",$E16=""),"",IF(AND($D16&lt;=IF('Client &amp; Project Profile'!$B$10="",TODAY(),'Client &amp; Project Profile'!$B$10)+1*7+6,$E16&gt;=IF('Client &amp; Project Profile'!$B$10="",TODAY(),'Client &amp; Project Profile'!$B$10)+1*7),"■",""))</f>
        <v/>
      </c>
      <c r="O16" s="12">
        <f>IF(OR($D16="",$E16=""),"",IF(AND($D16&lt;=IF('Client &amp; Project Profile'!$B$10="",TODAY(),'Client &amp; Project Profile'!$B$10)+2*7+6,$E16&gt;=IF('Client &amp; Project Profile'!$B$10="",TODAY(),'Client &amp; Project Profile'!$B$10)+2*7),"■",""))</f>
        <v/>
      </c>
      <c r="P16" s="12">
        <f>IF(OR($D16="",$E16=""),"",IF(AND($D16&lt;=IF('Client &amp; Project Profile'!$B$10="",TODAY(),'Client &amp; Project Profile'!$B$10)+3*7+6,$E16&gt;=IF('Client &amp; Project Profile'!$B$10="",TODAY(),'Client &amp; Project Profile'!$B$10)+3*7),"■",""))</f>
        <v/>
      </c>
      <c r="Q16" s="12">
        <f>IF(OR($D16="",$E16=""),"",IF(AND($D16&lt;=IF('Client &amp; Project Profile'!$B$10="",TODAY(),'Client &amp; Project Profile'!$B$10)+4*7+6,$E16&gt;=IF('Client &amp; Project Profile'!$B$10="",TODAY(),'Client &amp; Project Profile'!$B$10)+4*7),"■",""))</f>
        <v/>
      </c>
      <c r="R16" s="12">
        <f>IF(OR($D16="",$E16=""),"",IF(AND($D16&lt;=IF('Client &amp; Project Profile'!$B$10="",TODAY(),'Client &amp; Project Profile'!$B$10)+5*7+6,$E16&gt;=IF('Client &amp; Project Profile'!$B$10="",TODAY(),'Client &amp; Project Profile'!$B$10)+5*7),"■",""))</f>
        <v/>
      </c>
      <c r="S16" s="12">
        <f>IF(OR($D16="",$E16=""),"",IF(AND($D16&lt;=IF('Client &amp; Project Profile'!$B$10="",TODAY(),'Client &amp; Project Profile'!$B$10)+6*7+6,$E16&gt;=IF('Client &amp; Project Profile'!$B$10="",TODAY(),'Client &amp; Project Profile'!$B$10)+6*7),"■",""))</f>
        <v/>
      </c>
      <c r="T16" s="12">
        <f>IF(OR($D16="",$E16=""),"",IF(AND($D16&lt;=IF('Client &amp; Project Profile'!$B$10="",TODAY(),'Client &amp; Project Profile'!$B$10)+7*7+6,$E16&gt;=IF('Client &amp; Project Profile'!$B$10="",TODAY(),'Client &amp; Project Profile'!$B$10)+7*7),"■",""))</f>
        <v/>
      </c>
      <c r="U16" s="12">
        <f>IF(OR($D16="",$E16=""),"",IF(AND($D16&lt;=IF('Client &amp; Project Profile'!$B$10="",TODAY(),'Client &amp; Project Profile'!$B$10)+8*7+6,$E16&gt;=IF('Client &amp; Project Profile'!$B$10="",TODAY(),'Client &amp; Project Profile'!$B$10)+8*7),"■",""))</f>
        <v/>
      </c>
      <c r="V16" s="12">
        <f>IF(OR($D16="",$E16=""),"",IF(AND($D16&lt;=IF('Client &amp; Project Profile'!$B$10="",TODAY(),'Client &amp; Project Profile'!$B$10)+9*7+6,$E16&gt;=IF('Client &amp; Project Profile'!$B$10="",TODAY(),'Client &amp; Project Profile'!$B$10)+9*7),"■",""))</f>
        <v/>
      </c>
      <c r="W16" s="12">
        <f>IF(OR($D16="",$E16=""),"",IF(AND($D16&lt;=IF('Client &amp; Project Profile'!$B$10="",TODAY(),'Client &amp; Project Profile'!$B$10)+10*7+6,$E16&gt;=IF('Client &amp; Project Profile'!$B$10="",TODAY(),'Client &amp; Project Profile'!$B$10)+10*7),"■",""))</f>
        <v/>
      </c>
      <c r="X16" s="12">
        <f>IF(OR($D16="",$E16=""),"",IF(AND($D16&lt;=IF('Client &amp; Project Profile'!$B$10="",TODAY(),'Client &amp; Project Profile'!$B$10)+11*7+6,$E16&gt;=IF('Client &amp; Project Profile'!$B$10="",TODAY(),'Client &amp; Project Profile'!$B$10)+11*7),"■",""))</f>
        <v/>
      </c>
    </row>
    <row r="17">
      <c r="D17" s="9" t="n"/>
      <c r="E17" s="9" t="n"/>
      <c r="F17" s="9" t="n"/>
      <c r="K17">
        <f>IF(OR($D17="",$E17=""),"",$E17-$D17+1)</f>
        <v/>
      </c>
      <c r="L17">
        <f>IF(AND($E17&lt;TODAY(),$G17&lt;&gt;"Complete"),TODAY()-$E17,0)</f>
        <v/>
      </c>
      <c r="M17">
        <f>IF(OR($D17="",$E17=""),"",IF(AND($D17&lt;=IF('Client &amp; Project Profile'!$B$10="",TODAY(),'Client &amp; Project Profile'!$B$10)+0*7+6,$E17&gt;=IF('Client &amp; Project Profile'!$B$10="",TODAY(),'Client &amp; Project Profile'!$B$10)+0*7),"■",""))</f>
        <v/>
      </c>
      <c r="N17">
        <f>IF(OR($D17="",$E17=""),"",IF(AND($D17&lt;=IF('Client &amp; Project Profile'!$B$10="",TODAY(),'Client &amp; Project Profile'!$B$10)+1*7+6,$E17&gt;=IF('Client &amp; Project Profile'!$B$10="",TODAY(),'Client &amp; Project Profile'!$B$10)+1*7),"■",""))</f>
        <v/>
      </c>
      <c r="O17">
        <f>IF(OR($D17="",$E17=""),"",IF(AND($D17&lt;=IF('Client &amp; Project Profile'!$B$10="",TODAY(),'Client &amp; Project Profile'!$B$10)+2*7+6,$E17&gt;=IF('Client &amp; Project Profile'!$B$10="",TODAY(),'Client &amp; Project Profile'!$B$10)+2*7),"■",""))</f>
        <v/>
      </c>
      <c r="P17">
        <f>IF(OR($D17="",$E17=""),"",IF(AND($D17&lt;=IF('Client &amp; Project Profile'!$B$10="",TODAY(),'Client &amp; Project Profile'!$B$10)+3*7+6,$E17&gt;=IF('Client &amp; Project Profile'!$B$10="",TODAY(),'Client &amp; Project Profile'!$B$10)+3*7),"■",""))</f>
        <v/>
      </c>
      <c r="Q17">
        <f>IF(OR($D17="",$E17=""),"",IF(AND($D17&lt;=IF('Client &amp; Project Profile'!$B$10="",TODAY(),'Client &amp; Project Profile'!$B$10)+4*7+6,$E17&gt;=IF('Client &amp; Project Profile'!$B$10="",TODAY(),'Client &amp; Project Profile'!$B$10)+4*7),"■",""))</f>
        <v/>
      </c>
      <c r="R17">
        <f>IF(OR($D17="",$E17=""),"",IF(AND($D17&lt;=IF('Client &amp; Project Profile'!$B$10="",TODAY(),'Client &amp; Project Profile'!$B$10)+5*7+6,$E17&gt;=IF('Client &amp; Project Profile'!$B$10="",TODAY(),'Client &amp; Project Profile'!$B$10)+5*7),"■",""))</f>
        <v/>
      </c>
      <c r="S17">
        <f>IF(OR($D17="",$E17=""),"",IF(AND($D17&lt;=IF('Client &amp; Project Profile'!$B$10="",TODAY(),'Client &amp; Project Profile'!$B$10)+6*7+6,$E17&gt;=IF('Client &amp; Project Profile'!$B$10="",TODAY(),'Client &amp; Project Profile'!$B$10)+6*7),"■",""))</f>
        <v/>
      </c>
      <c r="T17">
        <f>IF(OR($D17="",$E17=""),"",IF(AND($D17&lt;=IF('Client &amp; Project Profile'!$B$10="",TODAY(),'Client &amp; Project Profile'!$B$10)+7*7+6,$E17&gt;=IF('Client &amp; Project Profile'!$B$10="",TODAY(),'Client &amp; Project Profile'!$B$10)+7*7),"■",""))</f>
        <v/>
      </c>
      <c r="U17">
        <f>IF(OR($D17="",$E17=""),"",IF(AND($D17&lt;=IF('Client &amp; Project Profile'!$B$10="",TODAY(),'Client &amp; Project Profile'!$B$10)+8*7+6,$E17&gt;=IF('Client &amp; Project Profile'!$B$10="",TODAY(),'Client &amp; Project Profile'!$B$10)+8*7),"■",""))</f>
        <v/>
      </c>
      <c r="V17">
        <f>IF(OR($D17="",$E17=""),"",IF(AND($D17&lt;=IF('Client &amp; Project Profile'!$B$10="",TODAY(),'Client &amp; Project Profile'!$B$10)+9*7+6,$E17&gt;=IF('Client &amp; Project Profile'!$B$10="",TODAY(),'Client &amp; Project Profile'!$B$10)+9*7),"■",""))</f>
        <v/>
      </c>
      <c r="W17">
        <f>IF(OR($D17="",$E17=""),"",IF(AND($D17&lt;=IF('Client &amp; Project Profile'!$B$10="",TODAY(),'Client &amp; Project Profile'!$B$10)+10*7+6,$E17&gt;=IF('Client &amp; Project Profile'!$B$10="",TODAY(),'Client &amp; Project Profile'!$B$10)+10*7),"■",""))</f>
        <v/>
      </c>
      <c r="X17">
        <f>IF(OR($D17="",$E17=""),"",IF(AND($D17&lt;=IF('Client &amp; Project Profile'!$B$10="",TODAY(),'Client &amp; Project Profile'!$B$10)+11*7+6,$E17&gt;=IF('Client &amp; Project Profile'!$B$10="",TODAY(),'Client &amp; Project Profile'!$B$10)+11*7),"■",""))</f>
        <v/>
      </c>
    </row>
    <row r="18">
      <c r="A18" s="12" t="n"/>
      <c r="B18" s="12" t="n"/>
      <c r="C18" s="12" t="n"/>
      <c r="D18" s="14" t="n"/>
      <c r="E18" s="14" t="n"/>
      <c r="F18" s="14" t="n"/>
      <c r="G18" s="12" t="n"/>
      <c r="H18" s="12" t="n"/>
      <c r="I18" s="12" t="n"/>
      <c r="J18" s="12" t="n"/>
      <c r="K18" s="12">
        <f>IF(OR($D18="",$E18=""),"",$E18-$D18+1)</f>
        <v/>
      </c>
      <c r="L18" s="12">
        <f>IF(AND($E18&lt;TODAY(),$G18&lt;&gt;"Complete"),TODAY()-$E18,0)</f>
        <v/>
      </c>
      <c r="M18" s="12">
        <f>IF(OR($D18="",$E18=""),"",IF(AND($D18&lt;=IF('Client &amp; Project Profile'!$B$10="",TODAY(),'Client &amp; Project Profile'!$B$10)+0*7+6,$E18&gt;=IF('Client &amp; Project Profile'!$B$10="",TODAY(),'Client &amp; Project Profile'!$B$10)+0*7),"■",""))</f>
        <v/>
      </c>
      <c r="N18" s="12">
        <f>IF(OR($D18="",$E18=""),"",IF(AND($D18&lt;=IF('Client &amp; Project Profile'!$B$10="",TODAY(),'Client &amp; Project Profile'!$B$10)+1*7+6,$E18&gt;=IF('Client &amp; Project Profile'!$B$10="",TODAY(),'Client &amp; Project Profile'!$B$10)+1*7),"■",""))</f>
        <v/>
      </c>
      <c r="O18" s="12">
        <f>IF(OR($D18="",$E18=""),"",IF(AND($D18&lt;=IF('Client &amp; Project Profile'!$B$10="",TODAY(),'Client &amp; Project Profile'!$B$10)+2*7+6,$E18&gt;=IF('Client &amp; Project Profile'!$B$10="",TODAY(),'Client &amp; Project Profile'!$B$10)+2*7),"■",""))</f>
        <v/>
      </c>
      <c r="P18" s="12">
        <f>IF(OR($D18="",$E18=""),"",IF(AND($D18&lt;=IF('Client &amp; Project Profile'!$B$10="",TODAY(),'Client &amp; Project Profile'!$B$10)+3*7+6,$E18&gt;=IF('Client &amp; Project Profile'!$B$10="",TODAY(),'Client &amp; Project Profile'!$B$10)+3*7),"■",""))</f>
        <v/>
      </c>
      <c r="Q18" s="12">
        <f>IF(OR($D18="",$E18=""),"",IF(AND($D18&lt;=IF('Client &amp; Project Profile'!$B$10="",TODAY(),'Client &amp; Project Profile'!$B$10)+4*7+6,$E18&gt;=IF('Client &amp; Project Profile'!$B$10="",TODAY(),'Client &amp; Project Profile'!$B$10)+4*7),"■",""))</f>
        <v/>
      </c>
      <c r="R18" s="12">
        <f>IF(OR($D18="",$E18=""),"",IF(AND($D18&lt;=IF('Client &amp; Project Profile'!$B$10="",TODAY(),'Client &amp; Project Profile'!$B$10)+5*7+6,$E18&gt;=IF('Client &amp; Project Profile'!$B$10="",TODAY(),'Client &amp; Project Profile'!$B$10)+5*7),"■",""))</f>
        <v/>
      </c>
      <c r="S18" s="12">
        <f>IF(OR($D18="",$E18=""),"",IF(AND($D18&lt;=IF('Client &amp; Project Profile'!$B$10="",TODAY(),'Client &amp; Project Profile'!$B$10)+6*7+6,$E18&gt;=IF('Client &amp; Project Profile'!$B$10="",TODAY(),'Client &amp; Project Profile'!$B$10)+6*7),"■",""))</f>
        <v/>
      </c>
      <c r="T18" s="12">
        <f>IF(OR($D18="",$E18=""),"",IF(AND($D18&lt;=IF('Client &amp; Project Profile'!$B$10="",TODAY(),'Client &amp; Project Profile'!$B$10)+7*7+6,$E18&gt;=IF('Client &amp; Project Profile'!$B$10="",TODAY(),'Client &amp; Project Profile'!$B$10)+7*7),"■",""))</f>
        <v/>
      </c>
      <c r="U18" s="12">
        <f>IF(OR($D18="",$E18=""),"",IF(AND($D18&lt;=IF('Client &amp; Project Profile'!$B$10="",TODAY(),'Client &amp; Project Profile'!$B$10)+8*7+6,$E18&gt;=IF('Client &amp; Project Profile'!$B$10="",TODAY(),'Client &amp; Project Profile'!$B$10)+8*7),"■",""))</f>
        <v/>
      </c>
      <c r="V18" s="12">
        <f>IF(OR($D18="",$E18=""),"",IF(AND($D18&lt;=IF('Client &amp; Project Profile'!$B$10="",TODAY(),'Client &amp; Project Profile'!$B$10)+9*7+6,$E18&gt;=IF('Client &amp; Project Profile'!$B$10="",TODAY(),'Client &amp; Project Profile'!$B$10)+9*7),"■",""))</f>
        <v/>
      </c>
      <c r="W18" s="12">
        <f>IF(OR($D18="",$E18=""),"",IF(AND($D18&lt;=IF('Client &amp; Project Profile'!$B$10="",TODAY(),'Client &amp; Project Profile'!$B$10)+10*7+6,$E18&gt;=IF('Client &amp; Project Profile'!$B$10="",TODAY(),'Client &amp; Project Profile'!$B$10)+10*7),"■",""))</f>
        <v/>
      </c>
      <c r="X18" s="12">
        <f>IF(OR($D18="",$E18=""),"",IF(AND($D18&lt;=IF('Client &amp; Project Profile'!$B$10="",TODAY(),'Client &amp; Project Profile'!$B$10)+11*7+6,$E18&gt;=IF('Client &amp; Project Profile'!$B$10="",TODAY(),'Client &amp; Project Profile'!$B$10)+11*7),"■",""))</f>
        <v/>
      </c>
    </row>
    <row r="19">
      <c r="D19" s="9" t="n"/>
      <c r="E19" s="9" t="n"/>
      <c r="F19" s="9" t="n"/>
      <c r="K19">
        <f>IF(OR($D19="",$E19=""),"",$E19-$D19+1)</f>
        <v/>
      </c>
      <c r="L19">
        <f>IF(AND($E19&lt;TODAY(),$G19&lt;&gt;"Complete"),TODAY()-$E19,0)</f>
        <v/>
      </c>
      <c r="M19">
        <f>IF(OR($D19="",$E19=""),"",IF(AND($D19&lt;=IF('Client &amp; Project Profile'!$B$10="",TODAY(),'Client &amp; Project Profile'!$B$10)+0*7+6,$E19&gt;=IF('Client &amp; Project Profile'!$B$10="",TODAY(),'Client &amp; Project Profile'!$B$10)+0*7),"■",""))</f>
        <v/>
      </c>
      <c r="N19">
        <f>IF(OR($D19="",$E19=""),"",IF(AND($D19&lt;=IF('Client &amp; Project Profile'!$B$10="",TODAY(),'Client &amp; Project Profile'!$B$10)+1*7+6,$E19&gt;=IF('Client &amp; Project Profile'!$B$10="",TODAY(),'Client &amp; Project Profile'!$B$10)+1*7),"■",""))</f>
        <v/>
      </c>
      <c r="O19">
        <f>IF(OR($D19="",$E19=""),"",IF(AND($D19&lt;=IF('Client &amp; Project Profile'!$B$10="",TODAY(),'Client &amp; Project Profile'!$B$10)+2*7+6,$E19&gt;=IF('Client &amp; Project Profile'!$B$10="",TODAY(),'Client &amp; Project Profile'!$B$10)+2*7),"■",""))</f>
        <v/>
      </c>
      <c r="P19">
        <f>IF(OR($D19="",$E19=""),"",IF(AND($D19&lt;=IF('Client &amp; Project Profile'!$B$10="",TODAY(),'Client &amp; Project Profile'!$B$10)+3*7+6,$E19&gt;=IF('Client &amp; Project Profile'!$B$10="",TODAY(),'Client &amp; Project Profile'!$B$10)+3*7),"■",""))</f>
        <v/>
      </c>
      <c r="Q19">
        <f>IF(OR($D19="",$E19=""),"",IF(AND($D19&lt;=IF('Client &amp; Project Profile'!$B$10="",TODAY(),'Client &amp; Project Profile'!$B$10)+4*7+6,$E19&gt;=IF('Client &amp; Project Profile'!$B$10="",TODAY(),'Client &amp; Project Profile'!$B$10)+4*7),"■",""))</f>
        <v/>
      </c>
      <c r="R19">
        <f>IF(OR($D19="",$E19=""),"",IF(AND($D19&lt;=IF('Client &amp; Project Profile'!$B$10="",TODAY(),'Client &amp; Project Profile'!$B$10)+5*7+6,$E19&gt;=IF('Client &amp; Project Profile'!$B$10="",TODAY(),'Client &amp; Project Profile'!$B$10)+5*7),"■",""))</f>
        <v/>
      </c>
      <c r="S19">
        <f>IF(OR($D19="",$E19=""),"",IF(AND($D19&lt;=IF('Client &amp; Project Profile'!$B$10="",TODAY(),'Client &amp; Project Profile'!$B$10)+6*7+6,$E19&gt;=IF('Client &amp; Project Profile'!$B$10="",TODAY(),'Client &amp; Project Profile'!$B$10)+6*7),"■",""))</f>
        <v/>
      </c>
      <c r="T19">
        <f>IF(OR($D19="",$E19=""),"",IF(AND($D19&lt;=IF('Client &amp; Project Profile'!$B$10="",TODAY(),'Client &amp; Project Profile'!$B$10)+7*7+6,$E19&gt;=IF('Client &amp; Project Profile'!$B$10="",TODAY(),'Client &amp; Project Profile'!$B$10)+7*7),"■",""))</f>
        <v/>
      </c>
      <c r="U19">
        <f>IF(OR($D19="",$E19=""),"",IF(AND($D19&lt;=IF('Client &amp; Project Profile'!$B$10="",TODAY(),'Client &amp; Project Profile'!$B$10)+8*7+6,$E19&gt;=IF('Client &amp; Project Profile'!$B$10="",TODAY(),'Client &amp; Project Profile'!$B$10)+8*7),"■",""))</f>
        <v/>
      </c>
      <c r="V19">
        <f>IF(OR($D19="",$E19=""),"",IF(AND($D19&lt;=IF('Client &amp; Project Profile'!$B$10="",TODAY(),'Client &amp; Project Profile'!$B$10)+9*7+6,$E19&gt;=IF('Client &amp; Project Profile'!$B$10="",TODAY(),'Client &amp; Project Profile'!$B$10)+9*7),"■",""))</f>
        <v/>
      </c>
      <c r="W19">
        <f>IF(OR($D19="",$E19=""),"",IF(AND($D19&lt;=IF('Client &amp; Project Profile'!$B$10="",TODAY(),'Client &amp; Project Profile'!$B$10)+10*7+6,$E19&gt;=IF('Client &amp; Project Profile'!$B$10="",TODAY(),'Client &amp; Project Profile'!$B$10)+10*7),"■",""))</f>
        <v/>
      </c>
      <c r="X19">
        <f>IF(OR($D19="",$E19=""),"",IF(AND($D19&lt;=IF('Client &amp; Project Profile'!$B$10="",TODAY(),'Client &amp; Project Profile'!$B$10)+11*7+6,$E19&gt;=IF('Client &amp; Project Profile'!$B$10="",TODAY(),'Client &amp; Project Profile'!$B$10)+11*7),"■",""))</f>
        <v/>
      </c>
    </row>
    <row r="20">
      <c r="A20" s="12" t="n"/>
      <c r="B20" s="12" t="n"/>
      <c r="C20" s="12" t="n"/>
      <c r="D20" s="14" t="n"/>
      <c r="E20" s="14" t="n"/>
      <c r="F20" s="14" t="n"/>
      <c r="G20" s="12" t="n"/>
      <c r="H20" s="12" t="n"/>
      <c r="I20" s="12" t="n"/>
      <c r="J20" s="12" t="n"/>
      <c r="K20" s="12">
        <f>IF(OR($D20="",$E20=""),"",$E20-$D20+1)</f>
        <v/>
      </c>
      <c r="L20" s="12">
        <f>IF(AND($E20&lt;TODAY(),$G20&lt;&gt;"Complete"),TODAY()-$E20,0)</f>
        <v/>
      </c>
      <c r="M20" s="12">
        <f>IF(OR($D20="",$E20=""),"",IF(AND($D20&lt;=IF('Client &amp; Project Profile'!$B$10="",TODAY(),'Client &amp; Project Profile'!$B$10)+0*7+6,$E20&gt;=IF('Client &amp; Project Profile'!$B$10="",TODAY(),'Client &amp; Project Profile'!$B$10)+0*7),"■",""))</f>
        <v/>
      </c>
      <c r="N20" s="12">
        <f>IF(OR($D20="",$E20=""),"",IF(AND($D20&lt;=IF('Client &amp; Project Profile'!$B$10="",TODAY(),'Client &amp; Project Profile'!$B$10)+1*7+6,$E20&gt;=IF('Client &amp; Project Profile'!$B$10="",TODAY(),'Client &amp; Project Profile'!$B$10)+1*7),"■",""))</f>
        <v/>
      </c>
      <c r="O20" s="12">
        <f>IF(OR($D20="",$E20=""),"",IF(AND($D20&lt;=IF('Client &amp; Project Profile'!$B$10="",TODAY(),'Client &amp; Project Profile'!$B$10)+2*7+6,$E20&gt;=IF('Client &amp; Project Profile'!$B$10="",TODAY(),'Client &amp; Project Profile'!$B$10)+2*7),"■",""))</f>
        <v/>
      </c>
      <c r="P20" s="12">
        <f>IF(OR($D20="",$E20=""),"",IF(AND($D20&lt;=IF('Client &amp; Project Profile'!$B$10="",TODAY(),'Client &amp; Project Profile'!$B$10)+3*7+6,$E20&gt;=IF('Client &amp; Project Profile'!$B$10="",TODAY(),'Client &amp; Project Profile'!$B$10)+3*7),"■",""))</f>
        <v/>
      </c>
      <c r="Q20" s="12">
        <f>IF(OR($D20="",$E20=""),"",IF(AND($D20&lt;=IF('Client &amp; Project Profile'!$B$10="",TODAY(),'Client &amp; Project Profile'!$B$10)+4*7+6,$E20&gt;=IF('Client &amp; Project Profile'!$B$10="",TODAY(),'Client &amp; Project Profile'!$B$10)+4*7),"■",""))</f>
        <v/>
      </c>
      <c r="R20" s="12">
        <f>IF(OR($D20="",$E20=""),"",IF(AND($D20&lt;=IF('Client &amp; Project Profile'!$B$10="",TODAY(),'Client &amp; Project Profile'!$B$10)+5*7+6,$E20&gt;=IF('Client &amp; Project Profile'!$B$10="",TODAY(),'Client &amp; Project Profile'!$B$10)+5*7),"■",""))</f>
        <v/>
      </c>
      <c r="S20" s="12">
        <f>IF(OR($D20="",$E20=""),"",IF(AND($D20&lt;=IF('Client &amp; Project Profile'!$B$10="",TODAY(),'Client &amp; Project Profile'!$B$10)+6*7+6,$E20&gt;=IF('Client &amp; Project Profile'!$B$10="",TODAY(),'Client &amp; Project Profile'!$B$10)+6*7),"■",""))</f>
        <v/>
      </c>
      <c r="T20" s="12">
        <f>IF(OR($D20="",$E20=""),"",IF(AND($D20&lt;=IF('Client &amp; Project Profile'!$B$10="",TODAY(),'Client &amp; Project Profile'!$B$10)+7*7+6,$E20&gt;=IF('Client &amp; Project Profile'!$B$10="",TODAY(),'Client &amp; Project Profile'!$B$10)+7*7),"■",""))</f>
        <v/>
      </c>
      <c r="U20" s="12">
        <f>IF(OR($D20="",$E20=""),"",IF(AND($D20&lt;=IF('Client &amp; Project Profile'!$B$10="",TODAY(),'Client &amp; Project Profile'!$B$10)+8*7+6,$E20&gt;=IF('Client &amp; Project Profile'!$B$10="",TODAY(),'Client &amp; Project Profile'!$B$10)+8*7),"■",""))</f>
        <v/>
      </c>
      <c r="V20" s="12">
        <f>IF(OR($D20="",$E20=""),"",IF(AND($D20&lt;=IF('Client &amp; Project Profile'!$B$10="",TODAY(),'Client &amp; Project Profile'!$B$10)+9*7+6,$E20&gt;=IF('Client &amp; Project Profile'!$B$10="",TODAY(),'Client &amp; Project Profile'!$B$10)+9*7),"■",""))</f>
        <v/>
      </c>
      <c r="W20" s="12">
        <f>IF(OR($D20="",$E20=""),"",IF(AND($D20&lt;=IF('Client &amp; Project Profile'!$B$10="",TODAY(),'Client &amp; Project Profile'!$B$10)+10*7+6,$E20&gt;=IF('Client &amp; Project Profile'!$B$10="",TODAY(),'Client &amp; Project Profile'!$B$10)+10*7),"■",""))</f>
        <v/>
      </c>
      <c r="X20" s="12">
        <f>IF(OR($D20="",$E20=""),"",IF(AND($D20&lt;=IF('Client &amp; Project Profile'!$B$10="",TODAY(),'Client &amp; Project Profile'!$B$10)+11*7+6,$E20&gt;=IF('Client &amp; Project Profile'!$B$10="",TODAY(),'Client &amp; Project Profile'!$B$10)+11*7),"■",""))</f>
        <v/>
      </c>
    </row>
    <row r="21">
      <c r="D21" s="9" t="n"/>
      <c r="E21" s="9" t="n"/>
      <c r="F21" s="9" t="n"/>
      <c r="K21">
        <f>IF(OR($D21="",$E21=""),"",$E21-$D21+1)</f>
        <v/>
      </c>
      <c r="L21">
        <f>IF(AND($E21&lt;TODAY(),$G21&lt;&gt;"Complete"),TODAY()-$E21,0)</f>
        <v/>
      </c>
      <c r="M21">
        <f>IF(OR($D21="",$E21=""),"",IF(AND($D21&lt;=IF('Client &amp; Project Profile'!$B$10="",TODAY(),'Client &amp; Project Profile'!$B$10)+0*7+6,$E21&gt;=IF('Client &amp; Project Profile'!$B$10="",TODAY(),'Client &amp; Project Profile'!$B$10)+0*7),"■",""))</f>
        <v/>
      </c>
      <c r="N21">
        <f>IF(OR($D21="",$E21=""),"",IF(AND($D21&lt;=IF('Client &amp; Project Profile'!$B$10="",TODAY(),'Client &amp; Project Profile'!$B$10)+1*7+6,$E21&gt;=IF('Client &amp; Project Profile'!$B$10="",TODAY(),'Client &amp; Project Profile'!$B$10)+1*7),"■",""))</f>
        <v/>
      </c>
      <c r="O21">
        <f>IF(OR($D21="",$E21=""),"",IF(AND($D21&lt;=IF('Client &amp; Project Profile'!$B$10="",TODAY(),'Client &amp; Project Profile'!$B$10)+2*7+6,$E21&gt;=IF('Client &amp; Project Profile'!$B$10="",TODAY(),'Client &amp; Project Profile'!$B$10)+2*7),"■",""))</f>
        <v/>
      </c>
      <c r="P21">
        <f>IF(OR($D21="",$E21=""),"",IF(AND($D21&lt;=IF('Client &amp; Project Profile'!$B$10="",TODAY(),'Client &amp; Project Profile'!$B$10)+3*7+6,$E21&gt;=IF('Client &amp; Project Profile'!$B$10="",TODAY(),'Client &amp; Project Profile'!$B$10)+3*7),"■",""))</f>
        <v/>
      </c>
      <c r="Q21">
        <f>IF(OR($D21="",$E21=""),"",IF(AND($D21&lt;=IF('Client &amp; Project Profile'!$B$10="",TODAY(),'Client &amp; Project Profile'!$B$10)+4*7+6,$E21&gt;=IF('Client &amp; Project Profile'!$B$10="",TODAY(),'Client &amp; Project Profile'!$B$10)+4*7),"■",""))</f>
        <v/>
      </c>
      <c r="R21">
        <f>IF(OR($D21="",$E21=""),"",IF(AND($D21&lt;=IF('Client &amp; Project Profile'!$B$10="",TODAY(),'Client &amp; Project Profile'!$B$10)+5*7+6,$E21&gt;=IF('Client &amp; Project Profile'!$B$10="",TODAY(),'Client &amp; Project Profile'!$B$10)+5*7),"■",""))</f>
        <v/>
      </c>
      <c r="S21">
        <f>IF(OR($D21="",$E21=""),"",IF(AND($D21&lt;=IF('Client &amp; Project Profile'!$B$10="",TODAY(),'Client &amp; Project Profile'!$B$10)+6*7+6,$E21&gt;=IF('Client &amp; Project Profile'!$B$10="",TODAY(),'Client &amp; Project Profile'!$B$10)+6*7),"■",""))</f>
        <v/>
      </c>
      <c r="T21">
        <f>IF(OR($D21="",$E21=""),"",IF(AND($D21&lt;=IF('Client &amp; Project Profile'!$B$10="",TODAY(),'Client &amp; Project Profile'!$B$10)+7*7+6,$E21&gt;=IF('Client &amp; Project Profile'!$B$10="",TODAY(),'Client &amp; Project Profile'!$B$10)+7*7),"■",""))</f>
        <v/>
      </c>
      <c r="U21">
        <f>IF(OR($D21="",$E21=""),"",IF(AND($D21&lt;=IF('Client &amp; Project Profile'!$B$10="",TODAY(),'Client &amp; Project Profile'!$B$10)+8*7+6,$E21&gt;=IF('Client &amp; Project Profile'!$B$10="",TODAY(),'Client &amp; Project Profile'!$B$10)+8*7),"■",""))</f>
        <v/>
      </c>
      <c r="V21">
        <f>IF(OR($D21="",$E21=""),"",IF(AND($D21&lt;=IF('Client &amp; Project Profile'!$B$10="",TODAY(),'Client &amp; Project Profile'!$B$10)+9*7+6,$E21&gt;=IF('Client &amp; Project Profile'!$B$10="",TODAY(),'Client &amp; Project Profile'!$B$10)+9*7),"■",""))</f>
        <v/>
      </c>
      <c r="W21">
        <f>IF(OR($D21="",$E21=""),"",IF(AND($D21&lt;=IF('Client &amp; Project Profile'!$B$10="",TODAY(),'Client &amp; Project Profile'!$B$10)+10*7+6,$E21&gt;=IF('Client &amp; Project Profile'!$B$10="",TODAY(),'Client &amp; Project Profile'!$B$10)+10*7),"■",""))</f>
        <v/>
      </c>
      <c r="X21">
        <f>IF(OR($D21="",$E21=""),"",IF(AND($D21&lt;=IF('Client &amp; Project Profile'!$B$10="",TODAY(),'Client &amp; Project Profile'!$B$10)+11*7+6,$E21&gt;=IF('Client &amp; Project Profile'!$B$10="",TODAY(),'Client &amp; Project Profile'!$B$10)+11*7),"■",""))</f>
        <v/>
      </c>
    </row>
    <row r="22">
      <c r="A22" s="12" t="n"/>
      <c r="B22" s="12" t="n"/>
      <c r="C22" s="12" t="n"/>
      <c r="D22" s="14" t="n"/>
      <c r="E22" s="14" t="n"/>
      <c r="F22" s="14" t="n"/>
      <c r="G22" s="12" t="n"/>
      <c r="H22" s="12" t="n"/>
      <c r="I22" s="12" t="n"/>
      <c r="J22" s="12" t="n"/>
      <c r="K22" s="12">
        <f>IF(OR($D22="",$E22=""),"",$E22-$D22+1)</f>
        <v/>
      </c>
      <c r="L22" s="12">
        <f>IF(AND($E22&lt;TODAY(),$G22&lt;&gt;"Complete"),TODAY()-$E22,0)</f>
        <v/>
      </c>
      <c r="M22" s="12">
        <f>IF(OR($D22="",$E22=""),"",IF(AND($D22&lt;=IF('Client &amp; Project Profile'!$B$10="",TODAY(),'Client &amp; Project Profile'!$B$10)+0*7+6,$E22&gt;=IF('Client &amp; Project Profile'!$B$10="",TODAY(),'Client &amp; Project Profile'!$B$10)+0*7),"■",""))</f>
        <v/>
      </c>
      <c r="N22" s="12">
        <f>IF(OR($D22="",$E22=""),"",IF(AND($D22&lt;=IF('Client &amp; Project Profile'!$B$10="",TODAY(),'Client &amp; Project Profile'!$B$10)+1*7+6,$E22&gt;=IF('Client &amp; Project Profile'!$B$10="",TODAY(),'Client &amp; Project Profile'!$B$10)+1*7),"■",""))</f>
        <v/>
      </c>
      <c r="O22" s="12">
        <f>IF(OR($D22="",$E22=""),"",IF(AND($D22&lt;=IF('Client &amp; Project Profile'!$B$10="",TODAY(),'Client &amp; Project Profile'!$B$10)+2*7+6,$E22&gt;=IF('Client &amp; Project Profile'!$B$10="",TODAY(),'Client &amp; Project Profile'!$B$10)+2*7),"■",""))</f>
        <v/>
      </c>
      <c r="P22" s="12">
        <f>IF(OR($D22="",$E22=""),"",IF(AND($D22&lt;=IF('Client &amp; Project Profile'!$B$10="",TODAY(),'Client &amp; Project Profile'!$B$10)+3*7+6,$E22&gt;=IF('Client &amp; Project Profile'!$B$10="",TODAY(),'Client &amp; Project Profile'!$B$10)+3*7),"■",""))</f>
        <v/>
      </c>
      <c r="Q22" s="12">
        <f>IF(OR($D22="",$E22=""),"",IF(AND($D22&lt;=IF('Client &amp; Project Profile'!$B$10="",TODAY(),'Client &amp; Project Profile'!$B$10)+4*7+6,$E22&gt;=IF('Client &amp; Project Profile'!$B$10="",TODAY(),'Client &amp; Project Profile'!$B$10)+4*7),"■",""))</f>
        <v/>
      </c>
      <c r="R22" s="12">
        <f>IF(OR($D22="",$E22=""),"",IF(AND($D22&lt;=IF('Client &amp; Project Profile'!$B$10="",TODAY(),'Client &amp; Project Profile'!$B$10)+5*7+6,$E22&gt;=IF('Client &amp; Project Profile'!$B$10="",TODAY(),'Client &amp; Project Profile'!$B$10)+5*7),"■",""))</f>
        <v/>
      </c>
      <c r="S22" s="12">
        <f>IF(OR($D22="",$E22=""),"",IF(AND($D22&lt;=IF('Client &amp; Project Profile'!$B$10="",TODAY(),'Client &amp; Project Profile'!$B$10)+6*7+6,$E22&gt;=IF('Client &amp; Project Profile'!$B$10="",TODAY(),'Client &amp; Project Profile'!$B$10)+6*7),"■",""))</f>
        <v/>
      </c>
      <c r="T22" s="12">
        <f>IF(OR($D22="",$E22=""),"",IF(AND($D22&lt;=IF('Client &amp; Project Profile'!$B$10="",TODAY(),'Client &amp; Project Profile'!$B$10)+7*7+6,$E22&gt;=IF('Client &amp; Project Profile'!$B$10="",TODAY(),'Client &amp; Project Profile'!$B$10)+7*7),"■",""))</f>
        <v/>
      </c>
      <c r="U22" s="12">
        <f>IF(OR($D22="",$E22=""),"",IF(AND($D22&lt;=IF('Client &amp; Project Profile'!$B$10="",TODAY(),'Client &amp; Project Profile'!$B$10)+8*7+6,$E22&gt;=IF('Client &amp; Project Profile'!$B$10="",TODAY(),'Client &amp; Project Profile'!$B$10)+8*7),"■",""))</f>
        <v/>
      </c>
      <c r="V22" s="12">
        <f>IF(OR($D22="",$E22=""),"",IF(AND($D22&lt;=IF('Client &amp; Project Profile'!$B$10="",TODAY(),'Client &amp; Project Profile'!$B$10)+9*7+6,$E22&gt;=IF('Client &amp; Project Profile'!$B$10="",TODAY(),'Client &amp; Project Profile'!$B$10)+9*7),"■",""))</f>
        <v/>
      </c>
      <c r="W22" s="12">
        <f>IF(OR($D22="",$E22=""),"",IF(AND($D22&lt;=IF('Client &amp; Project Profile'!$B$10="",TODAY(),'Client &amp; Project Profile'!$B$10)+10*7+6,$E22&gt;=IF('Client &amp; Project Profile'!$B$10="",TODAY(),'Client &amp; Project Profile'!$B$10)+10*7),"■",""))</f>
        <v/>
      </c>
      <c r="X22" s="12">
        <f>IF(OR($D22="",$E22=""),"",IF(AND($D22&lt;=IF('Client &amp; Project Profile'!$B$10="",TODAY(),'Client &amp; Project Profile'!$B$10)+11*7+6,$E22&gt;=IF('Client &amp; Project Profile'!$B$10="",TODAY(),'Client &amp; Project Profile'!$B$10)+11*7),"■",""))</f>
        <v/>
      </c>
    </row>
    <row r="23">
      <c r="D23" s="9" t="n"/>
      <c r="E23" s="9" t="n"/>
      <c r="F23" s="9" t="n"/>
      <c r="K23">
        <f>IF(OR($D23="",$E23=""),"",$E23-$D23+1)</f>
        <v/>
      </c>
      <c r="L23">
        <f>IF(AND($E23&lt;TODAY(),$G23&lt;&gt;"Complete"),TODAY()-$E23,0)</f>
        <v/>
      </c>
      <c r="M23">
        <f>IF(OR($D23="",$E23=""),"",IF(AND($D23&lt;=IF('Client &amp; Project Profile'!$B$10="",TODAY(),'Client &amp; Project Profile'!$B$10)+0*7+6,$E23&gt;=IF('Client &amp; Project Profile'!$B$10="",TODAY(),'Client &amp; Project Profile'!$B$10)+0*7),"■",""))</f>
        <v/>
      </c>
      <c r="N23">
        <f>IF(OR($D23="",$E23=""),"",IF(AND($D23&lt;=IF('Client &amp; Project Profile'!$B$10="",TODAY(),'Client &amp; Project Profile'!$B$10)+1*7+6,$E23&gt;=IF('Client &amp; Project Profile'!$B$10="",TODAY(),'Client &amp; Project Profile'!$B$10)+1*7),"■",""))</f>
        <v/>
      </c>
      <c r="O23">
        <f>IF(OR($D23="",$E23=""),"",IF(AND($D23&lt;=IF('Client &amp; Project Profile'!$B$10="",TODAY(),'Client &amp; Project Profile'!$B$10)+2*7+6,$E23&gt;=IF('Client &amp; Project Profile'!$B$10="",TODAY(),'Client &amp; Project Profile'!$B$10)+2*7),"■",""))</f>
        <v/>
      </c>
      <c r="P23">
        <f>IF(OR($D23="",$E23=""),"",IF(AND($D23&lt;=IF('Client &amp; Project Profile'!$B$10="",TODAY(),'Client &amp; Project Profile'!$B$10)+3*7+6,$E23&gt;=IF('Client &amp; Project Profile'!$B$10="",TODAY(),'Client &amp; Project Profile'!$B$10)+3*7),"■",""))</f>
        <v/>
      </c>
      <c r="Q23">
        <f>IF(OR($D23="",$E23=""),"",IF(AND($D23&lt;=IF('Client &amp; Project Profile'!$B$10="",TODAY(),'Client &amp; Project Profile'!$B$10)+4*7+6,$E23&gt;=IF('Client &amp; Project Profile'!$B$10="",TODAY(),'Client &amp; Project Profile'!$B$10)+4*7),"■",""))</f>
        <v/>
      </c>
      <c r="R23">
        <f>IF(OR($D23="",$E23=""),"",IF(AND($D23&lt;=IF('Client &amp; Project Profile'!$B$10="",TODAY(),'Client &amp; Project Profile'!$B$10)+5*7+6,$E23&gt;=IF('Client &amp; Project Profile'!$B$10="",TODAY(),'Client &amp; Project Profile'!$B$10)+5*7),"■",""))</f>
        <v/>
      </c>
      <c r="S23">
        <f>IF(OR($D23="",$E23=""),"",IF(AND($D23&lt;=IF('Client &amp; Project Profile'!$B$10="",TODAY(),'Client &amp; Project Profile'!$B$10)+6*7+6,$E23&gt;=IF('Client &amp; Project Profile'!$B$10="",TODAY(),'Client &amp; Project Profile'!$B$10)+6*7),"■",""))</f>
        <v/>
      </c>
      <c r="T23">
        <f>IF(OR($D23="",$E23=""),"",IF(AND($D23&lt;=IF('Client &amp; Project Profile'!$B$10="",TODAY(),'Client &amp; Project Profile'!$B$10)+7*7+6,$E23&gt;=IF('Client &amp; Project Profile'!$B$10="",TODAY(),'Client &amp; Project Profile'!$B$10)+7*7),"■",""))</f>
        <v/>
      </c>
      <c r="U23">
        <f>IF(OR($D23="",$E23=""),"",IF(AND($D23&lt;=IF('Client &amp; Project Profile'!$B$10="",TODAY(),'Client &amp; Project Profile'!$B$10)+8*7+6,$E23&gt;=IF('Client &amp; Project Profile'!$B$10="",TODAY(),'Client &amp; Project Profile'!$B$10)+8*7),"■",""))</f>
        <v/>
      </c>
      <c r="V23">
        <f>IF(OR($D23="",$E23=""),"",IF(AND($D23&lt;=IF('Client &amp; Project Profile'!$B$10="",TODAY(),'Client &amp; Project Profile'!$B$10)+9*7+6,$E23&gt;=IF('Client &amp; Project Profile'!$B$10="",TODAY(),'Client &amp; Project Profile'!$B$10)+9*7),"■",""))</f>
        <v/>
      </c>
      <c r="W23">
        <f>IF(OR($D23="",$E23=""),"",IF(AND($D23&lt;=IF('Client &amp; Project Profile'!$B$10="",TODAY(),'Client &amp; Project Profile'!$B$10)+10*7+6,$E23&gt;=IF('Client &amp; Project Profile'!$B$10="",TODAY(),'Client &amp; Project Profile'!$B$10)+10*7),"■",""))</f>
        <v/>
      </c>
      <c r="X23">
        <f>IF(OR($D23="",$E23=""),"",IF(AND($D23&lt;=IF('Client &amp; Project Profile'!$B$10="",TODAY(),'Client &amp; Project Profile'!$B$10)+11*7+6,$E23&gt;=IF('Client &amp; Project Profile'!$B$10="",TODAY(),'Client &amp; Project Profile'!$B$10)+11*7),"■",""))</f>
        <v/>
      </c>
    </row>
    <row r="24">
      <c r="A24" s="12" t="n"/>
      <c r="B24" s="12" t="n"/>
      <c r="C24" s="12" t="n"/>
      <c r="D24" s="14" t="n"/>
      <c r="E24" s="14" t="n"/>
      <c r="F24" s="14" t="n"/>
      <c r="G24" s="12" t="n"/>
      <c r="H24" s="12" t="n"/>
      <c r="I24" s="12" t="n"/>
      <c r="J24" s="12" t="n"/>
      <c r="K24" s="12">
        <f>IF(OR($D24="",$E24=""),"",$E24-$D24+1)</f>
        <v/>
      </c>
      <c r="L24" s="12">
        <f>IF(AND($E24&lt;TODAY(),$G24&lt;&gt;"Complete"),TODAY()-$E24,0)</f>
        <v/>
      </c>
      <c r="M24" s="12">
        <f>IF(OR($D24="",$E24=""),"",IF(AND($D24&lt;=IF('Client &amp; Project Profile'!$B$10="",TODAY(),'Client &amp; Project Profile'!$B$10)+0*7+6,$E24&gt;=IF('Client &amp; Project Profile'!$B$10="",TODAY(),'Client &amp; Project Profile'!$B$10)+0*7),"■",""))</f>
        <v/>
      </c>
      <c r="N24" s="12">
        <f>IF(OR($D24="",$E24=""),"",IF(AND($D24&lt;=IF('Client &amp; Project Profile'!$B$10="",TODAY(),'Client &amp; Project Profile'!$B$10)+1*7+6,$E24&gt;=IF('Client &amp; Project Profile'!$B$10="",TODAY(),'Client &amp; Project Profile'!$B$10)+1*7),"■",""))</f>
        <v/>
      </c>
      <c r="O24" s="12">
        <f>IF(OR($D24="",$E24=""),"",IF(AND($D24&lt;=IF('Client &amp; Project Profile'!$B$10="",TODAY(),'Client &amp; Project Profile'!$B$10)+2*7+6,$E24&gt;=IF('Client &amp; Project Profile'!$B$10="",TODAY(),'Client &amp; Project Profile'!$B$10)+2*7),"■",""))</f>
        <v/>
      </c>
      <c r="P24" s="12">
        <f>IF(OR($D24="",$E24=""),"",IF(AND($D24&lt;=IF('Client &amp; Project Profile'!$B$10="",TODAY(),'Client &amp; Project Profile'!$B$10)+3*7+6,$E24&gt;=IF('Client &amp; Project Profile'!$B$10="",TODAY(),'Client &amp; Project Profile'!$B$10)+3*7),"■",""))</f>
        <v/>
      </c>
      <c r="Q24" s="12">
        <f>IF(OR($D24="",$E24=""),"",IF(AND($D24&lt;=IF('Client &amp; Project Profile'!$B$10="",TODAY(),'Client &amp; Project Profile'!$B$10)+4*7+6,$E24&gt;=IF('Client &amp; Project Profile'!$B$10="",TODAY(),'Client &amp; Project Profile'!$B$10)+4*7),"■",""))</f>
        <v/>
      </c>
      <c r="R24" s="12">
        <f>IF(OR($D24="",$E24=""),"",IF(AND($D24&lt;=IF('Client &amp; Project Profile'!$B$10="",TODAY(),'Client &amp; Project Profile'!$B$10)+5*7+6,$E24&gt;=IF('Client &amp; Project Profile'!$B$10="",TODAY(),'Client &amp; Project Profile'!$B$10)+5*7),"■",""))</f>
        <v/>
      </c>
      <c r="S24" s="12">
        <f>IF(OR($D24="",$E24=""),"",IF(AND($D24&lt;=IF('Client &amp; Project Profile'!$B$10="",TODAY(),'Client &amp; Project Profile'!$B$10)+6*7+6,$E24&gt;=IF('Client &amp; Project Profile'!$B$10="",TODAY(),'Client &amp; Project Profile'!$B$10)+6*7),"■",""))</f>
        <v/>
      </c>
      <c r="T24" s="12">
        <f>IF(OR($D24="",$E24=""),"",IF(AND($D24&lt;=IF('Client &amp; Project Profile'!$B$10="",TODAY(),'Client &amp; Project Profile'!$B$10)+7*7+6,$E24&gt;=IF('Client &amp; Project Profile'!$B$10="",TODAY(),'Client &amp; Project Profile'!$B$10)+7*7),"■",""))</f>
        <v/>
      </c>
      <c r="U24" s="12">
        <f>IF(OR($D24="",$E24=""),"",IF(AND($D24&lt;=IF('Client &amp; Project Profile'!$B$10="",TODAY(),'Client &amp; Project Profile'!$B$10)+8*7+6,$E24&gt;=IF('Client &amp; Project Profile'!$B$10="",TODAY(),'Client &amp; Project Profile'!$B$10)+8*7),"■",""))</f>
        <v/>
      </c>
      <c r="V24" s="12">
        <f>IF(OR($D24="",$E24=""),"",IF(AND($D24&lt;=IF('Client &amp; Project Profile'!$B$10="",TODAY(),'Client &amp; Project Profile'!$B$10)+9*7+6,$E24&gt;=IF('Client &amp; Project Profile'!$B$10="",TODAY(),'Client &amp; Project Profile'!$B$10)+9*7),"■",""))</f>
        <v/>
      </c>
      <c r="W24" s="12">
        <f>IF(OR($D24="",$E24=""),"",IF(AND($D24&lt;=IF('Client &amp; Project Profile'!$B$10="",TODAY(),'Client &amp; Project Profile'!$B$10)+10*7+6,$E24&gt;=IF('Client &amp; Project Profile'!$B$10="",TODAY(),'Client &amp; Project Profile'!$B$10)+10*7),"■",""))</f>
        <v/>
      </c>
      <c r="X24" s="12">
        <f>IF(OR($D24="",$E24=""),"",IF(AND($D24&lt;=IF('Client &amp; Project Profile'!$B$10="",TODAY(),'Client &amp; Project Profile'!$B$10)+11*7+6,$E24&gt;=IF('Client &amp; Project Profile'!$B$10="",TODAY(),'Client &amp; Project Profile'!$B$10)+11*7),"■",""))</f>
        <v/>
      </c>
    </row>
    <row r="25">
      <c r="D25" s="9" t="n"/>
      <c r="E25" s="9" t="n"/>
      <c r="F25" s="9" t="n"/>
      <c r="K25">
        <f>IF(OR($D25="",$E25=""),"",$E25-$D25+1)</f>
        <v/>
      </c>
      <c r="L25">
        <f>IF(AND($E25&lt;TODAY(),$G25&lt;&gt;"Complete"),TODAY()-$E25,0)</f>
        <v/>
      </c>
      <c r="M25">
        <f>IF(OR($D25="",$E25=""),"",IF(AND($D25&lt;=IF('Client &amp; Project Profile'!$B$10="",TODAY(),'Client &amp; Project Profile'!$B$10)+0*7+6,$E25&gt;=IF('Client &amp; Project Profile'!$B$10="",TODAY(),'Client &amp; Project Profile'!$B$10)+0*7),"■",""))</f>
        <v/>
      </c>
      <c r="N25">
        <f>IF(OR($D25="",$E25=""),"",IF(AND($D25&lt;=IF('Client &amp; Project Profile'!$B$10="",TODAY(),'Client &amp; Project Profile'!$B$10)+1*7+6,$E25&gt;=IF('Client &amp; Project Profile'!$B$10="",TODAY(),'Client &amp; Project Profile'!$B$10)+1*7),"■",""))</f>
        <v/>
      </c>
      <c r="O25">
        <f>IF(OR($D25="",$E25=""),"",IF(AND($D25&lt;=IF('Client &amp; Project Profile'!$B$10="",TODAY(),'Client &amp; Project Profile'!$B$10)+2*7+6,$E25&gt;=IF('Client &amp; Project Profile'!$B$10="",TODAY(),'Client &amp; Project Profile'!$B$10)+2*7),"■",""))</f>
        <v/>
      </c>
      <c r="P25">
        <f>IF(OR($D25="",$E25=""),"",IF(AND($D25&lt;=IF('Client &amp; Project Profile'!$B$10="",TODAY(),'Client &amp; Project Profile'!$B$10)+3*7+6,$E25&gt;=IF('Client &amp; Project Profile'!$B$10="",TODAY(),'Client &amp; Project Profile'!$B$10)+3*7),"■",""))</f>
        <v/>
      </c>
      <c r="Q25">
        <f>IF(OR($D25="",$E25=""),"",IF(AND($D25&lt;=IF('Client &amp; Project Profile'!$B$10="",TODAY(),'Client &amp; Project Profile'!$B$10)+4*7+6,$E25&gt;=IF('Client &amp; Project Profile'!$B$10="",TODAY(),'Client &amp; Project Profile'!$B$10)+4*7),"■",""))</f>
        <v/>
      </c>
      <c r="R25">
        <f>IF(OR($D25="",$E25=""),"",IF(AND($D25&lt;=IF('Client &amp; Project Profile'!$B$10="",TODAY(),'Client &amp; Project Profile'!$B$10)+5*7+6,$E25&gt;=IF('Client &amp; Project Profile'!$B$10="",TODAY(),'Client &amp; Project Profile'!$B$10)+5*7),"■",""))</f>
        <v/>
      </c>
      <c r="S25">
        <f>IF(OR($D25="",$E25=""),"",IF(AND($D25&lt;=IF('Client &amp; Project Profile'!$B$10="",TODAY(),'Client &amp; Project Profile'!$B$10)+6*7+6,$E25&gt;=IF('Client &amp; Project Profile'!$B$10="",TODAY(),'Client &amp; Project Profile'!$B$10)+6*7),"■",""))</f>
        <v/>
      </c>
      <c r="T25">
        <f>IF(OR($D25="",$E25=""),"",IF(AND($D25&lt;=IF('Client &amp; Project Profile'!$B$10="",TODAY(),'Client &amp; Project Profile'!$B$10)+7*7+6,$E25&gt;=IF('Client &amp; Project Profile'!$B$10="",TODAY(),'Client &amp; Project Profile'!$B$10)+7*7),"■",""))</f>
        <v/>
      </c>
      <c r="U25">
        <f>IF(OR($D25="",$E25=""),"",IF(AND($D25&lt;=IF('Client &amp; Project Profile'!$B$10="",TODAY(),'Client &amp; Project Profile'!$B$10)+8*7+6,$E25&gt;=IF('Client &amp; Project Profile'!$B$10="",TODAY(),'Client &amp; Project Profile'!$B$10)+8*7),"■",""))</f>
        <v/>
      </c>
      <c r="V25">
        <f>IF(OR($D25="",$E25=""),"",IF(AND($D25&lt;=IF('Client &amp; Project Profile'!$B$10="",TODAY(),'Client &amp; Project Profile'!$B$10)+9*7+6,$E25&gt;=IF('Client &amp; Project Profile'!$B$10="",TODAY(),'Client &amp; Project Profile'!$B$10)+9*7),"■",""))</f>
        <v/>
      </c>
      <c r="W25">
        <f>IF(OR($D25="",$E25=""),"",IF(AND($D25&lt;=IF('Client &amp; Project Profile'!$B$10="",TODAY(),'Client &amp; Project Profile'!$B$10)+10*7+6,$E25&gt;=IF('Client &amp; Project Profile'!$B$10="",TODAY(),'Client &amp; Project Profile'!$B$10)+10*7),"■",""))</f>
        <v/>
      </c>
      <c r="X25">
        <f>IF(OR($D25="",$E25=""),"",IF(AND($D25&lt;=IF('Client &amp; Project Profile'!$B$10="",TODAY(),'Client &amp; Project Profile'!$B$10)+11*7+6,$E25&gt;=IF('Client &amp; Project Profile'!$B$10="",TODAY(),'Client &amp; Project Profile'!$B$10)+11*7),"■",""))</f>
        <v/>
      </c>
    </row>
    <row r="26">
      <c r="A26" s="12" t="n"/>
      <c r="B26" s="12" t="n"/>
      <c r="C26" s="12" t="n"/>
      <c r="D26" s="14" t="n"/>
      <c r="E26" s="14" t="n"/>
      <c r="F26" s="14" t="n"/>
      <c r="G26" s="12" t="n"/>
      <c r="H26" s="12" t="n"/>
      <c r="I26" s="12" t="n"/>
      <c r="J26" s="12" t="n"/>
      <c r="K26" s="12">
        <f>IF(OR($D26="",$E26=""),"",$E26-$D26+1)</f>
        <v/>
      </c>
      <c r="L26" s="12">
        <f>IF(AND($E26&lt;TODAY(),$G26&lt;&gt;"Complete"),TODAY()-$E26,0)</f>
        <v/>
      </c>
      <c r="M26" s="12">
        <f>IF(OR($D26="",$E26=""),"",IF(AND($D26&lt;=IF('Client &amp; Project Profile'!$B$10="",TODAY(),'Client &amp; Project Profile'!$B$10)+0*7+6,$E26&gt;=IF('Client &amp; Project Profile'!$B$10="",TODAY(),'Client &amp; Project Profile'!$B$10)+0*7),"■",""))</f>
        <v/>
      </c>
      <c r="N26" s="12">
        <f>IF(OR($D26="",$E26=""),"",IF(AND($D26&lt;=IF('Client &amp; Project Profile'!$B$10="",TODAY(),'Client &amp; Project Profile'!$B$10)+1*7+6,$E26&gt;=IF('Client &amp; Project Profile'!$B$10="",TODAY(),'Client &amp; Project Profile'!$B$10)+1*7),"■",""))</f>
        <v/>
      </c>
      <c r="O26" s="12">
        <f>IF(OR($D26="",$E26=""),"",IF(AND($D26&lt;=IF('Client &amp; Project Profile'!$B$10="",TODAY(),'Client &amp; Project Profile'!$B$10)+2*7+6,$E26&gt;=IF('Client &amp; Project Profile'!$B$10="",TODAY(),'Client &amp; Project Profile'!$B$10)+2*7),"■",""))</f>
        <v/>
      </c>
      <c r="P26" s="12">
        <f>IF(OR($D26="",$E26=""),"",IF(AND($D26&lt;=IF('Client &amp; Project Profile'!$B$10="",TODAY(),'Client &amp; Project Profile'!$B$10)+3*7+6,$E26&gt;=IF('Client &amp; Project Profile'!$B$10="",TODAY(),'Client &amp; Project Profile'!$B$10)+3*7),"■",""))</f>
        <v/>
      </c>
      <c r="Q26" s="12">
        <f>IF(OR($D26="",$E26=""),"",IF(AND($D26&lt;=IF('Client &amp; Project Profile'!$B$10="",TODAY(),'Client &amp; Project Profile'!$B$10)+4*7+6,$E26&gt;=IF('Client &amp; Project Profile'!$B$10="",TODAY(),'Client &amp; Project Profile'!$B$10)+4*7),"■",""))</f>
        <v/>
      </c>
      <c r="R26" s="12">
        <f>IF(OR($D26="",$E26=""),"",IF(AND($D26&lt;=IF('Client &amp; Project Profile'!$B$10="",TODAY(),'Client &amp; Project Profile'!$B$10)+5*7+6,$E26&gt;=IF('Client &amp; Project Profile'!$B$10="",TODAY(),'Client &amp; Project Profile'!$B$10)+5*7),"■",""))</f>
        <v/>
      </c>
      <c r="S26" s="12">
        <f>IF(OR($D26="",$E26=""),"",IF(AND($D26&lt;=IF('Client &amp; Project Profile'!$B$10="",TODAY(),'Client &amp; Project Profile'!$B$10)+6*7+6,$E26&gt;=IF('Client &amp; Project Profile'!$B$10="",TODAY(),'Client &amp; Project Profile'!$B$10)+6*7),"■",""))</f>
        <v/>
      </c>
      <c r="T26" s="12">
        <f>IF(OR($D26="",$E26=""),"",IF(AND($D26&lt;=IF('Client &amp; Project Profile'!$B$10="",TODAY(),'Client &amp; Project Profile'!$B$10)+7*7+6,$E26&gt;=IF('Client &amp; Project Profile'!$B$10="",TODAY(),'Client &amp; Project Profile'!$B$10)+7*7),"■",""))</f>
        <v/>
      </c>
      <c r="U26" s="12">
        <f>IF(OR($D26="",$E26=""),"",IF(AND($D26&lt;=IF('Client &amp; Project Profile'!$B$10="",TODAY(),'Client &amp; Project Profile'!$B$10)+8*7+6,$E26&gt;=IF('Client &amp; Project Profile'!$B$10="",TODAY(),'Client &amp; Project Profile'!$B$10)+8*7),"■",""))</f>
        <v/>
      </c>
      <c r="V26" s="12">
        <f>IF(OR($D26="",$E26=""),"",IF(AND($D26&lt;=IF('Client &amp; Project Profile'!$B$10="",TODAY(),'Client &amp; Project Profile'!$B$10)+9*7+6,$E26&gt;=IF('Client &amp; Project Profile'!$B$10="",TODAY(),'Client &amp; Project Profile'!$B$10)+9*7),"■",""))</f>
        <v/>
      </c>
      <c r="W26" s="12">
        <f>IF(OR($D26="",$E26=""),"",IF(AND($D26&lt;=IF('Client &amp; Project Profile'!$B$10="",TODAY(),'Client &amp; Project Profile'!$B$10)+10*7+6,$E26&gt;=IF('Client &amp; Project Profile'!$B$10="",TODAY(),'Client &amp; Project Profile'!$B$10)+10*7),"■",""))</f>
        <v/>
      </c>
      <c r="X26" s="12">
        <f>IF(OR($D26="",$E26=""),"",IF(AND($D26&lt;=IF('Client &amp; Project Profile'!$B$10="",TODAY(),'Client &amp; Project Profile'!$B$10)+11*7+6,$E26&gt;=IF('Client &amp; Project Profile'!$B$10="",TODAY(),'Client &amp; Project Profile'!$B$10)+11*7),"■",""))</f>
        <v/>
      </c>
    </row>
    <row r="27">
      <c r="D27" s="9" t="n"/>
      <c r="E27" s="9" t="n"/>
      <c r="F27" s="9" t="n"/>
      <c r="K27">
        <f>IF(OR($D27="",$E27=""),"",$E27-$D27+1)</f>
        <v/>
      </c>
      <c r="L27">
        <f>IF(AND($E27&lt;TODAY(),$G27&lt;&gt;"Complete"),TODAY()-$E27,0)</f>
        <v/>
      </c>
      <c r="M27">
        <f>IF(OR($D27="",$E27=""),"",IF(AND($D27&lt;=IF('Client &amp; Project Profile'!$B$10="",TODAY(),'Client &amp; Project Profile'!$B$10)+0*7+6,$E27&gt;=IF('Client &amp; Project Profile'!$B$10="",TODAY(),'Client &amp; Project Profile'!$B$10)+0*7),"■",""))</f>
        <v/>
      </c>
      <c r="N27">
        <f>IF(OR($D27="",$E27=""),"",IF(AND($D27&lt;=IF('Client &amp; Project Profile'!$B$10="",TODAY(),'Client &amp; Project Profile'!$B$10)+1*7+6,$E27&gt;=IF('Client &amp; Project Profile'!$B$10="",TODAY(),'Client &amp; Project Profile'!$B$10)+1*7),"■",""))</f>
        <v/>
      </c>
      <c r="O27">
        <f>IF(OR($D27="",$E27=""),"",IF(AND($D27&lt;=IF('Client &amp; Project Profile'!$B$10="",TODAY(),'Client &amp; Project Profile'!$B$10)+2*7+6,$E27&gt;=IF('Client &amp; Project Profile'!$B$10="",TODAY(),'Client &amp; Project Profile'!$B$10)+2*7),"■",""))</f>
        <v/>
      </c>
      <c r="P27">
        <f>IF(OR($D27="",$E27=""),"",IF(AND($D27&lt;=IF('Client &amp; Project Profile'!$B$10="",TODAY(),'Client &amp; Project Profile'!$B$10)+3*7+6,$E27&gt;=IF('Client &amp; Project Profile'!$B$10="",TODAY(),'Client &amp; Project Profile'!$B$10)+3*7),"■",""))</f>
        <v/>
      </c>
      <c r="Q27">
        <f>IF(OR($D27="",$E27=""),"",IF(AND($D27&lt;=IF('Client &amp; Project Profile'!$B$10="",TODAY(),'Client &amp; Project Profile'!$B$10)+4*7+6,$E27&gt;=IF('Client &amp; Project Profile'!$B$10="",TODAY(),'Client &amp; Project Profile'!$B$10)+4*7),"■",""))</f>
        <v/>
      </c>
      <c r="R27">
        <f>IF(OR($D27="",$E27=""),"",IF(AND($D27&lt;=IF('Client &amp; Project Profile'!$B$10="",TODAY(),'Client &amp; Project Profile'!$B$10)+5*7+6,$E27&gt;=IF('Client &amp; Project Profile'!$B$10="",TODAY(),'Client &amp; Project Profile'!$B$10)+5*7),"■",""))</f>
        <v/>
      </c>
      <c r="S27">
        <f>IF(OR($D27="",$E27=""),"",IF(AND($D27&lt;=IF('Client &amp; Project Profile'!$B$10="",TODAY(),'Client &amp; Project Profile'!$B$10)+6*7+6,$E27&gt;=IF('Client &amp; Project Profile'!$B$10="",TODAY(),'Client &amp; Project Profile'!$B$10)+6*7),"■",""))</f>
        <v/>
      </c>
      <c r="T27">
        <f>IF(OR($D27="",$E27=""),"",IF(AND($D27&lt;=IF('Client &amp; Project Profile'!$B$10="",TODAY(),'Client &amp; Project Profile'!$B$10)+7*7+6,$E27&gt;=IF('Client &amp; Project Profile'!$B$10="",TODAY(),'Client &amp; Project Profile'!$B$10)+7*7),"■",""))</f>
        <v/>
      </c>
      <c r="U27">
        <f>IF(OR($D27="",$E27=""),"",IF(AND($D27&lt;=IF('Client &amp; Project Profile'!$B$10="",TODAY(),'Client &amp; Project Profile'!$B$10)+8*7+6,$E27&gt;=IF('Client &amp; Project Profile'!$B$10="",TODAY(),'Client &amp; Project Profile'!$B$10)+8*7),"■",""))</f>
        <v/>
      </c>
      <c r="V27">
        <f>IF(OR($D27="",$E27=""),"",IF(AND($D27&lt;=IF('Client &amp; Project Profile'!$B$10="",TODAY(),'Client &amp; Project Profile'!$B$10)+9*7+6,$E27&gt;=IF('Client &amp; Project Profile'!$B$10="",TODAY(),'Client &amp; Project Profile'!$B$10)+9*7),"■",""))</f>
        <v/>
      </c>
      <c r="W27">
        <f>IF(OR($D27="",$E27=""),"",IF(AND($D27&lt;=IF('Client &amp; Project Profile'!$B$10="",TODAY(),'Client &amp; Project Profile'!$B$10)+10*7+6,$E27&gt;=IF('Client &amp; Project Profile'!$B$10="",TODAY(),'Client &amp; Project Profile'!$B$10)+10*7),"■",""))</f>
        <v/>
      </c>
      <c r="X27">
        <f>IF(OR($D27="",$E27=""),"",IF(AND($D27&lt;=IF('Client &amp; Project Profile'!$B$10="",TODAY(),'Client &amp; Project Profile'!$B$10)+11*7+6,$E27&gt;=IF('Client &amp; Project Profile'!$B$10="",TODAY(),'Client &amp; Project Profile'!$B$10)+11*7),"■",""))</f>
        <v/>
      </c>
    </row>
    <row r="28">
      <c r="A28" s="12" t="n"/>
      <c r="B28" s="12" t="n"/>
      <c r="C28" s="12" t="n"/>
      <c r="D28" s="14" t="n"/>
      <c r="E28" s="14" t="n"/>
      <c r="F28" s="14" t="n"/>
      <c r="G28" s="12" t="n"/>
      <c r="H28" s="12" t="n"/>
      <c r="I28" s="12" t="n"/>
      <c r="J28" s="12" t="n"/>
      <c r="K28" s="12">
        <f>IF(OR($D28="",$E28=""),"",$E28-$D28+1)</f>
        <v/>
      </c>
      <c r="L28" s="12">
        <f>IF(AND($E28&lt;TODAY(),$G28&lt;&gt;"Complete"),TODAY()-$E28,0)</f>
        <v/>
      </c>
      <c r="M28" s="12">
        <f>IF(OR($D28="",$E28=""),"",IF(AND($D28&lt;=IF('Client &amp; Project Profile'!$B$10="",TODAY(),'Client &amp; Project Profile'!$B$10)+0*7+6,$E28&gt;=IF('Client &amp; Project Profile'!$B$10="",TODAY(),'Client &amp; Project Profile'!$B$10)+0*7),"■",""))</f>
        <v/>
      </c>
      <c r="N28" s="12">
        <f>IF(OR($D28="",$E28=""),"",IF(AND($D28&lt;=IF('Client &amp; Project Profile'!$B$10="",TODAY(),'Client &amp; Project Profile'!$B$10)+1*7+6,$E28&gt;=IF('Client &amp; Project Profile'!$B$10="",TODAY(),'Client &amp; Project Profile'!$B$10)+1*7),"■",""))</f>
        <v/>
      </c>
      <c r="O28" s="12">
        <f>IF(OR($D28="",$E28=""),"",IF(AND($D28&lt;=IF('Client &amp; Project Profile'!$B$10="",TODAY(),'Client &amp; Project Profile'!$B$10)+2*7+6,$E28&gt;=IF('Client &amp; Project Profile'!$B$10="",TODAY(),'Client &amp; Project Profile'!$B$10)+2*7),"■",""))</f>
        <v/>
      </c>
      <c r="P28" s="12">
        <f>IF(OR($D28="",$E28=""),"",IF(AND($D28&lt;=IF('Client &amp; Project Profile'!$B$10="",TODAY(),'Client &amp; Project Profile'!$B$10)+3*7+6,$E28&gt;=IF('Client &amp; Project Profile'!$B$10="",TODAY(),'Client &amp; Project Profile'!$B$10)+3*7),"■",""))</f>
        <v/>
      </c>
      <c r="Q28" s="12">
        <f>IF(OR($D28="",$E28=""),"",IF(AND($D28&lt;=IF('Client &amp; Project Profile'!$B$10="",TODAY(),'Client &amp; Project Profile'!$B$10)+4*7+6,$E28&gt;=IF('Client &amp; Project Profile'!$B$10="",TODAY(),'Client &amp; Project Profile'!$B$10)+4*7),"■",""))</f>
        <v/>
      </c>
      <c r="R28" s="12">
        <f>IF(OR($D28="",$E28=""),"",IF(AND($D28&lt;=IF('Client &amp; Project Profile'!$B$10="",TODAY(),'Client &amp; Project Profile'!$B$10)+5*7+6,$E28&gt;=IF('Client &amp; Project Profile'!$B$10="",TODAY(),'Client &amp; Project Profile'!$B$10)+5*7),"■",""))</f>
        <v/>
      </c>
      <c r="S28" s="12">
        <f>IF(OR($D28="",$E28=""),"",IF(AND($D28&lt;=IF('Client &amp; Project Profile'!$B$10="",TODAY(),'Client &amp; Project Profile'!$B$10)+6*7+6,$E28&gt;=IF('Client &amp; Project Profile'!$B$10="",TODAY(),'Client &amp; Project Profile'!$B$10)+6*7),"■",""))</f>
        <v/>
      </c>
      <c r="T28" s="12">
        <f>IF(OR($D28="",$E28=""),"",IF(AND($D28&lt;=IF('Client &amp; Project Profile'!$B$10="",TODAY(),'Client &amp; Project Profile'!$B$10)+7*7+6,$E28&gt;=IF('Client &amp; Project Profile'!$B$10="",TODAY(),'Client &amp; Project Profile'!$B$10)+7*7),"■",""))</f>
        <v/>
      </c>
      <c r="U28" s="12">
        <f>IF(OR($D28="",$E28=""),"",IF(AND($D28&lt;=IF('Client &amp; Project Profile'!$B$10="",TODAY(),'Client &amp; Project Profile'!$B$10)+8*7+6,$E28&gt;=IF('Client &amp; Project Profile'!$B$10="",TODAY(),'Client &amp; Project Profile'!$B$10)+8*7),"■",""))</f>
        <v/>
      </c>
      <c r="V28" s="12">
        <f>IF(OR($D28="",$E28=""),"",IF(AND($D28&lt;=IF('Client &amp; Project Profile'!$B$10="",TODAY(),'Client &amp; Project Profile'!$B$10)+9*7+6,$E28&gt;=IF('Client &amp; Project Profile'!$B$10="",TODAY(),'Client &amp; Project Profile'!$B$10)+9*7),"■",""))</f>
        <v/>
      </c>
      <c r="W28" s="12">
        <f>IF(OR($D28="",$E28=""),"",IF(AND($D28&lt;=IF('Client &amp; Project Profile'!$B$10="",TODAY(),'Client &amp; Project Profile'!$B$10)+10*7+6,$E28&gt;=IF('Client &amp; Project Profile'!$B$10="",TODAY(),'Client &amp; Project Profile'!$B$10)+10*7),"■",""))</f>
        <v/>
      </c>
      <c r="X28" s="12">
        <f>IF(OR($D28="",$E28=""),"",IF(AND($D28&lt;=IF('Client &amp; Project Profile'!$B$10="",TODAY(),'Client &amp; Project Profile'!$B$10)+11*7+6,$E28&gt;=IF('Client &amp; Project Profile'!$B$10="",TODAY(),'Client &amp; Project Profile'!$B$10)+11*7),"■",""))</f>
        <v/>
      </c>
    </row>
    <row r="29">
      <c r="D29" s="9" t="n"/>
      <c r="E29" s="9" t="n"/>
      <c r="F29" s="9" t="n"/>
      <c r="K29">
        <f>IF(OR($D29="",$E29=""),"",$E29-$D29+1)</f>
        <v/>
      </c>
      <c r="L29">
        <f>IF(AND($E29&lt;TODAY(),$G29&lt;&gt;"Complete"),TODAY()-$E29,0)</f>
        <v/>
      </c>
      <c r="M29">
        <f>IF(OR($D29="",$E29=""),"",IF(AND($D29&lt;=IF('Client &amp; Project Profile'!$B$10="",TODAY(),'Client &amp; Project Profile'!$B$10)+0*7+6,$E29&gt;=IF('Client &amp; Project Profile'!$B$10="",TODAY(),'Client &amp; Project Profile'!$B$10)+0*7),"■",""))</f>
        <v/>
      </c>
      <c r="N29">
        <f>IF(OR($D29="",$E29=""),"",IF(AND($D29&lt;=IF('Client &amp; Project Profile'!$B$10="",TODAY(),'Client &amp; Project Profile'!$B$10)+1*7+6,$E29&gt;=IF('Client &amp; Project Profile'!$B$10="",TODAY(),'Client &amp; Project Profile'!$B$10)+1*7),"■",""))</f>
        <v/>
      </c>
      <c r="O29">
        <f>IF(OR($D29="",$E29=""),"",IF(AND($D29&lt;=IF('Client &amp; Project Profile'!$B$10="",TODAY(),'Client &amp; Project Profile'!$B$10)+2*7+6,$E29&gt;=IF('Client &amp; Project Profile'!$B$10="",TODAY(),'Client &amp; Project Profile'!$B$10)+2*7),"■",""))</f>
        <v/>
      </c>
      <c r="P29">
        <f>IF(OR($D29="",$E29=""),"",IF(AND($D29&lt;=IF('Client &amp; Project Profile'!$B$10="",TODAY(),'Client &amp; Project Profile'!$B$10)+3*7+6,$E29&gt;=IF('Client &amp; Project Profile'!$B$10="",TODAY(),'Client &amp; Project Profile'!$B$10)+3*7),"■",""))</f>
        <v/>
      </c>
      <c r="Q29">
        <f>IF(OR($D29="",$E29=""),"",IF(AND($D29&lt;=IF('Client &amp; Project Profile'!$B$10="",TODAY(),'Client &amp; Project Profile'!$B$10)+4*7+6,$E29&gt;=IF('Client &amp; Project Profile'!$B$10="",TODAY(),'Client &amp; Project Profile'!$B$10)+4*7),"■",""))</f>
        <v/>
      </c>
      <c r="R29">
        <f>IF(OR($D29="",$E29=""),"",IF(AND($D29&lt;=IF('Client &amp; Project Profile'!$B$10="",TODAY(),'Client &amp; Project Profile'!$B$10)+5*7+6,$E29&gt;=IF('Client &amp; Project Profile'!$B$10="",TODAY(),'Client &amp; Project Profile'!$B$10)+5*7),"■",""))</f>
        <v/>
      </c>
      <c r="S29">
        <f>IF(OR($D29="",$E29=""),"",IF(AND($D29&lt;=IF('Client &amp; Project Profile'!$B$10="",TODAY(),'Client &amp; Project Profile'!$B$10)+6*7+6,$E29&gt;=IF('Client &amp; Project Profile'!$B$10="",TODAY(),'Client &amp; Project Profile'!$B$10)+6*7),"■",""))</f>
        <v/>
      </c>
      <c r="T29">
        <f>IF(OR($D29="",$E29=""),"",IF(AND($D29&lt;=IF('Client &amp; Project Profile'!$B$10="",TODAY(),'Client &amp; Project Profile'!$B$10)+7*7+6,$E29&gt;=IF('Client &amp; Project Profile'!$B$10="",TODAY(),'Client &amp; Project Profile'!$B$10)+7*7),"■",""))</f>
        <v/>
      </c>
      <c r="U29">
        <f>IF(OR($D29="",$E29=""),"",IF(AND($D29&lt;=IF('Client &amp; Project Profile'!$B$10="",TODAY(),'Client &amp; Project Profile'!$B$10)+8*7+6,$E29&gt;=IF('Client &amp; Project Profile'!$B$10="",TODAY(),'Client &amp; Project Profile'!$B$10)+8*7),"■",""))</f>
        <v/>
      </c>
      <c r="V29">
        <f>IF(OR($D29="",$E29=""),"",IF(AND($D29&lt;=IF('Client &amp; Project Profile'!$B$10="",TODAY(),'Client &amp; Project Profile'!$B$10)+9*7+6,$E29&gt;=IF('Client &amp; Project Profile'!$B$10="",TODAY(),'Client &amp; Project Profile'!$B$10)+9*7),"■",""))</f>
        <v/>
      </c>
      <c r="W29">
        <f>IF(OR($D29="",$E29=""),"",IF(AND($D29&lt;=IF('Client &amp; Project Profile'!$B$10="",TODAY(),'Client &amp; Project Profile'!$B$10)+10*7+6,$E29&gt;=IF('Client &amp; Project Profile'!$B$10="",TODAY(),'Client &amp; Project Profile'!$B$10)+10*7),"■",""))</f>
        <v/>
      </c>
      <c r="X29">
        <f>IF(OR($D29="",$E29=""),"",IF(AND($D29&lt;=IF('Client &amp; Project Profile'!$B$10="",TODAY(),'Client &amp; Project Profile'!$B$10)+11*7+6,$E29&gt;=IF('Client &amp; Project Profile'!$B$10="",TODAY(),'Client &amp; Project Profile'!$B$10)+11*7),"■",""))</f>
        <v/>
      </c>
    </row>
    <row r="30">
      <c r="A30" s="12" t="n"/>
      <c r="B30" s="12" t="n"/>
      <c r="C30" s="12" t="n"/>
      <c r="D30" s="14" t="n"/>
      <c r="E30" s="14" t="n"/>
      <c r="F30" s="14" t="n"/>
      <c r="G30" s="12" t="n"/>
      <c r="H30" s="12" t="n"/>
      <c r="I30" s="12" t="n"/>
      <c r="J30" s="12" t="n"/>
      <c r="K30" s="12">
        <f>IF(OR($D30="",$E30=""),"",$E30-$D30+1)</f>
        <v/>
      </c>
      <c r="L30" s="12">
        <f>IF(AND($E30&lt;TODAY(),$G30&lt;&gt;"Complete"),TODAY()-$E30,0)</f>
        <v/>
      </c>
      <c r="M30" s="12">
        <f>IF(OR($D30="",$E30=""),"",IF(AND($D30&lt;=IF('Client &amp; Project Profile'!$B$10="",TODAY(),'Client &amp; Project Profile'!$B$10)+0*7+6,$E30&gt;=IF('Client &amp; Project Profile'!$B$10="",TODAY(),'Client &amp; Project Profile'!$B$10)+0*7),"■",""))</f>
        <v/>
      </c>
      <c r="N30" s="12">
        <f>IF(OR($D30="",$E30=""),"",IF(AND($D30&lt;=IF('Client &amp; Project Profile'!$B$10="",TODAY(),'Client &amp; Project Profile'!$B$10)+1*7+6,$E30&gt;=IF('Client &amp; Project Profile'!$B$10="",TODAY(),'Client &amp; Project Profile'!$B$10)+1*7),"■",""))</f>
        <v/>
      </c>
      <c r="O30" s="12">
        <f>IF(OR($D30="",$E30=""),"",IF(AND($D30&lt;=IF('Client &amp; Project Profile'!$B$10="",TODAY(),'Client &amp; Project Profile'!$B$10)+2*7+6,$E30&gt;=IF('Client &amp; Project Profile'!$B$10="",TODAY(),'Client &amp; Project Profile'!$B$10)+2*7),"■",""))</f>
        <v/>
      </c>
      <c r="P30" s="12">
        <f>IF(OR($D30="",$E30=""),"",IF(AND($D30&lt;=IF('Client &amp; Project Profile'!$B$10="",TODAY(),'Client &amp; Project Profile'!$B$10)+3*7+6,$E30&gt;=IF('Client &amp; Project Profile'!$B$10="",TODAY(),'Client &amp; Project Profile'!$B$10)+3*7),"■",""))</f>
        <v/>
      </c>
      <c r="Q30" s="12">
        <f>IF(OR($D30="",$E30=""),"",IF(AND($D30&lt;=IF('Client &amp; Project Profile'!$B$10="",TODAY(),'Client &amp; Project Profile'!$B$10)+4*7+6,$E30&gt;=IF('Client &amp; Project Profile'!$B$10="",TODAY(),'Client &amp; Project Profile'!$B$10)+4*7),"■",""))</f>
        <v/>
      </c>
      <c r="R30" s="12">
        <f>IF(OR($D30="",$E30=""),"",IF(AND($D30&lt;=IF('Client &amp; Project Profile'!$B$10="",TODAY(),'Client &amp; Project Profile'!$B$10)+5*7+6,$E30&gt;=IF('Client &amp; Project Profile'!$B$10="",TODAY(),'Client &amp; Project Profile'!$B$10)+5*7),"■",""))</f>
        <v/>
      </c>
      <c r="S30" s="12">
        <f>IF(OR($D30="",$E30=""),"",IF(AND($D30&lt;=IF('Client &amp; Project Profile'!$B$10="",TODAY(),'Client &amp; Project Profile'!$B$10)+6*7+6,$E30&gt;=IF('Client &amp; Project Profile'!$B$10="",TODAY(),'Client &amp; Project Profile'!$B$10)+6*7),"■",""))</f>
        <v/>
      </c>
      <c r="T30" s="12">
        <f>IF(OR($D30="",$E30=""),"",IF(AND($D30&lt;=IF('Client &amp; Project Profile'!$B$10="",TODAY(),'Client &amp; Project Profile'!$B$10)+7*7+6,$E30&gt;=IF('Client &amp; Project Profile'!$B$10="",TODAY(),'Client &amp; Project Profile'!$B$10)+7*7),"■",""))</f>
        <v/>
      </c>
      <c r="U30" s="12">
        <f>IF(OR($D30="",$E30=""),"",IF(AND($D30&lt;=IF('Client &amp; Project Profile'!$B$10="",TODAY(),'Client &amp; Project Profile'!$B$10)+8*7+6,$E30&gt;=IF('Client &amp; Project Profile'!$B$10="",TODAY(),'Client &amp; Project Profile'!$B$10)+8*7),"■",""))</f>
        <v/>
      </c>
      <c r="V30" s="12">
        <f>IF(OR($D30="",$E30=""),"",IF(AND($D30&lt;=IF('Client &amp; Project Profile'!$B$10="",TODAY(),'Client &amp; Project Profile'!$B$10)+9*7+6,$E30&gt;=IF('Client &amp; Project Profile'!$B$10="",TODAY(),'Client &amp; Project Profile'!$B$10)+9*7),"■",""))</f>
        <v/>
      </c>
      <c r="W30" s="12">
        <f>IF(OR($D30="",$E30=""),"",IF(AND($D30&lt;=IF('Client &amp; Project Profile'!$B$10="",TODAY(),'Client &amp; Project Profile'!$B$10)+10*7+6,$E30&gt;=IF('Client &amp; Project Profile'!$B$10="",TODAY(),'Client &amp; Project Profile'!$B$10)+10*7),"■",""))</f>
        <v/>
      </c>
      <c r="X30" s="12">
        <f>IF(OR($D30="",$E30=""),"",IF(AND($D30&lt;=IF('Client &amp; Project Profile'!$B$10="",TODAY(),'Client &amp; Project Profile'!$B$10)+11*7+6,$E30&gt;=IF('Client &amp; Project Profile'!$B$10="",TODAY(),'Client &amp; Project Profile'!$B$10)+11*7),"■",""))</f>
        <v/>
      </c>
    </row>
    <row r="31">
      <c r="D31" s="9" t="n"/>
      <c r="E31" s="9" t="n"/>
      <c r="F31" s="9" t="n"/>
      <c r="K31">
        <f>IF(OR($D31="",$E31=""),"",$E31-$D31+1)</f>
        <v/>
      </c>
      <c r="L31">
        <f>IF(AND($E31&lt;TODAY(),$G31&lt;&gt;"Complete"),TODAY()-$E31,0)</f>
        <v/>
      </c>
      <c r="M31">
        <f>IF(OR($D31="",$E31=""),"",IF(AND($D31&lt;=IF('Client &amp; Project Profile'!$B$10="",TODAY(),'Client &amp; Project Profile'!$B$10)+0*7+6,$E31&gt;=IF('Client &amp; Project Profile'!$B$10="",TODAY(),'Client &amp; Project Profile'!$B$10)+0*7),"■",""))</f>
        <v/>
      </c>
      <c r="N31">
        <f>IF(OR($D31="",$E31=""),"",IF(AND($D31&lt;=IF('Client &amp; Project Profile'!$B$10="",TODAY(),'Client &amp; Project Profile'!$B$10)+1*7+6,$E31&gt;=IF('Client &amp; Project Profile'!$B$10="",TODAY(),'Client &amp; Project Profile'!$B$10)+1*7),"■",""))</f>
        <v/>
      </c>
      <c r="O31">
        <f>IF(OR($D31="",$E31=""),"",IF(AND($D31&lt;=IF('Client &amp; Project Profile'!$B$10="",TODAY(),'Client &amp; Project Profile'!$B$10)+2*7+6,$E31&gt;=IF('Client &amp; Project Profile'!$B$10="",TODAY(),'Client &amp; Project Profile'!$B$10)+2*7),"■",""))</f>
        <v/>
      </c>
      <c r="P31">
        <f>IF(OR($D31="",$E31=""),"",IF(AND($D31&lt;=IF('Client &amp; Project Profile'!$B$10="",TODAY(),'Client &amp; Project Profile'!$B$10)+3*7+6,$E31&gt;=IF('Client &amp; Project Profile'!$B$10="",TODAY(),'Client &amp; Project Profile'!$B$10)+3*7),"■",""))</f>
        <v/>
      </c>
      <c r="Q31">
        <f>IF(OR($D31="",$E31=""),"",IF(AND($D31&lt;=IF('Client &amp; Project Profile'!$B$10="",TODAY(),'Client &amp; Project Profile'!$B$10)+4*7+6,$E31&gt;=IF('Client &amp; Project Profile'!$B$10="",TODAY(),'Client &amp; Project Profile'!$B$10)+4*7),"■",""))</f>
        <v/>
      </c>
      <c r="R31">
        <f>IF(OR($D31="",$E31=""),"",IF(AND($D31&lt;=IF('Client &amp; Project Profile'!$B$10="",TODAY(),'Client &amp; Project Profile'!$B$10)+5*7+6,$E31&gt;=IF('Client &amp; Project Profile'!$B$10="",TODAY(),'Client &amp; Project Profile'!$B$10)+5*7),"■",""))</f>
        <v/>
      </c>
      <c r="S31">
        <f>IF(OR($D31="",$E31=""),"",IF(AND($D31&lt;=IF('Client &amp; Project Profile'!$B$10="",TODAY(),'Client &amp; Project Profile'!$B$10)+6*7+6,$E31&gt;=IF('Client &amp; Project Profile'!$B$10="",TODAY(),'Client &amp; Project Profile'!$B$10)+6*7),"■",""))</f>
        <v/>
      </c>
      <c r="T31">
        <f>IF(OR($D31="",$E31=""),"",IF(AND($D31&lt;=IF('Client &amp; Project Profile'!$B$10="",TODAY(),'Client &amp; Project Profile'!$B$10)+7*7+6,$E31&gt;=IF('Client &amp; Project Profile'!$B$10="",TODAY(),'Client &amp; Project Profile'!$B$10)+7*7),"■",""))</f>
        <v/>
      </c>
      <c r="U31">
        <f>IF(OR($D31="",$E31=""),"",IF(AND($D31&lt;=IF('Client &amp; Project Profile'!$B$10="",TODAY(),'Client &amp; Project Profile'!$B$10)+8*7+6,$E31&gt;=IF('Client &amp; Project Profile'!$B$10="",TODAY(),'Client &amp; Project Profile'!$B$10)+8*7),"■",""))</f>
        <v/>
      </c>
      <c r="V31">
        <f>IF(OR($D31="",$E31=""),"",IF(AND($D31&lt;=IF('Client &amp; Project Profile'!$B$10="",TODAY(),'Client &amp; Project Profile'!$B$10)+9*7+6,$E31&gt;=IF('Client &amp; Project Profile'!$B$10="",TODAY(),'Client &amp; Project Profile'!$B$10)+9*7),"■",""))</f>
        <v/>
      </c>
      <c r="W31">
        <f>IF(OR($D31="",$E31=""),"",IF(AND($D31&lt;=IF('Client &amp; Project Profile'!$B$10="",TODAY(),'Client &amp; Project Profile'!$B$10)+10*7+6,$E31&gt;=IF('Client &amp; Project Profile'!$B$10="",TODAY(),'Client &amp; Project Profile'!$B$10)+10*7),"■",""))</f>
        <v/>
      </c>
      <c r="X31">
        <f>IF(OR($D31="",$E31=""),"",IF(AND($D31&lt;=IF('Client &amp; Project Profile'!$B$10="",TODAY(),'Client &amp; Project Profile'!$B$10)+11*7+6,$E31&gt;=IF('Client &amp; Project Profile'!$B$10="",TODAY(),'Client &amp; Project Profile'!$B$10)+11*7),"■",""))</f>
        <v/>
      </c>
    </row>
    <row r="32">
      <c r="A32" s="12" t="n"/>
      <c r="B32" s="12" t="n"/>
      <c r="C32" s="12" t="n"/>
      <c r="D32" s="14" t="n"/>
      <c r="E32" s="14" t="n"/>
      <c r="F32" s="14" t="n"/>
      <c r="G32" s="12" t="n"/>
      <c r="H32" s="12" t="n"/>
      <c r="I32" s="12" t="n"/>
      <c r="J32" s="12" t="n"/>
      <c r="K32" s="12">
        <f>IF(OR($D32="",$E32=""),"",$E32-$D32+1)</f>
        <v/>
      </c>
      <c r="L32" s="12">
        <f>IF(AND($E32&lt;TODAY(),$G32&lt;&gt;"Complete"),TODAY()-$E32,0)</f>
        <v/>
      </c>
      <c r="M32" s="12">
        <f>IF(OR($D32="",$E32=""),"",IF(AND($D32&lt;=IF('Client &amp; Project Profile'!$B$10="",TODAY(),'Client &amp; Project Profile'!$B$10)+0*7+6,$E32&gt;=IF('Client &amp; Project Profile'!$B$10="",TODAY(),'Client &amp; Project Profile'!$B$10)+0*7),"■",""))</f>
        <v/>
      </c>
      <c r="N32" s="12">
        <f>IF(OR($D32="",$E32=""),"",IF(AND($D32&lt;=IF('Client &amp; Project Profile'!$B$10="",TODAY(),'Client &amp; Project Profile'!$B$10)+1*7+6,$E32&gt;=IF('Client &amp; Project Profile'!$B$10="",TODAY(),'Client &amp; Project Profile'!$B$10)+1*7),"■",""))</f>
        <v/>
      </c>
      <c r="O32" s="12">
        <f>IF(OR($D32="",$E32=""),"",IF(AND($D32&lt;=IF('Client &amp; Project Profile'!$B$10="",TODAY(),'Client &amp; Project Profile'!$B$10)+2*7+6,$E32&gt;=IF('Client &amp; Project Profile'!$B$10="",TODAY(),'Client &amp; Project Profile'!$B$10)+2*7),"■",""))</f>
        <v/>
      </c>
      <c r="P32" s="12">
        <f>IF(OR($D32="",$E32=""),"",IF(AND($D32&lt;=IF('Client &amp; Project Profile'!$B$10="",TODAY(),'Client &amp; Project Profile'!$B$10)+3*7+6,$E32&gt;=IF('Client &amp; Project Profile'!$B$10="",TODAY(),'Client &amp; Project Profile'!$B$10)+3*7),"■",""))</f>
        <v/>
      </c>
      <c r="Q32" s="12">
        <f>IF(OR($D32="",$E32=""),"",IF(AND($D32&lt;=IF('Client &amp; Project Profile'!$B$10="",TODAY(),'Client &amp; Project Profile'!$B$10)+4*7+6,$E32&gt;=IF('Client &amp; Project Profile'!$B$10="",TODAY(),'Client &amp; Project Profile'!$B$10)+4*7),"■",""))</f>
        <v/>
      </c>
      <c r="R32" s="12">
        <f>IF(OR($D32="",$E32=""),"",IF(AND($D32&lt;=IF('Client &amp; Project Profile'!$B$10="",TODAY(),'Client &amp; Project Profile'!$B$10)+5*7+6,$E32&gt;=IF('Client &amp; Project Profile'!$B$10="",TODAY(),'Client &amp; Project Profile'!$B$10)+5*7),"■",""))</f>
        <v/>
      </c>
      <c r="S32" s="12">
        <f>IF(OR($D32="",$E32=""),"",IF(AND($D32&lt;=IF('Client &amp; Project Profile'!$B$10="",TODAY(),'Client &amp; Project Profile'!$B$10)+6*7+6,$E32&gt;=IF('Client &amp; Project Profile'!$B$10="",TODAY(),'Client &amp; Project Profile'!$B$10)+6*7),"■",""))</f>
        <v/>
      </c>
      <c r="T32" s="12">
        <f>IF(OR($D32="",$E32=""),"",IF(AND($D32&lt;=IF('Client &amp; Project Profile'!$B$10="",TODAY(),'Client &amp; Project Profile'!$B$10)+7*7+6,$E32&gt;=IF('Client &amp; Project Profile'!$B$10="",TODAY(),'Client &amp; Project Profile'!$B$10)+7*7),"■",""))</f>
        <v/>
      </c>
      <c r="U32" s="12">
        <f>IF(OR($D32="",$E32=""),"",IF(AND($D32&lt;=IF('Client &amp; Project Profile'!$B$10="",TODAY(),'Client &amp; Project Profile'!$B$10)+8*7+6,$E32&gt;=IF('Client &amp; Project Profile'!$B$10="",TODAY(),'Client &amp; Project Profile'!$B$10)+8*7),"■",""))</f>
        <v/>
      </c>
      <c r="V32" s="12">
        <f>IF(OR($D32="",$E32=""),"",IF(AND($D32&lt;=IF('Client &amp; Project Profile'!$B$10="",TODAY(),'Client &amp; Project Profile'!$B$10)+9*7+6,$E32&gt;=IF('Client &amp; Project Profile'!$B$10="",TODAY(),'Client &amp; Project Profile'!$B$10)+9*7),"■",""))</f>
        <v/>
      </c>
      <c r="W32" s="12">
        <f>IF(OR($D32="",$E32=""),"",IF(AND($D32&lt;=IF('Client &amp; Project Profile'!$B$10="",TODAY(),'Client &amp; Project Profile'!$B$10)+10*7+6,$E32&gt;=IF('Client &amp; Project Profile'!$B$10="",TODAY(),'Client &amp; Project Profile'!$B$10)+10*7),"■",""))</f>
        <v/>
      </c>
      <c r="X32" s="12">
        <f>IF(OR($D32="",$E32=""),"",IF(AND($D32&lt;=IF('Client &amp; Project Profile'!$B$10="",TODAY(),'Client &amp; Project Profile'!$B$10)+11*7+6,$E32&gt;=IF('Client &amp; Project Profile'!$B$10="",TODAY(),'Client &amp; Project Profile'!$B$10)+11*7),"■",""))</f>
        <v/>
      </c>
    </row>
    <row r="33">
      <c r="D33" s="9" t="n"/>
      <c r="E33" s="9" t="n"/>
      <c r="F33" s="9" t="n"/>
      <c r="K33">
        <f>IF(OR($D33="",$E33=""),"",$E33-$D33+1)</f>
        <v/>
      </c>
      <c r="L33">
        <f>IF(AND($E33&lt;TODAY(),$G33&lt;&gt;"Complete"),TODAY()-$E33,0)</f>
        <v/>
      </c>
      <c r="M33">
        <f>IF(OR($D33="",$E33=""),"",IF(AND($D33&lt;=IF('Client &amp; Project Profile'!$B$10="",TODAY(),'Client &amp; Project Profile'!$B$10)+0*7+6,$E33&gt;=IF('Client &amp; Project Profile'!$B$10="",TODAY(),'Client &amp; Project Profile'!$B$10)+0*7),"■",""))</f>
        <v/>
      </c>
      <c r="N33">
        <f>IF(OR($D33="",$E33=""),"",IF(AND($D33&lt;=IF('Client &amp; Project Profile'!$B$10="",TODAY(),'Client &amp; Project Profile'!$B$10)+1*7+6,$E33&gt;=IF('Client &amp; Project Profile'!$B$10="",TODAY(),'Client &amp; Project Profile'!$B$10)+1*7),"■",""))</f>
        <v/>
      </c>
      <c r="O33">
        <f>IF(OR($D33="",$E33=""),"",IF(AND($D33&lt;=IF('Client &amp; Project Profile'!$B$10="",TODAY(),'Client &amp; Project Profile'!$B$10)+2*7+6,$E33&gt;=IF('Client &amp; Project Profile'!$B$10="",TODAY(),'Client &amp; Project Profile'!$B$10)+2*7),"■",""))</f>
        <v/>
      </c>
      <c r="P33">
        <f>IF(OR($D33="",$E33=""),"",IF(AND($D33&lt;=IF('Client &amp; Project Profile'!$B$10="",TODAY(),'Client &amp; Project Profile'!$B$10)+3*7+6,$E33&gt;=IF('Client &amp; Project Profile'!$B$10="",TODAY(),'Client &amp; Project Profile'!$B$10)+3*7),"■",""))</f>
        <v/>
      </c>
      <c r="Q33">
        <f>IF(OR($D33="",$E33=""),"",IF(AND($D33&lt;=IF('Client &amp; Project Profile'!$B$10="",TODAY(),'Client &amp; Project Profile'!$B$10)+4*7+6,$E33&gt;=IF('Client &amp; Project Profile'!$B$10="",TODAY(),'Client &amp; Project Profile'!$B$10)+4*7),"■",""))</f>
        <v/>
      </c>
      <c r="R33">
        <f>IF(OR($D33="",$E33=""),"",IF(AND($D33&lt;=IF('Client &amp; Project Profile'!$B$10="",TODAY(),'Client &amp; Project Profile'!$B$10)+5*7+6,$E33&gt;=IF('Client &amp; Project Profile'!$B$10="",TODAY(),'Client &amp; Project Profile'!$B$10)+5*7),"■",""))</f>
        <v/>
      </c>
      <c r="S33">
        <f>IF(OR($D33="",$E33=""),"",IF(AND($D33&lt;=IF('Client &amp; Project Profile'!$B$10="",TODAY(),'Client &amp; Project Profile'!$B$10)+6*7+6,$E33&gt;=IF('Client &amp; Project Profile'!$B$10="",TODAY(),'Client &amp; Project Profile'!$B$10)+6*7),"■",""))</f>
        <v/>
      </c>
      <c r="T33">
        <f>IF(OR($D33="",$E33=""),"",IF(AND($D33&lt;=IF('Client &amp; Project Profile'!$B$10="",TODAY(),'Client &amp; Project Profile'!$B$10)+7*7+6,$E33&gt;=IF('Client &amp; Project Profile'!$B$10="",TODAY(),'Client &amp; Project Profile'!$B$10)+7*7),"■",""))</f>
        <v/>
      </c>
      <c r="U33">
        <f>IF(OR($D33="",$E33=""),"",IF(AND($D33&lt;=IF('Client &amp; Project Profile'!$B$10="",TODAY(),'Client &amp; Project Profile'!$B$10)+8*7+6,$E33&gt;=IF('Client &amp; Project Profile'!$B$10="",TODAY(),'Client &amp; Project Profile'!$B$10)+8*7),"■",""))</f>
        <v/>
      </c>
      <c r="V33">
        <f>IF(OR($D33="",$E33=""),"",IF(AND($D33&lt;=IF('Client &amp; Project Profile'!$B$10="",TODAY(),'Client &amp; Project Profile'!$B$10)+9*7+6,$E33&gt;=IF('Client &amp; Project Profile'!$B$10="",TODAY(),'Client &amp; Project Profile'!$B$10)+9*7),"■",""))</f>
        <v/>
      </c>
      <c r="W33">
        <f>IF(OR($D33="",$E33=""),"",IF(AND($D33&lt;=IF('Client &amp; Project Profile'!$B$10="",TODAY(),'Client &amp; Project Profile'!$B$10)+10*7+6,$E33&gt;=IF('Client &amp; Project Profile'!$B$10="",TODAY(),'Client &amp; Project Profile'!$B$10)+10*7),"■",""))</f>
        <v/>
      </c>
      <c r="X33">
        <f>IF(OR($D33="",$E33=""),"",IF(AND($D33&lt;=IF('Client &amp; Project Profile'!$B$10="",TODAY(),'Client &amp; Project Profile'!$B$10)+11*7+6,$E33&gt;=IF('Client &amp; Project Profile'!$B$10="",TODAY(),'Client &amp; Project Profile'!$B$10)+11*7),"■",""))</f>
        <v/>
      </c>
    </row>
    <row r="34">
      <c r="A34" s="12" t="n"/>
      <c r="B34" s="12" t="n"/>
      <c r="C34" s="12" t="n"/>
      <c r="D34" s="14" t="n"/>
      <c r="E34" s="14" t="n"/>
      <c r="F34" s="14" t="n"/>
      <c r="G34" s="12" t="n"/>
      <c r="H34" s="12" t="n"/>
      <c r="I34" s="12" t="n"/>
      <c r="J34" s="12" t="n"/>
      <c r="K34" s="12">
        <f>IF(OR($D34="",$E34=""),"",$E34-$D34+1)</f>
        <v/>
      </c>
      <c r="L34" s="12">
        <f>IF(AND($E34&lt;TODAY(),$G34&lt;&gt;"Complete"),TODAY()-$E34,0)</f>
        <v/>
      </c>
      <c r="M34" s="12">
        <f>IF(OR($D34="",$E34=""),"",IF(AND($D34&lt;=IF('Client &amp; Project Profile'!$B$10="",TODAY(),'Client &amp; Project Profile'!$B$10)+0*7+6,$E34&gt;=IF('Client &amp; Project Profile'!$B$10="",TODAY(),'Client &amp; Project Profile'!$B$10)+0*7),"■",""))</f>
        <v/>
      </c>
      <c r="N34" s="12">
        <f>IF(OR($D34="",$E34=""),"",IF(AND($D34&lt;=IF('Client &amp; Project Profile'!$B$10="",TODAY(),'Client &amp; Project Profile'!$B$10)+1*7+6,$E34&gt;=IF('Client &amp; Project Profile'!$B$10="",TODAY(),'Client &amp; Project Profile'!$B$10)+1*7),"■",""))</f>
        <v/>
      </c>
      <c r="O34" s="12">
        <f>IF(OR($D34="",$E34=""),"",IF(AND($D34&lt;=IF('Client &amp; Project Profile'!$B$10="",TODAY(),'Client &amp; Project Profile'!$B$10)+2*7+6,$E34&gt;=IF('Client &amp; Project Profile'!$B$10="",TODAY(),'Client &amp; Project Profile'!$B$10)+2*7),"■",""))</f>
        <v/>
      </c>
      <c r="P34" s="12">
        <f>IF(OR($D34="",$E34=""),"",IF(AND($D34&lt;=IF('Client &amp; Project Profile'!$B$10="",TODAY(),'Client &amp; Project Profile'!$B$10)+3*7+6,$E34&gt;=IF('Client &amp; Project Profile'!$B$10="",TODAY(),'Client &amp; Project Profile'!$B$10)+3*7),"■",""))</f>
        <v/>
      </c>
      <c r="Q34" s="12">
        <f>IF(OR($D34="",$E34=""),"",IF(AND($D34&lt;=IF('Client &amp; Project Profile'!$B$10="",TODAY(),'Client &amp; Project Profile'!$B$10)+4*7+6,$E34&gt;=IF('Client &amp; Project Profile'!$B$10="",TODAY(),'Client &amp; Project Profile'!$B$10)+4*7),"■",""))</f>
        <v/>
      </c>
      <c r="R34" s="12">
        <f>IF(OR($D34="",$E34=""),"",IF(AND($D34&lt;=IF('Client &amp; Project Profile'!$B$10="",TODAY(),'Client &amp; Project Profile'!$B$10)+5*7+6,$E34&gt;=IF('Client &amp; Project Profile'!$B$10="",TODAY(),'Client &amp; Project Profile'!$B$10)+5*7),"■",""))</f>
        <v/>
      </c>
      <c r="S34" s="12">
        <f>IF(OR($D34="",$E34=""),"",IF(AND($D34&lt;=IF('Client &amp; Project Profile'!$B$10="",TODAY(),'Client &amp; Project Profile'!$B$10)+6*7+6,$E34&gt;=IF('Client &amp; Project Profile'!$B$10="",TODAY(),'Client &amp; Project Profile'!$B$10)+6*7),"■",""))</f>
        <v/>
      </c>
      <c r="T34" s="12">
        <f>IF(OR($D34="",$E34=""),"",IF(AND($D34&lt;=IF('Client &amp; Project Profile'!$B$10="",TODAY(),'Client &amp; Project Profile'!$B$10)+7*7+6,$E34&gt;=IF('Client &amp; Project Profile'!$B$10="",TODAY(),'Client &amp; Project Profile'!$B$10)+7*7),"■",""))</f>
        <v/>
      </c>
      <c r="U34" s="12">
        <f>IF(OR($D34="",$E34=""),"",IF(AND($D34&lt;=IF('Client &amp; Project Profile'!$B$10="",TODAY(),'Client &amp; Project Profile'!$B$10)+8*7+6,$E34&gt;=IF('Client &amp; Project Profile'!$B$10="",TODAY(),'Client &amp; Project Profile'!$B$10)+8*7),"■",""))</f>
        <v/>
      </c>
      <c r="V34" s="12">
        <f>IF(OR($D34="",$E34=""),"",IF(AND($D34&lt;=IF('Client &amp; Project Profile'!$B$10="",TODAY(),'Client &amp; Project Profile'!$B$10)+9*7+6,$E34&gt;=IF('Client &amp; Project Profile'!$B$10="",TODAY(),'Client &amp; Project Profile'!$B$10)+9*7),"■",""))</f>
        <v/>
      </c>
      <c r="W34" s="12">
        <f>IF(OR($D34="",$E34=""),"",IF(AND($D34&lt;=IF('Client &amp; Project Profile'!$B$10="",TODAY(),'Client &amp; Project Profile'!$B$10)+10*7+6,$E34&gt;=IF('Client &amp; Project Profile'!$B$10="",TODAY(),'Client &amp; Project Profile'!$B$10)+10*7),"■",""))</f>
        <v/>
      </c>
      <c r="X34" s="12">
        <f>IF(OR($D34="",$E34=""),"",IF(AND($D34&lt;=IF('Client &amp; Project Profile'!$B$10="",TODAY(),'Client &amp; Project Profile'!$B$10)+11*7+6,$E34&gt;=IF('Client &amp; Project Profile'!$B$10="",TODAY(),'Client &amp; Project Profile'!$B$10)+11*7),"■",""))</f>
        <v/>
      </c>
    </row>
    <row r="35">
      <c r="D35" s="9" t="n"/>
      <c r="E35" s="9" t="n"/>
      <c r="F35" s="9" t="n"/>
      <c r="K35">
        <f>IF(OR($D35="",$E35=""),"",$E35-$D35+1)</f>
        <v/>
      </c>
      <c r="L35">
        <f>IF(AND($E35&lt;TODAY(),$G35&lt;&gt;"Complete"),TODAY()-$E35,0)</f>
        <v/>
      </c>
      <c r="M35">
        <f>IF(OR($D35="",$E35=""),"",IF(AND($D35&lt;=IF('Client &amp; Project Profile'!$B$10="",TODAY(),'Client &amp; Project Profile'!$B$10)+0*7+6,$E35&gt;=IF('Client &amp; Project Profile'!$B$10="",TODAY(),'Client &amp; Project Profile'!$B$10)+0*7),"■",""))</f>
        <v/>
      </c>
      <c r="N35">
        <f>IF(OR($D35="",$E35=""),"",IF(AND($D35&lt;=IF('Client &amp; Project Profile'!$B$10="",TODAY(),'Client &amp; Project Profile'!$B$10)+1*7+6,$E35&gt;=IF('Client &amp; Project Profile'!$B$10="",TODAY(),'Client &amp; Project Profile'!$B$10)+1*7),"■",""))</f>
        <v/>
      </c>
      <c r="O35">
        <f>IF(OR($D35="",$E35=""),"",IF(AND($D35&lt;=IF('Client &amp; Project Profile'!$B$10="",TODAY(),'Client &amp; Project Profile'!$B$10)+2*7+6,$E35&gt;=IF('Client &amp; Project Profile'!$B$10="",TODAY(),'Client &amp; Project Profile'!$B$10)+2*7),"■",""))</f>
        <v/>
      </c>
      <c r="P35">
        <f>IF(OR($D35="",$E35=""),"",IF(AND($D35&lt;=IF('Client &amp; Project Profile'!$B$10="",TODAY(),'Client &amp; Project Profile'!$B$10)+3*7+6,$E35&gt;=IF('Client &amp; Project Profile'!$B$10="",TODAY(),'Client &amp; Project Profile'!$B$10)+3*7),"■",""))</f>
        <v/>
      </c>
      <c r="Q35">
        <f>IF(OR($D35="",$E35=""),"",IF(AND($D35&lt;=IF('Client &amp; Project Profile'!$B$10="",TODAY(),'Client &amp; Project Profile'!$B$10)+4*7+6,$E35&gt;=IF('Client &amp; Project Profile'!$B$10="",TODAY(),'Client &amp; Project Profile'!$B$10)+4*7),"■",""))</f>
        <v/>
      </c>
      <c r="R35">
        <f>IF(OR($D35="",$E35=""),"",IF(AND($D35&lt;=IF('Client &amp; Project Profile'!$B$10="",TODAY(),'Client &amp; Project Profile'!$B$10)+5*7+6,$E35&gt;=IF('Client &amp; Project Profile'!$B$10="",TODAY(),'Client &amp; Project Profile'!$B$10)+5*7),"■",""))</f>
        <v/>
      </c>
      <c r="S35">
        <f>IF(OR($D35="",$E35=""),"",IF(AND($D35&lt;=IF('Client &amp; Project Profile'!$B$10="",TODAY(),'Client &amp; Project Profile'!$B$10)+6*7+6,$E35&gt;=IF('Client &amp; Project Profile'!$B$10="",TODAY(),'Client &amp; Project Profile'!$B$10)+6*7),"■",""))</f>
        <v/>
      </c>
      <c r="T35">
        <f>IF(OR($D35="",$E35=""),"",IF(AND($D35&lt;=IF('Client &amp; Project Profile'!$B$10="",TODAY(),'Client &amp; Project Profile'!$B$10)+7*7+6,$E35&gt;=IF('Client &amp; Project Profile'!$B$10="",TODAY(),'Client &amp; Project Profile'!$B$10)+7*7),"■",""))</f>
        <v/>
      </c>
      <c r="U35">
        <f>IF(OR($D35="",$E35=""),"",IF(AND($D35&lt;=IF('Client &amp; Project Profile'!$B$10="",TODAY(),'Client &amp; Project Profile'!$B$10)+8*7+6,$E35&gt;=IF('Client &amp; Project Profile'!$B$10="",TODAY(),'Client &amp; Project Profile'!$B$10)+8*7),"■",""))</f>
        <v/>
      </c>
      <c r="V35">
        <f>IF(OR($D35="",$E35=""),"",IF(AND($D35&lt;=IF('Client &amp; Project Profile'!$B$10="",TODAY(),'Client &amp; Project Profile'!$B$10)+9*7+6,$E35&gt;=IF('Client &amp; Project Profile'!$B$10="",TODAY(),'Client &amp; Project Profile'!$B$10)+9*7),"■",""))</f>
        <v/>
      </c>
      <c r="W35">
        <f>IF(OR($D35="",$E35=""),"",IF(AND($D35&lt;=IF('Client &amp; Project Profile'!$B$10="",TODAY(),'Client &amp; Project Profile'!$B$10)+10*7+6,$E35&gt;=IF('Client &amp; Project Profile'!$B$10="",TODAY(),'Client &amp; Project Profile'!$B$10)+10*7),"■",""))</f>
        <v/>
      </c>
      <c r="X35">
        <f>IF(OR($D35="",$E35=""),"",IF(AND($D35&lt;=IF('Client &amp; Project Profile'!$B$10="",TODAY(),'Client &amp; Project Profile'!$B$10)+11*7+6,$E35&gt;=IF('Client &amp; Project Profile'!$B$10="",TODAY(),'Client &amp; Project Profile'!$B$10)+11*7),"■",""))</f>
        <v/>
      </c>
    </row>
    <row r="36">
      <c r="A36" s="12" t="n"/>
      <c r="B36" s="12" t="n"/>
      <c r="C36" s="12" t="n"/>
      <c r="D36" s="14" t="n"/>
      <c r="E36" s="14" t="n"/>
      <c r="F36" s="14" t="n"/>
      <c r="G36" s="12" t="n"/>
      <c r="H36" s="12" t="n"/>
      <c r="I36" s="12" t="n"/>
      <c r="J36" s="12" t="n"/>
      <c r="K36" s="12">
        <f>IF(OR($D36="",$E36=""),"",$E36-$D36+1)</f>
        <v/>
      </c>
      <c r="L36" s="12">
        <f>IF(AND($E36&lt;TODAY(),$G36&lt;&gt;"Complete"),TODAY()-$E36,0)</f>
        <v/>
      </c>
      <c r="M36" s="12">
        <f>IF(OR($D36="",$E36=""),"",IF(AND($D36&lt;=IF('Client &amp; Project Profile'!$B$10="",TODAY(),'Client &amp; Project Profile'!$B$10)+0*7+6,$E36&gt;=IF('Client &amp; Project Profile'!$B$10="",TODAY(),'Client &amp; Project Profile'!$B$10)+0*7),"■",""))</f>
        <v/>
      </c>
      <c r="N36" s="12">
        <f>IF(OR($D36="",$E36=""),"",IF(AND($D36&lt;=IF('Client &amp; Project Profile'!$B$10="",TODAY(),'Client &amp; Project Profile'!$B$10)+1*7+6,$E36&gt;=IF('Client &amp; Project Profile'!$B$10="",TODAY(),'Client &amp; Project Profile'!$B$10)+1*7),"■",""))</f>
        <v/>
      </c>
      <c r="O36" s="12">
        <f>IF(OR($D36="",$E36=""),"",IF(AND($D36&lt;=IF('Client &amp; Project Profile'!$B$10="",TODAY(),'Client &amp; Project Profile'!$B$10)+2*7+6,$E36&gt;=IF('Client &amp; Project Profile'!$B$10="",TODAY(),'Client &amp; Project Profile'!$B$10)+2*7),"■",""))</f>
        <v/>
      </c>
      <c r="P36" s="12">
        <f>IF(OR($D36="",$E36=""),"",IF(AND($D36&lt;=IF('Client &amp; Project Profile'!$B$10="",TODAY(),'Client &amp; Project Profile'!$B$10)+3*7+6,$E36&gt;=IF('Client &amp; Project Profile'!$B$10="",TODAY(),'Client &amp; Project Profile'!$B$10)+3*7),"■",""))</f>
        <v/>
      </c>
      <c r="Q36" s="12">
        <f>IF(OR($D36="",$E36=""),"",IF(AND($D36&lt;=IF('Client &amp; Project Profile'!$B$10="",TODAY(),'Client &amp; Project Profile'!$B$10)+4*7+6,$E36&gt;=IF('Client &amp; Project Profile'!$B$10="",TODAY(),'Client &amp; Project Profile'!$B$10)+4*7),"■",""))</f>
        <v/>
      </c>
      <c r="R36" s="12">
        <f>IF(OR($D36="",$E36=""),"",IF(AND($D36&lt;=IF('Client &amp; Project Profile'!$B$10="",TODAY(),'Client &amp; Project Profile'!$B$10)+5*7+6,$E36&gt;=IF('Client &amp; Project Profile'!$B$10="",TODAY(),'Client &amp; Project Profile'!$B$10)+5*7),"■",""))</f>
        <v/>
      </c>
      <c r="S36" s="12">
        <f>IF(OR($D36="",$E36=""),"",IF(AND($D36&lt;=IF('Client &amp; Project Profile'!$B$10="",TODAY(),'Client &amp; Project Profile'!$B$10)+6*7+6,$E36&gt;=IF('Client &amp; Project Profile'!$B$10="",TODAY(),'Client &amp; Project Profile'!$B$10)+6*7),"■",""))</f>
        <v/>
      </c>
      <c r="T36" s="12">
        <f>IF(OR($D36="",$E36=""),"",IF(AND($D36&lt;=IF('Client &amp; Project Profile'!$B$10="",TODAY(),'Client &amp; Project Profile'!$B$10)+7*7+6,$E36&gt;=IF('Client &amp; Project Profile'!$B$10="",TODAY(),'Client &amp; Project Profile'!$B$10)+7*7),"■",""))</f>
        <v/>
      </c>
      <c r="U36" s="12">
        <f>IF(OR($D36="",$E36=""),"",IF(AND($D36&lt;=IF('Client &amp; Project Profile'!$B$10="",TODAY(),'Client &amp; Project Profile'!$B$10)+8*7+6,$E36&gt;=IF('Client &amp; Project Profile'!$B$10="",TODAY(),'Client &amp; Project Profile'!$B$10)+8*7),"■",""))</f>
        <v/>
      </c>
      <c r="V36" s="12">
        <f>IF(OR($D36="",$E36=""),"",IF(AND($D36&lt;=IF('Client &amp; Project Profile'!$B$10="",TODAY(),'Client &amp; Project Profile'!$B$10)+9*7+6,$E36&gt;=IF('Client &amp; Project Profile'!$B$10="",TODAY(),'Client &amp; Project Profile'!$B$10)+9*7),"■",""))</f>
        <v/>
      </c>
      <c r="W36" s="12">
        <f>IF(OR($D36="",$E36=""),"",IF(AND($D36&lt;=IF('Client &amp; Project Profile'!$B$10="",TODAY(),'Client &amp; Project Profile'!$B$10)+10*7+6,$E36&gt;=IF('Client &amp; Project Profile'!$B$10="",TODAY(),'Client &amp; Project Profile'!$B$10)+10*7),"■",""))</f>
        <v/>
      </c>
      <c r="X36" s="12">
        <f>IF(OR($D36="",$E36=""),"",IF(AND($D36&lt;=IF('Client &amp; Project Profile'!$B$10="",TODAY(),'Client &amp; Project Profile'!$B$10)+11*7+6,$E36&gt;=IF('Client &amp; Project Profile'!$B$10="",TODAY(),'Client &amp; Project Profile'!$B$10)+11*7),"■",""))</f>
        <v/>
      </c>
    </row>
    <row r="37">
      <c r="D37" s="9" t="n"/>
      <c r="E37" s="9" t="n"/>
      <c r="F37" s="9" t="n"/>
      <c r="K37">
        <f>IF(OR($D37="",$E37=""),"",$E37-$D37+1)</f>
        <v/>
      </c>
      <c r="L37">
        <f>IF(AND($E37&lt;TODAY(),$G37&lt;&gt;"Complete"),TODAY()-$E37,0)</f>
        <v/>
      </c>
      <c r="M37">
        <f>IF(OR($D37="",$E37=""),"",IF(AND($D37&lt;=IF('Client &amp; Project Profile'!$B$10="",TODAY(),'Client &amp; Project Profile'!$B$10)+0*7+6,$E37&gt;=IF('Client &amp; Project Profile'!$B$10="",TODAY(),'Client &amp; Project Profile'!$B$10)+0*7),"■",""))</f>
        <v/>
      </c>
      <c r="N37">
        <f>IF(OR($D37="",$E37=""),"",IF(AND($D37&lt;=IF('Client &amp; Project Profile'!$B$10="",TODAY(),'Client &amp; Project Profile'!$B$10)+1*7+6,$E37&gt;=IF('Client &amp; Project Profile'!$B$10="",TODAY(),'Client &amp; Project Profile'!$B$10)+1*7),"■",""))</f>
        <v/>
      </c>
      <c r="O37">
        <f>IF(OR($D37="",$E37=""),"",IF(AND($D37&lt;=IF('Client &amp; Project Profile'!$B$10="",TODAY(),'Client &amp; Project Profile'!$B$10)+2*7+6,$E37&gt;=IF('Client &amp; Project Profile'!$B$10="",TODAY(),'Client &amp; Project Profile'!$B$10)+2*7),"■",""))</f>
        <v/>
      </c>
      <c r="P37">
        <f>IF(OR($D37="",$E37=""),"",IF(AND($D37&lt;=IF('Client &amp; Project Profile'!$B$10="",TODAY(),'Client &amp; Project Profile'!$B$10)+3*7+6,$E37&gt;=IF('Client &amp; Project Profile'!$B$10="",TODAY(),'Client &amp; Project Profile'!$B$10)+3*7),"■",""))</f>
        <v/>
      </c>
      <c r="Q37">
        <f>IF(OR($D37="",$E37=""),"",IF(AND($D37&lt;=IF('Client &amp; Project Profile'!$B$10="",TODAY(),'Client &amp; Project Profile'!$B$10)+4*7+6,$E37&gt;=IF('Client &amp; Project Profile'!$B$10="",TODAY(),'Client &amp; Project Profile'!$B$10)+4*7),"■",""))</f>
        <v/>
      </c>
      <c r="R37">
        <f>IF(OR($D37="",$E37=""),"",IF(AND($D37&lt;=IF('Client &amp; Project Profile'!$B$10="",TODAY(),'Client &amp; Project Profile'!$B$10)+5*7+6,$E37&gt;=IF('Client &amp; Project Profile'!$B$10="",TODAY(),'Client &amp; Project Profile'!$B$10)+5*7),"■",""))</f>
        <v/>
      </c>
      <c r="S37">
        <f>IF(OR($D37="",$E37=""),"",IF(AND($D37&lt;=IF('Client &amp; Project Profile'!$B$10="",TODAY(),'Client &amp; Project Profile'!$B$10)+6*7+6,$E37&gt;=IF('Client &amp; Project Profile'!$B$10="",TODAY(),'Client &amp; Project Profile'!$B$10)+6*7),"■",""))</f>
        <v/>
      </c>
      <c r="T37">
        <f>IF(OR($D37="",$E37=""),"",IF(AND($D37&lt;=IF('Client &amp; Project Profile'!$B$10="",TODAY(),'Client &amp; Project Profile'!$B$10)+7*7+6,$E37&gt;=IF('Client &amp; Project Profile'!$B$10="",TODAY(),'Client &amp; Project Profile'!$B$10)+7*7),"■",""))</f>
        <v/>
      </c>
      <c r="U37">
        <f>IF(OR($D37="",$E37=""),"",IF(AND($D37&lt;=IF('Client &amp; Project Profile'!$B$10="",TODAY(),'Client &amp; Project Profile'!$B$10)+8*7+6,$E37&gt;=IF('Client &amp; Project Profile'!$B$10="",TODAY(),'Client &amp; Project Profile'!$B$10)+8*7),"■",""))</f>
        <v/>
      </c>
      <c r="V37">
        <f>IF(OR($D37="",$E37=""),"",IF(AND($D37&lt;=IF('Client &amp; Project Profile'!$B$10="",TODAY(),'Client &amp; Project Profile'!$B$10)+9*7+6,$E37&gt;=IF('Client &amp; Project Profile'!$B$10="",TODAY(),'Client &amp; Project Profile'!$B$10)+9*7),"■",""))</f>
        <v/>
      </c>
      <c r="W37">
        <f>IF(OR($D37="",$E37=""),"",IF(AND($D37&lt;=IF('Client &amp; Project Profile'!$B$10="",TODAY(),'Client &amp; Project Profile'!$B$10)+10*7+6,$E37&gt;=IF('Client &amp; Project Profile'!$B$10="",TODAY(),'Client &amp; Project Profile'!$B$10)+10*7),"■",""))</f>
        <v/>
      </c>
      <c r="X37">
        <f>IF(OR($D37="",$E37=""),"",IF(AND($D37&lt;=IF('Client &amp; Project Profile'!$B$10="",TODAY(),'Client &amp; Project Profile'!$B$10)+11*7+6,$E37&gt;=IF('Client &amp; Project Profile'!$B$10="",TODAY(),'Client &amp; Project Profile'!$B$10)+11*7),"■",""))</f>
        <v/>
      </c>
    </row>
    <row r="38">
      <c r="A38" s="12" t="n"/>
      <c r="B38" s="12" t="n"/>
      <c r="C38" s="12" t="n"/>
      <c r="D38" s="14" t="n"/>
      <c r="E38" s="14" t="n"/>
      <c r="F38" s="14" t="n"/>
      <c r="G38" s="12" t="n"/>
      <c r="H38" s="12" t="n"/>
      <c r="I38" s="12" t="n"/>
      <c r="J38" s="12" t="n"/>
      <c r="K38" s="12">
        <f>IF(OR($D38="",$E38=""),"",$E38-$D38+1)</f>
        <v/>
      </c>
      <c r="L38" s="12">
        <f>IF(AND($E38&lt;TODAY(),$G38&lt;&gt;"Complete"),TODAY()-$E38,0)</f>
        <v/>
      </c>
      <c r="M38" s="12">
        <f>IF(OR($D38="",$E38=""),"",IF(AND($D38&lt;=IF('Client &amp; Project Profile'!$B$10="",TODAY(),'Client &amp; Project Profile'!$B$10)+0*7+6,$E38&gt;=IF('Client &amp; Project Profile'!$B$10="",TODAY(),'Client &amp; Project Profile'!$B$10)+0*7),"■",""))</f>
        <v/>
      </c>
      <c r="N38" s="12">
        <f>IF(OR($D38="",$E38=""),"",IF(AND($D38&lt;=IF('Client &amp; Project Profile'!$B$10="",TODAY(),'Client &amp; Project Profile'!$B$10)+1*7+6,$E38&gt;=IF('Client &amp; Project Profile'!$B$10="",TODAY(),'Client &amp; Project Profile'!$B$10)+1*7),"■",""))</f>
        <v/>
      </c>
      <c r="O38" s="12">
        <f>IF(OR($D38="",$E38=""),"",IF(AND($D38&lt;=IF('Client &amp; Project Profile'!$B$10="",TODAY(),'Client &amp; Project Profile'!$B$10)+2*7+6,$E38&gt;=IF('Client &amp; Project Profile'!$B$10="",TODAY(),'Client &amp; Project Profile'!$B$10)+2*7),"■",""))</f>
        <v/>
      </c>
      <c r="P38" s="12">
        <f>IF(OR($D38="",$E38=""),"",IF(AND($D38&lt;=IF('Client &amp; Project Profile'!$B$10="",TODAY(),'Client &amp; Project Profile'!$B$10)+3*7+6,$E38&gt;=IF('Client &amp; Project Profile'!$B$10="",TODAY(),'Client &amp; Project Profile'!$B$10)+3*7),"■",""))</f>
        <v/>
      </c>
      <c r="Q38" s="12">
        <f>IF(OR($D38="",$E38=""),"",IF(AND($D38&lt;=IF('Client &amp; Project Profile'!$B$10="",TODAY(),'Client &amp; Project Profile'!$B$10)+4*7+6,$E38&gt;=IF('Client &amp; Project Profile'!$B$10="",TODAY(),'Client &amp; Project Profile'!$B$10)+4*7),"■",""))</f>
        <v/>
      </c>
      <c r="R38" s="12">
        <f>IF(OR($D38="",$E38=""),"",IF(AND($D38&lt;=IF('Client &amp; Project Profile'!$B$10="",TODAY(),'Client &amp; Project Profile'!$B$10)+5*7+6,$E38&gt;=IF('Client &amp; Project Profile'!$B$10="",TODAY(),'Client &amp; Project Profile'!$B$10)+5*7),"■",""))</f>
        <v/>
      </c>
      <c r="S38" s="12">
        <f>IF(OR($D38="",$E38=""),"",IF(AND($D38&lt;=IF('Client &amp; Project Profile'!$B$10="",TODAY(),'Client &amp; Project Profile'!$B$10)+6*7+6,$E38&gt;=IF('Client &amp; Project Profile'!$B$10="",TODAY(),'Client &amp; Project Profile'!$B$10)+6*7),"■",""))</f>
        <v/>
      </c>
      <c r="T38" s="12">
        <f>IF(OR($D38="",$E38=""),"",IF(AND($D38&lt;=IF('Client &amp; Project Profile'!$B$10="",TODAY(),'Client &amp; Project Profile'!$B$10)+7*7+6,$E38&gt;=IF('Client &amp; Project Profile'!$B$10="",TODAY(),'Client &amp; Project Profile'!$B$10)+7*7),"■",""))</f>
        <v/>
      </c>
      <c r="U38" s="12">
        <f>IF(OR($D38="",$E38=""),"",IF(AND($D38&lt;=IF('Client &amp; Project Profile'!$B$10="",TODAY(),'Client &amp; Project Profile'!$B$10)+8*7+6,$E38&gt;=IF('Client &amp; Project Profile'!$B$10="",TODAY(),'Client &amp; Project Profile'!$B$10)+8*7),"■",""))</f>
        <v/>
      </c>
      <c r="V38" s="12">
        <f>IF(OR($D38="",$E38=""),"",IF(AND($D38&lt;=IF('Client &amp; Project Profile'!$B$10="",TODAY(),'Client &amp; Project Profile'!$B$10)+9*7+6,$E38&gt;=IF('Client &amp; Project Profile'!$B$10="",TODAY(),'Client &amp; Project Profile'!$B$10)+9*7),"■",""))</f>
        <v/>
      </c>
      <c r="W38" s="12">
        <f>IF(OR($D38="",$E38=""),"",IF(AND($D38&lt;=IF('Client &amp; Project Profile'!$B$10="",TODAY(),'Client &amp; Project Profile'!$B$10)+10*7+6,$E38&gt;=IF('Client &amp; Project Profile'!$B$10="",TODAY(),'Client &amp; Project Profile'!$B$10)+10*7),"■",""))</f>
        <v/>
      </c>
      <c r="X38" s="12">
        <f>IF(OR($D38="",$E38=""),"",IF(AND($D38&lt;=IF('Client &amp; Project Profile'!$B$10="",TODAY(),'Client &amp; Project Profile'!$B$10)+11*7+6,$E38&gt;=IF('Client &amp; Project Profile'!$B$10="",TODAY(),'Client &amp; Project Profile'!$B$10)+11*7),"■",""))</f>
        <v/>
      </c>
    </row>
    <row r="39">
      <c r="D39" s="9" t="n"/>
      <c r="E39" s="9" t="n"/>
      <c r="F39" s="9" t="n"/>
      <c r="K39">
        <f>IF(OR($D39="",$E39=""),"",$E39-$D39+1)</f>
        <v/>
      </c>
      <c r="L39">
        <f>IF(AND($E39&lt;TODAY(),$G39&lt;&gt;"Complete"),TODAY()-$E39,0)</f>
        <v/>
      </c>
      <c r="M39">
        <f>IF(OR($D39="",$E39=""),"",IF(AND($D39&lt;=IF('Client &amp; Project Profile'!$B$10="",TODAY(),'Client &amp; Project Profile'!$B$10)+0*7+6,$E39&gt;=IF('Client &amp; Project Profile'!$B$10="",TODAY(),'Client &amp; Project Profile'!$B$10)+0*7),"■",""))</f>
        <v/>
      </c>
      <c r="N39">
        <f>IF(OR($D39="",$E39=""),"",IF(AND($D39&lt;=IF('Client &amp; Project Profile'!$B$10="",TODAY(),'Client &amp; Project Profile'!$B$10)+1*7+6,$E39&gt;=IF('Client &amp; Project Profile'!$B$10="",TODAY(),'Client &amp; Project Profile'!$B$10)+1*7),"■",""))</f>
        <v/>
      </c>
      <c r="O39">
        <f>IF(OR($D39="",$E39=""),"",IF(AND($D39&lt;=IF('Client &amp; Project Profile'!$B$10="",TODAY(),'Client &amp; Project Profile'!$B$10)+2*7+6,$E39&gt;=IF('Client &amp; Project Profile'!$B$10="",TODAY(),'Client &amp; Project Profile'!$B$10)+2*7),"■",""))</f>
        <v/>
      </c>
      <c r="P39">
        <f>IF(OR($D39="",$E39=""),"",IF(AND($D39&lt;=IF('Client &amp; Project Profile'!$B$10="",TODAY(),'Client &amp; Project Profile'!$B$10)+3*7+6,$E39&gt;=IF('Client &amp; Project Profile'!$B$10="",TODAY(),'Client &amp; Project Profile'!$B$10)+3*7),"■",""))</f>
        <v/>
      </c>
      <c r="Q39">
        <f>IF(OR($D39="",$E39=""),"",IF(AND($D39&lt;=IF('Client &amp; Project Profile'!$B$10="",TODAY(),'Client &amp; Project Profile'!$B$10)+4*7+6,$E39&gt;=IF('Client &amp; Project Profile'!$B$10="",TODAY(),'Client &amp; Project Profile'!$B$10)+4*7),"■",""))</f>
        <v/>
      </c>
      <c r="R39">
        <f>IF(OR($D39="",$E39=""),"",IF(AND($D39&lt;=IF('Client &amp; Project Profile'!$B$10="",TODAY(),'Client &amp; Project Profile'!$B$10)+5*7+6,$E39&gt;=IF('Client &amp; Project Profile'!$B$10="",TODAY(),'Client &amp; Project Profile'!$B$10)+5*7),"■",""))</f>
        <v/>
      </c>
      <c r="S39">
        <f>IF(OR($D39="",$E39=""),"",IF(AND($D39&lt;=IF('Client &amp; Project Profile'!$B$10="",TODAY(),'Client &amp; Project Profile'!$B$10)+6*7+6,$E39&gt;=IF('Client &amp; Project Profile'!$B$10="",TODAY(),'Client &amp; Project Profile'!$B$10)+6*7),"■",""))</f>
        <v/>
      </c>
      <c r="T39">
        <f>IF(OR($D39="",$E39=""),"",IF(AND($D39&lt;=IF('Client &amp; Project Profile'!$B$10="",TODAY(),'Client &amp; Project Profile'!$B$10)+7*7+6,$E39&gt;=IF('Client &amp; Project Profile'!$B$10="",TODAY(),'Client &amp; Project Profile'!$B$10)+7*7),"■",""))</f>
        <v/>
      </c>
      <c r="U39">
        <f>IF(OR($D39="",$E39=""),"",IF(AND($D39&lt;=IF('Client &amp; Project Profile'!$B$10="",TODAY(),'Client &amp; Project Profile'!$B$10)+8*7+6,$E39&gt;=IF('Client &amp; Project Profile'!$B$10="",TODAY(),'Client &amp; Project Profile'!$B$10)+8*7),"■",""))</f>
        <v/>
      </c>
      <c r="V39">
        <f>IF(OR($D39="",$E39=""),"",IF(AND($D39&lt;=IF('Client &amp; Project Profile'!$B$10="",TODAY(),'Client &amp; Project Profile'!$B$10)+9*7+6,$E39&gt;=IF('Client &amp; Project Profile'!$B$10="",TODAY(),'Client &amp; Project Profile'!$B$10)+9*7),"■",""))</f>
        <v/>
      </c>
      <c r="W39">
        <f>IF(OR($D39="",$E39=""),"",IF(AND($D39&lt;=IF('Client &amp; Project Profile'!$B$10="",TODAY(),'Client &amp; Project Profile'!$B$10)+10*7+6,$E39&gt;=IF('Client &amp; Project Profile'!$B$10="",TODAY(),'Client &amp; Project Profile'!$B$10)+10*7),"■",""))</f>
        <v/>
      </c>
      <c r="X39">
        <f>IF(OR($D39="",$E39=""),"",IF(AND($D39&lt;=IF('Client &amp; Project Profile'!$B$10="",TODAY(),'Client &amp; Project Profile'!$B$10)+11*7+6,$E39&gt;=IF('Client &amp; Project Profile'!$B$10="",TODAY(),'Client &amp; Project Profile'!$B$10)+11*7),"■",""))</f>
        <v/>
      </c>
    </row>
    <row r="40">
      <c r="A40" s="12" t="n"/>
      <c r="B40" s="12" t="n"/>
      <c r="C40" s="12" t="n"/>
      <c r="D40" s="14" t="n"/>
      <c r="E40" s="14" t="n"/>
      <c r="F40" s="14" t="n"/>
      <c r="G40" s="12" t="n"/>
      <c r="H40" s="12" t="n"/>
      <c r="I40" s="12" t="n"/>
      <c r="J40" s="12" t="n"/>
      <c r="K40" s="12">
        <f>IF(OR($D40="",$E40=""),"",$E40-$D40+1)</f>
        <v/>
      </c>
      <c r="L40" s="12">
        <f>IF(AND($E40&lt;TODAY(),$G40&lt;&gt;"Complete"),TODAY()-$E40,0)</f>
        <v/>
      </c>
      <c r="M40" s="12">
        <f>IF(OR($D40="",$E40=""),"",IF(AND($D40&lt;=IF('Client &amp; Project Profile'!$B$10="",TODAY(),'Client &amp; Project Profile'!$B$10)+0*7+6,$E40&gt;=IF('Client &amp; Project Profile'!$B$10="",TODAY(),'Client &amp; Project Profile'!$B$10)+0*7),"■",""))</f>
        <v/>
      </c>
      <c r="N40" s="12">
        <f>IF(OR($D40="",$E40=""),"",IF(AND($D40&lt;=IF('Client &amp; Project Profile'!$B$10="",TODAY(),'Client &amp; Project Profile'!$B$10)+1*7+6,$E40&gt;=IF('Client &amp; Project Profile'!$B$10="",TODAY(),'Client &amp; Project Profile'!$B$10)+1*7),"■",""))</f>
        <v/>
      </c>
      <c r="O40" s="12">
        <f>IF(OR($D40="",$E40=""),"",IF(AND($D40&lt;=IF('Client &amp; Project Profile'!$B$10="",TODAY(),'Client &amp; Project Profile'!$B$10)+2*7+6,$E40&gt;=IF('Client &amp; Project Profile'!$B$10="",TODAY(),'Client &amp; Project Profile'!$B$10)+2*7),"■",""))</f>
        <v/>
      </c>
      <c r="P40" s="12">
        <f>IF(OR($D40="",$E40=""),"",IF(AND($D40&lt;=IF('Client &amp; Project Profile'!$B$10="",TODAY(),'Client &amp; Project Profile'!$B$10)+3*7+6,$E40&gt;=IF('Client &amp; Project Profile'!$B$10="",TODAY(),'Client &amp; Project Profile'!$B$10)+3*7),"■",""))</f>
        <v/>
      </c>
      <c r="Q40" s="12">
        <f>IF(OR($D40="",$E40=""),"",IF(AND($D40&lt;=IF('Client &amp; Project Profile'!$B$10="",TODAY(),'Client &amp; Project Profile'!$B$10)+4*7+6,$E40&gt;=IF('Client &amp; Project Profile'!$B$10="",TODAY(),'Client &amp; Project Profile'!$B$10)+4*7),"■",""))</f>
        <v/>
      </c>
      <c r="R40" s="12">
        <f>IF(OR($D40="",$E40=""),"",IF(AND($D40&lt;=IF('Client &amp; Project Profile'!$B$10="",TODAY(),'Client &amp; Project Profile'!$B$10)+5*7+6,$E40&gt;=IF('Client &amp; Project Profile'!$B$10="",TODAY(),'Client &amp; Project Profile'!$B$10)+5*7),"■",""))</f>
        <v/>
      </c>
      <c r="S40" s="12">
        <f>IF(OR($D40="",$E40=""),"",IF(AND($D40&lt;=IF('Client &amp; Project Profile'!$B$10="",TODAY(),'Client &amp; Project Profile'!$B$10)+6*7+6,$E40&gt;=IF('Client &amp; Project Profile'!$B$10="",TODAY(),'Client &amp; Project Profile'!$B$10)+6*7),"■",""))</f>
        <v/>
      </c>
      <c r="T40" s="12">
        <f>IF(OR($D40="",$E40=""),"",IF(AND($D40&lt;=IF('Client &amp; Project Profile'!$B$10="",TODAY(),'Client &amp; Project Profile'!$B$10)+7*7+6,$E40&gt;=IF('Client &amp; Project Profile'!$B$10="",TODAY(),'Client &amp; Project Profile'!$B$10)+7*7),"■",""))</f>
        <v/>
      </c>
      <c r="U40" s="12">
        <f>IF(OR($D40="",$E40=""),"",IF(AND($D40&lt;=IF('Client &amp; Project Profile'!$B$10="",TODAY(),'Client &amp; Project Profile'!$B$10)+8*7+6,$E40&gt;=IF('Client &amp; Project Profile'!$B$10="",TODAY(),'Client &amp; Project Profile'!$B$10)+8*7),"■",""))</f>
        <v/>
      </c>
      <c r="V40" s="12">
        <f>IF(OR($D40="",$E40=""),"",IF(AND($D40&lt;=IF('Client &amp; Project Profile'!$B$10="",TODAY(),'Client &amp; Project Profile'!$B$10)+9*7+6,$E40&gt;=IF('Client &amp; Project Profile'!$B$10="",TODAY(),'Client &amp; Project Profile'!$B$10)+9*7),"■",""))</f>
        <v/>
      </c>
      <c r="W40" s="12">
        <f>IF(OR($D40="",$E40=""),"",IF(AND($D40&lt;=IF('Client &amp; Project Profile'!$B$10="",TODAY(),'Client &amp; Project Profile'!$B$10)+10*7+6,$E40&gt;=IF('Client &amp; Project Profile'!$B$10="",TODAY(),'Client &amp; Project Profile'!$B$10)+10*7),"■",""))</f>
        <v/>
      </c>
      <c r="X40" s="12">
        <f>IF(OR($D40="",$E40=""),"",IF(AND($D40&lt;=IF('Client &amp; Project Profile'!$B$10="",TODAY(),'Client &amp; Project Profile'!$B$10)+11*7+6,$E40&gt;=IF('Client &amp; Project Profile'!$B$10="",TODAY(),'Client &amp; Project Profile'!$B$10)+11*7),"■",""))</f>
        <v/>
      </c>
    </row>
    <row r="41">
      <c r="D41" s="9" t="n"/>
      <c r="E41" s="9" t="n"/>
      <c r="F41" s="9" t="n"/>
      <c r="K41">
        <f>IF(OR($D41="",$E41=""),"",$E41-$D41+1)</f>
        <v/>
      </c>
      <c r="L41">
        <f>IF(AND($E41&lt;TODAY(),$G41&lt;&gt;"Complete"),TODAY()-$E41,0)</f>
        <v/>
      </c>
      <c r="M41">
        <f>IF(OR($D41="",$E41=""),"",IF(AND($D41&lt;=IF('Client &amp; Project Profile'!$B$10="",TODAY(),'Client &amp; Project Profile'!$B$10)+0*7+6,$E41&gt;=IF('Client &amp; Project Profile'!$B$10="",TODAY(),'Client &amp; Project Profile'!$B$10)+0*7),"■",""))</f>
        <v/>
      </c>
      <c r="N41">
        <f>IF(OR($D41="",$E41=""),"",IF(AND($D41&lt;=IF('Client &amp; Project Profile'!$B$10="",TODAY(),'Client &amp; Project Profile'!$B$10)+1*7+6,$E41&gt;=IF('Client &amp; Project Profile'!$B$10="",TODAY(),'Client &amp; Project Profile'!$B$10)+1*7),"■",""))</f>
        <v/>
      </c>
      <c r="O41">
        <f>IF(OR($D41="",$E41=""),"",IF(AND($D41&lt;=IF('Client &amp; Project Profile'!$B$10="",TODAY(),'Client &amp; Project Profile'!$B$10)+2*7+6,$E41&gt;=IF('Client &amp; Project Profile'!$B$10="",TODAY(),'Client &amp; Project Profile'!$B$10)+2*7),"■",""))</f>
        <v/>
      </c>
      <c r="P41">
        <f>IF(OR($D41="",$E41=""),"",IF(AND($D41&lt;=IF('Client &amp; Project Profile'!$B$10="",TODAY(),'Client &amp; Project Profile'!$B$10)+3*7+6,$E41&gt;=IF('Client &amp; Project Profile'!$B$10="",TODAY(),'Client &amp; Project Profile'!$B$10)+3*7),"■",""))</f>
        <v/>
      </c>
      <c r="Q41">
        <f>IF(OR($D41="",$E41=""),"",IF(AND($D41&lt;=IF('Client &amp; Project Profile'!$B$10="",TODAY(),'Client &amp; Project Profile'!$B$10)+4*7+6,$E41&gt;=IF('Client &amp; Project Profile'!$B$10="",TODAY(),'Client &amp; Project Profile'!$B$10)+4*7),"■",""))</f>
        <v/>
      </c>
      <c r="R41">
        <f>IF(OR($D41="",$E41=""),"",IF(AND($D41&lt;=IF('Client &amp; Project Profile'!$B$10="",TODAY(),'Client &amp; Project Profile'!$B$10)+5*7+6,$E41&gt;=IF('Client &amp; Project Profile'!$B$10="",TODAY(),'Client &amp; Project Profile'!$B$10)+5*7),"■",""))</f>
        <v/>
      </c>
      <c r="S41">
        <f>IF(OR($D41="",$E41=""),"",IF(AND($D41&lt;=IF('Client &amp; Project Profile'!$B$10="",TODAY(),'Client &amp; Project Profile'!$B$10)+6*7+6,$E41&gt;=IF('Client &amp; Project Profile'!$B$10="",TODAY(),'Client &amp; Project Profile'!$B$10)+6*7),"■",""))</f>
        <v/>
      </c>
      <c r="T41">
        <f>IF(OR($D41="",$E41=""),"",IF(AND($D41&lt;=IF('Client &amp; Project Profile'!$B$10="",TODAY(),'Client &amp; Project Profile'!$B$10)+7*7+6,$E41&gt;=IF('Client &amp; Project Profile'!$B$10="",TODAY(),'Client &amp; Project Profile'!$B$10)+7*7),"■",""))</f>
        <v/>
      </c>
      <c r="U41">
        <f>IF(OR($D41="",$E41=""),"",IF(AND($D41&lt;=IF('Client &amp; Project Profile'!$B$10="",TODAY(),'Client &amp; Project Profile'!$B$10)+8*7+6,$E41&gt;=IF('Client &amp; Project Profile'!$B$10="",TODAY(),'Client &amp; Project Profile'!$B$10)+8*7),"■",""))</f>
        <v/>
      </c>
      <c r="V41">
        <f>IF(OR($D41="",$E41=""),"",IF(AND($D41&lt;=IF('Client &amp; Project Profile'!$B$10="",TODAY(),'Client &amp; Project Profile'!$B$10)+9*7+6,$E41&gt;=IF('Client &amp; Project Profile'!$B$10="",TODAY(),'Client &amp; Project Profile'!$B$10)+9*7),"■",""))</f>
        <v/>
      </c>
      <c r="W41">
        <f>IF(OR($D41="",$E41=""),"",IF(AND($D41&lt;=IF('Client &amp; Project Profile'!$B$10="",TODAY(),'Client &amp; Project Profile'!$B$10)+10*7+6,$E41&gt;=IF('Client &amp; Project Profile'!$B$10="",TODAY(),'Client &amp; Project Profile'!$B$10)+10*7),"■",""))</f>
        <v/>
      </c>
      <c r="X41">
        <f>IF(OR($D41="",$E41=""),"",IF(AND($D41&lt;=IF('Client &amp; Project Profile'!$B$10="",TODAY(),'Client &amp; Project Profile'!$B$10)+11*7+6,$E41&gt;=IF('Client &amp; Project Profile'!$B$10="",TODAY(),'Client &amp; Project Profile'!$B$10)+11*7),"■",""))</f>
        <v/>
      </c>
    </row>
    <row r="42">
      <c r="A42" s="12" t="n"/>
      <c r="B42" s="12" t="n"/>
      <c r="C42" s="12" t="n"/>
      <c r="D42" s="14" t="n"/>
      <c r="E42" s="14" t="n"/>
      <c r="F42" s="14" t="n"/>
      <c r="G42" s="12" t="n"/>
      <c r="H42" s="12" t="n"/>
      <c r="I42" s="12" t="n"/>
      <c r="J42" s="12" t="n"/>
      <c r="K42" s="12">
        <f>IF(OR($D42="",$E42=""),"",$E42-$D42+1)</f>
        <v/>
      </c>
      <c r="L42" s="12">
        <f>IF(AND($E42&lt;TODAY(),$G42&lt;&gt;"Complete"),TODAY()-$E42,0)</f>
        <v/>
      </c>
      <c r="M42" s="12">
        <f>IF(OR($D42="",$E42=""),"",IF(AND($D42&lt;=IF('Client &amp; Project Profile'!$B$10="",TODAY(),'Client &amp; Project Profile'!$B$10)+0*7+6,$E42&gt;=IF('Client &amp; Project Profile'!$B$10="",TODAY(),'Client &amp; Project Profile'!$B$10)+0*7),"■",""))</f>
        <v/>
      </c>
      <c r="N42" s="12">
        <f>IF(OR($D42="",$E42=""),"",IF(AND($D42&lt;=IF('Client &amp; Project Profile'!$B$10="",TODAY(),'Client &amp; Project Profile'!$B$10)+1*7+6,$E42&gt;=IF('Client &amp; Project Profile'!$B$10="",TODAY(),'Client &amp; Project Profile'!$B$10)+1*7),"■",""))</f>
        <v/>
      </c>
      <c r="O42" s="12">
        <f>IF(OR($D42="",$E42=""),"",IF(AND($D42&lt;=IF('Client &amp; Project Profile'!$B$10="",TODAY(),'Client &amp; Project Profile'!$B$10)+2*7+6,$E42&gt;=IF('Client &amp; Project Profile'!$B$10="",TODAY(),'Client &amp; Project Profile'!$B$10)+2*7),"■",""))</f>
        <v/>
      </c>
      <c r="P42" s="12">
        <f>IF(OR($D42="",$E42=""),"",IF(AND($D42&lt;=IF('Client &amp; Project Profile'!$B$10="",TODAY(),'Client &amp; Project Profile'!$B$10)+3*7+6,$E42&gt;=IF('Client &amp; Project Profile'!$B$10="",TODAY(),'Client &amp; Project Profile'!$B$10)+3*7),"■",""))</f>
        <v/>
      </c>
      <c r="Q42" s="12">
        <f>IF(OR($D42="",$E42=""),"",IF(AND($D42&lt;=IF('Client &amp; Project Profile'!$B$10="",TODAY(),'Client &amp; Project Profile'!$B$10)+4*7+6,$E42&gt;=IF('Client &amp; Project Profile'!$B$10="",TODAY(),'Client &amp; Project Profile'!$B$10)+4*7),"■",""))</f>
        <v/>
      </c>
      <c r="R42" s="12">
        <f>IF(OR($D42="",$E42=""),"",IF(AND($D42&lt;=IF('Client &amp; Project Profile'!$B$10="",TODAY(),'Client &amp; Project Profile'!$B$10)+5*7+6,$E42&gt;=IF('Client &amp; Project Profile'!$B$10="",TODAY(),'Client &amp; Project Profile'!$B$10)+5*7),"■",""))</f>
        <v/>
      </c>
      <c r="S42" s="12">
        <f>IF(OR($D42="",$E42=""),"",IF(AND($D42&lt;=IF('Client &amp; Project Profile'!$B$10="",TODAY(),'Client &amp; Project Profile'!$B$10)+6*7+6,$E42&gt;=IF('Client &amp; Project Profile'!$B$10="",TODAY(),'Client &amp; Project Profile'!$B$10)+6*7),"■",""))</f>
        <v/>
      </c>
      <c r="T42" s="12">
        <f>IF(OR($D42="",$E42=""),"",IF(AND($D42&lt;=IF('Client &amp; Project Profile'!$B$10="",TODAY(),'Client &amp; Project Profile'!$B$10)+7*7+6,$E42&gt;=IF('Client &amp; Project Profile'!$B$10="",TODAY(),'Client &amp; Project Profile'!$B$10)+7*7),"■",""))</f>
        <v/>
      </c>
      <c r="U42" s="12">
        <f>IF(OR($D42="",$E42=""),"",IF(AND($D42&lt;=IF('Client &amp; Project Profile'!$B$10="",TODAY(),'Client &amp; Project Profile'!$B$10)+8*7+6,$E42&gt;=IF('Client &amp; Project Profile'!$B$10="",TODAY(),'Client &amp; Project Profile'!$B$10)+8*7),"■",""))</f>
        <v/>
      </c>
      <c r="V42" s="12">
        <f>IF(OR($D42="",$E42=""),"",IF(AND($D42&lt;=IF('Client &amp; Project Profile'!$B$10="",TODAY(),'Client &amp; Project Profile'!$B$10)+9*7+6,$E42&gt;=IF('Client &amp; Project Profile'!$B$10="",TODAY(),'Client &amp; Project Profile'!$B$10)+9*7),"■",""))</f>
        <v/>
      </c>
      <c r="W42" s="12">
        <f>IF(OR($D42="",$E42=""),"",IF(AND($D42&lt;=IF('Client &amp; Project Profile'!$B$10="",TODAY(),'Client &amp; Project Profile'!$B$10)+10*7+6,$E42&gt;=IF('Client &amp; Project Profile'!$B$10="",TODAY(),'Client &amp; Project Profile'!$B$10)+10*7),"■",""))</f>
        <v/>
      </c>
      <c r="X42" s="12">
        <f>IF(OR($D42="",$E42=""),"",IF(AND($D42&lt;=IF('Client &amp; Project Profile'!$B$10="",TODAY(),'Client &amp; Project Profile'!$B$10)+11*7+6,$E42&gt;=IF('Client &amp; Project Profile'!$B$10="",TODAY(),'Client &amp; Project Profile'!$B$10)+11*7),"■",""))</f>
        <v/>
      </c>
    </row>
    <row r="43">
      <c r="D43" s="9" t="n"/>
      <c r="E43" s="9" t="n"/>
      <c r="F43" s="9" t="n"/>
      <c r="K43">
        <f>IF(OR($D43="",$E43=""),"",$E43-$D43+1)</f>
        <v/>
      </c>
      <c r="L43">
        <f>IF(AND($E43&lt;TODAY(),$G43&lt;&gt;"Complete"),TODAY()-$E43,0)</f>
        <v/>
      </c>
      <c r="M43">
        <f>IF(OR($D43="",$E43=""),"",IF(AND($D43&lt;=IF('Client &amp; Project Profile'!$B$10="",TODAY(),'Client &amp; Project Profile'!$B$10)+0*7+6,$E43&gt;=IF('Client &amp; Project Profile'!$B$10="",TODAY(),'Client &amp; Project Profile'!$B$10)+0*7),"■",""))</f>
        <v/>
      </c>
      <c r="N43">
        <f>IF(OR($D43="",$E43=""),"",IF(AND($D43&lt;=IF('Client &amp; Project Profile'!$B$10="",TODAY(),'Client &amp; Project Profile'!$B$10)+1*7+6,$E43&gt;=IF('Client &amp; Project Profile'!$B$10="",TODAY(),'Client &amp; Project Profile'!$B$10)+1*7),"■",""))</f>
        <v/>
      </c>
      <c r="O43">
        <f>IF(OR($D43="",$E43=""),"",IF(AND($D43&lt;=IF('Client &amp; Project Profile'!$B$10="",TODAY(),'Client &amp; Project Profile'!$B$10)+2*7+6,$E43&gt;=IF('Client &amp; Project Profile'!$B$10="",TODAY(),'Client &amp; Project Profile'!$B$10)+2*7),"■",""))</f>
        <v/>
      </c>
      <c r="P43">
        <f>IF(OR($D43="",$E43=""),"",IF(AND($D43&lt;=IF('Client &amp; Project Profile'!$B$10="",TODAY(),'Client &amp; Project Profile'!$B$10)+3*7+6,$E43&gt;=IF('Client &amp; Project Profile'!$B$10="",TODAY(),'Client &amp; Project Profile'!$B$10)+3*7),"■",""))</f>
        <v/>
      </c>
      <c r="Q43">
        <f>IF(OR($D43="",$E43=""),"",IF(AND($D43&lt;=IF('Client &amp; Project Profile'!$B$10="",TODAY(),'Client &amp; Project Profile'!$B$10)+4*7+6,$E43&gt;=IF('Client &amp; Project Profile'!$B$10="",TODAY(),'Client &amp; Project Profile'!$B$10)+4*7),"■",""))</f>
        <v/>
      </c>
      <c r="R43">
        <f>IF(OR($D43="",$E43=""),"",IF(AND($D43&lt;=IF('Client &amp; Project Profile'!$B$10="",TODAY(),'Client &amp; Project Profile'!$B$10)+5*7+6,$E43&gt;=IF('Client &amp; Project Profile'!$B$10="",TODAY(),'Client &amp; Project Profile'!$B$10)+5*7),"■",""))</f>
        <v/>
      </c>
      <c r="S43">
        <f>IF(OR($D43="",$E43=""),"",IF(AND($D43&lt;=IF('Client &amp; Project Profile'!$B$10="",TODAY(),'Client &amp; Project Profile'!$B$10)+6*7+6,$E43&gt;=IF('Client &amp; Project Profile'!$B$10="",TODAY(),'Client &amp; Project Profile'!$B$10)+6*7),"■",""))</f>
        <v/>
      </c>
      <c r="T43">
        <f>IF(OR($D43="",$E43=""),"",IF(AND($D43&lt;=IF('Client &amp; Project Profile'!$B$10="",TODAY(),'Client &amp; Project Profile'!$B$10)+7*7+6,$E43&gt;=IF('Client &amp; Project Profile'!$B$10="",TODAY(),'Client &amp; Project Profile'!$B$10)+7*7),"■",""))</f>
        <v/>
      </c>
      <c r="U43">
        <f>IF(OR($D43="",$E43=""),"",IF(AND($D43&lt;=IF('Client &amp; Project Profile'!$B$10="",TODAY(),'Client &amp; Project Profile'!$B$10)+8*7+6,$E43&gt;=IF('Client &amp; Project Profile'!$B$10="",TODAY(),'Client &amp; Project Profile'!$B$10)+8*7),"■",""))</f>
        <v/>
      </c>
      <c r="V43">
        <f>IF(OR($D43="",$E43=""),"",IF(AND($D43&lt;=IF('Client &amp; Project Profile'!$B$10="",TODAY(),'Client &amp; Project Profile'!$B$10)+9*7+6,$E43&gt;=IF('Client &amp; Project Profile'!$B$10="",TODAY(),'Client &amp; Project Profile'!$B$10)+9*7),"■",""))</f>
        <v/>
      </c>
      <c r="W43">
        <f>IF(OR($D43="",$E43=""),"",IF(AND($D43&lt;=IF('Client &amp; Project Profile'!$B$10="",TODAY(),'Client &amp; Project Profile'!$B$10)+10*7+6,$E43&gt;=IF('Client &amp; Project Profile'!$B$10="",TODAY(),'Client &amp; Project Profile'!$B$10)+10*7),"■",""))</f>
        <v/>
      </c>
      <c r="X43">
        <f>IF(OR($D43="",$E43=""),"",IF(AND($D43&lt;=IF('Client &amp; Project Profile'!$B$10="",TODAY(),'Client &amp; Project Profile'!$B$10)+11*7+6,$E43&gt;=IF('Client &amp; Project Profile'!$B$10="",TODAY(),'Client &amp; Project Profile'!$B$10)+11*7),"■",""))</f>
        <v/>
      </c>
    </row>
    <row r="44">
      <c r="A44" s="12" t="n"/>
      <c r="B44" s="12" t="n"/>
      <c r="C44" s="12" t="n"/>
      <c r="D44" s="14" t="n"/>
      <c r="E44" s="14" t="n"/>
      <c r="F44" s="14" t="n"/>
      <c r="G44" s="12" t="n"/>
      <c r="H44" s="12" t="n"/>
      <c r="I44" s="12" t="n"/>
      <c r="J44" s="12" t="n"/>
      <c r="K44" s="12">
        <f>IF(OR($D44="",$E44=""),"",$E44-$D44+1)</f>
        <v/>
      </c>
      <c r="L44" s="12">
        <f>IF(AND($E44&lt;TODAY(),$G44&lt;&gt;"Complete"),TODAY()-$E44,0)</f>
        <v/>
      </c>
      <c r="M44" s="12">
        <f>IF(OR($D44="",$E44=""),"",IF(AND($D44&lt;=IF('Client &amp; Project Profile'!$B$10="",TODAY(),'Client &amp; Project Profile'!$B$10)+0*7+6,$E44&gt;=IF('Client &amp; Project Profile'!$B$10="",TODAY(),'Client &amp; Project Profile'!$B$10)+0*7),"■",""))</f>
        <v/>
      </c>
      <c r="N44" s="12">
        <f>IF(OR($D44="",$E44=""),"",IF(AND($D44&lt;=IF('Client &amp; Project Profile'!$B$10="",TODAY(),'Client &amp; Project Profile'!$B$10)+1*7+6,$E44&gt;=IF('Client &amp; Project Profile'!$B$10="",TODAY(),'Client &amp; Project Profile'!$B$10)+1*7),"■",""))</f>
        <v/>
      </c>
      <c r="O44" s="12">
        <f>IF(OR($D44="",$E44=""),"",IF(AND($D44&lt;=IF('Client &amp; Project Profile'!$B$10="",TODAY(),'Client &amp; Project Profile'!$B$10)+2*7+6,$E44&gt;=IF('Client &amp; Project Profile'!$B$10="",TODAY(),'Client &amp; Project Profile'!$B$10)+2*7),"■",""))</f>
        <v/>
      </c>
      <c r="P44" s="12">
        <f>IF(OR($D44="",$E44=""),"",IF(AND($D44&lt;=IF('Client &amp; Project Profile'!$B$10="",TODAY(),'Client &amp; Project Profile'!$B$10)+3*7+6,$E44&gt;=IF('Client &amp; Project Profile'!$B$10="",TODAY(),'Client &amp; Project Profile'!$B$10)+3*7),"■",""))</f>
        <v/>
      </c>
      <c r="Q44" s="12">
        <f>IF(OR($D44="",$E44=""),"",IF(AND($D44&lt;=IF('Client &amp; Project Profile'!$B$10="",TODAY(),'Client &amp; Project Profile'!$B$10)+4*7+6,$E44&gt;=IF('Client &amp; Project Profile'!$B$10="",TODAY(),'Client &amp; Project Profile'!$B$10)+4*7),"■",""))</f>
        <v/>
      </c>
      <c r="R44" s="12">
        <f>IF(OR($D44="",$E44=""),"",IF(AND($D44&lt;=IF('Client &amp; Project Profile'!$B$10="",TODAY(),'Client &amp; Project Profile'!$B$10)+5*7+6,$E44&gt;=IF('Client &amp; Project Profile'!$B$10="",TODAY(),'Client &amp; Project Profile'!$B$10)+5*7),"■",""))</f>
        <v/>
      </c>
      <c r="S44" s="12">
        <f>IF(OR($D44="",$E44=""),"",IF(AND($D44&lt;=IF('Client &amp; Project Profile'!$B$10="",TODAY(),'Client &amp; Project Profile'!$B$10)+6*7+6,$E44&gt;=IF('Client &amp; Project Profile'!$B$10="",TODAY(),'Client &amp; Project Profile'!$B$10)+6*7),"■",""))</f>
        <v/>
      </c>
      <c r="T44" s="12">
        <f>IF(OR($D44="",$E44=""),"",IF(AND($D44&lt;=IF('Client &amp; Project Profile'!$B$10="",TODAY(),'Client &amp; Project Profile'!$B$10)+7*7+6,$E44&gt;=IF('Client &amp; Project Profile'!$B$10="",TODAY(),'Client &amp; Project Profile'!$B$10)+7*7),"■",""))</f>
        <v/>
      </c>
      <c r="U44" s="12">
        <f>IF(OR($D44="",$E44=""),"",IF(AND($D44&lt;=IF('Client &amp; Project Profile'!$B$10="",TODAY(),'Client &amp; Project Profile'!$B$10)+8*7+6,$E44&gt;=IF('Client &amp; Project Profile'!$B$10="",TODAY(),'Client &amp; Project Profile'!$B$10)+8*7),"■",""))</f>
        <v/>
      </c>
      <c r="V44" s="12">
        <f>IF(OR($D44="",$E44=""),"",IF(AND($D44&lt;=IF('Client &amp; Project Profile'!$B$10="",TODAY(),'Client &amp; Project Profile'!$B$10)+9*7+6,$E44&gt;=IF('Client &amp; Project Profile'!$B$10="",TODAY(),'Client &amp; Project Profile'!$B$10)+9*7),"■",""))</f>
        <v/>
      </c>
      <c r="W44" s="12">
        <f>IF(OR($D44="",$E44=""),"",IF(AND($D44&lt;=IF('Client &amp; Project Profile'!$B$10="",TODAY(),'Client &amp; Project Profile'!$B$10)+10*7+6,$E44&gt;=IF('Client &amp; Project Profile'!$B$10="",TODAY(),'Client &amp; Project Profile'!$B$10)+10*7),"■",""))</f>
        <v/>
      </c>
      <c r="X44" s="12">
        <f>IF(OR($D44="",$E44=""),"",IF(AND($D44&lt;=IF('Client &amp; Project Profile'!$B$10="",TODAY(),'Client &amp; Project Profile'!$B$10)+11*7+6,$E44&gt;=IF('Client &amp; Project Profile'!$B$10="",TODAY(),'Client &amp; Project Profile'!$B$10)+11*7),"■",""))</f>
        <v/>
      </c>
    </row>
    <row r="45">
      <c r="D45" s="9" t="n"/>
      <c r="E45" s="9" t="n"/>
      <c r="F45" s="9" t="n"/>
      <c r="K45">
        <f>IF(OR($D45="",$E45=""),"",$E45-$D45+1)</f>
        <v/>
      </c>
      <c r="L45">
        <f>IF(AND($E45&lt;TODAY(),$G45&lt;&gt;"Complete"),TODAY()-$E45,0)</f>
        <v/>
      </c>
      <c r="M45">
        <f>IF(OR($D45="",$E45=""),"",IF(AND($D45&lt;=IF('Client &amp; Project Profile'!$B$10="",TODAY(),'Client &amp; Project Profile'!$B$10)+0*7+6,$E45&gt;=IF('Client &amp; Project Profile'!$B$10="",TODAY(),'Client &amp; Project Profile'!$B$10)+0*7),"■",""))</f>
        <v/>
      </c>
      <c r="N45">
        <f>IF(OR($D45="",$E45=""),"",IF(AND($D45&lt;=IF('Client &amp; Project Profile'!$B$10="",TODAY(),'Client &amp; Project Profile'!$B$10)+1*7+6,$E45&gt;=IF('Client &amp; Project Profile'!$B$10="",TODAY(),'Client &amp; Project Profile'!$B$10)+1*7),"■",""))</f>
        <v/>
      </c>
      <c r="O45">
        <f>IF(OR($D45="",$E45=""),"",IF(AND($D45&lt;=IF('Client &amp; Project Profile'!$B$10="",TODAY(),'Client &amp; Project Profile'!$B$10)+2*7+6,$E45&gt;=IF('Client &amp; Project Profile'!$B$10="",TODAY(),'Client &amp; Project Profile'!$B$10)+2*7),"■",""))</f>
        <v/>
      </c>
      <c r="P45">
        <f>IF(OR($D45="",$E45=""),"",IF(AND($D45&lt;=IF('Client &amp; Project Profile'!$B$10="",TODAY(),'Client &amp; Project Profile'!$B$10)+3*7+6,$E45&gt;=IF('Client &amp; Project Profile'!$B$10="",TODAY(),'Client &amp; Project Profile'!$B$10)+3*7),"■",""))</f>
        <v/>
      </c>
      <c r="Q45">
        <f>IF(OR($D45="",$E45=""),"",IF(AND($D45&lt;=IF('Client &amp; Project Profile'!$B$10="",TODAY(),'Client &amp; Project Profile'!$B$10)+4*7+6,$E45&gt;=IF('Client &amp; Project Profile'!$B$10="",TODAY(),'Client &amp; Project Profile'!$B$10)+4*7),"■",""))</f>
        <v/>
      </c>
      <c r="R45">
        <f>IF(OR($D45="",$E45=""),"",IF(AND($D45&lt;=IF('Client &amp; Project Profile'!$B$10="",TODAY(),'Client &amp; Project Profile'!$B$10)+5*7+6,$E45&gt;=IF('Client &amp; Project Profile'!$B$10="",TODAY(),'Client &amp; Project Profile'!$B$10)+5*7),"■",""))</f>
        <v/>
      </c>
      <c r="S45">
        <f>IF(OR($D45="",$E45=""),"",IF(AND($D45&lt;=IF('Client &amp; Project Profile'!$B$10="",TODAY(),'Client &amp; Project Profile'!$B$10)+6*7+6,$E45&gt;=IF('Client &amp; Project Profile'!$B$10="",TODAY(),'Client &amp; Project Profile'!$B$10)+6*7),"■",""))</f>
        <v/>
      </c>
      <c r="T45">
        <f>IF(OR($D45="",$E45=""),"",IF(AND($D45&lt;=IF('Client &amp; Project Profile'!$B$10="",TODAY(),'Client &amp; Project Profile'!$B$10)+7*7+6,$E45&gt;=IF('Client &amp; Project Profile'!$B$10="",TODAY(),'Client &amp; Project Profile'!$B$10)+7*7),"■",""))</f>
        <v/>
      </c>
      <c r="U45">
        <f>IF(OR($D45="",$E45=""),"",IF(AND($D45&lt;=IF('Client &amp; Project Profile'!$B$10="",TODAY(),'Client &amp; Project Profile'!$B$10)+8*7+6,$E45&gt;=IF('Client &amp; Project Profile'!$B$10="",TODAY(),'Client &amp; Project Profile'!$B$10)+8*7),"■",""))</f>
        <v/>
      </c>
      <c r="V45">
        <f>IF(OR($D45="",$E45=""),"",IF(AND($D45&lt;=IF('Client &amp; Project Profile'!$B$10="",TODAY(),'Client &amp; Project Profile'!$B$10)+9*7+6,$E45&gt;=IF('Client &amp; Project Profile'!$B$10="",TODAY(),'Client &amp; Project Profile'!$B$10)+9*7),"■",""))</f>
        <v/>
      </c>
      <c r="W45">
        <f>IF(OR($D45="",$E45=""),"",IF(AND($D45&lt;=IF('Client &amp; Project Profile'!$B$10="",TODAY(),'Client &amp; Project Profile'!$B$10)+10*7+6,$E45&gt;=IF('Client &amp; Project Profile'!$B$10="",TODAY(),'Client &amp; Project Profile'!$B$10)+10*7),"■",""))</f>
        <v/>
      </c>
      <c r="X45">
        <f>IF(OR($D45="",$E45=""),"",IF(AND($D45&lt;=IF('Client &amp; Project Profile'!$B$10="",TODAY(),'Client &amp; Project Profile'!$B$10)+11*7+6,$E45&gt;=IF('Client &amp; Project Profile'!$B$10="",TODAY(),'Client &amp; Project Profile'!$B$10)+11*7),"■",""))</f>
        <v/>
      </c>
    </row>
    <row r="46">
      <c r="A46" s="12" t="n"/>
      <c r="B46" s="12" t="n"/>
      <c r="C46" s="12" t="n"/>
      <c r="D46" s="14" t="n"/>
      <c r="E46" s="14" t="n"/>
      <c r="F46" s="14" t="n"/>
      <c r="G46" s="12" t="n"/>
      <c r="H46" s="12" t="n"/>
      <c r="I46" s="12" t="n"/>
      <c r="J46" s="12" t="n"/>
      <c r="K46" s="12">
        <f>IF(OR($D46="",$E46=""),"",$E46-$D46+1)</f>
        <v/>
      </c>
      <c r="L46" s="12">
        <f>IF(AND($E46&lt;TODAY(),$G46&lt;&gt;"Complete"),TODAY()-$E46,0)</f>
        <v/>
      </c>
      <c r="M46" s="12">
        <f>IF(OR($D46="",$E46=""),"",IF(AND($D46&lt;=IF('Client &amp; Project Profile'!$B$10="",TODAY(),'Client &amp; Project Profile'!$B$10)+0*7+6,$E46&gt;=IF('Client &amp; Project Profile'!$B$10="",TODAY(),'Client &amp; Project Profile'!$B$10)+0*7),"■",""))</f>
        <v/>
      </c>
      <c r="N46" s="12">
        <f>IF(OR($D46="",$E46=""),"",IF(AND($D46&lt;=IF('Client &amp; Project Profile'!$B$10="",TODAY(),'Client &amp; Project Profile'!$B$10)+1*7+6,$E46&gt;=IF('Client &amp; Project Profile'!$B$10="",TODAY(),'Client &amp; Project Profile'!$B$10)+1*7),"■",""))</f>
        <v/>
      </c>
      <c r="O46" s="12">
        <f>IF(OR($D46="",$E46=""),"",IF(AND($D46&lt;=IF('Client &amp; Project Profile'!$B$10="",TODAY(),'Client &amp; Project Profile'!$B$10)+2*7+6,$E46&gt;=IF('Client &amp; Project Profile'!$B$10="",TODAY(),'Client &amp; Project Profile'!$B$10)+2*7),"■",""))</f>
        <v/>
      </c>
      <c r="P46" s="12">
        <f>IF(OR($D46="",$E46=""),"",IF(AND($D46&lt;=IF('Client &amp; Project Profile'!$B$10="",TODAY(),'Client &amp; Project Profile'!$B$10)+3*7+6,$E46&gt;=IF('Client &amp; Project Profile'!$B$10="",TODAY(),'Client &amp; Project Profile'!$B$10)+3*7),"■",""))</f>
        <v/>
      </c>
      <c r="Q46" s="12">
        <f>IF(OR($D46="",$E46=""),"",IF(AND($D46&lt;=IF('Client &amp; Project Profile'!$B$10="",TODAY(),'Client &amp; Project Profile'!$B$10)+4*7+6,$E46&gt;=IF('Client &amp; Project Profile'!$B$10="",TODAY(),'Client &amp; Project Profile'!$B$10)+4*7),"■",""))</f>
        <v/>
      </c>
      <c r="R46" s="12">
        <f>IF(OR($D46="",$E46=""),"",IF(AND($D46&lt;=IF('Client &amp; Project Profile'!$B$10="",TODAY(),'Client &amp; Project Profile'!$B$10)+5*7+6,$E46&gt;=IF('Client &amp; Project Profile'!$B$10="",TODAY(),'Client &amp; Project Profile'!$B$10)+5*7),"■",""))</f>
        <v/>
      </c>
      <c r="S46" s="12">
        <f>IF(OR($D46="",$E46=""),"",IF(AND($D46&lt;=IF('Client &amp; Project Profile'!$B$10="",TODAY(),'Client &amp; Project Profile'!$B$10)+6*7+6,$E46&gt;=IF('Client &amp; Project Profile'!$B$10="",TODAY(),'Client &amp; Project Profile'!$B$10)+6*7),"■",""))</f>
        <v/>
      </c>
      <c r="T46" s="12">
        <f>IF(OR($D46="",$E46=""),"",IF(AND($D46&lt;=IF('Client &amp; Project Profile'!$B$10="",TODAY(),'Client &amp; Project Profile'!$B$10)+7*7+6,$E46&gt;=IF('Client &amp; Project Profile'!$B$10="",TODAY(),'Client &amp; Project Profile'!$B$10)+7*7),"■",""))</f>
        <v/>
      </c>
      <c r="U46" s="12">
        <f>IF(OR($D46="",$E46=""),"",IF(AND($D46&lt;=IF('Client &amp; Project Profile'!$B$10="",TODAY(),'Client &amp; Project Profile'!$B$10)+8*7+6,$E46&gt;=IF('Client &amp; Project Profile'!$B$10="",TODAY(),'Client &amp; Project Profile'!$B$10)+8*7),"■",""))</f>
        <v/>
      </c>
      <c r="V46" s="12">
        <f>IF(OR($D46="",$E46=""),"",IF(AND($D46&lt;=IF('Client &amp; Project Profile'!$B$10="",TODAY(),'Client &amp; Project Profile'!$B$10)+9*7+6,$E46&gt;=IF('Client &amp; Project Profile'!$B$10="",TODAY(),'Client &amp; Project Profile'!$B$10)+9*7),"■",""))</f>
        <v/>
      </c>
      <c r="W46" s="12">
        <f>IF(OR($D46="",$E46=""),"",IF(AND($D46&lt;=IF('Client &amp; Project Profile'!$B$10="",TODAY(),'Client &amp; Project Profile'!$B$10)+10*7+6,$E46&gt;=IF('Client &amp; Project Profile'!$B$10="",TODAY(),'Client &amp; Project Profile'!$B$10)+10*7),"■",""))</f>
        <v/>
      </c>
      <c r="X46" s="12">
        <f>IF(OR($D46="",$E46=""),"",IF(AND($D46&lt;=IF('Client &amp; Project Profile'!$B$10="",TODAY(),'Client &amp; Project Profile'!$B$10)+11*7+6,$E46&gt;=IF('Client &amp; Project Profile'!$B$10="",TODAY(),'Client &amp; Project Profile'!$B$10)+11*7),"■",""))</f>
        <v/>
      </c>
    </row>
    <row r="47">
      <c r="D47" s="9" t="n"/>
      <c r="E47" s="9" t="n"/>
      <c r="F47" s="9" t="n"/>
      <c r="K47">
        <f>IF(OR($D47="",$E47=""),"",$E47-$D47+1)</f>
        <v/>
      </c>
      <c r="L47">
        <f>IF(AND($E47&lt;TODAY(),$G47&lt;&gt;"Complete"),TODAY()-$E47,0)</f>
        <v/>
      </c>
      <c r="M47">
        <f>IF(OR($D47="",$E47=""),"",IF(AND($D47&lt;=IF('Client &amp; Project Profile'!$B$10="",TODAY(),'Client &amp; Project Profile'!$B$10)+0*7+6,$E47&gt;=IF('Client &amp; Project Profile'!$B$10="",TODAY(),'Client &amp; Project Profile'!$B$10)+0*7),"■",""))</f>
        <v/>
      </c>
      <c r="N47">
        <f>IF(OR($D47="",$E47=""),"",IF(AND($D47&lt;=IF('Client &amp; Project Profile'!$B$10="",TODAY(),'Client &amp; Project Profile'!$B$10)+1*7+6,$E47&gt;=IF('Client &amp; Project Profile'!$B$10="",TODAY(),'Client &amp; Project Profile'!$B$10)+1*7),"■",""))</f>
        <v/>
      </c>
      <c r="O47">
        <f>IF(OR($D47="",$E47=""),"",IF(AND($D47&lt;=IF('Client &amp; Project Profile'!$B$10="",TODAY(),'Client &amp; Project Profile'!$B$10)+2*7+6,$E47&gt;=IF('Client &amp; Project Profile'!$B$10="",TODAY(),'Client &amp; Project Profile'!$B$10)+2*7),"■",""))</f>
        <v/>
      </c>
      <c r="P47">
        <f>IF(OR($D47="",$E47=""),"",IF(AND($D47&lt;=IF('Client &amp; Project Profile'!$B$10="",TODAY(),'Client &amp; Project Profile'!$B$10)+3*7+6,$E47&gt;=IF('Client &amp; Project Profile'!$B$10="",TODAY(),'Client &amp; Project Profile'!$B$10)+3*7),"■",""))</f>
        <v/>
      </c>
      <c r="Q47">
        <f>IF(OR($D47="",$E47=""),"",IF(AND($D47&lt;=IF('Client &amp; Project Profile'!$B$10="",TODAY(),'Client &amp; Project Profile'!$B$10)+4*7+6,$E47&gt;=IF('Client &amp; Project Profile'!$B$10="",TODAY(),'Client &amp; Project Profile'!$B$10)+4*7),"■",""))</f>
        <v/>
      </c>
      <c r="R47">
        <f>IF(OR($D47="",$E47=""),"",IF(AND($D47&lt;=IF('Client &amp; Project Profile'!$B$10="",TODAY(),'Client &amp; Project Profile'!$B$10)+5*7+6,$E47&gt;=IF('Client &amp; Project Profile'!$B$10="",TODAY(),'Client &amp; Project Profile'!$B$10)+5*7),"■",""))</f>
        <v/>
      </c>
      <c r="S47">
        <f>IF(OR($D47="",$E47=""),"",IF(AND($D47&lt;=IF('Client &amp; Project Profile'!$B$10="",TODAY(),'Client &amp; Project Profile'!$B$10)+6*7+6,$E47&gt;=IF('Client &amp; Project Profile'!$B$10="",TODAY(),'Client &amp; Project Profile'!$B$10)+6*7),"■",""))</f>
        <v/>
      </c>
      <c r="T47">
        <f>IF(OR($D47="",$E47=""),"",IF(AND($D47&lt;=IF('Client &amp; Project Profile'!$B$10="",TODAY(),'Client &amp; Project Profile'!$B$10)+7*7+6,$E47&gt;=IF('Client &amp; Project Profile'!$B$10="",TODAY(),'Client &amp; Project Profile'!$B$10)+7*7),"■",""))</f>
        <v/>
      </c>
      <c r="U47">
        <f>IF(OR($D47="",$E47=""),"",IF(AND($D47&lt;=IF('Client &amp; Project Profile'!$B$10="",TODAY(),'Client &amp; Project Profile'!$B$10)+8*7+6,$E47&gt;=IF('Client &amp; Project Profile'!$B$10="",TODAY(),'Client &amp; Project Profile'!$B$10)+8*7),"■",""))</f>
        <v/>
      </c>
      <c r="V47">
        <f>IF(OR($D47="",$E47=""),"",IF(AND($D47&lt;=IF('Client &amp; Project Profile'!$B$10="",TODAY(),'Client &amp; Project Profile'!$B$10)+9*7+6,$E47&gt;=IF('Client &amp; Project Profile'!$B$10="",TODAY(),'Client &amp; Project Profile'!$B$10)+9*7),"■",""))</f>
        <v/>
      </c>
      <c r="W47">
        <f>IF(OR($D47="",$E47=""),"",IF(AND($D47&lt;=IF('Client &amp; Project Profile'!$B$10="",TODAY(),'Client &amp; Project Profile'!$B$10)+10*7+6,$E47&gt;=IF('Client &amp; Project Profile'!$B$10="",TODAY(),'Client &amp; Project Profile'!$B$10)+10*7),"■",""))</f>
        <v/>
      </c>
      <c r="X47">
        <f>IF(OR($D47="",$E47=""),"",IF(AND($D47&lt;=IF('Client &amp; Project Profile'!$B$10="",TODAY(),'Client &amp; Project Profile'!$B$10)+11*7+6,$E47&gt;=IF('Client &amp; Project Profile'!$B$10="",TODAY(),'Client &amp; Project Profile'!$B$10)+11*7),"■",""))</f>
        <v/>
      </c>
    </row>
    <row r="48">
      <c r="A48" s="12" t="n"/>
      <c r="B48" s="12" t="n"/>
      <c r="C48" s="12" t="n"/>
      <c r="D48" s="14" t="n"/>
      <c r="E48" s="14" t="n"/>
      <c r="F48" s="14" t="n"/>
      <c r="G48" s="12" t="n"/>
      <c r="H48" s="12" t="n"/>
      <c r="I48" s="12" t="n"/>
      <c r="J48" s="12" t="n"/>
      <c r="K48" s="12">
        <f>IF(OR($D48="",$E48=""),"",$E48-$D48+1)</f>
        <v/>
      </c>
      <c r="L48" s="12">
        <f>IF(AND($E48&lt;TODAY(),$G48&lt;&gt;"Complete"),TODAY()-$E48,0)</f>
        <v/>
      </c>
      <c r="M48" s="12">
        <f>IF(OR($D48="",$E48=""),"",IF(AND($D48&lt;=IF('Client &amp; Project Profile'!$B$10="",TODAY(),'Client &amp; Project Profile'!$B$10)+0*7+6,$E48&gt;=IF('Client &amp; Project Profile'!$B$10="",TODAY(),'Client &amp; Project Profile'!$B$10)+0*7),"■",""))</f>
        <v/>
      </c>
      <c r="N48" s="12">
        <f>IF(OR($D48="",$E48=""),"",IF(AND($D48&lt;=IF('Client &amp; Project Profile'!$B$10="",TODAY(),'Client &amp; Project Profile'!$B$10)+1*7+6,$E48&gt;=IF('Client &amp; Project Profile'!$B$10="",TODAY(),'Client &amp; Project Profile'!$B$10)+1*7),"■",""))</f>
        <v/>
      </c>
      <c r="O48" s="12">
        <f>IF(OR($D48="",$E48=""),"",IF(AND($D48&lt;=IF('Client &amp; Project Profile'!$B$10="",TODAY(),'Client &amp; Project Profile'!$B$10)+2*7+6,$E48&gt;=IF('Client &amp; Project Profile'!$B$10="",TODAY(),'Client &amp; Project Profile'!$B$10)+2*7),"■",""))</f>
        <v/>
      </c>
      <c r="P48" s="12">
        <f>IF(OR($D48="",$E48=""),"",IF(AND($D48&lt;=IF('Client &amp; Project Profile'!$B$10="",TODAY(),'Client &amp; Project Profile'!$B$10)+3*7+6,$E48&gt;=IF('Client &amp; Project Profile'!$B$10="",TODAY(),'Client &amp; Project Profile'!$B$10)+3*7),"■",""))</f>
        <v/>
      </c>
      <c r="Q48" s="12">
        <f>IF(OR($D48="",$E48=""),"",IF(AND($D48&lt;=IF('Client &amp; Project Profile'!$B$10="",TODAY(),'Client &amp; Project Profile'!$B$10)+4*7+6,$E48&gt;=IF('Client &amp; Project Profile'!$B$10="",TODAY(),'Client &amp; Project Profile'!$B$10)+4*7),"■",""))</f>
        <v/>
      </c>
      <c r="R48" s="12">
        <f>IF(OR($D48="",$E48=""),"",IF(AND($D48&lt;=IF('Client &amp; Project Profile'!$B$10="",TODAY(),'Client &amp; Project Profile'!$B$10)+5*7+6,$E48&gt;=IF('Client &amp; Project Profile'!$B$10="",TODAY(),'Client &amp; Project Profile'!$B$10)+5*7),"■",""))</f>
        <v/>
      </c>
      <c r="S48" s="12">
        <f>IF(OR($D48="",$E48=""),"",IF(AND($D48&lt;=IF('Client &amp; Project Profile'!$B$10="",TODAY(),'Client &amp; Project Profile'!$B$10)+6*7+6,$E48&gt;=IF('Client &amp; Project Profile'!$B$10="",TODAY(),'Client &amp; Project Profile'!$B$10)+6*7),"■",""))</f>
        <v/>
      </c>
      <c r="T48" s="12">
        <f>IF(OR($D48="",$E48=""),"",IF(AND($D48&lt;=IF('Client &amp; Project Profile'!$B$10="",TODAY(),'Client &amp; Project Profile'!$B$10)+7*7+6,$E48&gt;=IF('Client &amp; Project Profile'!$B$10="",TODAY(),'Client &amp; Project Profile'!$B$10)+7*7),"■",""))</f>
        <v/>
      </c>
      <c r="U48" s="12">
        <f>IF(OR($D48="",$E48=""),"",IF(AND($D48&lt;=IF('Client &amp; Project Profile'!$B$10="",TODAY(),'Client &amp; Project Profile'!$B$10)+8*7+6,$E48&gt;=IF('Client &amp; Project Profile'!$B$10="",TODAY(),'Client &amp; Project Profile'!$B$10)+8*7),"■",""))</f>
        <v/>
      </c>
      <c r="V48" s="12">
        <f>IF(OR($D48="",$E48=""),"",IF(AND($D48&lt;=IF('Client &amp; Project Profile'!$B$10="",TODAY(),'Client &amp; Project Profile'!$B$10)+9*7+6,$E48&gt;=IF('Client &amp; Project Profile'!$B$10="",TODAY(),'Client &amp; Project Profile'!$B$10)+9*7),"■",""))</f>
        <v/>
      </c>
      <c r="W48" s="12">
        <f>IF(OR($D48="",$E48=""),"",IF(AND($D48&lt;=IF('Client &amp; Project Profile'!$B$10="",TODAY(),'Client &amp; Project Profile'!$B$10)+10*7+6,$E48&gt;=IF('Client &amp; Project Profile'!$B$10="",TODAY(),'Client &amp; Project Profile'!$B$10)+10*7),"■",""))</f>
        <v/>
      </c>
      <c r="X48" s="12">
        <f>IF(OR($D48="",$E48=""),"",IF(AND($D48&lt;=IF('Client &amp; Project Profile'!$B$10="",TODAY(),'Client &amp; Project Profile'!$B$10)+11*7+6,$E48&gt;=IF('Client &amp; Project Profile'!$B$10="",TODAY(),'Client &amp; Project Profile'!$B$10)+11*7),"■",""))</f>
        <v/>
      </c>
    </row>
    <row r="49">
      <c r="D49" s="9" t="n"/>
      <c r="E49" s="9" t="n"/>
      <c r="F49" s="9" t="n"/>
      <c r="K49">
        <f>IF(OR($D49="",$E49=""),"",$E49-$D49+1)</f>
        <v/>
      </c>
      <c r="L49">
        <f>IF(AND($E49&lt;TODAY(),$G49&lt;&gt;"Complete"),TODAY()-$E49,0)</f>
        <v/>
      </c>
      <c r="M49">
        <f>IF(OR($D49="",$E49=""),"",IF(AND($D49&lt;=IF('Client &amp; Project Profile'!$B$10="",TODAY(),'Client &amp; Project Profile'!$B$10)+0*7+6,$E49&gt;=IF('Client &amp; Project Profile'!$B$10="",TODAY(),'Client &amp; Project Profile'!$B$10)+0*7),"■",""))</f>
        <v/>
      </c>
      <c r="N49">
        <f>IF(OR($D49="",$E49=""),"",IF(AND($D49&lt;=IF('Client &amp; Project Profile'!$B$10="",TODAY(),'Client &amp; Project Profile'!$B$10)+1*7+6,$E49&gt;=IF('Client &amp; Project Profile'!$B$10="",TODAY(),'Client &amp; Project Profile'!$B$10)+1*7),"■",""))</f>
        <v/>
      </c>
      <c r="O49">
        <f>IF(OR($D49="",$E49=""),"",IF(AND($D49&lt;=IF('Client &amp; Project Profile'!$B$10="",TODAY(),'Client &amp; Project Profile'!$B$10)+2*7+6,$E49&gt;=IF('Client &amp; Project Profile'!$B$10="",TODAY(),'Client &amp; Project Profile'!$B$10)+2*7),"■",""))</f>
        <v/>
      </c>
      <c r="P49">
        <f>IF(OR($D49="",$E49=""),"",IF(AND($D49&lt;=IF('Client &amp; Project Profile'!$B$10="",TODAY(),'Client &amp; Project Profile'!$B$10)+3*7+6,$E49&gt;=IF('Client &amp; Project Profile'!$B$10="",TODAY(),'Client &amp; Project Profile'!$B$10)+3*7),"■",""))</f>
        <v/>
      </c>
      <c r="Q49">
        <f>IF(OR($D49="",$E49=""),"",IF(AND($D49&lt;=IF('Client &amp; Project Profile'!$B$10="",TODAY(),'Client &amp; Project Profile'!$B$10)+4*7+6,$E49&gt;=IF('Client &amp; Project Profile'!$B$10="",TODAY(),'Client &amp; Project Profile'!$B$10)+4*7),"■",""))</f>
        <v/>
      </c>
      <c r="R49">
        <f>IF(OR($D49="",$E49=""),"",IF(AND($D49&lt;=IF('Client &amp; Project Profile'!$B$10="",TODAY(),'Client &amp; Project Profile'!$B$10)+5*7+6,$E49&gt;=IF('Client &amp; Project Profile'!$B$10="",TODAY(),'Client &amp; Project Profile'!$B$10)+5*7),"■",""))</f>
        <v/>
      </c>
      <c r="S49">
        <f>IF(OR($D49="",$E49=""),"",IF(AND($D49&lt;=IF('Client &amp; Project Profile'!$B$10="",TODAY(),'Client &amp; Project Profile'!$B$10)+6*7+6,$E49&gt;=IF('Client &amp; Project Profile'!$B$10="",TODAY(),'Client &amp; Project Profile'!$B$10)+6*7),"■",""))</f>
        <v/>
      </c>
      <c r="T49">
        <f>IF(OR($D49="",$E49=""),"",IF(AND($D49&lt;=IF('Client &amp; Project Profile'!$B$10="",TODAY(),'Client &amp; Project Profile'!$B$10)+7*7+6,$E49&gt;=IF('Client &amp; Project Profile'!$B$10="",TODAY(),'Client &amp; Project Profile'!$B$10)+7*7),"■",""))</f>
        <v/>
      </c>
      <c r="U49">
        <f>IF(OR($D49="",$E49=""),"",IF(AND($D49&lt;=IF('Client &amp; Project Profile'!$B$10="",TODAY(),'Client &amp; Project Profile'!$B$10)+8*7+6,$E49&gt;=IF('Client &amp; Project Profile'!$B$10="",TODAY(),'Client &amp; Project Profile'!$B$10)+8*7),"■",""))</f>
        <v/>
      </c>
      <c r="V49">
        <f>IF(OR($D49="",$E49=""),"",IF(AND($D49&lt;=IF('Client &amp; Project Profile'!$B$10="",TODAY(),'Client &amp; Project Profile'!$B$10)+9*7+6,$E49&gt;=IF('Client &amp; Project Profile'!$B$10="",TODAY(),'Client &amp; Project Profile'!$B$10)+9*7),"■",""))</f>
        <v/>
      </c>
      <c r="W49">
        <f>IF(OR($D49="",$E49=""),"",IF(AND($D49&lt;=IF('Client &amp; Project Profile'!$B$10="",TODAY(),'Client &amp; Project Profile'!$B$10)+10*7+6,$E49&gt;=IF('Client &amp; Project Profile'!$B$10="",TODAY(),'Client &amp; Project Profile'!$B$10)+10*7),"■",""))</f>
        <v/>
      </c>
      <c r="X49">
        <f>IF(OR($D49="",$E49=""),"",IF(AND($D49&lt;=IF('Client &amp; Project Profile'!$B$10="",TODAY(),'Client &amp; Project Profile'!$B$10)+11*7+6,$E49&gt;=IF('Client &amp; Project Profile'!$B$10="",TODAY(),'Client &amp; Project Profile'!$B$10)+11*7),"■",""))</f>
        <v/>
      </c>
    </row>
    <row r="50">
      <c r="A50" s="12" t="n"/>
      <c r="B50" s="12" t="n"/>
      <c r="C50" s="12" t="n"/>
      <c r="D50" s="14" t="n"/>
      <c r="E50" s="14" t="n"/>
      <c r="F50" s="14" t="n"/>
      <c r="G50" s="12" t="n"/>
      <c r="H50" s="12" t="n"/>
      <c r="I50" s="12" t="n"/>
      <c r="J50" s="12" t="n"/>
      <c r="K50" s="12">
        <f>IF(OR($D50="",$E50=""),"",$E50-$D50+1)</f>
        <v/>
      </c>
      <c r="L50" s="12">
        <f>IF(AND($E50&lt;TODAY(),$G50&lt;&gt;"Complete"),TODAY()-$E50,0)</f>
        <v/>
      </c>
      <c r="M50" s="12">
        <f>IF(OR($D50="",$E50=""),"",IF(AND($D50&lt;=IF('Client &amp; Project Profile'!$B$10="",TODAY(),'Client &amp; Project Profile'!$B$10)+0*7+6,$E50&gt;=IF('Client &amp; Project Profile'!$B$10="",TODAY(),'Client &amp; Project Profile'!$B$10)+0*7),"■",""))</f>
        <v/>
      </c>
      <c r="N50" s="12">
        <f>IF(OR($D50="",$E50=""),"",IF(AND($D50&lt;=IF('Client &amp; Project Profile'!$B$10="",TODAY(),'Client &amp; Project Profile'!$B$10)+1*7+6,$E50&gt;=IF('Client &amp; Project Profile'!$B$10="",TODAY(),'Client &amp; Project Profile'!$B$10)+1*7),"■",""))</f>
        <v/>
      </c>
      <c r="O50" s="12">
        <f>IF(OR($D50="",$E50=""),"",IF(AND($D50&lt;=IF('Client &amp; Project Profile'!$B$10="",TODAY(),'Client &amp; Project Profile'!$B$10)+2*7+6,$E50&gt;=IF('Client &amp; Project Profile'!$B$10="",TODAY(),'Client &amp; Project Profile'!$B$10)+2*7),"■",""))</f>
        <v/>
      </c>
      <c r="P50" s="12">
        <f>IF(OR($D50="",$E50=""),"",IF(AND($D50&lt;=IF('Client &amp; Project Profile'!$B$10="",TODAY(),'Client &amp; Project Profile'!$B$10)+3*7+6,$E50&gt;=IF('Client &amp; Project Profile'!$B$10="",TODAY(),'Client &amp; Project Profile'!$B$10)+3*7),"■",""))</f>
        <v/>
      </c>
      <c r="Q50" s="12">
        <f>IF(OR($D50="",$E50=""),"",IF(AND($D50&lt;=IF('Client &amp; Project Profile'!$B$10="",TODAY(),'Client &amp; Project Profile'!$B$10)+4*7+6,$E50&gt;=IF('Client &amp; Project Profile'!$B$10="",TODAY(),'Client &amp; Project Profile'!$B$10)+4*7),"■",""))</f>
        <v/>
      </c>
      <c r="R50" s="12">
        <f>IF(OR($D50="",$E50=""),"",IF(AND($D50&lt;=IF('Client &amp; Project Profile'!$B$10="",TODAY(),'Client &amp; Project Profile'!$B$10)+5*7+6,$E50&gt;=IF('Client &amp; Project Profile'!$B$10="",TODAY(),'Client &amp; Project Profile'!$B$10)+5*7),"■",""))</f>
        <v/>
      </c>
      <c r="S50" s="12">
        <f>IF(OR($D50="",$E50=""),"",IF(AND($D50&lt;=IF('Client &amp; Project Profile'!$B$10="",TODAY(),'Client &amp; Project Profile'!$B$10)+6*7+6,$E50&gt;=IF('Client &amp; Project Profile'!$B$10="",TODAY(),'Client &amp; Project Profile'!$B$10)+6*7),"■",""))</f>
        <v/>
      </c>
      <c r="T50" s="12">
        <f>IF(OR($D50="",$E50=""),"",IF(AND($D50&lt;=IF('Client &amp; Project Profile'!$B$10="",TODAY(),'Client &amp; Project Profile'!$B$10)+7*7+6,$E50&gt;=IF('Client &amp; Project Profile'!$B$10="",TODAY(),'Client &amp; Project Profile'!$B$10)+7*7),"■",""))</f>
        <v/>
      </c>
      <c r="U50" s="12">
        <f>IF(OR($D50="",$E50=""),"",IF(AND($D50&lt;=IF('Client &amp; Project Profile'!$B$10="",TODAY(),'Client &amp; Project Profile'!$B$10)+8*7+6,$E50&gt;=IF('Client &amp; Project Profile'!$B$10="",TODAY(),'Client &amp; Project Profile'!$B$10)+8*7),"■",""))</f>
        <v/>
      </c>
      <c r="V50" s="12">
        <f>IF(OR($D50="",$E50=""),"",IF(AND($D50&lt;=IF('Client &amp; Project Profile'!$B$10="",TODAY(),'Client &amp; Project Profile'!$B$10)+9*7+6,$E50&gt;=IF('Client &amp; Project Profile'!$B$10="",TODAY(),'Client &amp; Project Profile'!$B$10)+9*7),"■",""))</f>
        <v/>
      </c>
      <c r="W50" s="12">
        <f>IF(OR($D50="",$E50=""),"",IF(AND($D50&lt;=IF('Client &amp; Project Profile'!$B$10="",TODAY(),'Client &amp; Project Profile'!$B$10)+10*7+6,$E50&gt;=IF('Client &amp; Project Profile'!$B$10="",TODAY(),'Client &amp; Project Profile'!$B$10)+10*7),"■",""))</f>
        <v/>
      </c>
      <c r="X50" s="12">
        <f>IF(OR($D50="",$E50=""),"",IF(AND($D50&lt;=IF('Client &amp; Project Profile'!$B$10="",TODAY(),'Client &amp; Project Profile'!$B$10)+11*7+6,$E50&gt;=IF('Client &amp; Project Profile'!$B$10="",TODAY(),'Client &amp; Project Profile'!$B$10)+11*7),"■",""))</f>
        <v/>
      </c>
    </row>
    <row r="51">
      <c r="D51" s="9" t="n"/>
      <c r="E51" s="9" t="n"/>
      <c r="F51" s="9" t="n"/>
      <c r="K51">
        <f>IF(OR($D51="",$E51=""),"",$E51-$D51+1)</f>
        <v/>
      </c>
      <c r="L51">
        <f>IF(AND($E51&lt;TODAY(),$G51&lt;&gt;"Complete"),TODAY()-$E51,0)</f>
        <v/>
      </c>
      <c r="M51">
        <f>IF(OR($D51="",$E51=""),"",IF(AND($D51&lt;=IF('Client &amp; Project Profile'!$B$10="",TODAY(),'Client &amp; Project Profile'!$B$10)+0*7+6,$E51&gt;=IF('Client &amp; Project Profile'!$B$10="",TODAY(),'Client &amp; Project Profile'!$B$10)+0*7),"■",""))</f>
        <v/>
      </c>
      <c r="N51">
        <f>IF(OR($D51="",$E51=""),"",IF(AND($D51&lt;=IF('Client &amp; Project Profile'!$B$10="",TODAY(),'Client &amp; Project Profile'!$B$10)+1*7+6,$E51&gt;=IF('Client &amp; Project Profile'!$B$10="",TODAY(),'Client &amp; Project Profile'!$B$10)+1*7),"■",""))</f>
        <v/>
      </c>
      <c r="O51">
        <f>IF(OR($D51="",$E51=""),"",IF(AND($D51&lt;=IF('Client &amp; Project Profile'!$B$10="",TODAY(),'Client &amp; Project Profile'!$B$10)+2*7+6,$E51&gt;=IF('Client &amp; Project Profile'!$B$10="",TODAY(),'Client &amp; Project Profile'!$B$10)+2*7),"■",""))</f>
        <v/>
      </c>
      <c r="P51">
        <f>IF(OR($D51="",$E51=""),"",IF(AND($D51&lt;=IF('Client &amp; Project Profile'!$B$10="",TODAY(),'Client &amp; Project Profile'!$B$10)+3*7+6,$E51&gt;=IF('Client &amp; Project Profile'!$B$10="",TODAY(),'Client &amp; Project Profile'!$B$10)+3*7),"■",""))</f>
        <v/>
      </c>
      <c r="Q51">
        <f>IF(OR($D51="",$E51=""),"",IF(AND($D51&lt;=IF('Client &amp; Project Profile'!$B$10="",TODAY(),'Client &amp; Project Profile'!$B$10)+4*7+6,$E51&gt;=IF('Client &amp; Project Profile'!$B$10="",TODAY(),'Client &amp; Project Profile'!$B$10)+4*7),"■",""))</f>
        <v/>
      </c>
      <c r="R51">
        <f>IF(OR($D51="",$E51=""),"",IF(AND($D51&lt;=IF('Client &amp; Project Profile'!$B$10="",TODAY(),'Client &amp; Project Profile'!$B$10)+5*7+6,$E51&gt;=IF('Client &amp; Project Profile'!$B$10="",TODAY(),'Client &amp; Project Profile'!$B$10)+5*7),"■",""))</f>
        <v/>
      </c>
      <c r="S51">
        <f>IF(OR($D51="",$E51=""),"",IF(AND($D51&lt;=IF('Client &amp; Project Profile'!$B$10="",TODAY(),'Client &amp; Project Profile'!$B$10)+6*7+6,$E51&gt;=IF('Client &amp; Project Profile'!$B$10="",TODAY(),'Client &amp; Project Profile'!$B$10)+6*7),"■",""))</f>
        <v/>
      </c>
      <c r="T51">
        <f>IF(OR($D51="",$E51=""),"",IF(AND($D51&lt;=IF('Client &amp; Project Profile'!$B$10="",TODAY(),'Client &amp; Project Profile'!$B$10)+7*7+6,$E51&gt;=IF('Client &amp; Project Profile'!$B$10="",TODAY(),'Client &amp; Project Profile'!$B$10)+7*7),"■",""))</f>
        <v/>
      </c>
      <c r="U51">
        <f>IF(OR($D51="",$E51=""),"",IF(AND($D51&lt;=IF('Client &amp; Project Profile'!$B$10="",TODAY(),'Client &amp; Project Profile'!$B$10)+8*7+6,$E51&gt;=IF('Client &amp; Project Profile'!$B$10="",TODAY(),'Client &amp; Project Profile'!$B$10)+8*7),"■",""))</f>
        <v/>
      </c>
      <c r="V51">
        <f>IF(OR($D51="",$E51=""),"",IF(AND($D51&lt;=IF('Client &amp; Project Profile'!$B$10="",TODAY(),'Client &amp; Project Profile'!$B$10)+9*7+6,$E51&gt;=IF('Client &amp; Project Profile'!$B$10="",TODAY(),'Client &amp; Project Profile'!$B$10)+9*7),"■",""))</f>
        <v/>
      </c>
      <c r="W51">
        <f>IF(OR($D51="",$E51=""),"",IF(AND($D51&lt;=IF('Client &amp; Project Profile'!$B$10="",TODAY(),'Client &amp; Project Profile'!$B$10)+10*7+6,$E51&gt;=IF('Client &amp; Project Profile'!$B$10="",TODAY(),'Client &amp; Project Profile'!$B$10)+10*7),"■",""))</f>
        <v/>
      </c>
      <c r="X51">
        <f>IF(OR($D51="",$E51=""),"",IF(AND($D51&lt;=IF('Client &amp; Project Profile'!$B$10="",TODAY(),'Client &amp; Project Profile'!$B$10)+11*7+6,$E51&gt;=IF('Client &amp; Project Profile'!$B$10="",TODAY(),'Client &amp; Project Profile'!$B$10)+11*7),"■",""))</f>
        <v/>
      </c>
    </row>
    <row r="52">
      <c r="A52" s="12" t="n"/>
      <c r="B52" s="12" t="n"/>
      <c r="C52" s="12" t="n"/>
      <c r="D52" s="14" t="n"/>
      <c r="E52" s="14" t="n"/>
      <c r="F52" s="14" t="n"/>
      <c r="G52" s="12" t="n"/>
      <c r="H52" s="12" t="n"/>
      <c r="I52" s="12" t="n"/>
      <c r="J52" s="12" t="n"/>
      <c r="K52" s="12">
        <f>IF(OR($D52="",$E52=""),"",$E52-$D52+1)</f>
        <v/>
      </c>
      <c r="L52" s="12">
        <f>IF(AND($E52&lt;TODAY(),$G52&lt;&gt;"Complete"),TODAY()-$E52,0)</f>
        <v/>
      </c>
      <c r="M52" s="12">
        <f>IF(OR($D52="",$E52=""),"",IF(AND($D52&lt;=IF('Client &amp; Project Profile'!$B$10="",TODAY(),'Client &amp; Project Profile'!$B$10)+0*7+6,$E52&gt;=IF('Client &amp; Project Profile'!$B$10="",TODAY(),'Client &amp; Project Profile'!$B$10)+0*7),"■",""))</f>
        <v/>
      </c>
      <c r="N52" s="12">
        <f>IF(OR($D52="",$E52=""),"",IF(AND($D52&lt;=IF('Client &amp; Project Profile'!$B$10="",TODAY(),'Client &amp; Project Profile'!$B$10)+1*7+6,$E52&gt;=IF('Client &amp; Project Profile'!$B$10="",TODAY(),'Client &amp; Project Profile'!$B$10)+1*7),"■",""))</f>
        <v/>
      </c>
      <c r="O52" s="12">
        <f>IF(OR($D52="",$E52=""),"",IF(AND($D52&lt;=IF('Client &amp; Project Profile'!$B$10="",TODAY(),'Client &amp; Project Profile'!$B$10)+2*7+6,$E52&gt;=IF('Client &amp; Project Profile'!$B$10="",TODAY(),'Client &amp; Project Profile'!$B$10)+2*7),"■",""))</f>
        <v/>
      </c>
      <c r="P52" s="12">
        <f>IF(OR($D52="",$E52=""),"",IF(AND($D52&lt;=IF('Client &amp; Project Profile'!$B$10="",TODAY(),'Client &amp; Project Profile'!$B$10)+3*7+6,$E52&gt;=IF('Client &amp; Project Profile'!$B$10="",TODAY(),'Client &amp; Project Profile'!$B$10)+3*7),"■",""))</f>
        <v/>
      </c>
      <c r="Q52" s="12">
        <f>IF(OR($D52="",$E52=""),"",IF(AND($D52&lt;=IF('Client &amp; Project Profile'!$B$10="",TODAY(),'Client &amp; Project Profile'!$B$10)+4*7+6,$E52&gt;=IF('Client &amp; Project Profile'!$B$10="",TODAY(),'Client &amp; Project Profile'!$B$10)+4*7),"■",""))</f>
        <v/>
      </c>
      <c r="R52" s="12">
        <f>IF(OR($D52="",$E52=""),"",IF(AND($D52&lt;=IF('Client &amp; Project Profile'!$B$10="",TODAY(),'Client &amp; Project Profile'!$B$10)+5*7+6,$E52&gt;=IF('Client &amp; Project Profile'!$B$10="",TODAY(),'Client &amp; Project Profile'!$B$10)+5*7),"■",""))</f>
        <v/>
      </c>
      <c r="S52" s="12">
        <f>IF(OR($D52="",$E52=""),"",IF(AND($D52&lt;=IF('Client &amp; Project Profile'!$B$10="",TODAY(),'Client &amp; Project Profile'!$B$10)+6*7+6,$E52&gt;=IF('Client &amp; Project Profile'!$B$10="",TODAY(),'Client &amp; Project Profile'!$B$10)+6*7),"■",""))</f>
        <v/>
      </c>
      <c r="T52" s="12">
        <f>IF(OR($D52="",$E52=""),"",IF(AND($D52&lt;=IF('Client &amp; Project Profile'!$B$10="",TODAY(),'Client &amp; Project Profile'!$B$10)+7*7+6,$E52&gt;=IF('Client &amp; Project Profile'!$B$10="",TODAY(),'Client &amp; Project Profile'!$B$10)+7*7),"■",""))</f>
        <v/>
      </c>
      <c r="U52" s="12">
        <f>IF(OR($D52="",$E52=""),"",IF(AND($D52&lt;=IF('Client &amp; Project Profile'!$B$10="",TODAY(),'Client &amp; Project Profile'!$B$10)+8*7+6,$E52&gt;=IF('Client &amp; Project Profile'!$B$10="",TODAY(),'Client &amp; Project Profile'!$B$10)+8*7),"■",""))</f>
        <v/>
      </c>
      <c r="V52" s="12">
        <f>IF(OR($D52="",$E52=""),"",IF(AND($D52&lt;=IF('Client &amp; Project Profile'!$B$10="",TODAY(),'Client &amp; Project Profile'!$B$10)+9*7+6,$E52&gt;=IF('Client &amp; Project Profile'!$B$10="",TODAY(),'Client &amp; Project Profile'!$B$10)+9*7),"■",""))</f>
        <v/>
      </c>
      <c r="W52" s="12">
        <f>IF(OR($D52="",$E52=""),"",IF(AND($D52&lt;=IF('Client &amp; Project Profile'!$B$10="",TODAY(),'Client &amp; Project Profile'!$B$10)+10*7+6,$E52&gt;=IF('Client &amp; Project Profile'!$B$10="",TODAY(),'Client &amp; Project Profile'!$B$10)+10*7),"■",""))</f>
        <v/>
      </c>
      <c r="X52" s="12">
        <f>IF(OR($D52="",$E52=""),"",IF(AND($D52&lt;=IF('Client &amp; Project Profile'!$B$10="",TODAY(),'Client &amp; Project Profile'!$B$10)+11*7+6,$E52&gt;=IF('Client &amp; Project Profile'!$B$10="",TODAY(),'Client &amp; Project Profile'!$B$10)+11*7),"■",""))</f>
        <v/>
      </c>
    </row>
    <row r="53">
      <c r="D53" s="9" t="n"/>
      <c r="E53" s="9" t="n"/>
      <c r="F53" s="9" t="n"/>
      <c r="K53">
        <f>IF(OR($D53="",$E53=""),"",$E53-$D53+1)</f>
        <v/>
      </c>
      <c r="L53">
        <f>IF(AND($E53&lt;TODAY(),$G53&lt;&gt;"Complete"),TODAY()-$E53,0)</f>
        <v/>
      </c>
      <c r="M53">
        <f>IF(OR($D53="",$E53=""),"",IF(AND($D53&lt;=IF('Client &amp; Project Profile'!$B$10="",TODAY(),'Client &amp; Project Profile'!$B$10)+0*7+6,$E53&gt;=IF('Client &amp; Project Profile'!$B$10="",TODAY(),'Client &amp; Project Profile'!$B$10)+0*7),"■",""))</f>
        <v/>
      </c>
      <c r="N53">
        <f>IF(OR($D53="",$E53=""),"",IF(AND($D53&lt;=IF('Client &amp; Project Profile'!$B$10="",TODAY(),'Client &amp; Project Profile'!$B$10)+1*7+6,$E53&gt;=IF('Client &amp; Project Profile'!$B$10="",TODAY(),'Client &amp; Project Profile'!$B$10)+1*7),"■",""))</f>
        <v/>
      </c>
      <c r="O53">
        <f>IF(OR($D53="",$E53=""),"",IF(AND($D53&lt;=IF('Client &amp; Project Profile'!$B$10="",TODAY(),'Client &amp; Project Profile'!$B$10)+2*7+6,$E53&gt;=IF('Client &amp; Project Profile'!$B$10="",TODAY(),'Client &amp; Project Profile'!$B$10)+2*7),"■",""))</f>
        <v/>
      </c>
      <c r="P53">
        <f>IF(OR($D53="",$E53=""),"",IF(AND($D53&lt;=IF('Client &amp; Project Profile'!$B$10="",TODAY(),'Client &amp; Project Profile'!$B$10)+3*7+6,$E53&gt;=IF('Client &amp; Project Profile'!$B$10="",TODAY(),'Client &amp; Project Profile'!$B$10)+3*7),"■",""))</f>
        <v/>
      </c>
      <c r="Q53">
        <f>IF(OR($D53="",$E53=""),"",IF(AND($D53&lt;=IF('Client &amp; Project Profile'!$B$10="",TODAY(),'Client &amp; Project Profile'!$B$10)+4*7+6,$E53&gt;=IF('Client &amp; Project Profile'!$B$10="",TODAY(),'Client &amp; Project Profile'!$B$10)+4*7),"■",""))</f>
        <v/>
      </c>
      <c r="R53">
        <f>IF(OR($D53="",$E53=""),"",IF(AND($D53&lt;=IF('Client &amp; Project Profile'!$B$10="",TODAY(),'Client &amp; Project Profile'!$B$10)+5*7+6,$E53&gt;=IF('Client &amp; Project Profile'!$B$10="",TODAY(),'Client &amp; Project Profile'!$B$10)+5*7),"■",""))</f>
        <v/>
      </c>
      <c r="S53">
        <f>IF(OR($D53="",$E53=""),"",IF(AND($D53&lt;=IF('Client &amp; Project Profile'!$B$10="",TODAY(),'Client &amp; Project Profile'!$B$10)+6*7+6,$E53&gt;=IF('Client &amp; Project Profile'!$B$10="",TODAY(),'Client &amp; Project Profile'!$B$10)+6*7),"■",""))</f>
        <v/>
      </c>
      <c r="T53">
        <f>IF(OR($D53="",$E53=""),"",IF(AND($D53&lt;=IF('Client &amp; Project Profile'!$B$10="",TODAY(),'Client &amp; Project Profile'!$B$10)+7*7+6,$E53&gt;=IF('Client &amp; Project Profile'!$B$10="",TODAY(),'Client &amp; Project Profile'!$B$10)+7*7),"■",""))</f>
        <v/>
      </c>
      <c r="U53">
        <f>IF(OR($D53="",$E53=""),"",IF(AND($D53&lt;=IF('Client &amp; Project Profile'!$B$10="",TODAY(),'Client &amp; Project Profile'!$B$10)+8*7+6,$E53&gt;=IF('Client &amp; Project Profile'!$B$10="",TODAY(),'Client &amp; Project Profile'!$B$10)+8*7),"■",""))</f>
        <v/>
      </c>
      <c r="V53">
        <f>IF(OR($D53="",$E53=""),"",IF(AND($D53&lt;=IF('Client &amp; Project Profile'!$B$10="",TODAY(),'Client &amp; Project Profile'!$B$10)+9*7+6,$E53&gt;=IF('Client &amp; Project Profile'!$B$10="",TODAY(),'Client &amp; Project Profile'!$B$10)+9*7),"■",""))</f>
        <v/>
      </c>
      <c r="W53">
        <f>IF(OR($D53="",$E53=""),"",IF(AND($D53&lt;=IF('Client &amp; Project Profile'!$B$10="",TODAY(),'Client &amp; Project Profile'!$B$10)+10*7+6,$E53&gt;=IF('Client &amp; Project Profile'!$B$10="",TODAY(),'Client &amp; Project Profile'!$B$10)+10*7),"■",""))</f>
        <v/>
      </c>
      <c r="X53">
        <f>IF(OR($D53="",$E53=""),"",IF(AND($D53&lt;=IF('Client &amp; Project Profile'!$B$10="",TODAY(),'Client &amp; Project Profile'!$B$10)+11*7+6,$E53&gt;=IF('Client &amp; Project Profile'!$B$10="",TODAY(),'Client &amp; Project Profile'!$B$10)+11*7),"■",""))</f>
        <v/>
      </c>
    </row>
    <row r="54">
      <c r="A54" s="12" t="n"/>
      <c r="B54" s="12" t="n"/>
      <c r="C54" s="12" t="n"/>
      <c r="D54" s="14" t="n"/>
      <c r="E54" s="14" t="n"/>
      <c r="F54" s="14" t="n"/>
      <c r="G54" s="12" t="n"/>
      <c r="H54" s="12" t="n"/>
      <c r="I54" s="12" t="n"/>
      <c r="J54" s="12" t="n"/>
      <c r="K54" s="12">
        <f>IF(OR($D54="",$E54=""),"",$E54-$D54+1)</f>
        <v/>
      </c>
      <c r="L54" s="12">
        <f>IF(AND($E54&lt;TODAY(),$G54&lt;&gt;"Complete"),TODAY()-$E54,0)</f>
        <v/>
      </c>
      <c r="M54" s="12">
        <f>IF(OR($D54="",$E54=""),"",IF(AND($D54&lt;=IF('Client &amp; Project Profile'!$B$10="",TODAY(),'Client &amp; Project Profile'!$B$10)+0*7+6,$E54&gt;=IF('Client &amp; Project Profile'!$B$10="",TODAY(),'Client &amp; Project Profile'!$B$10)+0*7),"■",""))</f>
        <v/>
      </c>
      <c r="N54" s="12">
        <f>IF(OR($D54="",$E54=""),"",IF(AND($D54&lt;=IF('Client &amp; Project Profile'!$B$10="",TODAY(),'Client &amp; Project Profile'!$B$10)+1*7+6,$E54&gt;=IF('Client &amp; Project Profile'!$B$10="",TODAY(),'Client &amp; Project Profile'!$B$10)+1*7),"■",""))</f>
        <v/>
      </c>
      <c r="O54" s="12">
        <f>IF(OR($D54="",$E54=""),"",IF(AND($D54&lt;=IF('Client &amp; Project Profile'!$B$10="",TODAY(),'Client &amp; Project Profile'!$B$10)+2*7+6,$E54&gt;=IF('Client &amp; Project Profile'!$B$10="",TODAY(),'Client &amp; Project Profile'!$B$10)+2*7),"■",""))</f>
        <v/>
      </c>
      <c r="P54" s="12">
        <f>IF(OR($D54="",$E54=""),"",IF(AND($D54&lt;=IF('Client &amp; Project Profile'!$B$10="",TODAY(),'Client &amp; Project Profile'!$B$10)+3*7+6,$E54&gt;=IF('Client &amp; Project Profile'!$B$10="",TODAY(),'Client &amp; Project Profile'!$B$10)+3*7),"■",""))</f>
        <v/>
      </c>
      <c r="Q54" s="12">
        <f>IF(OR($D54="",$E54=""),"",IF(AND($D54&lt;=IF('Client &amp; Project Profile'!$B$10="",TODAY(),'Client &amp; Project Profile'!$B$10)+4*7+6,$E54&gt;=IF('Client &amp; Project Profile'!$B$10="",TODAY(),'Client &amp; Project Profile'!$B$10)+4*7),"■",""))</f>
        <v/>
      </c>
      <c r="R54" s="12">
        <f>IF(OR($D54="",$E54=""),"",IF(AND($D54&lt;=IF('Client &amp; Project Profile'!$B$10="",TODAY(),'Client &amp; Project Profile'!$B$10)+5*7+6,$E54&gt;=IF('Client &amp; Project Profile'!$B$10="",TODAY(),'Client &amp; Project Profile'!$B$10)+5*7),"■",""))</f>
        <v/>
      </c>
      <c r="S54" s="12">
        <f>IF(OR($D54="",$E54=""),"",IF(AND($D54&lt;=IF('Client &amp; Project Profile'!$B$10="",TODAY(),'Client &amp; Project Profile'!$B$10)+6*7+6,$E54&gt;=IF('Client &amp; Project Profile'!$B$10="",TODAY(),'Client &amp; Project Profile'!$B$10)+6*7),"■",""))</f>
        <v/>
      </c>
      <c r="T54" s="12">
        <f>IF(OR($D54="",$E54=""),"",IF(AND($D54&lt;=IF('Client &amp; Project Profile'!$B$10="",TODAY(),'Client &amp; Project Profile'!$B$10)+7*7+6,$E54&gt;=IF('Client &amp; Project Profile'!$B$10="",TODAY(),'Client &amp; Project Profile'!$B$10)+7*7),"■",""))</f>
        <v/>
      </c>
      <c r="U54" s="12">
        <f>IF(OR($D54="",$E54=""),"",IF(AND($D54&lt;=IF('Client &amp; Project Profile'!$B$10="",TODAY(),'Client &amp; Project Profile'!$B$10)+8*7+6,$E54&gt;=IF('Client &amp; Project Profile'!$B$10="",TODAY(),'Client &amp; Project Profile'!$B$10)+8*7),"■",""))</f>
        <v/>
      </c>
      <c r="V54" s="12">
        <f>IF(OR($D54="",$E54=""),"",IF(AND($D54&lt;=IF('Client &amp; Project Profile'!$B$10="",TODAY(),'Client &amp; Project Profile'!$B$10)+9*7+6,$E54&gt;=IF('Client &amp; Project Profile'!$B$10="",TODAY(),'Client &amp; Project Profile'!$B$10)+9*7),"■",""))</f>
        <v/>
      </c>
      <c r="W54" s="12">
        <f>IF(OR($D54="",$E54=""),"",IF(AND($D54&lt;=IF('Client &amp; Project Profile'!$B$10="",TODAY(),'Client &amp; Project Profile'!$B$10)+10*7+6,$E54&gt;=IF('Client &amp; Project Profile'!$B$10="",TODAY(),'Client &amp; Project Profile'!$B$10)+10*7),"■",""))</f>
        <v/>
      </c>
      <c r="X54" s="12">
        <f>IF(OR($D54="",$E54=""),"",IF(AND($D54&lt;=IF('Client &amp; Project Profile'!$B$10="",TODAY(),'Client &amp; Project Profile'!$B$10)+11*7+6,$E54&gt;=IF('Client &amp; Project Profile'!$B$10="",TODAY(),'Client &amp; Project Profile'!$B$10)+11*7),"■",""))</f>
        <v/>
      </c>
    </row>
    <row r="55">
      <c r="D55" s="9" t="n"/>
      <c r="E55" s="9" t="n"/>
      <c r="F55" s="9" t="n"/>
      <c r="K55">
        <f>IF(OR($D55="",$E55=""),"",$E55-$D55+1)</f>
        <v/>
      </c>
      <c r="L55">
        <f>IF(AND($E55&lt;TODAY(),$G55&lt;&gt;"Complete"),TODAY()-$E55,0)</f>
        <v/>
      </c>
      <c r="M55">
        <f>IF(OR($D55="",$E55=""),"",IF(AND($D55&lt;=IF('Client &amp; Project Profile'!$B$10="",TODAY(),'Client &amp; Project Profile'!$B$10)+0*7+6,$E55&gt;=IF('Client &amp; Project Profile'!$B$10="",TODAY(),'Client &amp; Project Profile'!$B$10)+0*7),"■",""))</f>
        <v/>
      </c>
      <c r="N55">
        <f>IF(OR($D55="",$E55=""),"",IF(AND($D55&lt;=IF('Client &amp; Project Profile'!$B$10="",TODAY(),'Client &amp; Project Profile'!$B$10)+1*7+6,$E55&gt;=IF('Client &amp; Project Profile'!$B$10="",TODAY(),'Client &amp; Project Profile'!$B$10)+1*7),"■",""))</f>
        <v/>
      </c>
      <c r="O55">
        <f>IF(OR($D55="",$E55=""),"",IF(AND($D55&lt;=IF('Client &amp; Project Profile'!$B$10="",TODAY(),'Client &amp; Project Profile'!$B$10)+2*7+6,$E55&gt;=IF('Client &amp; Project Profile'!$B$10="",TODAY(),'Client &amp; Project Profile'!$B$10)+2*7),"■",""))</f>
        <v/>
      </c>
      <c r="P55">
        <f>IF(OR($D55="",$E55=""),"",IF(AND($D55&lt;=IF('Client &amp; Project Profile'!$B$10="",TODAY(),'Client &amp; Project Profile'!$B$10)+3*7+6,$E55&gt;=IF('Client &amp; Project Profile'!$B$10="",TODAY(),'Client &amp; Project Profile'!$B$10)+3*7),"■",""))</f>
        <v/>
      </c>
      <c r="Q55">
        <f>IF(OR($D55="",$E55=""),"",IF(AND($D55&lt;=IF('Client &amp; Project Profile'!$B$10="",TODAY(),'Client &amp; Project Profile'!$B$10)+4*7+6,$E55&gt;=IF('Client &amp; Project Profile'!$B$10="",TODAY(),'Client &amp; Project Profile'!$B$10)+4*7),"■",""))</f>
        <v/>
      </c>
      <c r="R55">
        <f>IF(OR($D55="",$E55=""),"",IF(AND($D55&lt;=IF('Client &amp; Project Profile'!$B$10="",TODAY(),'Client &amp; Project Profile'!$B$10)+5*7+6,$E55&gt;=IF('Client &amp; Project Profile'!$B$10="",TODAY(),'Client &amp; Project Profile'!$B$10)+5*7),"■",""))</f>
        <v/>
      </c>
      <c r="S55">
        <f>IF(OR($D55="",$E55=""),"",IF(AND($D55&lt;=IF('Client &amp; Project Profile'!$B$10="",TODAY(),'Client &amp; Project Profile'!$B$10)+6*7+6,$E55&gt;=IF('Client &amp; Project Profile'!$B$10="",TODAY(),'Client &amp; Project Profile'!$B$10)+6*7),"■",""))</f>
        <v/>
      </c>
      <c r="T55">
        <f>IF(OR($D55="",$E55=""),"",IF(AND($D55&lt;=IF('Client &amp; Project Profile'!$B$10="",TODAY(),'Client &amp; Project Profile'!$B$10)+7*7+6,$E55&gt;=IF('Client &amp; Project Profile'!$B$10="",TODAY(),'Client &amp; Project Profile'!$B$10)+7*7),"■",""))</f>
        <v/>
      </c>
      <c r="U55">
        <f>IF(OR($D55="",$E55=""),"",IF(AND($D55&lt;=IF('Client &amp; Project Profile'!$B$10="",TODAY(),'Client &amp; Project Profile'!$B$10)+8*7+6,$E55&gt;=IF('Client &amp; Project Profile'!$B$10="",TODAY(),'Client &amp; Project Profile'!$B$10)+8*7),"■",""))</f>
        <v/>
      </c>
      <c r="V55">
        <f>IF(OR($D55="",$E55=""),"",IF(AND($D55&lt;=IF('Client &amp; Project Profile'!$B$10="",TODAY(),'Client &amp; Project Profile'!$B$10)+9*7+6,$E55&gt;=IF('Client &amp; Project Profile'!$B$10="",TODAY(),'Client &amp; Project Profile'!$B$10)+9*7),"■",""))</f>
        <v/>
      </c>
      <c r="W55">
        <f>IF(OR($D55="",$E55=""),"",IF(AND($D55&lt;=IF('Client &amp; Project Profile'!$B$10="",TODAY(),'Client &amp; Project Profile'!$B$10)+10*7+6,$E55&gt;=IF('Client &amp; Project Profile'!$B$10="",TODAY(),'Client &amp; Project Profile'!$B$10)+10*7),"■",""))</f>
        <v/>
      </c>
      <c r="X55">
        <f>IF(OR($D55="",$E55=""),"",IF(AND($D55&lt;=IF('Client &amp; Project Profile'!$B$10="",TODAY(),'Client &amp; Project Profile'!$B$10)+11*7+6,$E55&gt;=IF('Client &amp; Project Profile'!$B$10="",TODAY(),'Client &amp; Project Profile'!$B$10)+11*7),"■",""))</f>
        <v/>
      </c>
    </row>
    <row r="56">
      <c r="A56" s="12" t="n"/>
      <c r="B56" s="12" t="n"/>
      <c r="C56" s="12" t="n"/>
      <c r="D56" s="14" t="n"/>
      <c r="E56" s="14" t="n"/>
      <c r="F56" s="14" t="n"/>
      <c r="G56" s="12" t="n"/>
      <c r="H56" s="12" t="n"/>
      <c r="I56" s="12" t="n"/>
      <c r="J56" s="12" t="n"/>
      <c r="K56" s="12">
        <f>IF(OR($D56="",$E56=""),"",$E56-$D56+1)</f>
        <v/>
      </c>
      <c r="L56" s="12">
        <f>IF(AND($E56&lt;TODAY(),$G56&lt;&gt;"Complete"),TODAY()-$E56,0)</f>
        <v/>
      </c>
      <c r="M56" s="12">
        <f>IF(OR($D56="",$E56=""),"",IF(AND($D56&lt;=IF('Client &amp; Project Profile'!$B$10="",TODAY(),'Client &amp; Project Profile'!$B$10)+0*7+6,$E56&gt;=IF('Client &amp; Project Profile'!$B$10="",TODAY(),'Client &amp; Project Profile'!$B$10)+0*7),"■",""))</f>
        <v/>
      </c>
      <c r="N56" s="12">
        <f>IF(OR($D56="",$E56=""),"",IF(AND($D56&lt;=IF('Client &amp; Project Profile'!$B$10="",TODAY(),'Client &amp; Project Profile'!$B$10)+1*7+6,$E56&gt;=IF('Client &amp; Project Profile'!$B$10="",TODAY(),'Client &amp; Project Profile'!$B$10)+1*7),"■",""))</f>
        <v/>
      </c>
      <c r="O56" s="12">
        <f>IF(OR($D56="",$E56=""),"",IF(AND($D56&lt;=IF('Client &amp; Project Profile'!$B$10="",TODAY(),'Client &amp; Project Profile'!$B$10)+2*7+6,$E56&gt;=IF('Client &amp; Project Profile'!$B$10="",TODAY(),'Client &amp; Project Profile'!$B$10)+2*7),"■",""))</f>
        <v/>
      </c>
      <c r="P56" s="12">
        <f>IF(OR($D56="",$E56=""),"",IF(AND($D56&lt;=IF('Client &amp; Project Profile'!$B$10="",TODAY(),'Client &amp; Project Profile'!$B$10)+3*7+6,$E56&gt;=IF('Client &amp; Project Profile'!$B$10="",TODAY(),'Client &amp; Project Profile'!$B$10)+3*7),"■",""))</f>
        <v/>
      </c>
      <c r="Q56" s="12">
        <f>IF(OR($D56="",$E56=""),"",IF(AND($D56&lt;=IF('Client &amp; Project Profile'!$B$10="",TODAY(),'Client &amp; Project Profile'!$B$10)+4*7+6,$E56&gt;=IF('Client &amp; Project Profile'!$B$10="",TODAY(),'Client &amp; Project Profile'!$B$10)+4*7),"■",""))</f>
        <v/>
      </c>
      <c r="R56" s="12">
        <f>IF(OR($D56="",$E56=""),"",IF(AND($D56&lt;=IF('Client &amp; Project Profile'!$B$10="",TODAY(),'Client &amp; Project Profile'!$B$10)+5*7+6,$E56&gt;=IF('Client &amp; Project Profile'!$B$10="",TODAY(),'Client &amp; Project Profile'!$B$10)+5*7),"■",""))</f>
        <v/>
      </c>
      <c r="S56" s="12">
        <f>IF(OR($D56="",$E56=""),"",IF(AND($D56&lt;=IF('Client &amp; Project Profile'!$B$10="",TODAY(),'Client &amp; Project Profile'!$B$10)+6*7+6,$E56&gt;=IF('Client &amp; Project Profile'!$B$10="",TODAY(),'Client &amp; Project Profile'!$B$10)+6*7),"■",""))</f>
        <v/>
      </c>
      <c r="T56" s="12">
        <f>IF(OR($D56="",$E56=""),"",IF(AND($D56&lt;=IF('Client &amp; Project Profile'!$B$10="",TODAY(),'Client &amp; Project Profile'!$B$10)+7*7+6,$E56&gt;=IF('Client &amp; Project Profile'!$B$10="",TODAY(),'Client &amp; Project Profile'!$B$10)+7*7),"■",""))</f>
        <v/>
      </c>
      <c r="U56" s="12">
        <f>IF(OR($D56="",$E56=""),"",IF(AND($D56&lt;=IF('Client &amp; Project Profile'!$B$10="",TODAY(),'Client &amp; Project Profile'!$B$10)+8*7+6,$E56&gt;=IF('Client &amp; Project Profile'!$B$10="",TODAY(),'Client &amp; Project Profile'!$B$10)+8*7),"■",""))</f>
        <v/>
      </c>
      <c r="V56" s="12">
        <f>IF(OR($D56="",$E56=""),"",IF(AND($D56&lt;=IF('Client &amp; Project Profile'!$B$10="",TODAY(),'Client &amp; Project Profile'!$B$10)+9*7+6,$E56&gt;=IF('Client &amp; Project Profile'!$B$10="",TODAY(),'Client &amp; Project Profile'!$B$10)+9*7),"■",""))</f>
        <v/>
      </c>
      <c r="W56" s="12">
        <f>IF(OR($D56="",$E56=""),"",IF(AND($D56&lt;=IF('Client &amp; Project Profile'!$B$10="",TODAY(),'Client &amp; Project Profile'!$B$10)+10*7+6,$E56&gt;=IF('Client &amp; Project Profile'!$B$10="",TODAY(),'Client &amp; Project Profile'!$B$10)+10*7),"■",""))</f>
        <v/>
      </c>
      <c r="X56" s="12">
        <f>IF(OR($D56="",$E56=""),"",IF(AND($D56&lt;=IF('Client &amp; Project Profile'!$B$10="",TODAY(),'Client &amp; Project Profile'!$B$10)+11*7+6,$E56&gt;=IF('Client &amp; Project Profile'!$B$10="",TODAY(),'Client &amp; Project Profile'!$B$10)+11*7),"■",""))</f>
        <v/>
      </c>
    </row>
    <row r="57">
      <c r="D57" s="9" t="n"/>
      <c r="E57" s="9" t="n"/>
      <c r="F57" s="9" t="n"/>
      <c r="K57">
        <f>IF(OR($D57="",$E57=""),"",$E57-$D57+1)</f>
        <v/>
      </c>
      <c r="L57">
        <f>IF(AND($E57&lt;TODAY(),$G57&lt;&gt;"Complete"),TODAY()-$E57,0)</f>
        <v/>
      </c>
      <c r="M57">
        <f>IF(OR($D57="",$E57=""),"",IF(AND($D57&lt;=IF('Client &amp; Project Profile'!$B$10="",TODAY(),'Client &amp; Project Profile'!$B$10)+0*7+6,$E57&gt;=IF('Client &amp; Project Profile'!$B$10="",TODAY(),'Client &amp; Project Profile'!$B$10)+0*7),"■",""))</f>
        <v/>
      </c>
      <c r="N57">
        <f>IF(OR($D57="",$E57=""),"",IF(AND($D57&lt;=IF('Client &amp; Project Profile'!$B$10="",TODAY(),'Client &amp; Project Profile'!$B$10)+1*7+6,$E57&gt;=IF('Client &amp; Project Profile'!$B$10="",TODAY(),'Client &amp; Project Profile'!$B$10)+1*7),"■",""))</f>
        <v/>
      </c>
      <c r="O57">
        <f>IF(OR($D57="",$E57=""),"",IF(AND($D57&lt;=IF('Client &amp; Project Profile'!$B$10="",TODAY(),'Client &amp; Project Profile'!$B$10)+2*7+6,$E57&gt;=IF('Client &amp; Project Profile'!$B$10="",TODAY(),'Client &amp; Project Profile'!$B$10)+2*7),"■",""))</f>
        <v/>
      </c>
      <c r="P57">
        <f>IF(OR($D57="",$E57=""),"",IF(AND($D57&lt;=IF('Client &amp; Project Profile'!$B$10="",TODAY(),'Client &amp; Project Profile'!$B$10)+3*7+6,$E57&gt;=IF('Client &amp; Project Profile'!$B$10="",TODAY(),'Client &amp; Project Profile'!$B$10)+3*7),"■",""))</f>
        <v/>
      </c>
      <c r="Q57">
        <f>IF(OR($D57="",$E57=""),"",IF(AND($D57&lt;=IF('Client &amp; Project Profile'!$B$10="",TODAY(),'Client &amp; Project Profile'!$B$10)+4*7+6,$E57&gt;=IF('Client &amp; Project Profile'!$B$10="",TODAY(),'Client &amp; Project Profile'!$B$10)+4*7),"■",""))</f>
        <v/>
      </c>
      <c r="R57">
        <f>IF(OR($D57="",$E57=""),"",IF(AND($D57&lt;=IF('Client &amp; Project Profile'!$B$10="",TODAY(),'Client &amp; Project Profile'!$B$10)+5*7+6,$E57&gt;=IF('Client &amp; Project Profile'!$B$10="",TODAY(),'Client &amp; Project Profile'!$B$10)+5*7),"■",""))</f>
        <v/>
      </c>
      <c r="S57">
        <f>IF(OR($D57="",$E57=""),"",IF(AND($D57&lt;=IF('Client &amp; Project Profile'!$B$10="",TODAY(),'Client &amp; Project Profile'!$B$10)+6*7+6,$E57&gt;=IF('Client &amp; Project Profile'!$B$10="",TODAY(),'Client &amp; Project Profile'!$B$10)+6*7),"■",""))</f>
        <v/>
      </c>
      <c r="T57">
        <f>IF(OR($D57="",$E57=""),"",IF(AND($D57&lt;=IF('Client &amp; Project Profile'!$B$10="",TODAY(),'Client &amp; Project Profile'!$B$10)+7*7+6,$E57&gt;=IF('Client &amp; Project Profile'!$B$10="",TODAY(),'Client &amp; Project Profile'!$B$10)+7*7),"■",""))</f>
        <v/>
      </c>
      <c r="U57">
        <f>IF(OR($D57="",$E57=""),"",IF(AND($D57&lt;=IF('Client &amp; Project Profile'!$B$10="",TODAY(),'Client &amp; Project Profile'!$B$10)+8*7+6,$E57&gt;=IF('Client &amp; Project Profile'!$B$10="",TODAY(),'Client &amp; Project Profile'!$B$10)+8*7),"■",""))</f>
        <v/>
      </c>
      <c r="V57">
        <f>IF(OR($D57="",$E57=""),"",IF(AND($D57&lt;=IF('Client &amp; Project Profile'!$B$10="",TODAY(),'Client &amp; Project Profile'!$B$10)+9*7+6,$E57&gt;=IF('Client &amp; Project Profile'!$B$10="",TODAY(),'Client &amp; Project Profile'!$B$10)+9*7),"■",""))</f>
        <v/>
      </c>
      <c r="W57">
        <f>IF(OR($D57="",$E57=""),"",IF(AND($D57&lt;=IF('Client &amp; Project Profile'!$B$10="",TODAY(),'Client &amp; Project Profile'!$B$10)+10*7+6,$E57&gt;=IF('Client &amp; Project Profile'!$B$10="",TODAY(),'Client &amp; Project Profile'!$B$10)+10*7),"■",""))</f>
        <v/>
      </c>
      <c r="X57">
        <f>IF(OR($D57="",$E57=""),"",IF(AND($D57&lt;=IF('Client &amp; Project Profile'!$B$10="",TODAY(),'Client &amp; Project Profile'!$B$10)+11*7+6,$E57&gt;=IF('Client &amp; Project Profile'!$B$10="",TODAY(),'Client &amp; Project Profile'!$B$10)+11*7),"■",""))</f>
        <v/>
      </c>
    </row>
    <row r="58">
      <c r="A58" s="12" t="n"/>
      <c r="B58" s="12" t="n"/>
      <c r="C58" s="12" t="n"/>
      <c r="D58" s="14" t="n"/>
      <c r="E58" s="14" t="n"/>
      <c r="F58" s="14" t="n"/>
      <c r="G58" s="12" t="n"/>
      <c r="H58" s="12" t="n"/>
      <c r="I58" s="12" t="n"/>
      <c r="J58" s="12" t="n"/>
      <c r="K58" s="12">
        <f>IF(OR($D58="",$E58=""),"",$E58-$D58+1)</f>
        <v/>
      </c>
      <c r="L58" s="12">
        <f>IF(AND($E58&lt;TODAY(),$G58&lt;&gt;"Complete"),TODAY()-$E58,0)</f>
        <v/>
      </c>
      <c r="M58" s="12">
        <f>IF(OR($D58="",$E58=""),"",IF(AND($D58&lt;=IF('Client &amp; Project Profile'!$B$10="",TODAY(),'Client &amp; Project Profile'!$B$10)+0*7+6,$E58&gt;=IF('Client &amp; Project Profile'!$B$10="",TODAY(),'Client &amp; Project Profile'!$B$10)+0*7),"■",""))</f>
        <v/>
      </c>
      <c r="N58" s="12">
        <f>IF(OR($D58="",$E58=""),"",IF(AND($D58&lt;=IF('Client &amp; Project Profile'!$B$10="",TODAY(),'Client &amp; Project Profile'!$B$10)+1*7+6,$E58&gt;=IF('Client &amp; Project Profile'!$B$10="",TODAY(),'Client &amp; Project Profile'!$B$10)+1*7),"■",""))</f>
        <v/>
      </c>
      <c r="O58" s="12">
        <f>IF(OR($D58="",$E58=""),"",IF(AND($D58&lt;=IF('Client &amp; Project Profile'!$B$10="",TODAY(),'Client &amp; Project Profile'!$B$10)+2*7+6,$E58&gt;=IF('Client &amp; Project Profile'!$B$10="",TODAY(),'Client &amp; Project Profile'!$B$10)+2*7),"■",""))</f>
        <v/>
      </c>
      <c r="P58" s="12">
        <f>IF(OR($D58="",$E58=""),"",IF(AND($D58&lt;=IF('Client &amp; Project Profile'!$B$10="",TODAY(),'Client &amp; Project Profile'!$B$10)+3*7+6,$E58&gt;=IF('Client &amp; Project Profile'!$B$10="",TODAY(),'Client &amp; Project Profile'!$B$10)+3*7),"■",""))</f>
        <v/>
      </c>
      <c r="Q58" s="12">
        <f>IF(OR($D58="",$E58=""),"",IF(AND($D58&lt;=IF('Client &amp; Project Profile'!$B$10="",TODAY(),'Client &amp; Project Profile'!$B$10)+4*7+6,$E58&gt;=IF('Client &amp; Project Profile'!$B$10="",TODAY(),'Client &amp; Project Profile'!$B$10)+4*7),"■",""))</f>
        <v/>
      </c>
      <c r="R58" s="12">
        <f>IF(OR($D58="",$E58=""),"",IF(AND($D58&lt;=IF('Client &amp; Project Profile'!$B$10="",TODAY(),'Client &amp; Project Profile'!$B$10)+5*7+6,$E58&gt;=IF('Client &amp; Project Profile'!$B$10="",TODAY(),'Client &amp; Project Profile'!$B$10)+5*7),"■",""))</f>
        <v/>
      </c>
      <c r="S58" s="12">
        <f>IF(OR($D58="",$E58=""),"",IF(AND($D58&lt;=IF('Client &amp; Project Profile'!$B$10="",TODAY(),'Client &amp; Project Profile'!$B$10)+6*7+6,$E58&gt;=IF('Client &amp; Project Profile'!$B$10="",TODAY(),'Client &amp; Project Profile'!$B$10)+6*7),"■",""))</f>
        <v/>
      </c>
      <c r="T58" s="12">
        <f>IF(OR($D58="",$E58=""),"",IF(AND($D58&lt;=IF('Client &amp; Project Profile'!$B$10="",TODAY(),'Client &amp; Project Profile'!$B$10)+7*7+6,$E58&gt;=IF('Client &amp; Project Profile'!$B$10="",TODAY(),'Client &amp; Project Profile'!$B$10)+7*7),"■",""))</f>
        <v/>
      </c>
      <c r="U58" s="12">
        <f>IF(OR($D58="",$E58=""),"",IF(AND($D58&lt;=IF('Client &amp; Project Profile'!$B$10="",TODAY(),'Client &amp; Project Profile'!$B$10)+8*7+6,$E58&gt;=IF('Client &amp; Project Profile'!$B$10="",TODAY(),'Client &amp; Project Profile'!$B$10)+8*7),"■",""))</f>
        <v/>
      </c>
      <c r="V58" s="12">
        <f>IF(OR($D58="",$E58=""),"",IF(AND($D58&lt;=IF('Client &amp; Project Profile'!$B$10="",TODAY(),'Client &amp; Project Profile'!$B$10)+9*7+6,$E58&gt;=IF('Client &amp; Project Profile'!$B$10="",TODAY(),'Client &amp; Project Profile'!$B$10)+9*7),"■",""))</f>
        <v/>
      </c>
      <c r="W58" s="12">
        <f>IF(OR($D58="",$E58=""),"",IF(AND($D58&lt;=IF('Client &amp; Project Profile'!$B$10="",TODAY(),'Client &amp; Project Profile'!$B$10)+10*7+6,$E58&gt;=IF('Client &amp; Project Profile'!$B$10="",TODAY(),'Client &amp; Project Profile'!$B$10)+10*7),"■",""))</f>
        <v/>
      </c>
      <c r="X58" s="12">
        <f>IF(OR($D58="",$E58=""),"",IF(AND($D58&lt;=IF('Client &amp; Project Profile'!$B$10="",TODAY(),'Client &amp; Project Profile'!$B$10)+11*7+6,$E58&gt;=IF('Client &amp; Project Profile'!$B$10="",TODAY(),'Client &amp; Project Profile'!$B$10)+11*7),"■",""))</f>
        <v/>
      </c>
    </row>
    <row r="59">
      <c r="D59" s="9" t="n"/>
      <c r="E59" s="9" t="n"/>
      <c r="F59" s="9" t="n"/>
      <c r="K59">
        <f>IF(OR($D59="",$E59=""),"",$E59-$D59+1)</f>
        <v/>
      </c>
      <c r="L59">
        <f>IF(AND($E59&lt;TODAY(),$G59&lt;&gt;"Complete"),TODAY()-$E59,0)</f>
        <v/>
      </c>
      <c r="M59">
        <f>IF(OR($D59="",$E59=""),"",IF(AND($D59&lt;=IF('Client &amp; Project Profile'!$B$10="",TODAY(),'Client &amp; Project Profile'!$B$10)+0*7+6,$E59&gt;=IF('Client &amp; Project Profile'!$B$10="",TODAY(),'Client &amp; Project Profile'!$B$10)+0*7),"■",""))</f>
        <v/>
      </c>
      <c r="N59">
        <f>IF(OR($D59="",$E59=""),"",IF(AND($D59&lt;=IF('Client &amp; Project Profile'!$B$10="",TODAY(),'Client &amp; Project Profile'!$B$10)+1*7+6,$E59&gt;=IF('Client &amp; Project Profile'!$B$10="",TODAY(),'Client &amp; Project Profile'!$B$10)+1*7),"■",""))</f>
        <v/>
      </c>
      <c r="O59">
        <f>IF(OR($D59="",$E59=""),"",IF(AND($D59&lt;=IF('Client &amp; Project Profile'!$B$10="",TODAY(),'Client &amp; Project Profile'!$B$10)+2*7+6,$E59&gt;=IF('Client &amp; Project Profile'!$B$10="",TODAY(),'Client &amp; Project Profile'!$B$10)+2*7),"■",""))</f>
        <v/>
      </c>
      <c r="P59">
        <f>IF(OR($D59="",$E59=""),"",IF(AND($D59&lt;=IF('Client &amp; Project Profile'!$B$10="",TODAY(),'Client &amp; Project Profile'!$B$10)+3*7+6,$E59&gt;=IF('Client &amp; Project Profile'!$B$10="",TODAY(),'Client &amp; Project Profile'!$B$10)+3*7),"■",""))</f>
        <v/>
      </c>
      <c r="Q59">
        <f>IF(OR($D59="",$E59=""),"",IF(AND($D59&lt;=IF('Client &amp; Project Profile'!$B$10="",TODAY(),'Client &amp; Project Profile'!$B$10)+4*7+6,$E59&gt;=IF('Client &amp; Project Profile'!$B$10="",TODAY(),'Client &amp; Project Profile'!$B$10)+4*7),"■",""))</f>
        <v/>
      </c>
      <c r="R59">
        <f>IF(OR($D59="",$E59=""),"",IF(AND($D59&lt;=IF('Client &amp; Project Profile'!$B$10="",TODAY(),'Client &amp; Project Profile'!$B$10)+5*7+6,$E59&gt;=IF('Client &amp; Project Profile'!$B$10="",TODAY(),'Client &amp; Project Profile'!$B$10)+5*7),"■",""))</f>
        <v/>
      </c>
      <c r="S59">
        <f>IF(OR($D59="",$E59=""),"",IF(AND($D59&lt;=IF('Client &amp; Project Profile'!$B$10="",TODAY(),'Client &amp; Project Profile'!$B$10)+6*7+6,$E59&gt;=IF('Client &amp; Project Profile'!$B$10="",TODAY(),'Client &amp; Project Profile'!$B$10)+6*7),"■",""))</f>
        <v/>
      </c>
      <c r="T59">
        <f>IF(OR($D59="",$E59=""),"",IF(AND($D59&lt;=IF('Client &amp; Project Profile'!$B$10="",TODAY(),'Client &amp; Project Profile'!$B$10)+7*7+6,$E59&gt;=IF('Client &amp; Project Profile'!$B$10="",TODAY(),'Client &amp; Project Profile'!$B$10)+7*7),"■",""))</f>
        <v/>
      </c>
      <c r="U59">
        <f>IF(OR($D59="",$E59=""),"",IF(AND($D59&lt;=IF('Client &amp; Project Profile'!$B$10="",TODAY(),'Client &amp; Project Profile'!$B$10)+8*7+6,$E59&gt;=IF('Client &amp; Project Profile'!$B$10="",TODAY(),'Client &amp; Project Profile'!$B$10)+8*7),"■",""))</f>
        <v/>
      </c>
      <c r="V59">
        <f>IF(OR($D59="",$E59=""),"",IF(AND($D59&lt;=IF('Client &amp; Project Profile'!$B$10="",TODAY(),'Client &amp; Project Profile'!$B$10)+9*7+6,$E59&gt;=IF('Client &amp; Project Profile'!$B$10="",TODAY(),'Client &amp; Project Profile'!$B$10)+9*7),"■",""))</f>
        <v/>
      </c>
      <c r="W59">
        <f>IF(OR($D59="",$E59=""),"",IF(AND($D59&lt;=IF('Client &amp; Project Profile'!$B$10="",TODAY(),'Client &amp; Project Profile'!$B$10)+10*7+6,$E59&gt;=IF('Client &amp; Project Profile'!$B$10="",TODAY(),'Client &amp; Project Profile'!$B$10)+10*7),"■",""))</f>
        <v/>
      </c>
      <c r="X59">
        <f>IF(OR($D59="",$E59=""),"",IF(AND($D59&lt;=IF('Client &amp; Project Profile'!$B$10="",TODAY(),'Client &amp; Project Profile'!$B$10)+11*7+6,$E59&gt;=IF('Client &amp; Project Profile'!$B$10="",TODAY(),'Client &amp; Project Profile'!$B$10)+11*7),"■",""))</f>
        <v/>
      </c>
    </row>
    <row r="60">
      <c r="A60" s="12" t="n"/>
      <c r="B60" s="12" t="n"/>
      <c r="C60" s="12" t="n"/>
      <c r="D60" s="14" t="n"/>
      <c r="E60" s="14" t="n"/>
      <c r="F60" s="14" t="n"/>
      <c r="G60" s="12" t="n"/>
      <c r="H60" s="12" t="n"/>
      <c r="I60" s="12" t="n"/>
      <c r="J60" s="12" t="n"/>
      <c r="K60" s="12">
        <f>IF(OR($D60="",$E60=""),"",$E60-$D60+1)</f>
        <v/>
      </c>
      <c r="L60" s="12">
        <f>IF(AND($E60&lt;TODAY(),$G60&lt;&gt;"Complete"),TODAY()-$E60,0)</f>
        <v/>
      </c>
      <c r="M60" s="12">
        <f>IF(OR($D60="",$E60=""),"",IF(AND($D60&lt;=IF('Client &amp; Project Profile'!$B$10="",TODAY(),'Client &amp; Project Profile'!$B$10)+0*7+6,$E60&gt;=IF('Client &amp; Project Profile'!$B$10="",TODAY(),'Client &amp; Project Profile'!$B$10)+0*7),"■",""))</f>
        <v/>
      </c>
      <c r="N60" s="12">
        <f>IF(OR($D60="",$E60=""),"",IF(AND($D60&lt;=IF('Client &amp; Project Profile'!$B$10="",TODAY(),'Client &amp; Project Profile'!$B$10)+1*7+6,$E60&gt;=IF('Client &amp; Project Profile'!$B$10="",TODAY(),'Client &amp; Project Profile'!$B$10)+1*7),"■",""))</f>
        <v/>
      </c>
      <c r="O60" s="12">
        <f>IF(OR($D60="",$E60=""),"",IF(AND($D60&lt;=IF('Client &amp; Project Profile'!$B$10="",TODAY(),'Client &amp; Project Profile'!$B$10)+2*7+6,$E60&gt;=IF('Client &amp; Project Profile'!$B$10="",TODAY(),'Client &amp; Project Profile'!$B$10)+2*7),"■",""))</f>
        <v/>
      </c>
      <c r="P60" s="12">
        <f>IF(OR($D60="",$E60=""),"",IF(AND($D60&lt;=IF('Client &amp; Project Profile'!$B$10="",TODAY(),'Client &amp; Project Profile'!$B$10)+3*7+6,$E60&gt;=IF('Client &amp; Project Profile'!$B$10="",TODAY(),'Client &amp; Project Profile'!$B$10)+3*7),"■",""))</f>
        <v/>
      </c>
      <c r="Q60" s="12">
        <f>IF(OR($D60="",$E60=""),"",IF(AND($D60&lt;=IF('Client &amp; Project Profile'!$B$10="",TODAY(),'Client &amp; Project Profile'!$B$10)+4*7+6,$E60&gt;=IF('Client &amp; Project Profile'!$B$10="",TODAY(),'Client &amp; Project Profile'!$B$10)+4*7),"■",""))</f>
        <v/>
      </c>
      <c r="R60" s="12">
        <f>IF(OR($D60="",$E60=""),"",IF(AND($D60&lt;=IF('Client &amp; Project Profile'!$B$10="",TODAY(),'Client &amp; Project Profile'!$B$10)+5*7+6,$E60&gt;=IF('Client &amp; Project Profile'!$B$10="",TODAY(),'Client &amp; Project Profile'!$B$10)+5*7),"■",""))</f>
        <v/>
      </c>
      <c r="S60" s="12">
        <f>IF(OR($D60="",$E60=""),"",IF(AND($D60&lt;=IF('Client &amp; Project Profile'!$B$10="",TODAY(),'Client &amp; Project Profile'!$B$10)+6*7+6,$E60&gt;=IF('Client &amp; Project Profile'!$B$10="",TODAY(),'Client &amp; Project Profile'!$B$10)+6*7),"■",""))</f>
        <v/>
      </c>
      <c r="T60" s="12">
        <f>IF(OR($D60="",$E60=""),"",IF(AND($D60&lt;=IF('Client &amp; Project Profile'!$B$10="",TODAY(),'Client &amp; Project Profile'!$B$10)+7*7+6,$E60&gt;=IF('Client &amp; Project Profile'!$B$10="",TODAY(),'Client &amp; Project Profile'!$B$10)+7*7),"■",""))</f>
        <v/>
      </c>
      <c r="U60" s="12">
        <f>IF(OR($D60="",$E60=""),"",IF(AND($D60&lt;=IF('Client &amp; Project Profile'!$B$10="",TODAY(),'Client &amp; Project Profile'!$B$10)+8*7+6,$E60&gt;=IF('Client &amp; Project Profile'!$B$10="",TODAY(),'Client &amp; Project Profile'!$B$10)+8*7),"■",""))</f>
        <v/>
      </c>
      <c r="V60" s="12">
        <f>IF(OR($D60="",$E60=""),"",IF(AND($D60&lt;=IF('Client &amp; Project Profile'!$B$10="",TODAY(),'Client &amp; Project Profile'!$B$10)+9*7+6,$E60&gt;=IF('Client &amp; Project Profile'!$B$10="",TODAY(),'Client &amp; Project Profile'!$B$10)+9*7),"■",""))</f>
        <v/>
      </c>
      <c r="W60" s="12">
        <f>IF(OR($D60="",$E60=""),"",IF(AND($D60&lt;=IF('Client &amp; Project Profile'!$B$10="",TODAY(),'Client &amp; Project Profile'!$B$10)+10*7+6,$E60&gt;=IF('Client &amp; Project Profile'!$B$10="",TODAY(),'Client &amp; Project Profile'!$B$10)+10*7),"■",""))</f>
        <v/>
      </c>
      <c r="X60" s="12">
        <f>IF(OR($D60="",$E60=""),"",IF(AND($D60&lt;=IF('Client &amp; Project Profile'!$B$10="",TODAY(),'Client &amp; Project Profile'!$B$10)+11*7+6,$E60&gt;=IF('Client &amp; Project Profile'!$B$10="",TODAY(),'Client &amp; Project Profile'!$B$10)+11*7),"■",""))</f>
        <v/>
      </c>
    </row>
    <row r="61">
      <c r="D61" s="9" t="n"/>
      <c r="E61" s="9" t="n"/>
      <c r="F61" s="9" t="n"/>
      <c r="K61">
        <f>IF(OR($D61="",$E61=""),"",$E61-$D61+1)</f>
        <v/>
      </c>
      <c r="L61">
        <f>IF(AND($E61&lt;TODAY(),$G61&lt;&gt;"Complete"),TODAY()-$E61,0)</f>
        <v/>
      </c>
      <c r="M61">
        <f>IF(OR($D61="",$E61=""),"",IF(AND($D61&lt;=IF('Client &amp; Project Profile'!$B$10="",TODAY(),'Client &amp; Project Profile'!$B$10)+0*7+6,$E61&gt;=IF('Client &amp; Project Profile'!$B$10="",TODAY(),'Client &amp; Project Profile'!$B$10)+0*7),"■",""))</f>
        <v/>
      </c>
      <c r="N61">
        <f>IF(OR($D61="",$E61=""),"",IF(AND($D61&lt;=IF('Client &amp; Project Profile'!$B$10="",TODAY(),'Client &amp; Project Profile'!$B$10)+1*7+6,$E61&gt;=IF('Client &amp; Project Profile'!$B$10="",TODAY(),'Client &amp; Project Profile'!$B$10)+1*7),"■",""))</f>
        <v/>
      </c>
      <c r="O61">
        <f>IF(OR($D61="",$E61=""),"",IF(AND($D61&lt;=IF('Client &amp; Project Profile'!$B$10="",TODAY(),'Client &amp; Project Profile'!$B$10)+2*7+6,$E61&gt;=IF('Client &amp; Project Profile'!$B$10="",TODAY(),'Client &amp; Project Profile'!$B$10)+2*7),"■",""))</f>
        <v/>
      </c>
      <c r="P61">
        <f>IF(OR($D61="",$E61=""),"",IF(AND($D61&lt;=IF('Client &amp; Project Profile'!$B$10="",TODAY(),'Client &amp; Project Profile'!$B$10)+3*7+6,$E61&gt;=IF('Client &amp; Project Profile'!$B$10="",TODAY(),'Client &amp; Project Profile'!$B$10)+3*7),"■",""))</f>
        <v/>
      </c>
      <c r="Q61">
        <f>IF(OR($D61="",$E61=""),"",IF(AND($D61&lt;=IF('Client &amp; Project Profile'!$B$10="",TODAY(),'Client &amp; Project Profile'!$B$10)+4*7+6,$E61&gt;=IF('Client &amp; Project Profile'!$B$10="",TODAY(),'Client &amp; Project Profile'!$B$10)+4*7),"■",""))</f>
        <v/>
      </c>
      <c r="R61">
        <f>IF(OR($D61="",$E61=""),"",IF(AND($D61&lt;=IF('Client &amp; Project Profile'!$B$10="",TODAY(),'Client &amp; Project Profile'!$B$10)+5*7+6,$E61&gt;=IF('Client &amp; Project Profile'!$B$10="",TODAY(),'Client &amp; Project Profile'!$B$10)+5*7),"■",""))</f>
        <v/>
      </c>
      <c r="S61">
        <f>IF(OR($D61="",$E61=""),"",IF(AND($D61&lt;=IF('Client &amp; Project Profile'!$B$10="",TODAY(),'Client &amp; Project Profile'!$B$10)+6*7+6,$E61&gt;=IF('Client &amp; Project Profile'!$B$10="",TODAY(),'Client &amp; Project Profile'!$B$10)+6*7),"■",""))</f>
        <v/>
      </c>
      <c r="T61">
        <f>IF(OR($D61="",$E61=""),"",IF(AND($D61&lt;=IF('Client &amp; Project Profile'!$B$10="",TODAY(),'Client &amp; Project Profile'!$B$10)+7*7+6,$E61&gt;=IF('Client &amp; Project Profile'!$B$10="",TODAY(),'Client &amp; Project Profile'!$B$10)+7*7),"■",""))</f>
        <v/>
      </c>
      <c r="U61">
        <f>IF(OR($D61="",$E61=""),"",IF(AND($D61&lt;=IF('Client &amp; Project Profile'!$B$10="",TODAY(),'Client &amp; Project Profile'!$B$10)+8*7+6,$E61&gt;=IF('Client &amp; Project Profile'!$B$10="",TODAY(),'Client &amp; Project Profile'!$B$10)+8*7),"■",""))</f>
        <v/>
      </c>
      <c r="V61">
        <f>IF(OR($D61="",$E61=""),"",IF(AND($D61&lt;=IF('Client &amp; Project Profile'!$B$10="",TODAY(),'Client &amp; Project Profile'!$B$10)+9*7+6,$E61&gt;=IF('Client &amp; Project Profile'!$B$10="",TODAY(),'Client &amp; Project Profile'!$B$10)+9*7),"■",""))</f>
        <v/>
      </c>
      <c r="W61">
        <f>IF(OR($D61="",$E61=""),"",IF(AND($D61&lt;=IF('Client &amp; Project Profile'!$B$10="",TODAY(),'Client &amp; Project Profile'!$B$10)+10*7+6,$E61&gt;=IF('Client &amp; Project Profile'!$B$10="",TODAY(),'Client &amp; Project Profile'!$B$10)+10*7),"■",""))</f>
        <v/>
      </c>
      <c r="X61">
        <f>IF(OR($D61="",$E61=""),"",IF(AND($D61&lt;=IF('Client &amp; Project Profile'!$B$10="",TODAY(),'Client &amp; Project Profile'!$B$10)+11*7+6,$E61&gt;=IF('Client &amp; Project Profile'!$B$10="",TODAY(),'Client &amp; Project Profile'!$B$10)+11*7),"■",""))</f>
        <v/>
      </c>
    </row>
    <row r="62">
      <c r="A62" s="12" t="n"/>
      <c r="B62" s="12" t="n"/>
      <c r="C62" s="12" t="n"/>
      <c r="D62" s="14" t="n"/>
      <c r="E62" s="14" t="n"/>
      <c r="F62" s="14" t="n"/>
      <c r="G62" s="12" t="n"/>
      <c r="H62" s="12" t="n"/>
      <c r="I62" s="12" t="n"/>
      <c r="J62" s="12" t="n"/>
      <c r="K62" s="12">
        <f>IF(OR($D62="",$E62=""),"",$E62-$D62+1)</f>
        <v/>
      </c>
      <c r="L62" s="12">
        <f>IF(AND($E62&lt;TODAY(),$G62&lt;&gt;"Complete"),TODAY()-$E62,0)</f>
        <v/>
      </c>
      <c r="M62" s="12">
        <f>IF(OR($D62="",$E62=""),"",IF(AND($D62&lt;=IF('Client &amp; Project Profile'!$B$10="",TODAY(),'Client &amp; Project Profile'!$B$10)+0*7+6,$E62&gt;=IF('Client &amp; Project Profile'!$B$10="",TODAY(),'Client &amp; Project Profile'!$B$10)+0*7),"■",""))</f>
        <v/>
      </c>
      <c r="N62" s="12">
        <f>IF(OR($D62="",$E62=""),"",IF(AND($D62&lt;=IF('Client &amp; Project Profile'!$B$10="",TODAY(),'Client &amp; Project Profile'!$B$10)+1*7+6,$E62&gt;=IF('Client &amp; Project Profile'!$B$10="",TODAY(),'Client &amp; Project Profile'!$B$10)+1*7),"■",""))</f>
        <v/>
      </c>
      <c r="O62" s="12">
        <f>IF(OR($D62="",$E62=""),"",IF(AND($D62&lt;=IF('Client &amp; Project Profile'!$B$10="",TODAY(),'Client &amp; Project Profile'!$B$10)+2*7+6,$E62&gt;=IF('Client &amp; Project Profile'!$B$10="",TODAY(),'Client &amp; Project Profile'!$B$10)+2*7),"■",""))</f>
        <v/>
      </c>
      <c r="P62" s="12">
        <f>IF(OR($D62="",$E62=""),"",IF(AND($D62&lt;=IF('Client &amp; Project Profile'!$B$10="",TODAY(),'Client &amp; Project Profile'!$B$10)+3*7+6,$E62&gt;=IF('Client &amp; Project Profile'!$B$10="",TODAY(),'Client &amp; Project Profile'!$B$10)+3*7),"■",""))</f>
        <v/>
      </c>
      <c r="Q62" s="12">
        <f>IF(OR($D62="",$E62=""),"",IF(AND($D62&lt;=IF('Client &amp; Project Profile'!$B$10="",TODAY(),'Client &amp; Project Profile'!$B$10)+4*7+6,$E62&gt;=IF('Client &amp; Project Profile'!$B$10="",TODAY(),'Client &amp; Project Profile'!$B$10)+4*7),"■",""))</f>
        <v/>
      </c>
      <c r="R62" s="12">
        <f>IF(OR($D62="",$E62=""),"",IF(AND($D62&lt;=IF('Client &amp; Project Profile'!$B$10="",TODAY(),'Client &amp; Project Profile'!$B$10)+5*7+6,$E62&gt;=IF('Client &amp; Project Profile'!$B$10="",TODAY(),'Client &amp; Project Profile'!$B$10)+5*7),"■",""))</f>
        <v/>
      </c>
      <c r="S62" s="12">
        <f>IF(OR($D62="",$E62=""),"",IF(AND($D62&lt;=IF('Client &amp; Project Profile'!$B$10="",TODAY(),'Client &amp; Project Profile'!$B$10)+6*7+6,$E62&gt;=IF('Client &amp; Project Profile'!$B$10="",TODAY(),'Client &amp; Project Profile'!$B$10)+6*7),"■",""))</f>
        <v/>
      </c>
      <c r="T62" s="12">
        <f>IF(OR($D62="",$E62=""),"",IF(AND($D62&lt;=IF('Client &amp; Project Profile'!$B$10="",TODAY(),'Client &amp; Project Profile'!$B$10)+7*7+6,$E62&gt;=IF('Client &amp; Project Profile'!$B$10="",TODAY(),'Client &amp; Project Profile'!$B$10)+7*7),"■",""))</f>
        <v/>
      </c>
      <c r="U62" s="12">
        <f>IF(OR($D62="",$E62=""),"",IF(AND($D62&lt;=IF('Client &amp; Project Profile'!$B$10="",TODAY(),'Client &amp; Project Profile'!$B$10)+8*7+6,$E62&gt;=IF('Client &amp; Project Profile'!$B$10="",TODAY(),'Client &amp; Project Profile'!$B$10)+8*7),"■",""))</f>
        <v/>
      </c>
      <c r="V62" s="12">
        <f>IF(OR($D62="",$E62=""),"",IF(AND($D62&lt;=IF('Client &amp; Project Profile'!$B$10="",TODAY(),'Client &amp; Project Profile'!$B$10)+9*7+6,$E62&gt;=IF('Client &amp; Project Profile'!$B$10="",TODAY(),'Client &amp; Project Profile'!$B$10)+9*7),"■",""))</f>
        <v/>
      </c>
      <c r="W62" s="12">
        <f>IF(OR($D62="",$E62=""),"",IF(AND($D62&lt;=IF('Client &amp; Project Profile'!$B$10="",TODAY(),'Client &amp; Project Profile'!$B$10)+10*7+6,$E62&gt;=IF('Client &amp; Project Profile'!$B$10="",TODAY(),'Client &amp; Project Profile'!$B$10)+10*7),"■",""))</f>
        <v/>
      </c>
      <c r="X62" s="12">
        <f>IF(OR($D62="",$E62=""),"",IF(AND($D62&lt;=IF('Client &amp; Project Profile'!$B$10="",TODAY(),'Client &amp; Project Profile'!$B$10)+11*7+6,$E62&gt;=IF('Client &amp; Project Profile'!$B$10="",TODAY(),'Client &amp; Project Profile'!$B$10)+11*7),"■",""))</f>
        <v/>
      </c>
    </row>
    <row r="63">
      <c r="D63" s="9" t="n"/>
      <c r="E63" s="9" t="n"/>
      <c r="F63" s="9" t="n"/>
      <c r="K63">
        <f>IF(OR($D63="",$E63=""),"",$E63-$D63+1)</f>
        <v/>
      </c>
      <c r="L63">
        <f>IF(AND($E63&lt;TODAY(),$G63&lt;&gt;"Complete"),TODAY()-$E63,0)</f>
        <v/>
      </c>
      <c r="M63">
        <f>IF(OR($D63="",$E63=""),"",IF(AND($D63&lt;=IF('Client &amp; Project Profile'!$B$10="",TODAY(),'Client &amp; Project Profile'!$B$10)+0*7+6,$E63&gt;=IF('Client &amp; Project Profile'!$B$10="",TODAY(),'Client &amp; Project Profile'!$B$10)+0*7),"■",""))</f>
        <v/>
      </c>
      <c r="N63">
        <f>IF(OR($D63="",$E63=""),"",IF(AND($D63&lt;=IF('Client &amp; Project Profile'!$B$10="",TODAY(),'Client &amp; Project Profile'!$B$10)+1*7+6,$E63&gt;=IF('Client &amp; Project Profile'!$B$10="",TODAY(),'Client &amp; Project Profile'!$B$10)+1*7),"■",""))</f>
        <v/>
      </c>
      <c r="O63">
        <f>IF(OR($D63="",$E63=""),"",IF(AND($D63&lt;=IF('Client &amp; Project Profile'!$B$10="",TODAY(),'Client &amp; Project Profile'!$B$10)+2*7+6,$E63&gt;=IF('Client &amp; Project Profile'!$B$10="",TODAY(),'Client &amp; Project Profile'!$B$10)+2*7),"■",""))</f>
        <v/>
      </c>
      <c r="P63">
        <f>IF(OR($D63="",$E63=""),"",IF(AND($D63&lt;=IF('Client &amp; Project Profile'!$B$10="",TODAY(),'Client &amp; Project Profile'!$B$10)+3*7+6,$E63&gt;=IF('Client &amp; Project Profile'!$B$10="",TODAY(),'Client &amp; Project Profile'!$B$10)+3*7),"■",""))</f>
        <v/>
      </c>
      <c r="Q63">
        <f>IF(OR($D63="",$E63=""),"",IF(AND($D63&lt;=IF('Client &amp; Project Profile'!$B$10="",TODAY(),'Client &amp; Project Profile'!$B$10)+4*7+6,$E63&gt;=IF('Client &amp; Project Profile'!$B$10="",TODAY(),'Client &amp; Project Profile'!$B$10)+4*7),"■",""))</f>
        <v/>
      </c>
      <c r="R63">
        <f>IF(OR($D63="",$E63=""),"",IF(AND($D63&lt;=IF('Client &amp; Project Profile'!$B$10="",TODAY(),'Client &amp; Project Profile'!$B$10)+5*7+6,$E63&gt;=IF('Client &amp; Project Profile'!$B$10="",TODAY(),'Client &amp; Project Profile'!$B$10)+5*7),"■",""))</f>
        <v/>
      </c>
      <c r="S63">
        <f>IF(OR($D63="",$E63=""),"",IF(AND($D63&lt;=IF('Client &amp; Project Profile'!$B$10="",TODAY(),'Client &amp; Project Profile'!$B$10)+6*7+6,$E63&gt;=IF('Client &amp; Project Profile'!$B$10="",TODAY(),'Client &amp; Project Profile'!$B$10)+6*7),"■",""))</f>
        <v/>
      </c>
      <c r="T63">
        <f>IF(OR($D63="",$E63=""),"",IF(AND($D63&lt;=IF('Client &amp; Project Profile'!$B$10="",TODAY(),'Client &amp; Project Profile'!$B$10)+7*7+6,$E63&gt;=IF('Client &amp; Project Profile'!$B$10="",TODAY(),'Client &amp; Project Profile'!$B$10)+7*7),"■",""))</f>
        <v/>
      </c>
      <c r="U63">
        <f>IF(OR($D63="",$E63=""),"",IF(AND($D63&lt;=IF('Client &amp; Project Profile'!$B$10="",TODAY(),'Client &amp; Project Profile'!$B$10)+8*7+6,$E63&gt;=IF('Client &amp; Project Profile'!$B$10="",TODAY(),'Client &amp; Project Profile'!$B$10)+8*7),"■",""))</f>
        <v/>
      </c>
      <c r="V63">
        <f>IF(OR($D63="",$E63=""),"",IF(AND($D63&lt;=IF('Client &amp; Project Profile'!$B$10="",TODAY(),'Client &amp; Project Profile'!$B$10)+9*7+6,$E63&gt;=IF('Client &amp; Project Profile'!$B$10="",TODAY(),'Client &amp; Project Profile'!$B$10)+9*7),"■",""))</f>
        <v/>
      </c>
      <c r="W63">
        <f>IF(OR($D63="",$E63=""),"",IF(AND($D63&lt;=IF('Client &amp; Project Profile'!$B$10="",TODAY(),'Client &amp; Project Profile'!$B$10)+10*7+6,$E63&gt;=IF('Client &amp; Project Profile'!$B$10="",TODAY(),'Client &amp; Project Profile'!$B$10)+10*7),"■",""))</f>
        <v/>
      </c>
      <c r="X63">
        <f>IF(OR($D63="",$E63=""),"",IF(AND($D63&lt;=IF('Client &amp; Project Profile'!$B$10="",TODAY(),'Client &amp; Project Profile'!$B$10)+11*7+6,$E63&gt;=IF('Client &amp; Project Profile'!$B$10="",TODAY(),'Client &amp; Project Profile'!$B$10)+11*7),"■",""))</f>
        <v/>
      </c>
    </row>
    <row r="64">
      <c r="A64" s="12" t="n"/>
      <c r="B64" s="12" t="n"/>
      <c r="C64" s="12" t="n"/>
      <c r="D64" s="14" t="n"/>
      <c r="E64" s="14" t="n"/>
      <c r="F64" s="14" t="n"/>
      <c r="G64" s="12" t="n"/>
      <c r="H64" s="12" t="n"/>
      <c r="I64" s="12" t="n"/>
      <c r="J64" s="12" t="n"/>
      <c r="K64" s="12">
        <f>IF(OR($D64="",$E64=""),"",$E64-$D64+1)</f>
        <v/>
      </c>
      <c r="L64" s="12">
        <f>IF(AND($E64&lt;TODAY(),$G64&lt;&gt;"Complete"),TODAY()-$E64,0)</f>
        <v/>
      </c>
      <c r="M64" s="12">
        <f>IF(OR($D64="",$E64=""),"",IF(AND($D64&lt;=IF('Client &amp; Project Profile'!$B$10="",TODAY(),'Client &amp; Project Profile'!$B$10)+0*7+6,$E64&gt;=IF('Client &amp; Project Profile'!$B$10="",TODAY(),'Client &amp; Project Profile'!$B$10)+0*7),"■",""))</f>
        <v/>
      </c>
      <c r="N64" s="12">
        <f>IF(OR($D64="",$E64=""),"",IF(AND($D64&lt;=IF('Client &amp; Project Profile'!$B$10="",TODAY(),'Client &amp; Project Profile'!$B$10)+1*7+6,$E64&gt;=IF('Client &amp; Project Profile'!$B$10="",TODAY(),'Client &amp; Project Profile'!$B$10)+1*7),"■",""))</f>
        <v/>
      </c>
      <c r="O64" s="12">
        <f>IF(OR($D64="",$E64=""),"",IF(AND($D64&lt;=IF('Client &amp; Project Profile'!$B$10="",TODAY(),'Client &amp; Project Profile'!$B$10)+2*7+6,$E64&gt;=IF('Client &amp; Project Profile'!$B$10="",TODAY(),'Client &amp; Project Profile'!$B$10)+2*7),"■",""))</f>
        <v/>
      </c>
      <c r="P64" s="12">
        <f>IF(OR($D64="",$E64=""),"",IF(AND($D64&lt;=IF('Client &amp; Project Profile'!$B$10="",TODAY(),'Client &amp; Project Profile'!$B$10)+3*7+6,$E64&gt;=IF('Client &amp; Project Profile'!$B$10="",TODAY(),'Client &amp; Project Profile'!$B$10)+3*7),"■",""))</f>
        <v/>
      </c>
      <c r="Q64" s="12">
        <f>IF(OR($D64="",$E64=""),"",IF(AND($D64&lt;=IF('Client &amp; Project Profile'!$B$10="",TODAY(),'Client &amp; Project Profile'!$B$10)+4*7+6,$E64&gt;=IF('Client &amp; Project Profile'!$B$10="",TODAY(),'Client &amp; Project Profile'!$B$10)+4*7),"■",""))</f>
        <v/>
      </c>
      <c r="R64" s="12">
        <f>IF(OR($D64="",$E64=""),"",IF(AND($D64&lt;=IF('Client &amp; Project Profile'!$B$10="",TODAY(),'Client &amp; Project Profile'!$B$10)+5*7+6,$E64&gt;=IF('Client &amp; Project Profile'!$B$10="",TODAY(),'Client &amp; Project Profile'!$B$10)+5*7),"■",""))</f>
        <v/>
      </c>
      <c r="S64" s="12">
        <f>IF(OR($D64="",$E64=""),"",IF(AND($D64&lt;=IF('Client &amp; Project Profile'!$B$10="",TODAY(),'Client &amp; Project Profile'!$B$10)+6*7+6,$E64&gt;=IF('Client &amp; Project Profile'!$B$10="",TODAY(),'Client &amp; Project Profile'!$B$10)+6*7),"■",""))</f>
        <v/>
      </c>
      <c r="T64" s="12">
        <f>IF(OR($D64="",$E64=""),"",IF(AND($D64&lt;=IF('Client &amp; Project Profile'!$B$10="",TODAY(),'Client &amp; Project Profile'!$B$10)+7*7+6,$E64&gt;=IF('Client &amp; Project Profile'!$B$10="",TODAY(),'Client &amp; Project Profile'!$B$10)+7*7),"■",""))</f>
        <v/>
      </c>
      <c r="U64" s="12">
        <f>IF(OR($D64="",$E64=""),"",IF(AND($D64&lt;=IF('Client &amp; Project Profile'!$B$10="",TODAY(),'Client &amp; Project Profile'!$B$10)+8*7+6,$E64&gt;=IF('Client &amp; Project Profile'!$B$10="",TODAY(),'Client &amp; Project Profile'!$B$10)+8*7),"■",""))</f>
        <v/>
      </c>
      <c r="V64" s="12">
        <f>IF(OR($D64="",$E64=""),"",IF(AND($D64&lt;=IF('Client &amp; Project Profile'!$B$10="",TODAY(),'Client &amp; Project Profile'!$B$10)+9*7+6,$E64&gt;=IF('Client &amp; Project Profile'!$B$10="",TODAY(),'Client &amp; Project Profile'!$B$10)+9*7),"■",""))</f>
        <v/>
      </c>
      <c r="W64" s="12">
        <f>IF(OR($D64="",$E64=""),"",IF(AND($D64&lt;=IF('Client &amp; Project Profile'!$B$10="",TODAY(),'Client &amp; Project Profile'!$B$10)+10*7+6,$E64&gt;=IF('Client &amp; Project Profile'!$B$10="",TODAY(),'Client &amp; Project Profile'!$B$10)+10*7),"■",""))</f>
        <v/>
      </c>
      <c r="X64" s="12">
        <f>IF(OR($D64="",$E64=""),"",IF(AND($D64&lt;=IF('Client &amp; Project Profile'!$B$10="",TODAY(),'Client &amp; Project Profile'!$B$10)+11*7+6,$E64&gt;=IF('Client &amp; Project Profile'!$B$10="",TODAY(),'Client &amp; Project Profile'!$B$10)+11*7),"■",""))</f>
        <v/>
      </c>
    </row>
    <row r="65">
      <c r="D65" s="9" t="n"/>
      <c r="E65" s="9" t="n"/>
      <c r="F65" s="9" t="n"/>
      <c r="K65">
        <f>IF(OR($D65="",$E65=""),"",$E65-$D65+1)</f>
        <v/>
      </c>
      <c r="L65">
        <f>IF(AND($E65&lt;TODAY(),$G65&lt;&gt;"Complete"),TODAY()-$E65,0)</f>
        <v/>
      </c>
      <c r="M65">
        <f>IF(OR($D65="",$E65=""),"",IF(AND($D65&lt;=IF('Client &amp; Project Profile'!$B$10="",TODAY(),'Client &amp; Project Profile'!$B$10)+0*7+6,$E65&gt;=IF('Client &amp; Project Profile'!$B$10="",TODAY(),'Client &amp; Project Profile'!$B$10)+0*7),"■",""))</f>
        <v/>
      </c>
      <c r="N65">
        <f>IF(OR($D65="",$E65=""),"",IF(AND($D65&lt;=IF('Client &amp; Project Profile'!$B$10="",TODAY(),'Client &amp; Project Profile'!$B$10)+1*7+6,$E65&gt;=IF('Client &amp; Project Profile'!$B$10="",TODAY(),'Client &amp; Project Profile'!$B$10)+1*7),"■",""))</f>
        <v/>
      </c>
      <c r="O65">
        <f>IF(OR($D65="",$E65=""),"",IF(AND($D65&lt;=IF('Client &amp; Project Profile'!$B$10="",TODAY(),'Client &amp; Project Profile'!$B$10)+2*7+6,$E65&gt;=IF('Client &amp; Project Profile'!$B$10="",TODAY(),'Client &amp; Project Profile'!$B$10)+2*7),"■",""))</f>
        <v/>
      </c>
      <c r="P65">
        <f>IF(OR($D65="",$E65=""),"",IF(AND($D65&lt;=IF('Client &amp; Project Profile'!$B$10="",TODAY(),'Client &amp; Project Profile'!$B$10)+3*7+6,$E65&gt;=IF('Client &amp; Project Profile'!$B$10="",TODAY(),'Client &amp; Project Profile'!$B$10)+3*7),"■",""))</f>
        <v/>
      </c>
      <c r="Q65">
        <f>IF(OR($D65="",$E65=""),"",IF(AND($D65&lt;=IF('Client &amp; Project Profile'!$B$10="",TODAY(),'Client &amp; Project Profile'!$B$10)+4*7+6,$E65&gt;=IF('Client &amp; Project Profile'!$B$10="",TODAY(),'Client &amp; Project Profile'!$B$10)+4*7),"■",""))</f>
        <v/>
      </c>
      <c r="R65">
        <f>IF(OR($D65="",$E65=""),"",IF(AND($D65&lt;=IF('Client &amp; Project Profile'!$B$10="",TODAY(),'Client &amp; Project Profile'!$B$10)+5*7+6,$E65&gt;=IF('Client &amp; Project Profile'!$B$10="",TODAY(),'Client &amp; Project Profile'!$B$10)+5*7),"■",""))</f>
        <v/>
      </c>
      <c r="S65">
        <f>IF(OR($D65="",$E65=""),"",IF(AND($D65&lt;=IF('Client &amp; Project Profile'!$B$10="",TODAY(),'Client &amp; Project Profile'!$B$10)+6*7+6,$E65&gt;=IF('Client &amp; Project Profile'!$B$10="",TODAY(),'Client &amp; Project Profile'!$B$10)+6*7),"■",""))</f>
        <v/>
      </c>
      <c r="T65">
        <f>IF(OR($D65="",$E65=""),"",IF(AND($D65&lt;=IF('Client &amp; Project Profile'!$B$10="",TODAY(),'Client &amp; Project Profile'!$B$10)+7*7+6,$E65&gt;=IF('Client &amp; Project Profile'!$B$10="",TODAY(),'Client &amp; Project Profile'!$B$10)+7*7),"■",""))</f>
        <v/>
      </c>
      <c r="U65">
        <f>IF(OR($D65="",$E65=""),"",IF(AND($D65&lt;=IF('Client &amp; Project Profile'!$B$10="",TODAY(),'Client &amp; Project Profile'!$B$10)+8*7+6,$E65&gt;=IF('Client &amp; Project Profile'!$B$10="",TODAY(),'Client &amp; Project Profile'!$B$10)+8*7),"■",""))</f>
        <v/>
      </c>
      <c r="V65">
        <f>IF(OR($D65="",$E65=""),"",IF(AND($D65&lt;=IF('Client &amp; Project Profile'!$B$10="",TODAY(),'Client &amp; Project Profile'!$B$10)+9*7+6,$E65&gt;=IF('Client &amp; Project Profile'!$B$10="",TODAY(),'Client &amp; Project Profile'!$B$10)+9*7),"■",""))</f>
        <v/>
      </c>
      <c r="W65">
        <f>IF(OR($D65="",$E65=""),"",IF(AND($D65&lt;=IF('Client &amp; Project Profile'!$B$10="",TODAY(),'Client &amp; Project Profile'!$B$10)+10*7+6,$E65&gt;=IF('Client &amp; Project Profile'!$B$10="",TODAY(),'Client &amp; Project Profile'!$B$10)+10*7),"■",""))</f>
        <v/>
      </c>
      <c r="X65">
        <f>IF(OR($D65="",$E65=""),"",IF(AND($D65&lt;=IF('Client &amp; Project Profile'!$B$10="",TODAY(),'Client &amp; Project Profile'!$B$10)+11*7+6,$E65&gt;=IF('Client &amp; Project Profile'!$B$10="",TODAY(),'Client &amp; Project Profile'!$B$10)+11*7),"■",""))</f>
        <v/>
      </c>
    </row>
    <row r="66">
      <c r="A66" s="12" t="n"/>
      <c r="B66" s="12" t="n"/>
      <c r="C66" s="12" t="n"/>
      <c r="D66" s="14" t="n"/>
      <c r="E66" s="14" t="n"/>
      <c r="F66" s="14" t="n"/>
      <c r="G66" s="12" t="n"/>
      <c r="H66" s="12" t="n"/>
      <c r="I66" s="12" t="n"/>
      <c r="J66" s="12" t="n"/>
      <c r="K66" s="12">
        <f>IF(OR($D66="",$E66=""),"",$E66-$D66+1)</f>
        <v/>
      </c>
      <c r="L66" s="12">
        <f>IF(AND($E66&lt;TODAY(),$G66&lt;&gt;"Complete"),TODAY()-$E66,0)</f>
        <v/>
      </c>
      <c r="M66" s="12">
        <f>IF(OR($D66="",$E66=""),"",IF(AND($D66&lt;=IF('Client &amp; Project Profile'!$B$10="",TODAY(),'Client &amp; Project Profile'!$B$10)+0*7+6,$E66&gt;=IF('Client &amp; Project Profile'!$B$10="",TODAY(),'Client &amp; Project Profile'!$B$10)+0*7),"■",""))</f>
        <v/>
      </c>
      <c r="N66" s="12">
        <f>IF(OR($D66="",$E66=""),"",IF(AND($D66&lt;=IF('Client &amp; Project Profile'!$B$10="",TODAY(),'Client &amp; Project Profile'!$B$10)+1*7+6,$E66&gt;=IF('Client &amp; Project Profile'!$B$10="",TODAY(),'Client &amp; Project Profile'!$B$10)+1*7),"■",""))</f>
        <v/>
      </c>
      <c r="O66" s="12">
        <f>IF(OR($D66="",$E66=""),"",IF(AND($D66&lt;=IF('Client &amp; Project Profile'!$B$10="",TODAY(),'Client &amp; Project Profile'!$B$10)+2*7+6,$E66&gt;=IF('Client &amp; Project Profile'!$B$10="",TODAY(),'Client &amp; Project Profile'!$B$10)+2*7),"■",""))</f>
        <v/>
      </c>
      <c r="P66" s="12">
        <f>IF(OR($D66="",$E66=""),"",IF(AND($D66&lt;=IF('Client &amp; Project Profile'!$B$10="",TODAY(),'Client &amp; Project Profile'!$B$10)+3*7+6,$E66&gt;=IF('Client &amp; Project Profile'!$B$10="",TODAY(),'Client &amp; Project Profile'!$B$10)+3*7),"■",""))</f>
        <v/>
      </c>
      <c r="Q66" s="12">
        <f>IF(OR($D66="",$E66=""),"",IF(AND($D66&lt;=IF('Client &amp; Project Profile'!$B$10="",TODAY(),'Client &amp; Project Profile'!$B$10)+4*7+6,$E66&gt;=IF('Client &amp; Project Profile'!$B$10="",TODAY(),'Client &amp; Project Profile'!$B$10)+4*7),"■",""))</f>
        <v/>
      </c>
      <c r="R66" s="12">
        <f>IF(OR($D66="",$E66=""),"",IF(AND($D66&lt;=IF('Client &amp; Project Profile'!$B$10="",TODAY(),'Client &amp; Project Profile'!$B$10)+5*7+6,$E66&gt;=IF('Client &amp; Project Profile'!$B$10="",TODAY(),'Client &amp; Project Profile'!$B$10)+5*7),"■",""))</f>
        <v/>
      </c>
      <c r="S66" s="12">
        <f>IF(OR($D66="",$E66=""),"",IF(AND($D66&lt;=IF('Client &amp; Project Profile'!$B$10="",TODAY(),'Client &amp; Project Profile'!$B$10)+6*7+6,$E66&gt;=IF('Client &amp; Project Profile'!$B$10="",TODAY(),'Client &amp; Project Profile'!$B$10)+6*7),"■",""))</f>
        <v/>
      </c>
      <c r="T66" s="12">
        <f>IF(OR($D66="",$E66=""),"",IF(AND($D66&lt;=IF('Client &amp; Project Profile'!$B$10="",TODAY(),'Client &amp; Project Profile'!$B$10)+7*7+6,$E66&gt;=IF('Client &amp; Project Profile'!$B$10="",TODAY(),'Client &amp; Project Profile'!$B$10)+7*7),"■",""))</f>
        <v/>
      </c>
      <c r="U66" s="12">
        <f>IF(OR($D66="",$E66=""),"",IF(AND($D66&lt;=IF('Client &amp; Project Profile'!$B$10="",TODAY(),'Client &amp; Project Profile'!$B$10)+8*7+6,$E66&gt;=IF('Client &amp; Project Profile'!$B$10="",TODAY(),'Client &amp; Project Profile'!$B$10)+8*7),"■",""))</f>
        <v/>
      </c>
      <c r="V66" s="12">
        <f>IF(OR($D66="",$E66=""),"",IF(AND($D66&lt;=IF('Client &amp; Project Profile'!$B$10="",TODAY(),'Client &amp; Project Profile'!$B$10)+9*7+6,$E66&gt;=IF('Client &amp; Project Profile'!$B$10="",TODAY(),'Client &amp; Project Profile'!$B$10)+9*7),"■",""))</f>
        <v/>
      </c>
      <c r="W66" s="12">
        <f>IF(OR($D66="",$E66=""),"",IF(AND($D66&lt;=IF('Client &amp; Project Profile'!$B$10="",TODAY(),'Client &amp; Project Profile'!$B$10)+10*7+6,$E66&gt;=IF('Client &amp; Project Profile'!$B$10="",TODAY(),'Client &amp; Project Profile'!$B$10)+10*7),"■",""))</f>
        <v/>
      </c>
      <c r="X66" s="12">
        <f>IF(OR($D66="",$E66=""),"",IF(AND($D66&lt;=IF('Client &amp; Project Profile'!$B$10="",TODAY(),'Client &amp; Project Profile'!$B$10)+11*7+6,$E66&gt;=IF('Client &amp; Project Profile'!$B$10="",TODAY(),'Client &amp; Project Profile'!$B$10)+11*7),"■",""))</f>
        <v/>
      </c>
    </row>
    <row r="67">
      <c r="D67" s="9" t="n"/>
      <c r="E67" s="9" t="n"/>
      <c r="F67" s="9" t="n"/>
      <c r="K67">
        <f>IF(OR($D67="",$E67=""),"",$E67-$D67+1)</f>
        <v/>
      </c>
      <c r="L67">
        <f>IF(AND($E67&lt;TODAY(),$G67&lt;&gt;"Complete"),TODAY()-$E67,0)</f>
        <v/>
      </c>
      <c r="M67">
        <f>IF(OR($D67="",$E67=""),"",IF(AND($D67&lt;=IF('Client &amp; Project Profile'!$B$10="",TODAY(),'Client &amp; Project Profile'!$B$10)+0*7+6,$E67&gt;=IF('Client &amp; Project Profile'!$B$10="",TODAY(),'Client &amp; Project Profile'!$B$10)+0*7),"■",""))</f>
        <v/>
      </c>
      <c r="N67">
        <f>IF(OR($D67="",$E67=""),"",IF(AND($D67&lt;=IF('Client &amp; Project Profile'!$B$10="",TODAY(),'Client &amp; Project Profile'!$B$10)+1*7+6,$E67&gt;=IF('Client &amp; Project Profile'!$B$10="",TODAY(),'Client &amp; Project Profile'!$B$10)+1*7),"■",""))</f>
        <v/>
      </c>
      <c r="O67">
        <f>IF(OR($D67="",$E67=""),"",IF(AND($D67&lt;=IF('Client &amp; Project Profile'!$B$10="",TODAY(),'Client &amp; Project Profile'!$B$10)+2*7+6,$E67&gt;=IF('Client &amp; Project Profile'!$B$10="",TODAY(),'Client &amp; Project Profile'!$B$10)+2*7),"■",""))</f>
        <v/>
      </c>
      <c r="P67">
        <f>IF(OR($D67="",$E67=""),"",IF(AND($D67&lt;=IF('Client &amp; Project Profile'!$B$10="",TODAY(),'Client &amp; Project Profile'!$B$10)+3*7+6,$E67&gt;=IF('Client &amp; Project Profile'!$B$10="",TODAY(),'Client &amp; Project Profile'!$B$10)+3*7),"■",""))</f>
        <v/>
      </c>
      <c r="Q67">
        <f>IF(OR($D67="",$E67=""),"",IF(AND($D67&lt;=IF('Client &amp; Project Profile'!$B$10="",TODAY(),'Client &amp; Project Profile'!$B$10)+4*7+6,$E67&gt;=IF('Client &amp; Project Profile'!$B$10="",TODAY(),'Client &amp; Project Profile'!$B$10)+4*7),"■",""))</f>
        <v/>
      </c>
      <c r="R67">
        <f>IF(OR($D67="",$E67=""),"",IF(AND($D67&lt;=IF('Client &amp; Project Profile'!$B$10="",TODAY(),'Client &amp; Project Profile'!$B$10)+5*7+6,$E67&gt;=IF('Client &amp; Project Profile'!$B$10="",TODAY(),'Client &amp; Project Profile'!$B$10)+5*7),"■",""))</f>
        <v/>
      </c>
      <c r="S67">
        <f>IF(OR($D67="",$E67=""),"",IF(AND($D67&lt;=IF('Client &amp; Project Profile'!$B$10="",TODAY(),'Client &amp; Project Profile'!$B$10)+6*7+6,$E67&gt;=IF('Client &amp; Project Profile'!$B$10="",TODAY(),'Client &amp; Project Profile'!$B$10)+6*7),"■",""))</f>
        <v/>
      </c>
      <c r="T67">
        <f>IF(OR($D67="",$E67=""),"",IF(AND($D67&lt;=IF('Client &amp; Project Profile'!$B$10="",TODAY(),'Client &amp; Project Profile'!$B$10)+7*7+6,$E67&gt;=IF('Client &amp; Project Profile'!$B$10="",TODAY(),'Client &amp; Project Profile'!$B$10)+7*7),"■",""))</f>
        <v/>
      </c>
      <c r="U67">
        <f>IF(OR($D67="",$E67=""),"",IF(AND($D67&lt;=IF('Client &amp; Project Profile'!$B$10="",TODAY(),'Client &amp; Project Profile'!$B$10)+8*7+6,$E67&gt;=IF('Client &amp; Project Profile'!$B$10="",TODAY(),'Client &amp; Project Profile'!$B$10)+8*7),"■",""))</f>
        <v/>
      </c>
      <c r="V67">
        <f>IF(OR($D67="",$E67=""),"",IF(AND($D67&lt;=IF('Client &amp; Project Profile'!$B$10="",TODAY(),'Client &amp; Project Profile'!$B$10)+9*7+6,$E67&gt;=IF('Client &amp; Project Profile'!$B$10="",TODAY(),'Client &amp; Project Profile'!$B$10)+9*7),"■",""))</f>
        <v/>
      </c>
      <c r="W67">
        <f>IF(OR($D67="",$E67=""),"",IF(AND($D67&lt;=IF('Client &amp; Project Profile'!$B$10="",TODAY(),'Client &amp; Project Profile'!$B$10)+10*7+6,$E67&gt;=IF('Client &amp; Project Profile'!$B$10="",TODAY(),'Client &amp; Project Profile'!$B$10)+10*7),"■",""))</f>
        <v/>
      </c>
      <c r="X67">
        <f>IF(OR($D67="",$E67=""),"",IF(AND($D67&lt;=IF('Client &amp; Project Profile'!$B$10="",TODAY(),'Client &amp; Project Profile'!$B$10)+11*7+6,$E67&gt;=IF('Client &amp; Project Profile'!$B$10="",TODAY(),'Client &amp; Project Profile'!$B$10)+11*7),"■",""))</f>
        <v/>
      </c>
    </row>
    <row r="68">
      <c r="A68" s="12" t="n"/>
      <c r="B68" s="12" t="n"/>
      <c r="C68" s="12" t="n"/>
      <c r="D68" s="14" t="n"/>
      <c r="E68" s="14" t="n"/>
      <c r="F68" s="14" t="n"/>
      <c r="G68" s="12" t="n"/>
      <c r="H68" s="12" t="n"/>
      <c r="I68" s="12" t="n"/>
      <c r="J68" s="12" t="n"/>
      <c r="K68" s="12">
        <f>IF(OR($D68="",$E68=""),"",$E68-$D68+1)</f>
        <v/>
      </c>
      <c r="L68" s="12">
        <f>IF(AND($E68&lt;TODAY(),$G68&lt;&gt;"Complete"),TODAY()-$E68,0)</f>
        <v/>
      </c>
      <c r="M68" s="12">
        <f>IF(OR($D68="",$E68=""),"",IF(AND($D68&lt;=IF('Client &amp; Project Profile'!$B$10="",TODAY(),'Client &amp; Project Profile'!$B$10)+0*7+6,$E68&gt;=IF('Client &amp; Project Profile'!$B$10="",TODAY(),'Client &amp; Project Profile'!$B$10)+0*7),"■",""))</f>
        <v/>
      </c>
      <c r="N68" s="12">
        <f>IF(OR($D68="",$E68=""),"",IF(AND($D68&lt;=IF('Client &amp; Project Profile'!$B$10="",TODAY(),'Client &amp; Project Profile'!$B$10)+1*7+6,$E68&gt;=IF('Client &amp; Project Profile'!$B$10="",TODAY(),'Client &amp; Project Profile'!$B$10)+1*7),"■",""))</f>
        <v/>
      </c>
      <c r="O68" s="12">
        <f>IF(OR($D68="",$E68=""),"",IF(AND($D68&lt;=IF('Client &amp; Project Profile'!$B$10="",TODAY(),'Client &amp; Project Profile'!$B$10)+2*7+6,$E68&gt;=IF('Client &amp; Project Profile'!$B$10="",TODAY(),'Client &amp; Project Profile'!$B$10)+2*7),"■",""))</f>
        <v/>
      </c>
      <c r="P68" s="12">
        <f>IF(OR($D68="",$E68=""),"",IF(AND($D68&lt;=IF('Client &amp; Project Profile'!$B$10="",TODAY(),'Client &amp; Project Profile'!$B$10)+3*7+6,$E68&gt;=IF('Client &amp; Project Profile'!$B$10="",TODAY(),'Client &amp; Project Profile'!$B$10)+3*7),"■",""))</f>
        <v/>
      </c>
      <c r="Q68" s="12">
        <f>IF(OR($D68="",$E68=""),"",IF(AND($D68&lt;=IF('Client &amp; Project Profile'!$B$10="",TODAY(),'Client &amp; Project Profile'!$B$10)+4*7+6,$E68&gt;=IF('Client &amp; Project Profile'!$B$10="",TODAY(),'Client &amp; Project Profile'!$B$10)+4*7),"■",""))</f>
        <v/>
      </c>
      <c r="R68" s="12">
        <f>IF(OR($D68="",$E68=""),"",IF(AND($D68&lt;=IF('Client &amp; Project Profile'!$B$10="",TODAY(),'Client &amp; Project Profile'!$B$10)+5*7+6,$E68&gt;=IF('Client &amp; Project Profile'!$B$10="",TODAY(),'Client &amp; Project Profile'!$B$10)+5*7),"■",""))</f>
        <v/>
      </c>
      <c r="S68" s="12">
        <f>IF(OR($D68="",$E68=""),"",IF(AND($D68&lt;=IF('Client &amp; Project Profile'!$B$10="",TODAY(),'Client &amp; Project Profile'!$B$10)+6*7+6,$E68&gt;=IF('Client &amp; Project Profile'!$B$10="",TODAY(),'Client &amp; Project Profile'!$B$10)+6*7),"■",""))</f>
        <v/>
      </c>
      <c r="T68" s="12">
        <f>IF(OR($D68="",$E68=""),"",IF(AND($D68&lt;=IF('Client &amp; Project Profile'!$B$10="",TODAY(),'Client &amp; Project Profile'!$B$10)+7*7+6,$E68&gt;=IF('Client &amp; Project Profile'!$B$10="",TODAY(),'Client &amp; Project Profile'!$B$10)+7*7),"■",""))</f>
        <v/>
      </c>
      <c r="U68" s="12">
        <f>IF(OR($D68="",$E68=""),"",IF(AND($D68&lt;=IF('Client &amp; Project Profile'!$B$10="",TODAY(),'Client &amp; Project Profile'!$B$10)+8*7+6,$E68&gt;=IF('Client &amp; Project Profile'!$B$10="",TODAY(),'Client &amp; Project Profile'!$B$10)+8*7),"■",""))</f>
        <v/>
      </c>
      <c r="V68" s="12">
        <f>IF(OR($D68="",$E68=""),"",IF(AND($D68&lt;=IF('Client &amp; Project Profile'!$B$10="",TODAY(),'Client &amp; Project Profile'!$B$10)+9*7+6,$E68&gt;=IF('Client &amp; Project Profile'!$B$10="",TODAY(),'Client &amp; Project Profile'!$B$10)+9*7),"■",""))</f>
        <v/>
      </c>
      <c r="W68" s="12">
        <f>IF(OR($D68="",$E68=""),"",IF(AND($D68&lt;=IF('Client &amp; Project Profile'!$B$10="",TODAY(),'Client &amp; Project Profile'!$B$10)+10*7+6,$E68&gt;=IF('Client &amp; Project Profile'!$B$10="",TODAY(),'Client &amp; Project Profile'!$B$10)+10*7),"■",""))</f>
        <v/>
      </c>
      <c r="X68" s="12">
        <f>IF(OR($D68="",$E68=""),"",IF(AND($D68&lt;=IF('Client &amp; Project Profile'!$B$10="",TODAY(),'Client &amp; Project Profile'!$B$10)+11*7+6,$E68&gt;=IF('Client &amp; Project Profile'!$B$10="",TODAY(),'Client &amp; Project Profile'!$B$10)+11*7),"■",""))</f>
        <v/>
      </c>
    </row>
    <row r="69">
      <c r="D69" s="9" t="n"/>
      <c r="E69" s="9" t="n"/>
      <c r="F69" s="9" t="n"/>
      <c r="K69">
        <f>IF(OR($D69="",$E69=""),"",$E69-$D69+1)</f>
        <v/>
      </c>
      <c r="L69">
        <f>IF(AND($E69&lt;TODAY(),$G69&lt;&gt;"Complete"),TODAY()-$E69,0)</f>
        <v/>
      </c>
      <c r="M69">
        <f>IF(OR($D69="",$E69=""),"",IF(AND($D69&lt;=IF('Client &amp; Project Profile'!$B$10="",TODAY(),'Client &amp; Project Profile'!$B$10)+0*7+6,$E69&gt;=IF('Client &amp; Project Profile'!$B$10="",TODAY(),'Client &amp; Project Profile'!$B$10)+0*7),"■",""))</f>
        <v/>
      </c>
      <c r="N69">
        <f>IF(OR($D69="",$E69=""),"",IF(AND($D69&lt;=IF('Client &amp; Project Profile'!$B$10="",TODAY(),'Client &amp; Project Profile'!$B$10)+1*7+6,$E69&gt;=IF('Client &amp; Project Profile'!$B$10="",TODAY(),'Client &amp; Project Profile'!$B$10)+1*7),"■",""))</f>
        <v/>
      </c>
      <c r="O69">
        <f>IF(OR($D69="",$E69=""),"",IF(AND($D69&lt;=IF('Client &amp; Project Profile'!$B$10="",TODAY(),'Client &amp; Project Profile'!$B$10)+2*7+6,$E69&gt;=IF('Client &amp; Project Profile'!$B$10="",TODAY(),'Client &amp; Project Profile'!$B$10)+2*7),"■",""))</f>
        <v/>
      </c>
      <c r="P69">
        <f>IF(OR($D69="",$E69=""),"",IF(AND($D69&lt;=IF('Client &amp; Project Profile'!$B$10="",TODAY(),'Client &amp; Project Profile'!$B$10)+3*7+6,$E69&gt;=IF('Client &amp; Project Profile'!$B$10="",TODAY(),'Client &amp; Project Profile'!$B$10)+3*7),"■",""))</f>
        <v/>
      </c>
      <c r="Q69">
        <f>IF(OR($D69="",$E69=""),"",IF(AND($D69&lt;=IF('Client &amp; Project Profile'!$B$10="",TODAY(),'Client &amp; Project Profile'!$B$10)+4*7+6,$E69&gt;=IF('Client &amp; Project Profile'!$B$10="",TODAY(),'Client &amp; Project Profile'!$B$10)+4*7),"■",""))</f>
        <v/>
      </c>
      <c r="R69">
        <f>IF(OR($D69="",$E69=""),"",IF(AND($D69&lt;=IF('Client &amp; Project Profile'!$B$10="",TODAY(),'Client &amp; Project Profile'!$B$10)+5*7+6,$E69&gt;=IF('Client &amp; Project Profile'!$B$10="",TODAY(),'Client &amp; Project Profile'!$B$10)+5*7),"■",""))</f>
        <v/>
      </c>
      <c r="S69">
        <f>IF(OR($D69="",$E69=""),"",IF(AND($D69&lt;=IF('Client &amp; Project Profile'!$B$10="",TODAY(),'Client &amp; Project Profile'!$B$10)+6*7+6,$E69&gt;=IF('Client &amp; Project Profile'!$B$10="",TODAY(),'Client &amp; Project Profile'!$B$10)+6*7),"■",""))</f>
        <v/>
      </c>
      <c r="T69">
        <f>IF(OR($D69="",$E69=""),"",IF(AND($D69&lt;=IF('Client &amp; Project Profile'!$B$10="",TODAY(),'Client &amp; Project Profile'!$B$10)+7*7+6,$E69&gt;=IF('Client &amp; Project Profile'!$B$10="",TODAY(),'Client &amp; Project Profile'!$B$10)+7*7),"■",""))</f>
        <v/>
      </c>
      <c r="U69">
        <f>IF(OR($D69="",$E69=""),"",IF(AND($D69&lt;=IF('Client &amp; Project Profile'!$B$10="",TODAY(),'Client &amp; Project Profile'!$B$10)+8*7+6,$E69&gt;=IF('Client &amp; Project Profile'!$B$10="",TODAY(),'Client &amp; Project Profile'!$B$10)+8*7),"■",""))</f>
        <v/>
      </c>
      <c r="V69">
        <f>IF(OR($D69="",$E69=""),"",IF(AND($D69&lt;=IF('Client &amp; Project Profile'!$B$10="",TODAY(),'Client &amp; Project Profile'!$B$10)+9*7+6,$E69&gt;=IF('Client &amp; Project Profile'!$B$10="",TODAY(),'Client &amp; Project Profile'!$B$10)+9*7),"■",""))</f>
        <v/>
      </c>
      <c r="W69">
        <f>IF(OR($D69="",$E69=""),"",IF(AND($D69&lt;=IF('Client &amp; Project Profile'!$B$10="",TODAY(),'Client &amp; Project Profile'!$B$10)+10*7+6,$E69&gt;=IF('Client &amp; Project Profile'!$B$10="",TODAY(),'Client &amp; Project Profile'!$B$10)+10*7),"■",""))</f>
        <v/>
      </c>
      <c r="X69">
        <f>IF(OR($D69="",$E69=""),"",IF(AND($D69&lt;=IF('Client &amp; Project Profile'!$B$10="",TODAY(),'Client &amp; Project Profile'!$B$10)+11*7+6,$E69&gt;=IF('Client &amp; Project Profile'!$B$10="",TODAY(),'Client &amp; Project Profile'!$B$10)+11*7),"■",""))</f>
        <v/>
      </c>
    </row>
    <row r="70">
      <c r="A70" s="12" t="n"/>
      <c r="B70" s="12" t="n"/>
      <c r="C70" s="12" t="n"/>
      <c r="D70" s="14" t="n"/>
      <c r="E70" s="14" t="n"/>
      <c r="F70" s="14" t="n"/>
      <c r="G70" s="12" t="n"/>
      <c r="H70" s="12" t="n"/>
      <c r="I70" s="12" t="n"/>
      <c r="J70" s="12" t="n"/>
      <c r="K70" s="12">
        <f>IF(OR($D70="",$E70=""),"",$E70-$D70+1)</f>
        <v/>
      </c>
      <c r="L70" s="12">
        <f>IF(AND($E70&lt;TODAY(),$G70&lt;&gt;"Complete"),TODAY()-$E70,0)</f>
        <v/>
      </c>
      <c r="M70" s="12">
        <f>IF(OR($D70="",$E70=""),"",IF(AND($D70&lt;=IF('Client &amp; Project Profile'!$B$10="",TODAY(),'Client &amp; Project Profile'!$B$10)+0*7+6,$E70&gt;=IF('Client &amp; Project Profile'!$B$10="",TODAY(),'Client &amp; Project Profile'!$B$10)+0*7),"■",""))</f>
        <v/>
      </c>
      <c r="N70" s="12">
        <f>IF(OR($D70="",$E70=""),"",IF(AND($D70&lt;=IF('Client &amp; Project Profile'!$B$10="",TODAY(),'Client &amp; Project Profile'!$B$10)+1*7+6,$E70&gt;=IF('Client &amp; Project Profile'!$B$10="",TODAY(),'Client &amp; Project Profile'!$B$10)+1*7),"■",""))</f>
        <v/>
      </c>
      <c r="O70" s="12">
        <f>IF(OR($D70="",$E70=""),"",IF(AND($D70&lt;=IF('Client &amp; Project Profile'!$B$10="",TODAY(),'Client &amp; Project Profile'!$B$10)+2*7+6,$E70&gt;=IF('Client &amp; Project Profile'!$B$10="",TODAY(),'Client &amp; Project Profile'!$B$10)+2*7),"■",""))</f>
        <v/>
      </c>
      <c r="P70" s="12">
        <f>IF(OR($D70="",$E70=""),"",IF(AND($D70&lt;=IF('Client &amp; Project Profile'!$B$10="",TODAY(),'Client &amp; Project Profile'!$B$10)+3*7+6,$E70&gt;=IF('Client &amp; Project Profile'!$B$10="",TODAY(),'Client &amp; Project Profile'!$B$10)+3*7),"■",""))</f>
        <v/>
      </c>
      <c r="Q70" s="12">
        <f>IF(OR($D70="",$E70=""),"",IF(AND($D70&lt;=IF('Client &amp; Project Profile'!$B$10="",TODAY(),'Client &amp; Project Profile'!$B$10)+4*7+6,$E70&gt;=IF('Client &amp; Project Profile'!$B$10="",TODAY(),'Client &amp; Project Profile'!$B$10)+4*7),"■",""))</f>
        <v/>
      </c>
      <c r="R70" s="12">
        <f>IF(OR($D70="",$E70=""),"",IF(AND($D70&lt;=IF('Client &amp; Project Profile'!$B$10="",TODAY(),'Client &amp; Project Profile'!$B$10)+5*7+6,$E70&gt;=IF('Client &amp; Project Profile'!$B$10="",TODAY(),'Client &amp; Project Profile'!$B$10)+5*7),"■",""))</f>
        <v/>
      </c>
      <c r="S70" s="12">
        <f>IF(OR($D70="",$E70=""),"",IF(AND($D70&lt;=IF('Client &amp; Project Profile'!$B$10="",TODAY(),'Client &amp; Project Profile'!$B$10)+6*7+6,$E70&gt;=IF('Client &amp; Project Profile'!$B$10="",TODAY(),'Client &amp; Project Profile'!$B$10)+6*7),"■",""))</f>
        <v/>
      </c>
      <c r="T70" s="12">
        <f>IF(OR($D70="",$E70=""),"",IF(AND($D70&lt;=IF('Client &amp; Project Profile'!$B$10="",TODAY(),'Client &amp; Project Profile'!$B$10)+7*7+6,$E70&gt;=IF('Client &amp; Project Profile'!$B$10="",TODAY(),'Client &amp; Project Profile'!$B$10)+7*7),"■",""))</f>
        <v/>
      </c>
      <c r="U70" s="12">
        <f>IF(OR($D70="",$E70=""),"",IF(AND($D70&lt;=IF('Client &amp; Project Profile'!$B$10="",TODAY(),'Client &amp; Project Profile'!$B$10)+8*7+6,$E70&gt;=IF('Client &amp; Project Profile'!$B$10="",TODAY(),'Client &amp; Project Profile'!$B$10)+8*7),"■",""))</f>
        <v/>
      </c>
      <c r="V70" s="12">
        <f>IF(OR($D70="",$E70=""),"",IF(AND($D70&lt;=IF('Client &amp; Project Profile'!$B$10="",TODAY(),'Client &amp; Project Profile'!$B$10)+9*7+6,$E70&gt;=IF('Client &amp; Project Profile'!$B$10="",TODAY(),'Client &amp; Project Profile'!$B$10)+9*7),"■",""))</f>
        <v/>
      </c>
      <c r="W70" s="12">
        <f>IF(OR($D70="",$E70=""),"",IF(AND($D70&lt;=IF('Client &amp; Project Profile'!$B$10="",TODAY(),'Client &amp; Project Profile'!$B$10)+10*7+6,$E70&gt;=IF('Client &amp; Project Profile'!$B$10="",TODAY(),'Client &amp; Project Profile'!$B$10)+10*7),"■",""))</f>
        <v/>
      </c>
      <c r="X70" s="12">
        <f>IF(OR($D70="",$E70=""),"",IF(AND($D70&lt;=IF('Client &amp; Project Profile'!$B$10="",TODAY(),'Client &amp; Project Profile'!$B$10)+11*7+6,$E70&gt;=IF('Client &amp; Project Profile'!$B$10="",TODAY(),'Client &amp; Project Profile'!$B$10)+11*7),"■",""))</f>
        <v/>
      </c>
    </row>
    <row r="71">
      <c r="D71" s="9" t="n"/>
      <c r="E71" s="9" t="n"/>
      <c r="F71" s="9" t="n"/>
      <c r="K71">
        <f>IF(OR($D71="",$E71=""),"",$E71-$D71+1)</f>
        <v/>
      </c>
      <c r="L71">
        <f>IF(AND($E71&lt;TODAY(),$G71&lt;&gt;"Complete"),TODAY()-$E71,0)</f>
        <v/>
      </c>
      <c r="M71">
        <f>IF(OR($D71="",$E71=""),"",IF(AND($D71&lt;=IF('Client &amp; Project Profile'!$B$10="",TODAY(),'Client &amp; Project Profile'!$B$10)+0*7+6,$E71&gt;=IF('Client &amp; Project Profile'!$B$10="",TODAY(),'Client &amp; Project Profile'!$B$10)+0*7),"■",""))</f>
        <v/>
      </c>
      <c r="N71">
        <f>IF(OR($D71="",$E71=""),"",IF(AND($D71&lt;=IF('Client &amp; Project Profile'!$B$10="",TODAY(),'Client &amp; Project Profile'!$B$10)+1*7+6,$E71&gt;=IF('Client &amp; Project Profile'!$B$10="",TODAY(),'Client &amp; Project Profile'!$B$10)+1*7),"■",""))</f>
        <v/>
      </c>
      <c r="O71">
        <f>IF(OR($D71="",$E71=""),"",IF(AND($D71&lt;=IF('Client &amp; Project Profile'!$B$10="",TODAY(),'Client &amp; Project Profile'!$B$10)+2*7+6,$E71&gt;=IF('Client &amp; Project Profile'!$B$10="",TODAY(),'Client &amp; Project Profile'!$B$10)+2*7),"■",""))</f>
        <v/>
      </c>
      <c r="P71">
        <f>IF(OR($D71="",$E71=""),"",IF(AND($D71&lt;=IF('Client &amp; Project Profile'!$B$10="",TODAY(),'Client &amp; Project Profile'!$B$10)+3*7+6,$E71&gt;=IF('Client &amp; Project Profile'!$B$10="",TODAY(),'Client &amp; Project Profile'!$B$10)+3*7),"■",""))</f>
        <v/>
      </c>
      <c r="Q71">
        <f>IF(OR($D71="",$E71=""),"",IF(AND($D71&lt;=IF('Client &amp; Project Profile'!$B$10="",TODAY(),'Client &amp; Project Profile'!$B$10)+4*7+6,$E71&gt;=IF('Client &amp; Project Profile'!$B$10="",TODAY(),'Client &amp; Project Profile'!$B$10)+4*7),"■",""))</f>
        <v/>
      </c>
      <c r="R71">
        <f>IF(OR($D71="",$E71=""),"",IF(AND($D71&lt;=IF('Client &amp; Project Profile'!$B$10="",TODAY(),'Client &amp; Project Profile'!$B$10)+5*7+6,$E71&gt;=IF('Client &amp; Project Profile'!$B$10="",TODAY(),'Client &amp; Project Profile'!$B$10)+5*7),"■",""))</f>
        <v/>
      </c>
      <c r="S71">
        <f>IF(OR($D71="",$E71=""),"",IF(AND($D71&lt;=IF('Client &amp; Project Profile'!$B$10="",TODAY(),'Client &amp; Project Profile'!$B$10)+6*7+6,$E71&gt;=IF('Client &amp; Project Profile'!$B$10="",TODAY(),'Client &amp; Project Profile'!$B$10)+6*7),"■",""))</f>
        <v/>
      </c>
      <c r="T71">
        <f>IF(OR($D71="",$E71=""),"",IF(AND($D71&lt;=IF('Client &amp; Project Profile'!$B$10="",TODAY(),'Client &amp; Project Profile'!$B$10)+7*7+6,$E71&gt;=IF('Client &amp; Project Profile'!$B$10="",TODAY(),'Client &amp; Project Profile'!$B$10)+7*7),"■",""))</f>
        <v/>
      </c>
      <c r="U71">
        <f>IF(OR($D71="",$E71=""),"",IF(AND($D71&lt;=IF('Client &amp; Project Profile'!$B$10="",TODAY(),'Client &amp; Project Profile'!$B$10)+8*7+6,$E71&gt;=IF('Client &amp; Project Profile'!$B$10="",TODAY(),'Client &amp; Project Profile'!$B$10)+8*7),"■",""))</f>
        <v/>
      </c>
      <c r="V71">
        <f>IF(OR($D71="",$E71=""),"",IF(AND($D71&lt;=IF('Client &amp; Project Profile'!$B$10="",TODAY(),'Client &amp; Project Profile'!$B$10)+9*7+6,$E71&gt;=IF('Client &amp; Project Profile'!$B$10="",TODAY(),'Client &amp; Project Profile'!$B$10)+9*7),"■",""))</f>
        <v/>
      </c>
      <c r="W71">
        <f>IF(OR($D71="",$E71=""),"",IF(AND($D71&lt;=IF('Client &amp; Project Profile'!$B$10="",TODAY(),'Client &amp; Project Profile'!$B$10)+10*7+6,$E71&gt;=IF('Client &amp; Project Profile'!$B$10="",TODAY(),'Client &amp; Project Profile'!$B$10)+10*7),"■",""))</f>
        <v/>
      </c>
      <c r="X71">
        <f>IF(OR($D71="",$E71=""),"",IF(AND($D71&lt;=IF('Client &amp; Project Profile'!$B$10="",TODAY(),'Client &amp; Project Profile'!$B$10)+11*7+6,$E71&gt;=IF('Client &amp; Project Profile'!$B$10="",TODAY(),'Client &amp; Project Profile'!$B$10)+11*7),"■",""))</f>
        <v/>
      </c>
    </row>
    <row r="72">
      <c r="A72" s="12" t="n"/>
      <c r="B72" s="12" t="n"/>
      <c r="C72" s="12" t="n"/>
      <c r="D72" s="14" t="n"/>
      <c r="E72" s="14" t="n"/>
      <c r="F72" s="14" t="n"/>
      <c r="G72" s="12" t="n"/>
      <c r="H72" s="12" t="n"/>
      <c r="I72" s="12" t="n"/>
      <c r="J72" s="12" t="n"/>
      <c r="K72" s="12">
        <f>IF(OR($D72="",$E72=""),"",$E72-$D72+1)</f>
        <v/>
      </c>
      <c r="L72" s="12">
        <f>IF(AND($E72&lt;TODAY(),$G72&lt;&gt;"Complete"),TODAY()-$E72,0)</f>
        <v/>
      </c>
      <c r="M72" s="12">
        <f>IF(OR($D72="",$E72=""),"",IF(AND($D72&lt;=IF('Client &amp; Project Profile'!$B$10="",TODAY(),'Client &amp; Project Profile'!$B$10)+0*7+6,$E72&gt;=IF('Client &amp; Project Profile'!$B$10="",TODAY(),'Client &amp; Project Profile'!$B$10)+0*7),"■",""))</f>
        <v/>
      </c>
      <c r="N72" s="12">
        <f>IF(OR($D72="",$E72=""),"",IF(AND($D72&lt;=IF('Client &amp; Project Profile'!$B$10="",TODAY(),'Client &amp; Project Profile'!$B$10)+1*7+6,$E72&gt;=IF('Client &amp; Project Profile'!$B$10="",TODAY(),'Client &amp; Project Profile'!$B$10)+1*7),"■",""))</f>
        <v/>
      </c>
      <c r="O72" s="12">
        <f>IF(OR($D72="",$E72=""),"",IF(AND($D72&lt;=IF('Client &amp; Project Profile'!$B$10="",TODAY(),'Client &amp; Project Profile'!$B$10)+2*7+6,$E72&gt;=IF('Client &amp; Project Profile'!$B$10="",TODAY(),'Client &amp; Project Profile'!$B$10)+2*7),"■",""))</f>
        <v/>
      </c>
      <c r="P72" s="12">
        <f>IF(OR($D72="",$E72=""),"",IF(AND($D72&lt;=IF('Client &amp; Project Profile'!$B$10="",TODAY(),'Client &amp; Project Profile'!$B$10)+3*7+6,$E72&gt;=IF('Client &amp; Project Profile'!$B$10="",TODAY(),'Client &amp; Project Profile'!$B$10)+3*7),"■",""))</f>
        <v/>
      </c>
      <c r="Q72" s="12">
        <f>IF(OR($D72="",$E72=""),"",IF(AND($D72&lt;=IF('Client &amp; Project Profile'!$B$10="",TODAY(),'Client &amp; Project Profile'!$B$10)+4*7+6,$E72&gt;=IF('Client &amp; Project Profile'!$B$10="",TODAY(),'Client &amp; Project Profile'!$B$10)+4*7),"■",""))</f>
        <v/>
      </c>
      <c r="R72" s="12">
        <f>IF(OR($D72="",$E72=""),"",IF(AND($D72&lt;=IF('Client &amp; Project Profile'!$B$10="",TODAY(),'Client &amp; Project Profile'!$B$10)+5*7+6,$E72&gt;=IF('Client &amp; Project Profile'!$B$10="",TODAY(),'Client &amp; Project Profile'!$B$10)+5*7),"■",""))</f>
        <v/>
      </c>
      <c r="S72" s="12">
        <f>IF(OR($D72="",$E72=""),"",IF(AND($D72&lt;=IF('Client &amp; Project Profile'!$B$10="",TODAY(),'Client &amp; Project Profile'!$B$10)+6*7+6,$E72&gt;=IF('Client &amp; Project Profile'!$B$10="",TODAY(),'Client &amp; Project Profile'!$B$10)+6*7),"■",""))</f>
        <v/>
      </c>
      <c r="T72" s="12">
        <f>IF(OR($D72="",$E72=""),"",IF(AND($D72&lt;=IF('Client &amp; Project Profile'!$B$10="",TODAY(),'Client &amp; Project Profile'!$B$10)+7*7+6,$E72&gt;=IF('Client &amp; Project Profile'!$B$10="",TODAY(),'Client &amp; Project Profile'!$B$10)+7*7),"■",""))</f>
        <v/>
      </c>
      <c r="U72" s="12">
        <f>IF(OR($D72="",$E72=""),"",IF(AND($D72&lt;=IF('Client &amp; Project Profile'!$B$10="",TODAY(),'Client &amp; Project Profile'!$B$10)+8*7+6,$E72&gt;=IF('Client &amp; Project Profile'!$B$10="",TODAY(),'Client &amp; Project Profile'!$B$10)+8*7),"■",""))</f>
        <v/>
      </c>
      <c r="V72" s="12">
        <f>IF(OR($D72="",$E72=""),"",IF(AND($D72&lt;=IF('Client &amp; Project Profile'!$B$10="",TODAY(),'Client &amp; Project Profile'!$B$10)+9*7+6,$E72&gt;=IF('Client &amp; Project Profile'!$B$10="",TODAY(),'Client &amp; Project Profile'!$B$10)+9*7),"■",""))</f>
        <v/>
      </c>
      <c r="W72" s="12">
        <f>IF(OR($D72="",$E72=""),"",IF(AND($D72&lt;=IF('Client &amp; Project Profile'!$B$10="",TODAY(),'Client &amp; Project Profile'!$B$10)+10*7+6,$E72&gt;=IF('Client &amp; Project Profile'!$B$10="",TODAY(),'Client &amp; Project Profile'!$B$10)+10*7),"■",""))</f>
        <v/>
      </c>
      <c r="X72" s="12">
        <f>IF(OR($D72="",$E72=""),"",IF(AND($D72&lt;=IF('Client &amp; Project Profile'!$B$10="",TODAY(),'Client &amp; Project Profile'!$B$10)+11*7+6,$E72&gt;=IF('Client &amp; Project Profile'!$B$10="",TODAY(),'Client &amp; Project Profile'!$B$10)+11*7),"■",""))</f>
        <v/>
      </c>
    </row>
    <row r="73">
      <c r="D73" s="9" t="n"/>
      <c r="E73" s="9" t="n"/>
      <c r="F73" s="9" t="n"/>
      <c r="K73">
        <f>IF(OR($D73="",$E73=""),"",$E73-$D73+1)</f>
        <v/>
      </c>
      <c r="L73">
        <f>IF(AND($E73&lt;TODAY(),$G73&lt;&gt;"Complete"),TODAY()-$E73,0)</f>
        <v/>
      </c>
      <c r="M73">
        <f>IF(OR($D73="",$E73=""),"",IF(AND($D73&lt;=IF('Client &amp; Project Profile'!$B$10="",TODAY(),'Client &amp; Project Profile'!$B$10)+0*7+6,$E73&gt;=IF('Client &amp; Project Profile'!$B$10="",TODAY(),'Client &amp; Project Profile'!$B$10)+0*7),"■",""))</f>
        <v/>
      </c>
      <c r="N73">
        <f>IF(OR($D73="",$E73=""),"",IF(AND($D73&lt;=IF('Client &amp; Project Profile'!$B$10="",TODAY(),'Client &amp; Project Profile'!$B$10)+1*7+6,$E73&gt;=IF('Client &amp; Project Profile'!$B$10="",TODAY(),'Client &amp; Project Profile'!$B$10)+1*7),"■",""))</f>
        <v/>
      </c>
      <c r="O73">
        <f>IF(OR($D73="",$E73=""),"",IF(AND($D73&lt;=IF('Client &amp; Project Profile'!$B$10="",TODAY(),'Client &amp; Project Profile'!$B$10)+2*7+6,$E73&gt;=IF('Client &amp; Project Profile'!$B$10="",TODAY(),'Client &amp; Project Profile'!$B$10)+2*7),"■",""))</f>
        <v/>
      </c>
      <c r="P73">
        <f>IF(OR($D73="",$E73=""),"",IF(AND($D73&lt;=IF('Client &amp; Project Profile'!$B$10="",TODAY(),'Client &amp; Project Profile'!$B$10)+3*7+6,$E73&gt;=IF('Client &amp; Project Profile'!$B$10="",TODAY(),'Client &amp; Project Profile'!$B$10)+3*7),"■",""))</f>
        <v/>
      </c>
      <c r="Q73">
        <f>IF(OR($D73="",$E73=""),"",IF(AND($D73&lt;=IF('Client &amp; Project Profile'!$B$10="",TODAY(),'Client &amp; Project Profile'!$B$10)+4*7+6,$E73&gt;=IF('Client &amp; Project Profile'!$B$10="",TODAY(),'Client &amp; Project Profile'!$B$10)+4*7),"■",""))</f>
        <v/>
      </c>
      <c r="R73">
        <f>IF(OR($D73="",$E73=""),"",IF(AND($D73&lt;=IF('Client &amp; Project Profile'!$B$10="",TODAY(),'Client &amp; Project Profile'!$B$10)+5*7+6,$E73&gt;=IF('Client &amp; Project Profile'!$B$10="",TODAY(),'Client &amp; Project Profile'!$B$10)+5*7),"■",""))</f>
        <v/>
      </c>
      <c r="S73">
        <f>IF(OR($D73="",$E73=""),"",IF(AND($D73&lt;=IF('Client &amp; Project Profile'!$B$10="",TODAY(),'Client &amp; Project Profile'!$B$10)+6*7+6,$E73&gt;=IF('Client &amp; Project Profile'!$B$10="",TODAY(),'Client &amp; Project Profile'!$B$10)+6*7),"■",""))</f>
        <v/>
      </c>
      <c r="T73">
        <f>IF(OR($D73="",$E73=""),"",IF(AND($D73&lt;=IF('Client &amp; Project Profile'!$B$10="",TODAY(),'Client &amp; Project Profile'!$B$10)+7*7+6,$E73&gt;=IF('Client &amp; Project Profile'!$B$10="",TODAY(),'Client &amp; Project Profile'!$B$10)+7*7),"■",""))</f>
        <v/>
      </c>
      <c r="U73">
        <f>IF(OR($D73="",$E73=""),"",IF(AND($D73&lt;=IF('Client &amp; Project Profile'!$B$10="",TODAY(),'Client &amp; Project Profile'!$B$10)+8*7+6,$E73&gt;=IF('Client &amp; Project Profile'!$B$10="",TODAY(),'Client &amp; Project Profile'!$B$10)+8*7),"■",""))</f>
        <v/>
      </c>
      <c r="V73">
        <f>IF(OR($D73="",$E73=""),"",IF(AND($D73&lt;=IF('Client &amp; Project Profile'!$B$10="",TODAY(),'Client &amp; Project Profile'!$B$10)+9*7+6,$E73&gt;=IF('Client &amp; Project Profile'!$B$10="",TODAY(),'Client &amp; Project Profile'!$B$10)+9*7),"■",""))</f>
        <v/>
      </c>
      <c r="W73">
        <f>IF(OR($D73="",$E73=""),"",IF(AND($D73&lt;=IF('Client &amp; Project Profile'!$B$10="",TODAY(),'Client &amp; Project Profile'!$B$10)+10*7+6,$E73&gt;=IF('Client &amp; Project Profile'!$B$10="",TODAY(),'Client &amp; Project Profile'!$B$10)+10*7),"■",""))</f>
        <v/>
      </c>
      <c r="X73">
        <f>IF(OR($D73="",$E73=""),"",IF(AND($D73&lt;=IF('Client &amp; Project Profile'!$B$10="",TODAY(),'Client &amp; Project Profile'!$B$10)+11*7+6,$E73&gt;=IF('Client &amp; Project Profile'!$B$10="",TODAY(),'Client &amp; Project Profile'!$B$10)+11*7),"■",""))</f>
        <v/>
      </c>
    </row>
    <row r="74">
      <c r="A74" s="12" t="n"/>
      <c r="B74" s="12" t="n"/>
      <c r="C74" s="12" t="n"/>
      <c r="D74" s="14" t="n"/>
      <c r="E74" s="14" t="n"/>
      <c r="F74" s="14" t="n"/>
      <c r="G74" s="12" t="n"/>
      <c r="H74" s="12" t="n"/>
      <c r="I74" s="12" t="n"/>
      <c r="J74" s="12" t="n"/>
      <c r="K74" s="12">
        <f>IF(OR($D74="",$E74=""),"",$E74-$D74+1)</f>
        <v/>
      </c>
      <c r="L74" s="12">
        <f>IF(AND($E74&lt;TODAY(),$G74&lt;&gt;"Complete"),TODAY()-$E74,0)</f>
        <v/>
      </c>
      <c r="M74" s="12">
        <f>IF(OR($D74="",$E74=""),"",IF(AND($D74&lt;=IF('Client &amp; Project Profile'!$B$10="",TODAY(),'Client &amp; Project Profile'!$B$10)+0*7+6,$E74&gt;=IF('Client &amp; Project Profile'!$B$10="",TODAY(),'Client &amp; Project Profile'!$B$10)+0*7),"■",""))</f>
        <v/>
      </c>
      <c r="N74" s="12">
        <f>IF(OR($D74="",$E74=""),"",IF(AND($D74&lt;=IF('Client &amp; Project Profile'!$B$10="",TODAY(),'Client &amp; Project Profile'!$B$10)+1*7+6,$E74&gt;=IF('Client &amp; Project Profile'!$B$10="",TODAY(),'Client &amp; Project Profile'!$B$10)+1*7),"■",""))</f>
        <v/>
      </c>
      <c r="O74" s="12">
        <f>IF(OR($D74="",$E74=""),"",IF(AND($D74&lt;=IF('Client &amp; Project Profile'!$B$10="",TODAY(),'Client &amp; Project Profile'!$B$10)+2*7+6,$E74&gt;=IF('Client &amp; Project Profile'!$B$10="",TODAY(),'Client &amp; Project Profile'!$B$10)+2*7),"■",""))</f>
        <v/>
      </c>
      <c r="P74" s="12">
        <f>IF(OR($D74="",$E74=""),"",IF(AND($D74&lt;=IF('Client &amp; Project Profile'!$B$10="",TODAY(),'Client &amp; Project Profile'!$B$10)+3*7+6,$E74&gt;=IF('Client &amp; Project Profile'!$B$10="",TODAY(),'Client &amp; Project Profile'!$B$10)+3*7),"■",""))</f>
        <v/>
      </c>
      <c r="Q74" s="12">
        <f>IF(OR($D74="",$E74=""),"",IF(AND($D74&lt;=IF('Client &amp; Project Profile'!$B$10="",TODAY(),'Client &amp; Project Profile'!$B$10)+4*7+6,$E74&gt;=IF('Client &amp; Project Profile'!$B$10="",TODAY(),'Client &amp; Project Profile'!$B$10)+4*7),"■",""))</f>
        <v/>
      </c>
      <c r="R74" s="12">
        <f>IF(OR($D74="",$E74=""),"",IF(AND($D74&lt;=IF('Client &amp; Project Profile'!$B$10="",TODAY(),'Client &amp; Project Profile'!$B$10)+5*7+6,$E74&gt;=IF('Client &amp; Project Profile'!$B$10="",TODAY(),'Client &amp; Project Profile'!$B$10)+5*7),"■",""))</f>
        <v/>
      </c>
      <c r="S74" s="12">
        <f>IF(OR($D74="",$E74=""),"",IF(AND($D74&lt;=IF('Client &amp; Project Profile'!$B$10="",TODAY(),'Client &amp; Project Profile'!$B$10)+6*7+6,$E74&gt;=IF('Client &amp; Project Profile'!$B$10="",TODAY(),'Client &amp; Project Profile'!$B$10)+6*7),"■",""))</f>
        <v/>
      </c>
      <c r="T74" s="12">
        <f>IF(OR($D74="",$E74=""),"",IF(AND($D74&lt;=IF('Client &amp; Project Profile'!$B$10="",TODAY(),'Client &amp; Project Profile'!$B$10)+7*7+6,$E74&gt;=IF('Client &amp; Project Profile'!$B$10="",TODAY(),'Client &amp; Project Profile'!$B$10)+7*7),"■",""))</f>
        <v/>
      </c>
      <c r="U74" s="12">
        <f>IF(OR($D74="",$E74=""),"",IF(AND($D74&lt;=IF('Client &amp; Project Profile'!$B$10="",TODAY(),'Client &amp; Project Profile'!$B$10)+8*7+6,$E74&gt;=IF('Client &amp; Project Profile'!$B$10="",TODAY(),'Client &amp; Project Profile'!$B$10)+8*7),"■",""))</f>
        <v/>
      </c>
      <c r="V74" s="12">
        <f>IF(OR($D74="",$E74=""),"",IF(AND($D74&lt;=IF('Client &amp; Project Profile'!$B$10="",TODAY(),'Client &amp; Project Profile'!$B$10)+9*7+6,$E74&gt;=IF('Client &amp; Project Profile'!$B$10="",TODAY(),'Client &amp; Project Profile'!$B$10)+9*7),"■",""))</f>
        <v/>
      </c>
      <c r="W74" s="12">
        <f>IF(OR($D74="",$E74=""),"",IF(AND($D74&lt;=IF('Client &amp; Project Profile'!$B$10="",TODAY(),'Client &amp; Project Profile'!$B$10)+10*7+6,$E74&gt;=IF('Client &amp; Project Profile'!$B$10="",TODAY(),'Client &amp; Project Profile'!$B$10)+10*7),"■",""))</f>
        <v/>
      </c>
      <c r="X74" s="12">
        <f>IF(OR($D74="",$E74=""),"",IF(AND($D74&lt;=IF('Client &amp; Project Profile'!$B$10="",TODAY(),'Client &amp; Project Profile'!$B$10)+11*7+6,$E74&gt;=IF('Client &amp; Project Profile'!$B$10="",TODAY(),'Client &amp; Project Profile'!$B$10)+11*7),"■",""))</f>
        <v/>
      </c>
    </row>
    <row r="75">
      <c r="D75" s="9" t="n"/>
      <c r="E75" s="9" t="n"/>
      <c r="F75" s="9" t="n"/>
      <c r="K75">
        <f>IF(OR($D75="",$E75=""),"",$E75-$D75+1)</f>
        <v/>
      </c>
      <c r="L75">
        <f>IF(AND($E75&lt;TODAY(),$G75&lt;&gt;"Complete"),TODAY()-$E75,0)</f>
        <v/>
      </c>
      <c r="M75">
        <f>IF(OR($D75="",$E75=""),"",IF(AND($D75&lt;=IF('Client &amp; Project Profile'!$B$10="",TODAY(),'Client &amp; Project Profile'!$B$10)+0*7+6,$E75&gt;=IF('Client &amp; Project Profile'!$B$10="",TODAY(),'Client &amp; Project Profile'!$B$10)+0*7),"■",""))</f>
        <v/>
      </c>
      <c r="N75">
        <f>IF(OR($D75="",$E75=""),"",IF(AND($D75&lt;=IF('Client &amp; Project Profile'!$B$10="",TODAY(),'Client &amp; Project Profile'!$B$10)+1*7+6,$E75&gt;=IF('Client &amp; Project Profile'!$B$10="",TODAY(),'Client &amp; Project Profile'!$B$10)+1*7),"■",""))</f>
        <v/>
      </c>
      <c r="O75">
        <f>IF(OR($D75="",$E75=""),"",IF(AND($D75&lt;=IF('Client &amp; Project Profile'!$B$10="",TODAY(),'Client &amp; Project Profile'!$B$10)+2*7+6,$E75&gt;=IF('Client &amp; Project Profile'!$B$10="",TODAY(),'Client &amp; Project Profile'!$B$10)+2*7),"■",""))</f>
        <v/>
      </c>
      <c r="P75">
        <f>IF(OR($D75="",$E75=""),"",IF(AND($D75&lt;=IF('Client &amp; Project Profile'!$B$10="",TODAY(),'Client &amp; Project Profile'!$B$10)+3*7+6,$E75&gt;=IF('Client &amp; Project Profile'!$B$10="",TODAY(),'Client &amp; Project Profile'!$B$10)+3*7),"■",""))</f>
        <v/>
      </c>
      <c r="Q75">
        <f>IF(OR($D75="",$E75=""),"",IF(AND($D75&lt;=IF('Client &amp; Project Profile'!$B$10="",TODAY(),'Client &amp; Project Profile'!$B$10)+4*7+6,$E75&gt;=IF('Client &amp; Project Profile'!$B$10="",TODAY(),'Client &amp; Project Profile'!$B$10)+4*7),"■",""))</f>
        <v/>
      </c>
      <c r="R75">
        <f>IF(OR($D75="",$E75=""),"",IF(AND($D75&lt;=IF('Client &amp; Project Profile'!$B$10="",TODAY(),'Client &amp; Project Profile'!$B$10)+5*7+6,$E75&gt;=IF('Client &amp; Project Profile'!$B$10="",TODAY(),'Client &amp; Project Profile'!$B$10)+5*7),"■",""))</f>
        <v/>
      </c>
      <c r="S75">
        <f>IF(OR($D75="",$E75=""),"",IF(AND($D75&lt;=IF('Client &amp; Project Profile'!$B$10="",TODAY(),'Client &amp; Project Profile'!$B$10)+6*7+6,$E75&gt;=IF('Client &amp; Project Profile'!$B$10="",TODAY(),'Client &amp; Project Profile'!$B$10)+6*7),"■",""))</f>
        <v/>
      </c>
      <c r="T75">
        <f>IF(OR($D75="",$E75=""),"",IF(AND($D75&lt;=IF('Client &amp; Project Profile'!$B$10="",TODAY(),'Client &amp; Project Profile'!$B$10)+7*7+6,$E75&gt;=IF('Client &amp; Project Profile'!$B$10="",TODAY(),'Client &amp; Project Profile'!$B$10)+7*7),"■",""))</f>
        <v/>
      </c>
      <c r="U75">
        <f>IF(OR($D75="",$E75=""),"",IF(AND($D75&lt;=IF('Client &amp; Project Profile'!$B$10="",TODAY(),'Client &amp; Project Profile'!$B$10)+8*7+6,$E75&gt;=IF('Client &amp; Project Profile'!$B$10="",TODAY(),'Client &amp; Project Profile'!$B$10)+8*7),"■",""))</f>
        <v/>
      </c>
      <c r="V75">
        <f>IF(OR($D75="",$E75=""),"",IF(AND($D75&lt;=IF('Client &amp; Project Profile'!$B$10="",TODAY(),'Client &amp; Project Profile'!$B$10)+9*7+6,$E75&gt;=IF('Client &amp; Project Profile'!$B$10="",TODAY(),'Client &amp; Project Profile'!$B$10)+9*7),"■",""))</f>
        <v/>
      </c>
      <c r="W75">
        <f>IF(OR($D75="",$E75=""),"",IF(AND($D75&lt;=IF('Client &amp; Project Profile'!$B$10="",TODAY(),'Client &amp; Project Profile'!$B$10)+10*7+6,$E75&gt;=IF('Client &amp; Project Profile'!$B$10="",TODAY(),'Client &amp; Project Profile'!$B$10)+10*7),"■",""))</f>
        <v/>
      </c>
      <c r="X75">
        <f>IF(OR($D75="",$E75=""),"",IF(AND($D75&lt;=IF('Client &amp; Project Profile'!$B$10="",TODAY(),'Client &amp; Project Profile'!$B$10)+11*7+6,$E75&gt;=IF('Client &amp; Project Profile'!$B$10="",TODAY(),'Client &amp; Project Profile'!$B$10)+11*7),"■",""))</f>
        <v/>
      </c>
    </row>
    <row r="76">
      <c r="A76" s="12" t="n"/>
      <c r="B76" s="12" t="n"/>
      <c r="C76" s="12" t="n"/>
      <c r="D76" s="14" t="n"/>
      <c r="E76" s="14" t="n"/>
      <c r="F76" s="14" t="n"/>
      <c r="G76" s="12" t="n"/>
      <c r="H76" s="12" t="n"/>
      <c r="I76" s="12" t="n"/>
      <c r="J76" s="12" t="n"/>
      <c r="K76" s="12">
        <f>IF(OR($D76="",$E76=""),"",$E76-$D76+1)</f>
        <v/>
      </c>
      <c r="L76" s="12">
        <f>IF(AND($E76&lt;TODAY(),$G76&lt;&gt;"Complete"),TODAY()-$E76,0)</f>
        <v/>
      </c>
      <c r="M76" s="12">
        <f>IF(OR($D76="",$E76=""),"",IF(AND($D76&lt;=IF('Client &amp; Project Profile'!$B$10="",TODAY(),'Client &amp; Project Profile'!$B$10)+0*7+6,$E76&gt;=IF('Client &amp; Project Profile'!$B$10="",TODAY(),'Client &amp; Project Profile'!$B$10)+0*7),"■",""))</f>
        <v/>
      </c>
      <c r="N76" s="12">
        <f>IF(OR($D76="",$E76=""),"",IF(AND($D76&lt;=IF('Client &amp; Project Profile'!$B$10="",TODAY(),'Client &amp; Project Profile'!$B$10)+1*7+6,$E76&gt;=IF('Client &amp; Project Profile'!$B$10="",TODAY(),'Client &amp; Project Profile'!$B$10)+1*7),"■",""))</f>
        <v/>
      </c>
      <c r="O76" s="12">
        <f>IF(OR($D76="",$E76=""),"",IF(AND($D76&lt;=IF('Client &amp; Project Profile'!$B$10="",TODAY(),'Client &amp; Project Profile'!$B$10)+2*7+6,$E76&gt;=IF('Client &amp; Project Profile'!$B$10="",TODAY(),'Client &amp; Project Profile'!$B$10)+2*7),"■",""))</f>
        <v/>
      </c>
      <c r="P76" s="12">
        <f>IF(OR($D76="",$E76=""),"",IF(AND($D76&lt;=IF('Client &amp; Project Profile'!$B$10="",TODAY(),'Client &amp; Project Profile'!$B$10)+3*7+6,$E76&gt;=IF('Client &amp; Project Profile'!$B$10="",TODAY(),'Client &amp; Project Profile'!$B$10)+3*7),"■",""))</f>
        <v/>
      </c>
      <c r="Q76" s="12">
        <f>IF(OR($D76="",$E76=""),"",IF(AND($D76&lt;=IF('Client &amp; Project Profile'!$B$10="",TODAY(),'Client &amp; Project Profile'!$B$10)+4*7+6,$E76&gt;=IF('Client &amp; Project Profile'!$B$10="",TODAY(),'Client &amp; Project Profile'!$B$10)+4*7),"■",""))</f>
        <v/>
      </c>
      <c r="R76" s="12">
        <f>IF(OR($D76="",$E76=""),"",IF(AND($D76&lt;=IF('Client &amp; Project Profile'!$B$10="",TODAY(),'Client &amp; Project Profile'!$B$10)+5*7+6,$E76&gt;=IF('Client &amp; Project Profile'!$B$10="",TODAY(),'Client &amp; Project Profile'!$B$10)+5*7),"■",""))</f>
        <v/>
      </c>
      <c r="S76" s="12">
        <f>IF(OR($D76="",$E76=""),"",IF(AND($D76&lt;=IF('Client &amp; Project Profile'!$B$10="",TODAY(),'Client &amp; Project Profile'!$B$10)+6*7+6,$E76&gt;=IF('Client &amp; Project Profile'!$B$10="",TODAY(),'Client &amp; Project Profile'!$B$10)+6*7),"■",""))</f>
        <v/>
      </c>
      <c r="T76" s="12">
        <f>IF(OR($D76="",$E76=""),"",IF(AND($D76&lt;=IF('Client &amp; Project Profile'!$B$10="",TODAY(),'Client &amp; Project Profile'!$B$10)+7*7+6,$E76&gt;=IF('Client &amp; Project Profile'!$B$10="",TODAY(),'Client &amp; Project Profile'!$B$10)+7*7),"■",""))</f>
        <v/>
      </c>
      <c r="U76" s="12">
        <f>IF(OR($D76="",$E76=""),"",IF(AND($D76&lt;=IF('Client &amp; Project Profile'!$B$10="",TODAY(),'Client &amp; Project Profile'!$B$10)+8*7+6,$E76&gt;=IF('Client &amp; Project Profile'!$B$10="",TODAY(),'Client &amp; Project Profile'!$B$10)+8*7),"■",""))</f>
        <v/>
      </c>
      <c r="V76" s="12">
        <f>IF(OR($D76="",$E76=""),"",IF(AND($D76&lt;=IF('Client &amp; Project Profile'!$B$10="",TODAY(),'Client &amp; Project Profile'!$B$10)+9*7+6,$E76&gt;=IF('Client &amp; Project Profile'!$B$10="",TODAY(),'Client &amp; Project Profile'!$B$10)+9*7),"■",""))</f>
        <v/>
      </c>
      <c r="W76" s="12">
        <f>IF(OR($D76="",$E76=""),"",IF(AND($D76&lt;=IF('Client &amp; Project Profile'!$B$10="",TODAY(),'Client &amp; Project Profile'!$B$10)+10*7+6,$E76&gt;=IF('Client &amp; Project Profile'!$B$10="",TODAY(),'Client &amp; Project Profile'!$B$10)+10*7),"■",""))</f>
        <v/>
      </c>
      <c r="X76" s="12">
        <f>IF(OR($D76="",$E76=""),"",IF(AND($D76&lt;=IF('Client &amp; Project Profile'!$B$10="",TODAY(),'Client &amp; Project Profile'!$B$10)+11*7+6,$E76&gt;=IF('Client &amp; Project Profile'!$B$10="",TODAY(),'Client &amp; Project Profile'!$B$10)+11*7),"■",""))</f>
        <v/>
      </c>
    </row>
    <row r="77">
      <c r="D77" s="9" t="n"/>
      <c r="E77" s="9" t="n"/>
      <c r="F77" s="9" t="n"/>
      <c r="K77">
        <f>IF(OR($D77="",$E77=""),"",$E77-$D77+1)</f>
        <v/>
      </c>
      <c r="L77">
        <f>IF(AND($E77&lt;TODAY(),$G77&lt;&gt;"Complete"),TODAY()-$E77,0)</f>
        <v/>
      </c>
      <c r="M77">
        <f>IF(OR($D77="",$E77=""),"",IF(AND($D77&lt;=IF('Client &amp; Project Profile'!$B$10="",TODAY(),'Client &amp; Project Profile'!$B$10)+0*7+6,$E77&gt;=IF('Client &amp; Project Profile'!$B$10="",TODAY(),'Client &amp; Project Profile'!$B$10)+0*7),"■",""))</f>
        <v/>
      </c>
      <c r="N77">
        <f>IF(OR($D77="",$E77=""),"",IF(AND($D77&lt;=IF('Client &amp; Project Profile'!$B$10="",TODAY(),'Client &amp; Project Profile'!$B$10)+1*7+6,$E77&gt;=IF('Client &amp; Project Profile'!$B$10="",TODAY(),'Client &amp; Project Profile'!$B$10)+1*7),"■",""))</f>
        <v/>
      </c>
      <c r="O77">
        <f>IF(OR($D77="",$E77=""),"",IF(AND($D77&lt;=IF('Client &amp; Project Profile'!$B$10="",TODAY(),'Client &amp; Project Profile'!$B$10)+2*7+6,$E77&gt;=IF('Client &amp; Project Profile'!$B$10="",TODAY(),'Client &amp; Project Profile'!$B$10)+2*7),"■",""))</f>
        <v/>
      </c>
      <c r="P77">
        <f>IF(OR($D77="",$E77=""),"",IF(AND($D77&lt;=IF('Client &amp; Project Profile'!$B$10="",TODAY(),'Client &amp; Project Profile'!$B$10)+3*7+6,$E77&gt;=IF('Client &amp; Project Profile'!$B$10="",TODAY(),'Client &amp; Project Profile'!$B$10)+3*7),"■",""))</f>
        <v/>
      </c>
      <c r="Q77">
        <f>IF(OR($D77="",$E77=""),"",IF(AND($D77&lt;=IF('Client &amp; Project Profile'!$B$10="",TODAY(),'Client &amp; Project Profile'!$B$10)+4*7+6,$E77&gt;=IF('Client &amp; Project Profile'!$B$10="",TODAY(),'Client &amp; Project Profile'!$B$10)+4*7),"■",""))</f>
        <v/>
      </c>
      <c r="R77">
        <f>IF(OR($D77="",$E77=""),"",IF(AND($D77&lt;=IF('Client &amp; Project Profile'!$B$10="",TODAY(),'Client &amp; Project Profile'!$B$10)+5*7+6,$E77&gt;=IF('Client &amp; Project Profile'!$B$10="",TODAY(),'Client &amp; Project Profile'!$B$10)+5*7),"■",""))</f>
        <v/>
      </c>
      <c r="S77">
        <f>IF(OR($D77="",$E77=""),"",IF(AND($D77&lt;=IF('Client &amp; Project Profile'!$B$10="",TODAY(),'Client &amp; Project Profile'!$B$10)+6*7+6,$E77&gt;=IF('Client &amp; Project Profile'!$B$10="",TODAY(),'Client &amp; Project Profile'!$B$10)+6*7),"■",""))</f>
        <v/>
      </c>
      <c r="T77">
        <f>IF(OR($D77="",$E77=""),"",IF(AND($D77&lt;=IF('Client &amp; Project Profile'!$B$10="",TODAY(),'Client &amp; Project Profile'!$B$10)+7*7+6,$E77&gt;=IF('Client &amp; Project Profile'!$B$10="",TODAY(),'Client &amp; Project Profile'!$B$10)+7*7),"■",""))</f>
        <v/>
      </c>
      <c r="U77">
        <f>IF(OR($D77="",$E77=""),"",IF(AND($D77&lt;=IF('Client &amp; Project Profile'!$B$10="",TODAY(),'Client &amp; Project Profile'!$B$10)+8*7+6,$E77&gt;=IF('Client &amp; Project Profile'!$B$10="",TODAY(),'Client &amp; Project Profile'!$B$10)+8*7),"■",""))</f>
        <v/>
      </c>
      <c r="V77">
        <f>IF(OR($D77="",$E77=""),"",IF(AND($D77&lt;=IF('Client &amp; Project Profile'!$B$10="",TODAY(),'Client &amp; Project Profile'!$B$10)+9*7+6,$E77&gt;=IF('Client &amp; Project Profile'!$B$10="",TODAY(),'Client &amp; Project Profile'!$B$10)+9*7),"■",""))</f>
        <v/>
      </c>
      <c r="W77">
        <f>IF(OR($D77="",$E77=""),"",IF(AND($D77&lt;=IF('Client &amp; Project Profile'!$B$10="",TODAY(),'Client &amp; Project Profile'!$B$10)+10*7+6,$E77&gt;=IF('Client &amp; Project Profile'!$B$10="",TODAY(),'Client &amp; Project Profile'!$B$10)+10*7),"■",""))</f>
        <v/>
      </c>
      <c r="X77">
        <f>IF(OR($D77="",$E77=""),"",IF(AND($D77&lt;=IF('Client &amp; Project Profile'!$B$10="",TODAY(),'Client &amp; Project Profile'!$B$10)+11*7+6,$E77&gt;=IF('Client &amp; Project Profile'!$B$10="",TODAY(),'Client &amp; Project Profile'!$B$10)+11*7),"■",""))</f>
        <v/>
      </c>
    </row>
    <row r="78">
      <c r="A78" s="12" t="n"/>
      <c r="B78" s="12" t="n"/>
      <c r="C78" s="12" t="n"/>
      <c r="D78" s="14" t="n"/>
      <c r="E78" s="14" t="n"/>
      <c r="F78" s="14" t="n"/>
      <c r="G78" s="12" t="n"/>
      <c r="H78" s="12" t="n"/>
      <c r="I78" s="12" t="n"/>
      <c r="J78" s="12" t="n"/>
      <c r="K78" s="12">
        <f>IF(OR($D78="",$E78=""),"",$E78-$D78+1)</f>
        <v/>
      </c>
      <c r="L78" s="12">
        <f>IF(AND($E78&lt;TODAY(),$G78&lt;&gt;"Complete"),TODAY()-$E78,0)</f>
        <v/>
      </c>
      <c r="M78" s="12">
        <f>IF(OR($D78="",$E78=""),"",IF(AND($D78&lt;=IF('Client &amp; Project Profile'!$B$10="",TODAY(),'Client &amp; Project Profile'!$B$10)+0*7+6,$E78&gt;=IF('Client &amp; Project Profile'!$B$10="",TODAY(),'Client &amp; Project Profile'!$B$10)+0*7),"■",""))</f>
        <v/>
      </c>
      <c r="N78" s="12">
        <f>IF(OR($D78="",$E78=""),"",IF(AND($D78&lt;=IF('Client &amp; Project Profile'!$B$10="",TODAY(),'Client &amp; Project Profile'!$B$10)+1*7+6,$E78&gt;=IF('Client &amp; Project Profile'!$B$10="",TODAY(),'Client &amp; Project Profile'!$B$10)+1*7),"■",""))</f>
        <v/>
      </c>
      <c r="O78" s="12">
        <f>IF(OR($D78="",$E78=""),"",IF(AND($D78&lt;=IF('Client &amp; Project Profile'!$B$10="",TODAY(),'Client &amp; Project Profile'!$B$10)+2*7+6,$E78&gt;=IF('Client &amp; Project Profile'!$B$10="",TODAY(),'Client &amp; Project Profile'!$B$10)+2*7),"■",""))</f>
        <v/>
      </c>
      <c r="P78" s="12">
        <f>IF(OR($D78="",$E78=""),"",IF(AND($D78&lt;=IF('Client &amp; Project Profile'!$B$10="",TODAY(),'Client &amp; Project Profile'!$B$10)+3*7+6,$E78&gt;=IF('Client &amp; Project Profile'!$B$10="",TODAY(),'Client &amp; Project Profile'!$B$10)+3*7),"■",""))</f>
        <v/>
      </c>
      <c r="Q78" s="12">
        <f>IF(OR($D78="",$E78=""),"",IF(AND($D78&lt;=IF('Client &amp; Project Profile'!$B$10="",TODAY(),'Client &amp; Project Profile'!$B$10)+4*7+6,$E78&gt;=IF('Client &amp; Project Profile'!$B$10="",TODAY(),'Client &amp; Project Profile'!$B$10)+4*7),"■",""))</f>
        <v/>
      </c>
      <c r="R78" s="12">
        <f>IF(OR($D78="",$E78=""),"",IF(AND($D78&lt;=IF('Client &amp; Project Profile'!$B$10="",TODAY(),'Client &amp; Project Profile'!$B$10)+5*7+6,$E78&gt;=IF('Client &amp; Project Profile'!$B$10="",TODAY(),'Client &amp; Project Profile'!$B$10)+5*7),"■",""))</f>
        <v/>
      </c>
      <c r="S78" s="12">
        <f>IF(OR($D78="",$E78=""),"",IF(AND($D78&lt;=IF('Client &amp; Project Profile'!$B$10="",TODAY(),'Client &amp; Project Profile'!$B$10)+6*7+6,$E78&gt;=IF('Client &amp; Project Profile'!$B$10="",TODAY(),'Client &amp; Project Profile'!$B$10)+6*7),"■",""))</f>
        <v/>
      </c>
      <c r="T78" s="12">
        <f>IF(OR($D78="",$E78=""),"",IF(AND($D78&lt;=IF('Client &amp; Project Profile'!$B$10="",TODAY(),'Client &amp; Project Profile'!$B$10)+7*7+6,$E78&gt;=IF('Client &amp; Project Profile'!$B$10="",TODAY(),'Client &amp; Project Profile'!$B$10)+7*7),"■",""))</f>
        <v/>
      </c>
      <c r="U78" s="12">
        <f>IF(OR($D78="",$E78=""),"",IF(AND($D78&lt;=IF('Client &amp; Project Profile'!$B$10="",TODAY(),'Client &amp; Project Profile'!$B$10)+8*7+6,$E78&gt;=IF('Client &amp; Project Profile'!$B$10="",TODAY(),'Client &amp; Project Profile'!$B$10)+8*7),"■",""))</f>
        <v/>
      </c>
      <c r="V78" s="12">
        <f>IF(OR($D78="",$E78=""),"",IF(AND($D78&lt;=IF('Client &amp; Project Profile'!$B$10="",TODAY(),'Client &amp; Project Profile'!$B$10)+9*7+6,$E78&gt;=IF('Client &amp; Project Profile'!$B$10="",TODAY(),'Client &amp; Project Profile'!$B$10)+9*7),"■",""))</f>
        <v/>
      </c>
      <c r="W78" s="12">
        <f>IF(OR($D78="",$E78=""),"",IF(AND($D78&lt;=IF('Client &amp; Project Profile'!$B$10="",TODAY(),'Client &amp; Project Profile'!$B$10)+10*7+6,$E78&gt;=IF('Client &amp; Project Profile'!$B$10="",TODAY(),'Client &amp; Project Profile'!$B$10)+10*7),"■",""))</f>
        <v/>
      </c>
      <c r="X78" s="12">
        <f>IF(OR($D78="",$E78=""),"",IF(AND($D78&lt;=IF('Client &amp; Project Profile'!$B$10="",TODAY(),'Client &amp; Project Profile'!$B$10)+11*7+6,$E78&gt;=IF('Client &amp; Project Profile'!$B$10="",TODAY(),'Client &amp; Project Profile'!$B$10)+11*7),"■",""))</f>
        <v/>
      </c>
    </row>
    <row r="79">
      <c r="D79" s="9" t="n"/>
      <c r="E79" s="9" t="n"/>
      <c r="F79" s="9" t="n"/>
      <c r="K79">
        <f>IF(OR($D79="",$E79=""),"",$E79-$D79+1)</f>
        <v/>
      </c>
      <c r="L79">
        <f>IF(AND($E79&lt;TODAY(),$G79&lt;&gt;"Complete"),TODAY()-$E79,0)</f>
        <v/>
      </c>
      <c r="M79">
        <f>IF(OR($D79="",$E79=""),"",IF(AND($D79&lt;=IF('Client &amp; Project Profile'!$B$10="",TODAY(),'Client &amp; Project Profile'!$B$10)+0*7+6,$E79&gt;=IF('Client &amp; Project Profile'!$B$10="",TODAY(),'Client &amp; Project Profile'!$B$10)+0*7),"■",""))</f>
        <v/>
      </c>
      <c r="N79">
        <f>IF(OR($D79="",$E79=""),"",IF(AND($D79&lt;=IF('Client &amp; Project Profile'!$B$10="",TODAY(),'Client &amp; Project Profile'!$B$10)+1*7+6,$E79&gt;=IF('Client &amp; Project Profile'!$B$10="",TODAY(),'Client &amp; Project Profile'!$B$10)+1*7),"■",""))</f>
        <v/>
      </c>
      <c r="O79">
        <f>IF(OR($D79="",$E79=""),"",IF(AND($D79&lt;=IF('Client &amp; Project Profile'!$B$10="",TODAY(),'Client &amp; Project Profile'!$B$10)+2*7+6,$E79&gt;=IF('Client &amp; Project Profile'!$B$10="",TODAY(),'Client &amp; Project Profile'!$B$10)+2*7),"■",""))</f>
        <v/>
      </c>
      <c r="P79">
        <f>IF(OR($D79="",$E79=""),"",IF(AND($D79&lt;=IF('Client &amp; Project Profile'!$B$10="",TODAY(),'Client &amp; Project Profile'!$B$10)+3*7+6,$E79&gt;=IF('Client &amp; Project Profile'!$B$10="",TODAY(),'Client &amp; Project Profile'!$B$10)+3*7),"■",""))</f>
        <v/>
      </c>
      <c r="Q79">
        <f>IF(OR($D79="",$E79=""),"",IF(AND($D79&lt;=IF('Client &amp; Project Profile'!$B$10="",TODAY(),'Client &amp; Project Profile'!$B$10)+4*7+6,$E79&gt;=IF('Client &amp; Project Profile'!$B$10="",TODAY(),'Client &amp; Project Profile'!$B$10)+4*7),"■",""))</f>
        <v/>
      </c>
      <c r="R79">
        <f>IF(OR($D79="",$E79=""),"",IF(AND($D79&lt;=IF('Client &amp; Project Profile'!$B$10="",TODAY(),'Client &amp; Project Profile'!$B$10)+5*7+6,$E79&gt;=IF('Client &amp; Project Profile'!$B$10="",TODAY(),'Client &amp; Project Profile'!$B$10)+5*7),"■",""))</f>
        <v/>
      </c>
      <c r="S79">
        <f>IF(OR($D79="",$E79=""),"",IF(AND($D79&lt;=IF('Client &amp; Project Profile'!$B$10="",TODAY(),'Client &amp; Project Profile'!$B$10)+6*7+6,$E79&gt;=IF('Client &amp; Project Profile'!$B$10="",TODAY(),'Client &amp; Project Profile'!$B$10)+6*7),"■",""))</f>
        <v/>
      </c>
      <c r="T79">
        <f>IF(OR($D79="",$E79=""),"",IF(AND($D79&lt;=IF('Client &amp; Project Profile'!$B$10="",TODAY(),'Client &amp; Project Profile'!$B$10)+7*7+6,$E79&gt;=IF('Client &amp; Project Profile'!$B$10="",TODAY(),'Client &amp; Project Profile'!$B$10)+7*7),"■",""))</f>
        <v/>
      </c>
      <c r="U79">
        <f>IF(OR($D79="",$E79=""),"",IF(AND($D79&lt;=IF('Client &amp; Project Profile'!$B$10="",TODAY(),'Client &amp; Project Profile'!$B$10)+8*7+6,$E79&gt;=IF('Client &amp; Project Profile'!$B$10="",TODAY(),'Client &amp; Project Profile'!$B$10)+8*7),"■",""))</f>
        <v/>
      </c>
      <c r="V79">
        <f>IF(OR($D79="",$E79=""),"",IF(AND($D79&lt;=IF('Client &amp; Project Profile'!$B$10="",TODAY(),'Client &amp; Project Profile'!$B$10)+9*7+6,$E79&gt;=IF('Client &amp; Project Profile'!$B$10="",TODAY(),'Client &amp; Project Profile'!$B$10)+9*7),"■",""))</f>
        <v/>
      </c>
      <c r="W79">
        <f>IF(OR($D79="",$E79=""),"",IF(AND($D79&lt;=IF('Client &amp; Project Profile'!$B$10="",TODAY(),'Client &amp; Project Profile'!$B$10)+10*7+6,$E79&gt;=IF('Client &amp; Project Profile'!$B$10="",TODAY(),'Client &amp; Project Profile'!$B$10)+10*7),"■",""))</f>
        <v/>
      </c>
      <c r="X79">
        <f>IF(OR($D79="",$E79=""),"",IF(AND($D79&lt;=IF('Client &amp; Project Profile'!$B$10="",TODAY(),'Client &amp; Project Profile'!$B$10)+11*7+6,$E79&gt;=IF('Client &amp; Project Profile'!$B$10="",TODAY(),'Client &amp; Project Profile'!$B$10)+11*7),"■",""))</f>
        <v/>
      </c>
    </row>
    <row r="80">
      <c r="A80" s="12" t="n"/>
      <c r="B80" s="12" t="n"/>
      <c r="C80" s="12" t="n"/>
      <c r="D80" s="14" t="n"/>
      <c r="E80" s="14" t="n"/>
      <c r="F80" s="14" t="n"/>
      <c r="G80" s="12" t="n"/>
      <c r="H80" s="12" t="n"/>
      <c r="I80" s="12" t="n"/>
      <c r="J80" s="12" t="n"/>
      <c r="K80" s="12">
        <f>IF(OR($D80="",$E80=""),"",$E80-$D80+1)</f>
        <v/>
      </c>
      <c r="L80" s="12">
        <f>IF(AND($E80&lt;TODAY(),$G80&lt;&gt;"Complete"),TODAY()-$E80,0)</f>
        <v/>
      </c>
      <c r="M80" s="12">
        <f>IF(OR($D80="",$E80=""),"",IF(AND($D80&lt;=IF('Client &amp; Project Profile'!$B$10="",TODAY(),'Client &amp; Project Profile'!$B$10)+0*7+6,$E80&gt;=IF('Client &amp; Project Profile'!$B$10="",TODAY(),'Client &amp; Project Profile'!$B$10)+0*7),"■",""))</f>
        <v/>
      </c>
      <c r="N80" s="12">
        <f>IF(OR($D80="",$E80=""),"",IF(AND($D80&lt;=IF('Client &amp; Project Profile'!$B$10="",TODAY(),'Client &amp; Project Profile'!$B$10)+1*7+6,$E80&gt;=IF('Client &amp; Project Profile'!$B$10="",TODAY(),'Client &amp; Project Profile'!$B$10)+1*7),"■",""))</f>
        <v/>
      </c>
      <c r="O80" s="12">
        <f>IF(OR($D80="",$E80=""),"",IF(AND($D80&lt;=IF('Client &amp; Project Profile'!$B$10="",TODAY(),'Client &amp; Project Profile'!$B$10)+2*7+6,$E80&gt;=IF('Client &amp; Project Profile'!$B$10="",TODAY(),'Client &amp; Project Profile'!$B$10)+2*7),"■",""))</f>
        <v/>
      </c>
      <c r="P80" s="12">
        <f>IF(OR($D80="",$E80=""),"",IF(AND($D80&lt;=IF('Client &amp; Project Profile'!$B$10="",TODAY(),'Client &amp; Project Profile'!$B$10)+3*7+6,$E80&gt;=IF('Client &amp; Project Profile'!$B$10="",TODAY(),'Client &amp; Project Profile'!$B$10)+3*7),"■",""))</f>
        <v/>
      </c>
      <c r="Q80" s="12">
        <f>IF(OR($D80="",$E80=""),"",IF(AND($D80&lt;=IF('Client &amp; Project Profile'!$B$10="",TODAY(),'Client &amp; Project Profile'!$B$10)+4*7+6,$E80&gt;=IF('Client &amp; Project Profile'!$B$10="",TODAY(),'Client &amp; Project Profile'!$B$10)+4*7),"■",""))</f>
        <v/>
      </c>
      <c r="R80" s="12">
        <f>IF(OR($D80="",$E80=""),"",IF(AND($D80&lt;=IF('Client &amp; Project Profile'!$B$10="",TODAY(),'Client &amp; Project Profile'!$B$10)+5*7+6,$E80&gt;=IF('Client &amp; Project Profile'!$B$10="",TODAY(),'Client &amp; Project Profile'!$B$10)+5*7),"■",""))</f>
        <v/>
      </c>
      <c r="S80" s="12">
        <f>IF(OR($D80="",$E80=""),"",IF(AND($D80&lt;=IF('Client &amp; Project Profile'!$B$10="",TODAY(),'Client &amp; Project Profile'!$B$10)+6*7+6,$E80&gt;=IF('Client &amp; Project Profile'!$B$10="",TODAY(),'Client &amp; Project Profile'!$B$10)+6*7),"■",""))</f>
        <v/>
      </c>
      <c r="T80" s="12">
        <f>IF(OR($D80="",$E80=""),"",IF(AND($D80&lt;=IF('Client &amp; Project Profile'!$B$10="",TODAY(),'Client &amp; Project Profile'!$B$10)+7*7+6,$E80&gt;=IF('Client &amp; Project Profile'!$B$10="",TODAY(),'Client &amp; Project Profile'!$B$10)+7*7),"■",""))</f>
        <v/>
      </c>
      <c r="U80" s="12">
        <f>IF(OR($D80="",$E80=""),"",IF(AND($D80&lt;=IF('Client &amp; Project Profile'!$B$10="",TODAY(),'Client &amp; Project Profile'!$B$10)+8*7+6,$E80&gt;=IF('Client &amp; Project Profile'!$B$10="",TODAY(),'Client &amp; Project Profile'!$B$10)+8*7),"■",""))</f>
        <v/>
      </c>
      <c r="V80" s="12">
        <f>IF(OR($D80="",$E80=""),"",IF(AND($D80&lt;=IF('Client &amp; Project Profile'!$B$10="",TODAY(),'Client &amp; Project Profile'!$B$10)+9*7+6,$E80&gt;=IF('Client &amp; Project Profile'!$B$10="",TODAY(),'Client &amp; Project Profile'!$B$10)+9*7),"■",""))</f>
        <v/>
      </c>
      <c r="W80" s="12">
        <f>IF(OR($D80="",$E80=""),"",IF(AND($D80&lt;=IF('Client &amp; Project Profile'!$B$10="",TODAY(),'Client &amp; Project Profile'!$B$10)+10*7+6,$E80&gt;=IF('Client &amp; Project Profile'!$B$10="",TODAY(),'Client &amp; Project Profile'!$B$10)+10*7),"■",""))</f>
        <v/>
      </c>
      <c r="X80" s="12">
        <f>IF(OR($D80="",$E80=""),"",IF(AND($D80&lt;=IF('Client &amp; Project Profile'!$B$10="",TODAY(),'Client &amp; Project Profile'!$B$10)+11*7+6,$E80&gt;=IF('Client &amp; Project Profile'!$B$10="",TODAY(),'Client &amp; Project Profile'!$B$10)+11*7),"■",""))</f>
        <v/>
      </c>
    </row>
    <row r="81">
      <c r="D81" s="9" t="n"/>
      <c r="E81" s="9" t="n"/>
      <c r="F81" s="9" t="n"/>
      <c r="K81">
        <f>IF(OR($D81="",$E81=""),"",$E81-$D81+1)</f>
        <v/>
      </c>
      <c r="L81">
        <f>IF(AND($E81&lt;TODAY(),$G81&lt;&gt;"Complete"),TODAY()-$E81,0)</f>
        <v/>
      </c>
      <c r="M81">
        <f>IF(OR($D81="",$E81=""),"",IF(AND($D81&lt;=IF('Client &amp; Project Profile'!$B$10="",TODAY(),'Client &amp; Project Profile'!$B$10)+0*7+6,$E81&gt;=IF('Client &amp; Project Profile'!$B$10="",TODAY(),'Client &amp; Project Profile'!$B$10)+0*7),"■",""))</f>
        <v/>
      </c>
      <c r="N81">
        <f>IF(OR($D81="",$E81=""),"",IF(AND($D81&lt;=IF('Client &amp; Project Profile'!$B$10="",TODAY(),'Client &amp; Project Profile'!$B$10)+1*7+6,$E81&gt;=IF('Client &amp; Project Profile'!$B$10="",TODAY(),'Client &amp; Project Profile'!$B$10)+1*7),"■",""))</f>
        <v/>
      </c>
      <c r="O81">
        <f>IF(OR($D81="",$E81=""),"",IF(AND($D81&lt;=IF('Client &amp; Project Profile'!$B$10="",TODAY(),'Client &amp; Project Profile'!$B$10)+2*7+6,$E81&gt;=IF('Client &amp; Project Profile'!$B$10="",TODAY(),'Client &amp; Project Profile'!$B$10)+2*7),"■",""))</f>
        <v/>
      </c>
      <c r="P81">
        <f>IF(OR($D81="",$E81=""),"",IF(AND($D81&lt;=IF('Client &amp; Project Profile'!$B$10="",TODAY(),'Client &amp; Project Profile'!$B$10)+3*7+6,$E81&gt;=IF('Client &amp; Project Profile'!$B$10="",TODAY(),'Client &amp; Project Profile'!$B$10)+3*7),"■",""))</f>
        <v/>
      </c>
      <c r="Q81">
        <f>IF(OR($D81="",$E81=""),"",IF(AND($D81&lt;=IF('Client &amp; Project Profile'!$B$10="",TODAY(),'Client &amp; Project Profile'!$B$10)+4*7+6,$E81&gt;=IF('Client &amp; Project Profile'!$B$10="",TODAY(),'Client &amp; Project Profile'!$B$10)+4*7),"■",""))</f>
        <v/>
      </c>
      <c r="R81">
        <f>IF(OR($D81="",$E81=""),"",IF(AND($D81&lt;=IF('Client &amp; Project Profile'!$B$10="",TODAY(),'Client &amp; Project Profile'!$B$10)+5*7+6,$E81&gt;=IF('Client &amp; Project Profile'!$B$10="",TODAY(),'Client &amp; Project Profile'!$B$10)+5*7),"■",""))</f>
        <v/>
      </c>
      <c r="S81">
        <f>IF(OR($D81="",$E81=""),"",IF(AND($D81&lt;=IF('Client &amp; Project Profile'!$B$10="",TODAY(),'Client &amp; Project Profile'!$B$10)+6*7+6,$E81&gt;=IF('Client &amp; Project Profile'!$B$10="",TODAY(),'Client &amp; Project Profile'!$B$10)+6*7),"■",""))</f>
        <v/>
      </c>
      <c r="T81">
        <f>IF(OR($D81="",$E81=""),"",IF(AND($D81&lt;=IF('Client &amp; Project Profile'!$B$10="",TODAY(),'Client &amp; Project Profile'!$B$10)+7*7+6,$E81&gt;=IF('Client &amp; Project Profile'!$B$10="",TODAY(),'Client &amp; Project Profile'!$B$10)+7*7),"■",""))</f>
        <v/>
      </c>
      <c r="U81">
        <f>IF(OR($D81="",$E81=""),"",IF(AND($D81&lt;=IF('Client &amp; Project Profile'!$B$10="",TODAY(),'Client &amp; Project Profile'!$B$10)+8*7+6,$E81&gt;=IF('Client &amp; Project Profile'!$B$10="",TODAY(),'Client &amp; Project Profile'!$B$10)+8*7),"■",""))</f>
        <v/>
      </c>
      <c r="V81">
        <f>IF(OR($D81="",$E81=""),"",IF(AND($D81&lt;=IF('Client &amp; Project Profile'!$B$10="",TODAY(),'Client &amp; Project Profile'!$B$10)+9*7+6,$E81&gt;=IF('Client &amp; Project Profile'!$B$10="",TODAY(),'Client &amp; Project Profile'!$B$10)+9*7),"■",""))</f>
        <v/>
      </c>
      <c r="W81">
        <f>IF(OR($D81="",$E81=""),"",IF(AND($D81&lt;=IF('Client &amp; Project Profile'!$B$10="",TODAY(),'Client &amp; Project Profile'!$B$10)+10*7+6,$E81&gt;=IF('Client &amp; Project Profile'!$B$10="",TODAY(),'Client &amp; Project Profile'!$B$10)+10*7),"■",""))</f>
        <v/>
      </c>
      <c r="X81">
        <f>IF(OR($D81="",$E81=""),"",IF(AND($D81&lt;=IF('Client &amp; Project Profile'!$B$10="",TODAY(),'Client &amp; Project Profile'!$B$10)+11*7+6,$E81&gt;=IF('Client &amp; Project Profile'!$B$10="",TODAY(),'Client &amp; Project Profile'!$B$10)+11*7),"■",""))</f>
        <v/>
      </c>
    </row>
    <row r="82">
      <c r="A82" s="12" t="n"/>
      <c r="B82" s="12" t="n"/>
      <c r="C82" s="12" t="n"/>
      <c r="D82" s="14" t="n"/>
      <c r="E82" s="14" t="n"/>
      <c r="F82" s="14" t="n"/>
      <c r="G82" s="12" t="n"/>
      <c r="H82" s="12" t="n"/>
      <c r="I82" s="12" t="n"/>
      <c r="J82" s="12" t="n"/>
      <c r="K82" s="12">
        <f>IF(OR($D82="",$E82=""),"",$E82-$D82+1)</f>
        <v/>
      </c>
      <c r="L82" s="12">
        <f>IF(AND($E82&lt;TODAY(),$G82&lt;&gt;"Complete"),TODAY()-$E82,0)</f>
        <v/>
      </c>
      <c r="M82" s="12">
        <f>IF(OR($D82="",$E82=""),"",IF(AND($D82&lt;=IF('Client &amp; Project Profile'!$B$10="",TODAY(),'Client &amp; Project Profile'!$B$10)+0*7+6,$E82&gt;=IF('Client &amp; Project Profile'!$B$10="",TODAY(),'Client &amp; Project Profile'!$B$10)+0*7),"■",""))</f>
        <v/>
      </c>
      <c r="N82" s="12">
        <f>IF(OR($D82="",$E82=""),"",IF(AND($D82&lt;=IF('Client &amp; Project Profile'!$B$10="",TODAY(),'Client &amp; Project Profile'!$B$10)+1*7+6,$E82&gt;=IF('Client &amp; Project Profile'!$B$10="",TODAY(),'Client &amp; Project Profile'!$B$10)+1*7),"■",""))</f>
        <v/>
      </c>
      <c r="O82" s="12">
        <f>IF(OR($D82="",$E82=""),"",IF(AND($D82&lt;=IF('Client &amp; Project Profile'!$B$10="",TODAY(),'Client &amp; Project Profile'!$B$10)+2*7+6,$E82&gt;=IF('Client &amp; Project Profile'!$B$10="",TODAY(),'Client &amp; Project Profile'!$B$10)+2*7),"■",""))</f>
        <v/>
      </c>
      <c r="P82" s="12">
        <f>IF(OR($D82="",$E82=""),"",IF(AND($D82&lt;=IF('Client &amp; Project Profile'!$B$10="",TODAY(),'Client &amp; Project Profile'!$B$10)+3*7+6,$E82&gt;=IF('Client &amp; Project Profile'!$B$10="",TODAY(),'Client &amp; Project Profile'!$B$10)+3*7),"■",""))</f>
        <v/>
      </c>
      <c r="Q82" s="12">
        <f>IF(OR($D82="",$E82=""),"",IF(AND($D82&lt;=IF('Client &amp; Project Profile'!$B$10="",TODAY(),'Client &amp; Project Profile'!$B$10)+4*7+6,$E82&gt;=IF('Client &amp; Project Profile'!$B$10="",TODAY(),'Client &amp; Project Profile'!$B$10)+4*7),"■",""))</f>
        <v/>
      </c>
      <c r="R82" s="12">
        <f>IF(OR($D82="",$E82=""),"",IF(AND($D82&lt;=IF('Client &amp; Project Profile'!$B$10="",TODAY(),'Client &amp; Project Profile'!$B$10)+5*7+6,$E82&gt;=IF('Client &amp; Project Profile'!$B$10="",TODAY(),'Client &amp; Project Profile'!$B$10)+5*7),"■",""))</f>
        <v/>
      </c>
      <c r="S82" s="12">
        <f>IF(OR($D82="",$E82=""),"",IF(AND($D82&lt;=IF('Client &amp; Project Profile'!$B$10="",TODAY(),'Client &amp; Project Profile'!$B$10)+6*7+6,$E82&gt;=IF('Client &amp; Project Profile'!$B$10="",TODAY(),'Client &amp; Project Profile'!$B$10)+6*7),"■",""))</f>
        <v/>
      </c>
      <c r="T82" s="12">
        <f>IF(OR($D82="",$E82=""),"",IF(AND($D82&lt;=IF('Client &amp; Project Profile'!$B$10="",TODAY(),'Client &amp; Project Profile'!$B$10)+7*7+6,$E82&gt;=IF('Client &amp; Project Profile'!$B$10="",TODAY(),'Client &amp; Project Profile'!$B$10)+7*7),"■",""))</f>
        <v/>
      </c>
      <c r="U82" s="12">
        <f>IF(OR($D82="",$E82=""),"",IF(AND($D82&lt;=IF('Client &amp; Project Profile'!$B$10="",TODAY(),'Client &amp; Project Profile'!$B$10)+8*7+6,$E82&gt;=IF('Client &amp; Project Profile'!$B$10="",TODAY(),'Client &amp; Project Profile'!$B$10)+8*7),"■",""))</f>
        <v/>
      </c>
      <c r="V82" s="12">
        <f>IF(OR($D82="",$E82=""),"",IF(AND($D82&lt;=IF('Client &amp; Project Profile'!$B$10="",TODAY(),'Client &amp; Project Profile'!$B$10)+9*7+6,$E82&gt;=IF('Client &amp; Project Profile'!$B$10="",TODAY(),'Client &amp; Project Profile'!$B$10)+9*7),"■",""))</f>
        <v/>
      </c>
      <c r="W82" s="12">
        <f>IF(OR($D82="",$E82=""),"",IF(AND($D82&lt;=IF('Client &amp; Project Profile'!$B$10="",TODAY(),'Client &amp; Project Profile'!$B$10)+10*7+6,$E82&gt;=IF('Client &amp; Project Profile'!$B$10="",TODAY(),'Client &amp; Project Profile'!$B$10)+10*7),"■",""))</f>
        <v/>
      </c>
      <c r="X82" s="12">
        <f>IF(OR($D82="",$E82=""),"",IF(AND($D82&lt;=IF('Client &amp; Project Profile'!$B$10="",TODAY(),'Client &amp; Project Profile'!$B$10)+11*7+6,$E82&gt;=IF('Client &amp; Project Profile'!$B$10="",TODAY(),'Client &amp; Project Profile'!$B$10)+11*7),"■",""))</f>
        <v/>
      </c>
    </row>
    <row r="83">
      <c r="D83" s="9" t="n"/>
      <c r="E83" s="9" t="n"/>
      <c r="F83" s="9" t="n"/>
      <c r="K83">
        <f>IF(OR($D83="",$E83=""),"",$E83-$D83+1)</f>
        <v/>
      </c>
      <c r="L83">
        <f>IF(AND($E83&lt;TODAY(),$G83&lt;&gt;"Complete"),TODAY()-$E83,0)</f>
        <v/>
      </c>
      <c r="M83">
        <f>IF(OR($D83="",$E83=""),"",IF(AND($D83&lt;=IF('Client &amp; Project Profile'!$B$10="",TODAY(),'Client &amp; Project Profile'!$B$10)+0*7+6,$E83&gt;=IF('Client &amp; Project Profile'!$B$10="",TODAY(),'Client &amp; Project Profile'!$B$10)+0*7),"■",""))</f>
        <v/>
      </c>
      <c r="N83">
        <f>IF(OR($D83="",$E83=""),"",IF(AND($D83&lt;=IF('Client &amp; Project Profile'!$B$10="",TODAY(),'Client &amp; Project Profile'!$B$10)+1*7+6,$E83&gt;=IF('Client &amp; Project Profile'!$B$10="",TODAY(),'Client &amp; Project Profile'!$B$10)+1*7),"■",""))</f>
        <v/>
      </c>
      <c r="O83">
        <f>IF(OR($D83="",$E83=""),"",IF(AND($D83&lt;=IF('Client &amp; Project Profile'!$B$10="",TODAY(),'Client &amp; Project Profile'!$B$10)+2*7+6,$E83&gt;=IF('Client &amp; Project Profile'!$B$10="",TODAY(),'Client &amp; Project Profile'!$B$10)+2*7),"■",""))</f>
        <v/>
      </c>
      <c r="P83">
        <f>IF(OR($D83="",$E83=""),"",IF(AND($D83&lt;=IF('Client &amp; Project Profile'!$B$10="",TODAY(),'Client &amp; Project Profile'!$B$10)+3*7+6,$E83&gt;=IF('Client &amp; Project Profile'!$B$10="",TODAY(),'Client &amp; Project Profile'!$B$10)+3*7),"■",""))</f>
        <v/>
      </c>
      <c r="Q83">
        <f>IF(OR($D83="",$E83=""),"",IF(AND($D83&lt;=IF('Client &amp; Project Profile'!$B$10="",TODAY(),'Client &amp; Project Profile'!$B$10)+4*7+6,$E83&gt;=IF('Client &amp; Project Profile'!$B$10="",TODAY(),'Client &amp; Project Profile'!$B$10)+4*7),"■",""))</f>
        <v/>
      </c>
      <c r="R83">
        <f>IF(OR($D83="",$E83=""),"",IF(AND($D83&lt;=IF('Client &amp; Project Profile'!$B$10="",TODAY(),'Client &amp; Project Profile'!$B$10)+5*7+6,$E83&gt;=IF('Client &amp; Project Profile'!$B$10="",TODAY(),'Client &amp; Project Profile'!$B$10)+5*7),"■",""))</f>
        <v/>
      </c>
      <c r="S83">
        <f>IF(OR($D83="",$E83=""),"",IF(AND($D83&lt;=IF('Client &amp; Project Profile'!$B$10="",TODAY(),'Client &amp; Project Profile'!$B$10)+6*7+6,$E83&gt;=IF('Client &amp; Project Profile'!$B$10="",TODAY(),'Client &amp; Project Profile'!$B$10)+6*7),"■",""))</f>
        <v/>
      </c>
      <c r="T83">
        <f>IF(OR($D83="",$E83=""),"",IF(AND($D83&lt;=IF('Client &amp; Project Profile'!$B$10="",TODAY(),'Client &amp; Project Profile'!$B$10)+7*7+6,$E83&gt;=IF('Client &amp; Project Profile'!$B$10="",TODAY(),'Client &amp; Project Profile'!$B$10)+7*7),"■",""))</f>
        <v/>
      </c>
      <c r="U83">
        <f>IF(OR($D83="",$E83=""),"",IF(AND($D83&lt;=IF('Client &amp; Project Profile'!$B$10="",TODAY(),'Client &amp; Project Profile'!$B$10)+8*7+6,$E83&gt;=IF('Client &amp; Project Profile'!$B$10="",TODAY(),'Client &amp; Project Profile'!$B$10)+8*7),"■",""))</f>
        <v/>
      </c>
      <c r="V83">
        <f>IF(OR($D83="",$E83=""),"",IF(AND($D83&lt;=IF('Client &amp; Project Profile'!$B$10="",TODAY(),'Client &amp; Project Profile'!$B$10)+9*7+6,$E83&gt;=IF('Client &amp; Project Profile'!$B$10="",TODAY(),'Client &amp; Project Profile'!$B$10)+9*7),"■",""))</f>
        <v/>
      </c>
      <c r="W83">
        <f>IF(OR($D83="",$E83=""),"",IF(AND($D83&lt;=IF('Client &amp; Project Profile'!$B$10="",TODAY(),'Client &amp; Project Profile'!$B$10)+10*7+6,$E83&gt;=IF('Client &amp; Project Profile'!$B$10="",TODAY(),'Client &amp; Project Profile'!$B$10)+10*7),"■",""))</f>
        <v/>
      </c>
      <c r="X83">
        <f>IF(OR($D83="",$E83=""),"",IF(AND($D83&lt;=IF('Client &amp; Project Profile'!$B$10="",TODAY(),'Client &amp; Project Profile'!$B$10)+11*7+6,$E83&gt;=IF('Client &amp; Project Profile'!$B$10="",TODAY(),'Client &amp; Project Profile'!$B$10)+11*7),"■",""))</f>
        <v/>
      </c>
    </row>
    <row r="84">
      <c r="A84" s="12" t="n"/>
      <c r="B84" s="12" t="n"/>
      <c r="C84" s="12" t="n"/>
      <c r="D84" s="14" t="n"/>
      <c r="E84" s="14" t="n"/>
      <c r="F84" s="14" t="n"/>
      <c r="G84" s="12" t="n"/>
      <c r="H84" s="12" t="n"/>
      <c r="I84" s="12" t="n"/>
      <c r="J84" s="12" t="n"/>
      <c r="K84" s="12">
        <f>IF(OR($D84="",$E84=""),"",$E84-$D84+1)</f>
        <v/>
      </c>
      <c r="L84" s="12">
        <f>IF(AND($E84&lt;TODAY(),$G84&lt;&gt;"Complete"),TODAY()-$E84,0)</f>
        <v/>
      </c>
      <c r="M84" s="12">
        <f>IF(OR($D84="",$E84=""),"",IF(AND($D84&lt;=IF('Client &amp; Project Profile'!$B$10="",TODAY(),'Client &amp; Project Profile'!$B$10)+0*7+6,$E84&gt;=IF('Client &amp; Project Profile'!$B$10="",TODAY(),'Client &amp; Project Profile'!$B$10)+0*7),"■",""))</f>
        <v/>
      </c>
      <c r="N84" s="12">
        <f>IF(OR($D84="",$E84=""),"",IF(AND($D84&lt;=IF('Client &amp; Project Profile'!$B$10="",TODAY(),'Client &amp; Project Profile'!$B$10)+1*7+6,$E84&gt;=IF('Client &amp; Project Profile'!$B$10="",TODAY(),'Client &amp; Project Profile'!$B$10)+1*7),"■",""))</f>
        <v/>
      </c>
      <c r="O84" s="12">
        <f>IF(OR($D84="",$E84=""),"",IF(AND($D84&lt;=IF('Client &amp; Project Profile'!$B$10="",TODAY(),'Client &amp; Project Profile'!$B$10)+2*7+6,$E84&gt;=IF('Client &amp; Project Profile'!$B$10="",TODAY(),'Client &amp; Project Profile'!$B$10)+2*7),"■",""))</f>
        <v/>
      </c>
      <c r="P84" s="12">
        <f>IF(OR($D84="",$E84=""),"",IF(AND($D84&lt;=IF('Client &amp; Project Profile'!$B$10="",TODAY(),'Client &amp; Project Profile'!$B$10)+3*7+6,$E84&gt;=IF('Client &amp; Project Profile'!$B$10="",TODAY(),'Client &amp; Project Profile'!$B$10)+3*7),"■",""))</f>
        <v/>
      </c>
      <c r="Q84" s="12">
        <f>IF(OR($D84="",$E84=""),"",IF(AND($D84&lt;=IF('Client &amp; Project Profile'!$B$10="",TODAY(),'Client &amp; Project Profile'!$B$10)+4*7+6,$E84&gt;=IF('Client &amp; Project Profile'!$B$10="",TODAY(),'Client &amp; Project Profile'!$B$10)+4*7),"■",""))</f>
        <v/>
      </c>
      <c r="R84" s="12">
        <f>IF(OR($D84="",$E84=""),"",IF(AND($D84&lt;=IF('Client &amp; Project Profile'!$B$10="",TODAY(),'Client &amp; Project Profile'!$B$10)+5*7+6,$E84&gt;=IF('Client &amp; Project Profile'!$B$10="",TODAY(),'Client &amp; Project Profile'!$B$10)+5*7),"■",""))</f>
        <v/>
      </c>
      <c r="S84" s="12">
        <f>IF(OR($D84="",$E84=""),"",IF(AND($D84&lt;=IF('Client &amp; Project Profile'!$B$10="",TODAY(),'Client &amp; Project Profile'!$B$10)+6*7+6,$E84&gt;=IF('Client &amp; Project Profile'!$B$10="",TODAY(),'Client &amp; Project Profile'!$B$10)+6*7),"■",""))</f>
        <v/>
      </c>
      <c r="T84" s="12">
        <f>IF(OR($D84="",$E84=""),"",IF(AND($D84&lt;=IF('Client &amp; Project Profile'!$B$10="",TODAY(),'Client &amp; Project Profile'!$B$10)+7*7+6,$E84&gt;=IF('Client &amp; Project Profile'!$B$10="",TODAY(),'Client &amp; Project Profile'!$B$10)+7*7),"■",""))</f>
        <v/>
      </c>
      <c r="U84" s="12">
        <f>IF(OR($D84="",$E84=""),"",IF(AND($D84&lt;=IF('Client &amp; Project Profile'!$B$10="",TODAY(),'Client &amp; Project Profile'!$B$10)+8*7+6,$E84&gt;=IF('Client &amp; Project Profile'!$B$10="",TODAY(),'Client &amp; Project Profile'!$B$10)+8*7),"■",""))</f>
        <v/>
      </c>
      <c r="V84" s="12">
        <f>IF(OR($D84="",$E84=""),"",IF(AND($D84&lt;=IF('Client &amp; Project Profile'!$B$10="",TODAY(),'Client &amp; Project Profile'!$B$10)+9*7+6,$E84&gt;=IF('Client &amp; Project Profile'!$B$10="",TODAY(),'Client &amp; Project Profile'!$B$10)+9*7),"■",""))</f>
        <v/>
      </c>
      <c r="W84" s="12">
        <f>IF(OR($D84="",$E84=""),"",IF(AND($D84&lt;=IF('Client &amp; Project Profile'!$B$10="",TODAY(),'Client &amp; Project Profile'!$B$10)+10*7+6,$E84&gt;=IF('Client &amp; Project Profile'!$B$10="",TODAY(),'Client &amp; Project Profile'!$B$10)+10*7),"■",""))</f>
        <v/>
      </c>
      <c r="X84" s="12">
        <f>IF(OR($D84="",$E84=""),"",IF(AND($D84&lt;=IF('Client &amp; Project Profile'!$B$10="",TODAY(),'Client &amp; Project Profile'!$B$10)+11*7+6,$E84&gt;=IF('Client &amp; Project Profile'!$B$10="",TODAY(),'Client &amp; Project Profile'!$B$10)+11*7),"■",""))</f>
        <v/>
      </c>
    </row>
    <row r="85">
      <c r="D85" s="9" t="n"/>
      <c r="E85" s="9" t="n"/>
      <c r="F85" s="9" t="n"/>
      <c r="K85">
        <f>IF(OR($D85="",$E85=""),"",$E85-$D85+1)</f>
        <v/>
      </c>
      <c r="L85">
        <f>IF(AND($E85&lt;TODAY(),$G85&lt;&gt;"Complete"),TODAY()-$E85,0)</f>
        <v/>
      </c>
      <c r="M85">
        <f>IF(OR($D85="",$E85=""),"",IF(AND($D85&lt;=IF('Client &amp; Project Profile'!$B$10="",TODAY(),'Client &amp; Project Profile'!$B$10)+0*7+6,$E85&gt;=IF('Client &amp; Project Profile'!$B$10="",TODAY(),'Client &amp; Project Profile'!$B$10)+0*7),"■",""))</f>
        <v/>
      </c>
      <c r="N85">
        <f>IF(OR($D85="",$E85=""),"",IF(AND($D85&lt;=IF('Client &amp; Project Profile'!$B$10="",TODAY(),'Client &amp; Project Profile'!$B$10)+1*7+6,$E85&gt;=IF('Client &amp; Project Profile'!$B$10="",TODAY(),'Client &amp; Project Profile'!$B$10)+1*7),"■",""))</f>
        <v/>
      </c>
      <c r="O85">
        <f>IF(OR($D85="",$E85=""),"",IF(AND($D85&lt;=IF('Client &amp; Project Profile'!$B$10="",TODAY(),'Client &amp; Project Profile'!$B$10)+2*7+6,$E85&gt;=IF('Client &amp; Project Profile'!$B$10="",TODAY(),'Client &amp; Project Profile'!$B$10)+2*7),"■",""))</f>
        <v/>
      </c>
      <c r="P85">
        <f>IF(OR($D85="",$E85=""),"",IF(AND($D85&lt;=IF('Client &amp; Project Profile'!$B$10="",TODAY(),'Client &amp; Project Profile'!$B$10)+3*7+6,$E85&gt;=IF('Client &amp; Project Profile'!$B$10="",TODAY(),'Client &amp; Project Profile'!$B$10)+3*7),"■",""))</f>
        <v/>
      </c>
      <c r="Q85">
        <f>IF(OR($D85="",$E85=""),"",IF(AND($D85&lt;=IF('Client &amp; Project Profile'!$B$10="",TODAY(),'Client &amp; Project Profile'!$B$10)+4*7+6,$E85&gt;=IF('Client &amp; Project Profile'!$B$10="",TODAY(),'Client &amp; Project Profile'!$B$10)+4*7),"■",""))</f>
        <v/>
      </c>
      <c r="R85">
        <f>IF(OR($D85="",$E85=""),"",IF(AND($D85&lt;=IF('Client &amp; Project Profile'!$B$10="",TODAY(),'Client &amp; Project Profile'!$B$10)+5*7+6,$E85&gt;=IF('Client &amp; Project Profile'!$B$10="",TODAY(),'Client &amp; Project Profile'!$B$10)+5*7),"■",""))</f>
        <v/>
      </c>
      <c r="S85">
        <f>IF(OR($D85="",$E85=""),"",IF(AND($D85&lt;=IF('Client &amp; Project Profile'!$B$10="",TODAY(),'Client &amp; Project Profile'!$B$10)+6*7+6,$E85&gt;=IF('Client &amp; Project Profile'!$B$10="",TODAY(),'Client &amp; Project Profile'!$B$10)+6*7),"■",""))</f>
        <v/>
      </c>
      <c r="T85">
        <f>IF(OR($D85="",$E85=""),"",IF(AND($D85&lt;=IF('Client &amp; Project Profile'!$B$10="",TODAY(),'Client &amp; Project Profile'!$B$10)+7*7+6,$E85&gt;=IF('Client &amp; Project Profile'!$B$10="",TODAY(),'Client &amp; Project Profile'!$B$10)+7*7),"■",""))</f>
        <v/>
      </c>
      <c r="U85">
        <f>IF(OR($D85="",$E85=""),"",IF(AND($D85&lt;=IF('Client &amp; Project Profile'!$B$10="",TODAY(),'Client &amp; Project Profile'!$B$10)+8*7+6,$E85&gt;=IF('Client &amp; Project Profile'!$B$10="",TODAY(),'Client &amp; Project Profile'!$B$10)+8*7),"■",""))</f>
        <v/>
      </c>
      <c r="V85">
        <f>IF(OR($D85="",$E85=""),"",IF(AND($D85&lt;=IF('Client &amp; Project Profile'!$B$10="",TODAY(),'Client &amp; Project Profile'!$B$10)+9*7+6,$E85&gt;=IF('Client &amp; Project Profile'!$B$10="",TODAY(),'Client &amp; Project Profile'!$B$10)+9*7),"■",""))</f>
        <v/>
      </c>
      <c r="W85">
        <f>IF(OR($D85="",$E85=""),"",IF(AND($D85&lt;=IF('Client &amp; Project Profile'!$B$10="",TODAY(),'Client &amp; Project Profile'!$B$10)+10*7+6,$E85&gt;=IF('Client &amp; Project Profile'!$B$10="",TODAY(),'Client &amp; Project Profile'!$B$10)+10*7),"■",""))</f>
        <v/>
      </c>
      <c r="X85">
        <f>IF(OR($D85="",$E85=""),"",IF(AND($D85&lt;=IF('Client &amp; Project Profile'!$B$10="",TODAY(),'Client &amp; Project Profile'!$B$10)+11*7+6,$E85&gt;=IF('Client &amp; Project Profile'!$B$10="",TODAY(),'Client &amp; Project Profile'!$B$10)+11*7),"■",""))</f>
        <v/>
      </c>
    </row>
    <row r="86">
      <c r="A86" s="12" t="n"/>
      <c r="B86" s="12" t="n"/>
      <c r="C86" s="12" t="n"/>
      <c r="D86" s="14" t="n"/>
      <c r="E86" s="14" t="n"/>
      <c r="F86" s="14" t="n"/>
      <c r="G86" s="12" t="n"/>
      <c r="H86" s="12" t="n"/>
      <c r="I86" s="12" t="n"/>
      <c r="J86" s="12" t="n"/>
      <c r="K86" s="12">
        <f>IF(OR($D86="",$E86=""),"",$E86-$D86+1)</f>
        <v/>
      </c>
      <c r="L86" s="12">
        <f>IF(AND($E86&lt;TODAY(),$G86&lt;&gt;"Complete"),TODAY()-$E86,0)</f>
        <v/>
      </c>
      <c r="M86" s="12">
        <f>IF(OR($D86="",$E86=""),"",IF(AND($D86&lt;=IF('Client &amp; Project Profile'!$B$10="",TODAY(),'Client &amp; Project Profile'!$B$10)+0*7+6,$E86&gt;=IF('Client &amp; Project Profile'!$B$10="",TODAY(),'Client &amp; Project Profile'!$B$10)+0*7),"■",""))</f>
        <v/>
      </c>
      <c r="N86" s="12">
        <f>IF(OR($D86="",$E86=""),"",IF(AND($D86&lt;=IF('Client &amp; Project Profile'!$B$10="",TODAY(),'Client &amp; Project Profile'!$B$10)+1*7+6,$E86&gt;=IF('Client &amp; Project Profile'!$B$10="",TODAY(),'Client &amp; Project Profile'!$B$10)+1*7),"■",""))</f>
        <v/>
      </c>
      <c r="O86" s="12">
        <f>IF(OR($D86="",$E86=""),"",IF(AND($D86&lt;=IF('Client &amp; Project Profile'!$B$10="",TODAY(),'Client &amp; Project Profile'!$B$10)+2*7+6,$E86&gt;=IF('Client &amp; Project Profile'!$B$10="",TODAY(),'Client &amp; Project Profile'!$B$10)+2*7),"■",""))</f>
        <v/>
      </c>
      <c r="P86" s="12">
        <f>IF(OR($D86="",$E86=""),"",IF(AND($D86&lt;=IF('Client &amp; Project Profile'!$B$10="",TODAY(),'Client &amp; Project Profile'!$B$10)+3*7+6,$E86&gt;=IF('Client &amp; Project Profile'!$B$10="",TODAY(),'Client &amp; Project Profile'!$B$10)+3*7),"■",""))</f>
        <v/>
      </c>
      <c r="Q86" s="12">
        <f>IF(OR($D86="",$E86=""),"",IF(AND($D86&lt;=IF('Client &amp; Project Profile'!$B$10="",TODAY(),'Client &amp; Project Profile'!$B$10)+4*7+6,$E86&gt;=IF('Client &amp; Project Profile'!$B$10="",TODAY(),'Client &amp; Project Profile'!$B$10)+4*7),"■",""))</f>
        <v/>
      </c>
      <c r="R86" s="12">
        <f>IF(OR($D86="",$E86=""),"",IF(AND($D86&lt;=IF('Client &amp; Project Profile'!$B$10="",TODAY(),'Client &amp; Project Profile'!$B$10)+5*7+6,$E86&gt;=IF('Client &amp; Project Profile'!$B$10="",TODAY(),'Client &amp; Project Profile'!$B$10)+5*7),"■",""))</f>
        <v/>
      </c>
      <c r="S86" s="12">
        <f>IF(OR($D86="",$E86=""),"",IF(AND($D86&lt;=IF('Client &amp; Project Profile'!$B$10="",TODAY(),'Client &amp; Project Profile'!$B$10)+6*7+6,$E86&gt;=IF('Client &amp; Project Profile'!$B$10="",TODAY(),'Client &amp; Project Profile'!$B$10)+6*7),"■",""))</f>
        <v/>
      </c>
      <c r="T86" s="12">
        <f>IF(OR($D86="",$E86=""),"",IF(AND($D86&lt;=IF('Client &amp; Project Profile'!$B$10="",TODAY(),'Client &amp; Project Profile'!$B$10)+7*7+6,$E86&gt;=IF('Client &amp; Project Profile'!$B$10="",TODAY(),'Client &amp; Project Profile'!$B$10)+7*7),"■",""))</f>
        <v/>
      </c>
      <c r="U86" s="12">
        <f>IF(OR($D86="",$E86=""),"",IF(AND($D86&lt;=IF('Client &amp; Project Profile'!$B$10="",TODAY(),'Client &amp; Project Profile'!$B$10)+8*7+6,$E86&gt;=IF('Client &amp; Project Profile'!$B$10="",TODAY(),'Client &amp; Project Profile'!$B$10)+8*7),"■",""))</f>
        <v/>
      </c>
      <c r="V86" s="12">
        <f>IF(OR($D86="",$E86=""),"",IF(AND($D86&lt;=IF('Client &amp; Project Profile'!$B$10="",TODAY(),'Client &amp; Project Profile'!$B$10)+9*7+6,$E86&gt;=IF('Client &amp; Project Profile'!$B$10="",TODAY(),'Client &amp; Project Profile'!$B$10)+9*7),"■",""))</f>
        <v/>
      </c>
      <c r="W86" s="12">
        <f>IF(OR($D86="",$E86=""),"",IF(AND($D86&lt;=IF('Client &amp; Project Profile'!$B$10="",TODAY(),'Client &amp; Project Profile'!$B$10)+10*7+6,$E86&gt;=IF('Client &amp; Project Profile'!$B$10="",TODAY(),'Client &amp; Project Profile'!$B$10)+10*7),"■",""))</f>
        <v/>
      </c>
      <c r="X86" s="12">
        <f>IF(OR($D86="",$E86=""),"",IF(AND($D86&lt;=IF('Client &amp; Project Profile'!$B$10="",TODAY(),'Client &amp; Project Profile'!$B$10)+11*7+6,$E86&gt;=IF('Client &amp; Project Profile'!$B$10="",TODAY(),'Client &amp; Project Profile'!$B$10)+11*7),"■",""))</f>
        <v/>
      </c>
    </row>
    <row r="87">
      <c r="D87" s="9" t="n"/>
      <c r="E87" s="9" t="n"/>
      <c r="F87" s="9" t="n"/>
      <c r="K87">
        <f>IF(OR($D87="",$E87=""),"",$E87-$D87+1)</f>
        <v/>
      </c>
      <c r="L87">
        <f>IF(AND($E87&lt;TODAY(),$G87&lt;&gt;"Complete"),TODAY()-$E87,0)</f>
        <v/>
      </c>
      <c r="M87">
        <f>IF(OR($D87="",$E87=""),"",IF(AND($D87&lt;=IF('Client &amp; Project Profile'!$B$10="",TODAY(),'Client &amp; Project Profile'!$B$10)+0*7+6,$E87&gt;=IF('Client &amp; Project Profile'!$B$10="",TODAY(),'Client &amp; Project Profile'!$B$10)+0*7),"■",""))</f>
        <v/>
      </c>
      <c r="N87">
        <f>IF(OR($D87="",$E87=""),"",IF(AND($D87&lt;=IF('Client &amp; Project Profile'!$B$10="",TODAY(),'Client &amp; Project Profile'!$B$10)+1*7+6,$E87&gt;=IF('Client &amp; Project Profile'!$B$10="",TODAY(),'Client &amp; Project Profile'!$B$10)+1*7),"■",""))</f>
        <v/>
      </c>
      <c r="O87">
        <f>IF(OR($D87="",$E87=""),"",IF(AND($D87&lt;=IF('Client &amp; Project Profile'!$B$10="",TODAY(),'Client &amp; Project Profile'!$B$10)+2*7+6,$E87&gt;=IF('Client &amp; Project Profile'!$B$10="",TODAY(),'Client &amp; Project Profile'!$B$10)+2*7),"■",""))</f>
        <v/>
      </c>
      <c r="P87">
        <f>IF(OR($D87="",$E87=""),"",IF(AND($D87&lt;=IF('Client &amp; Project Profile'!$B$10="",TODAY(),'Client &amp; Project Profile'!$B$10)+3*7+6,$E87&gt;=IF('Client &amp; Project Profile'!$B$10="",TODAY(),'Client &amp; Project Profile'!$B$10)+3*7),"■",""))</f>
        <v/>
      </c>
      <c r="Q87">
        <f>IF(OR($D87="",$E87=""),"",IF(AND($D87&lt;=IF('Client &amp; Project Profile'!$B$10="",TODAY(),'Client &amp; Project Profile'!$B$10)+4*7+6,$E87&gt;=IF('Client &amp; Project Profile'!$B$10="",TODAY(),'Client &amp; Project Profile'!$B$10)+4*7),"■",""))</f>
        <v/>
      </c>
      <c r="R87">
        <f>IF(OR($D87="",$E87=""),"",IF(AND($D87&lt;=IF('Client &amp; Project Profile'!$B$10="",TODAY(),'Client &amp; Project Profile'!$B$10)+5*7+6,$E87&gt;=IF('Client &amp; Project Profile'!$B$10="",TODAY(),'Client &amp; Project Profile'!$B$10)+5*7),"■",""))</f>
        <v/>
      </c>
      <c r="S87">
        <f>IF(OR($D87="",$E87=""),"",IF(AND($D87&lt;=IF('Client &amp; Project Profile'!$B$10="",TODAY(),'Client &amp; Project Profile'!$B$10)+6*7+6,$E87&gt;=IF('Client &amp; Project Profile'!$B$10="",TODAY(),'Client &amp; Project Profile'!$B$10)+6*7),"■",""))</f>
        <v/>
      </c>
      <c r="T87">
        <f>IF(OR($D87="",$E87=""),"",IF(AND($D87&lt;=IF('Client &amp; Project Profile'!$B$10="",TODAY(),'Client &amp; Project Profile'!$B$10)+7*7+6,$E87&gt;=IF('Client &amp; Project Profile'!$B$10="",TODAY(),'Client &amp; Project Profile'!$B$10)+7*7),"■",""))</f>
        <v/>
      </c>
      <c r="U87">
        <f>IF(OR($D87="",$E87=""),"",IF(AND($D87&lt;=IF('Client &amp; Project Profile'!$B$10="",TODAY(),'Client &amp; Project Profile'!$B$10)+8*7+6,$E87&gt;=IF('Client &amp; Project Profile'!$B$10="",TODAY(),'Client &amp; Project Profile'!$B$10)+8*7),"■",""))</f>
        <v/>
      </c>
      <c r="V87">
        <f>IF(OR($D87="",$E87=""),"",IF(AND($D87&lt;=IF('Client &amp; Project Profile'!$B$10="",TODAY(),'Client &amp; Project Profile'!$B$10)+9*7+6,$E87&gt;=IF('Client &amp; Project Profile'!$B$10="",TODAY(),'Client &amp; Project Profile'!$B$10)+9*7),"■",""))</f>
        <v/>
      </c>
      <c r="W87">
        <f>IF(OR($D87="",$E87=""),"",IF(AND($D87&lt;=IF('Client &amp; Project Profile'!$B$10="",TODAY(),'Client &amp; Project Profile'!$B$10)+10*7+6,$E87&gt;=IF('Client &amp; Project Profile'!$B$10="",TODAY(),'Client &amp; Project Profile'!$B$10)+10*7),"■",""))</f>
        <v/>
      </c>
      <c r="X87">
        <f>IF(OR($D87="",$E87=""),"",IF(AND($D87&lt;=IF('Client &amp; Project Profile'!$B$10="",TODAY(),'Client &amp; Project Profile'!$B$10)+11*7+6,$E87&gt;=IF('Client &amp; Project Profile'!$B$10="",TODAY(),'Client &amp; Project Profile'!$B$10)+11*7),"■",""))</f>
        <v/>
      </c>
    </row>
    <row r="88">
      <c r="A88" s="12" t="n"/>
      <c r="B88" s="12" t="n"/>
      <c r="C88" s="12" t="n"/>
      <c r="D88" s="14" t="n"/>
      <c r="E88" s="14" t="n"/>
      <c r="F88" s="14" t="n"/>
      <c r="G88" s="12" t="n"/>
      <c r="H88" s="12" t="n"/>
      <c r="I88" s="12" t="n"/>
      <c r="J88" s="12" t="n"/>
      <c r="K88" s="12">
        <f>IF(OR($D88="",$E88=""),"",$E88-$D88+1)</f>
        <v/>
      </c>
      <c r="L88" s="12">
        <f>IF(AND($E88&lt;TODAY(),$G88&lt;&gt;"Complete"),TODAY()-$E88,0)</f>
        <v/>
      </c>
      <c r="M88" s="12">
        <f>IF(OR($D88="",$E88=""),"",IF(AND($D88&lt;=IF('Client &amp; Project Profile'!$B$10="",TODAY(),'Client &amp; Project Profile'!$B$10)+0*7+6,$E88&gt;=IF('Client &amp; Project Profile'!$B$10="",TODAY(),'Client &amp; Project Profile'!$B$10)+0*7),"■",""))</f>
        <v/>
      </c>
      <c r="N88" s="12">
        <f>IF(OR($D88="",$E88=""),"",IF(AND($D88&lt;=IF('Client &amp; Project Profile'!$B$10="",TODAY(),'Client &amp; Project Profile'!$B$10)+1*7+6,$E88&gt;=IF('Client &amp; Project Profile'!$B$10="",TODAY(),'Client &amp; Project Profile'!$B$10)+1*7),"■",""))</f>
        <v/>
      </c>
      <c r="O88" s="12">
        <f>IF(OR($D88="",$E88=""),"",IF(AND($D88&lt;=IF('Client &amp; Project Profile'!$B$10="",TODAY(),'Client &amp; Project Profile'!$B$10)+2*7+6,$E88&gt;=IF('Client &amp; Project Profile'!$B$10="",TODAY(),'Client &amp; Project Profile'!$B$10)+2*7),"■",""))</f>
        <v/>
      </c>
      <c r="P88" s="12">
        <f>IF(OR($D88="",$E88=""),"",IF(AND($D88&lt;=IF('Client &amp; Project Profile'!$B$10="",TODAY(),'Client &amp; Project Profile'!$B$10)+3*7+6,$E88&gt;=IF('Client &amp; Project Profile'!$B$10="",TODAY(),'Client &amp; Project Profile'!$B$10)+3*7),"■",""))</f>
        <v/>
      </c>
      <c r="Q88" s="12">
        <f>IF(OR($D88="",$E88=""),"",IF(AND($D88&lt;=IF('Client &amp; Project Profile'!$B$10="",TODAY(),'Client &amp; Project Profile'!$B$10)+4*7+6,$E88&gt;=IF('Client &amp; Project Profile'!$B$10="",TODAY(),'Client &amp; Project Profile'!$B$10)+4*7),"■",""))</f>
        <v/>
      </c>
      <c r="R88" s="12">
        <f>IF(OR($D88="",$E88=""),"",IF(AND($D88&lt;=IF('Client &amp; Project Profile'!$B$10="",TODAY(),'Client &amp; Project Profile'!$B$10)+5*7+6,$E88&gt;=IF('Client &amp; Project Profile'!$B$10="",TODAY(),'Client &amp; Project Profile'!$B$10)+5*7),"■",""))</f>
        <v/>
      </c>
      <c r="S88" s="12">
        <f>IF(OR($D88="",$E88=""),"",IF(AND($D88&lt;=IF('Client &amp; Project Profile'!$B$10="",TODAY(),'Client &amp; Project Profile'!$B$10)+6*7+6,$E88&gt;=IF('Client &amp; Project Profile'!$B$10="",TODAY(),'Client &amp; Project Profile'!$B$10)+6*7),"■",""))</f>
        <v/>
      </c>
      <c r="T88" s="12">
        <f>IF(OR($D88="",$E88=""),"",IF(AND($D88&lt;=IF('Client &amp; Project Profile'!$B$10="",TODAY(),'Client &amp; Project Profile'!$B$10)+7*7+6,$E88&gt;=IF('Client &amp; Project Profile'!$B$10="",TODAY(),'Client &amp; Project Profile'!$B$10)+7*7),"■",""))</f>
        <v/>
      </c>
      <c r="U88" s="12">
        <f>IF(OR($D88="",$E88=""),"",IF(AND($D88&lt;=IF('Client &amp; Project Profile'!$B$10="",TODAY(),'Client &amp; Project Profile'!$B$10)+8*7+6,$E88&gt;=IF('Client &amp; Project Profile'!$B$10="",TODAY(),'Client &amp; Project Profile'!$B$10)+8*7),"■",""))</f>
        <v/>
      </c>
      <c r="V88" s="12">
        <f>IF(OR($D88="",$E88=""),"",IF(AND($D88&lt;=IF('Client &amp; Project Profile'!$B$10="",TODAY(),'Client &amp; Project Profile'!$B$10)+9*7+6,$E88&gt;=IF('Client &amp; Project Profile'!$B$10="",TODAY(),'Client &amp; Project Profile'!$B$10)+9*7),"■",""))</f>
        <v/>
      </c>
      <c r="W88" s="12">
        <f>IF(OR($D88="",$E88=""),"",IF(AND($D88&lt;=IF('Client &amp; Project Profile'!$B$10="",TODAY(),'Client &amp; Project Profile'!$B$10)+10*7+6,$E88&gt;=IF('Client &amp; Project Profile'!$B$10="",TODAY(),'Client &amp; Project Profile'!$B$10)+10*7),"■",""))</f>
        <v/>
      </c>
      <c r="X88" s="12">
        <f>IF(OR($D88="",$E88=""),"",IF(AND($D88&lt;=IF('Client &amp; Project Profile'!$B$10="",TODAY(),'Client &amp; Project Profile'!$B$10)+11*7+6,$E88&gt;=IF('Client &amp; Project Profile'!$B$10="",TODAY(),'Client &amp; Project Profile'!$B$10)+11*7),"■",""))</f>
        <v/>
      </c>
    </row>
    <row r="89">
      <c r="D89" s="9" t="n"/>
      <c r="E89" s="9" t="n"/>
      <c r="F89" s="9" t="n"/>
      <c r="K89">
        <f>IF(OR($D89="",$E89=""),"",$E89-$D89+1)</f>
        <v/>
      </c>
      <c r="L89">
        <f>IF(AND($E89&lt;TODAY(),$G89&lt;&gt;"Complete"),TODAY()-$E89,0)</f>
        <v/>
      </c>
      <c r="M89">
        <f>IF(OR($D89="",$E89=""),"",IF(AND($D89&lt;=IF('Client &amp; Project Profile'!$B$10="",TODAY(),'Client &amp; Project Profile'!$B$10)+0*7+6,$E89&gt;=IF('Client &amp; Project Profile'!$B$10="",TODAY(),'Client &amp; Project Profile'!$B$10)+0*7),"■",""))</f>
        <v/>
      </c>
      <c r="N89">
        <f>IF(OR($D89="",$E89=""),"",IF(AND($D89&lt;=IF('Client &amp; Project Profile'!$B$10="",TODAY(),'Client &amp; Project Profile'!$B$10)+1*7+6,$E89&gt;=IF('Client &amp; Project Profile'!$B$10="",TODAY(),'Client &amp; Project Profile'!$B$10)+1*7),"■",""))</f>
        <v/>
      </c>
      <c r="O89">
        <f>IF(OR($D89="",$E89=""),"",IF(AND($D89&lt;=IF('Client &amp; Project Profile'!$B$10="",TODAY(),'Client &amp; Project Profile'!$B$10)+2*7+6,$E89&gt;=IF('Client &amp; Project Profile'!$B$10="",TODAY(),'Client &amp; Project Profile'!$B$10)+2*7),"■",""))</f>
        <v/>
      </c>
      <c r="P89">
        <f>IF(OR($D89="",$E89=""),"",IF(AND($D89&lt;=IF('Client &amp; Project Profile'!$B$10="",TODAY(),'Client &amp; Project Profile'!$B$10)+3*7+6,$E89&gt;=IF('Client &amp; Project Profile'!$B$10="",TODAY(),'Client &amp; Project Profile'!$B$10)+3*7),"■",""))</f>
        <v/>
      </c>
      <c r="Q89">
        <f>IF(OR($D89="",$E89=""),"",IF(AND($D89&lt;=IF('Client &amp; Project Profile'!$B$10="",TODAY(),'Client &amp; Project Profile'!$B$10)+4*7+6,$E89&gt;=IF('Client &amp; Project Profile'!$B$10="",TODAY(),'Client &amp; Project Profile'!$B$10)+4*7),"■",""))</f>
        <v/>
      </c>
      <c r="R89">
        <f>IF(OR($D89="",$E89=""),"",IF(AND($D89&lt;=IF('Client &amp; Project Profile'!$B$10="",TODAY(),'Client &amp; Project Profile'!$B$10)+5*7+6,$E89&gt;=IF('Client &amp; Project Profile'!$B$10="",TODAY(),'Client &amp; Project Profile'!$B$10)+5*7),"■",""))</f>
        <v/>
      </c>
      <c r="S89">
        <f>IF(OR($D89="",$E89=""),"",IF(AND($D89&lt;=IF('Client &amp; Project Profile'!$B$10="",TODAY(),'Client &amp; Project Profile'!$B$10)+6*7+6,$E89&gt;=IF('Client &amp; Project Profile'!$B$10="",TODAY(),'Client &amp; Project Profile'!$B$10)+6*7),"■",""))</f>
        <v/>
      </c>
      <c r="T89">
        <f>IF(OR($D89="",$E89=""),"",IF(AND($D89&lt;=IF('Client &amp; Project Profile'!$B$10="",TODAY(),'Client &amp; Project Profile'!$B$10)+7*7+6,$E89&gt;=IF('Client &amp; Project Profile'!$B$10="",TODAY(),'Client &amp; Project Profile'!$B$10)+7*7),"■",""))</f>
        <v/>
      </c>
      <c r="U89">
        <f>IF(OR($D89="",$E89=""),"",IF(AND($D89&lt;=IF('Client &amp; Project Profile'!$B$10="",TODAY(),'Client &amp; Project Profile'!$B$10)+8*7+6,$E89&gt;=IF('Client &amp; Project Profile'!$B$10="",TODAY(),'Client &amp; Project Profile'!$B$10)+8*7),"■",""))</f>
        <v/>
      </c>
      <c r="V89">
        <f>IF(OR($D89="",$E89=""),"",IF(AND($D89&lt;=IF('Client &amp; Project Profile'!$B$10="",TODAY(),'Client &amp; Project Profile'!$B$10)+9*7+6,$E89&gt;=IF('Client &amp; Project Profile'!$B$10="",TODAY(),'Client &amp; Project Profile'!$B$10)+9*7),"■",""))</f>
        <v/>
      </c>
      <c r="W89">
        <f>IF(OR($D89="",$E89=""),"",IF(AND($D89&lt;=IF('Client &amp; Project Profile'!$B$10="",TODAY(),'Client &amp; Project Profile'!$B$10)+10*7+6,$E89&gt;=IF('Client &amp; Project Profile'!$B$10="",TODAY(),'Client &amp; Project Profile'!$B$10)+10*7),"■",""))</f>
        <v/>
      </c>
      <c r="X89">
        <f>IF(OR($D89="",$E89=""),"",IF(AND($D89&lt;=IF('Client &amp; Project Profile'!$B$10="",TODAY(),'Client &amp; Project Profile'!$B$10)+11*7+6,$E89&gt;=IF('Client &amp; Project Profile'!$B$10="",TODAY(),'Client &amp; Project Profile'!$B$10)+11*7),"■",""))</f>
        <v/>
      </c>
    </row>
    <row r="90">
      <c r="A90" s="12" t="n"/>
      <c r="B90" s="12" t="n"/>
      <c r="C90" s="12" t="n"/>
      <c r="D90" s="14" t="n"/>
      <c r="E90" s="14" t="n"/>
      <c r="F90" s="14" t="n"/>
      <c r="G90" s="12" t="n"/>
      <c r="H90" s="12" t="n"/>
      <c r="I90" s="12" t="n"/>
      <c r="J90" s="12" t="n"/>
      <c r="K90" s="12">
        <f>IF(OR($D90="",$E90=""),"",$E90-$D90+1)</f>
        <v/>
      </c>
      <c r="L90" s="12">
        <f>IF(AND($E90&lt;TODAY(),$G90&lt;&gt;"Complete"),TODAY()-$E90,0)</f>
        <v/>
      </c>
      <c r="M90" s="12">
        <f>IF(OR($D90="",$E90=""),"",IF(AND($D90&lt;=IF('Client &amp; Project Profile'!$B$10="",TODAY(),'Client &amp; Project Profile'!$B$10)+0*7+6,$E90&gt;=IF('Client &amp; Project Profile'!$B$10="",TODAY(),'Client &amp; Project Profile'!$B$10)+0*7),"■",""))</f>
        <v/>
      </c>
      <c r="N90" s="12">
        <f>IF(OR($D90="",$E90=""),"",IF(AND($D90&lt;=IF('Client &amp; Project Profile'!$B$10="",TODAY(),'Client &amp; Project Profile'!$B$10)+1*7+6,$E90&gt;=IF('Client &amp; Project Profile'!$B$10="",TODAY(),'Client &amp; Project Profile'!$B$10)+1*7),"■",""))</f>
        <v/>
      </c>
      <c r="O90" s="12">
        <f>IF(OR($D90="",$E90=""),"",IF(AND($D90&lt;=IF('Client &amp; Project Profile'!$B$10="",TODAY(),'Client &amp; Project Profile'!$B$10)+2*7+6,$E90&gt;=IF('Client &amp; Project Profile'!$B$10="",TODAY(),'Client &amp; Project Profile'!$B$10)+2*7),"■",""))</f>
        <v/>
      </c>
      <c r="P90" s="12">
        <f>IF(OR($D90="",$E90=""),"",IF(AND($D90&lt;=IF('Client &amp; Project Profile'!$B$10="",TODAY(),'Client &amp; Project Profile'!$B$10)+3*7+6,$E90&gt;=IF('Client &amp; Project Profile'!$B$10="",TODAY(),'Client &amp; Project Profile'!$B$10)+3*7),"■",""))</f>
        <v/>
      </c>
      <c r="Q90" s="12">
        <f>IF(OR($D90="",$E90=""),"",IF(AND($D90&lt;=IF('Client &amp; Project Profile'!$B$10="",TODAY(),'Client &amp; Project Profile'!$B$10)+4*7+6,$E90&gt;=IF('Client &amp; Project Profile'!$B$10="",TODAY(),'Client &amp; Project Profile'!$B$10)+4*7),"■",""))</f>
        <v/>
      </c>
      <c r="R90" s="12">
        <f>IF(OR($D90="",$E90=""),"",IF(AND($D90&lt;=IF('Client &amp; Project Profile'!$B$10="",TODAY(),'Client &amp; Project Profile'!$B$10)+5*7+6,$E90&gt;=IF('Client &amp; Project Profile'!$B$10="",TODAY(),'Client &amp; Project Profile'!$B$10)+5*7),"■",""))</f>
        <v/>
      </c>
      <c r="S90" s="12">
        <f>IF(OR($D90="",$E90=""),"",IF(AND($D90&lt;=IF('Client &amp; Project Profile'!$B$10="",TODAY(),'Client &amp; Project Profile'!$B$10)+6*7+6,$E90&gt;=IF('Client &amp; Project Profile'!$B$10="",TODAY(),'Client &amp; Project Profile'!$B$10)+6*7),"■",""))</f>
        <v/>
      </c>
      <c r="T90" s="12">
        <f>IF(OR($D90="",$E90=""),"",IF(AND($D90&lt;=IF('Client &amp; Project Profile'!$B$10="",TODAY(),'Client &amp; Project Profile'!$B$10)+7*7+6,$E90&gt;=IF('Client &amp; Project Profile'!$B$10="",TODAY(),'Client &amp; Project Profile'!$B$10)+7*7),"■",""))</f>
        <v/>
      </c>
      <c r="U90" s="12">
        <f>IF(OR($D90="",$E90=""),"",IF(AND($D90&lt;=IF('Client &amp; Project Profile'!$B$10="",TODAY(),'Client &amp; Project Profile'!$B$10)+8*7+6,$E90&gt;=IF('Client &amp; Project Profile'!$B$10="",TODAY(),'Client &amp; Project Profile'!$B$10)+8*7),"■",""))</f>
        <v/>
      </c>
      <c r="V90" s="12">
        <f>IF(OR($D90="",$E90=""),"",IF(AND($D90&lt;=IF('Client &amp; Project Profile'!$B$10="",TODAY(),'Client &amp; Project Profile'!$B$10)+9*7+6,$E90&gt;=IF('Client &amp; Project Profile'!$B$10="",TODAY(),'Client &amp; Project Profile'!$B$10)+9*7),"■",""))</f>
        <v/>
      </c>
      <c r="W90" s="12">
        <f>IF(OR($D90="",$E90=""),"",IF(AND($D90&lt;=IF('Client &amp; Project Profile'!$B$10="",TODAY(),'Client &amp; Project Profile'!$B$10)+10*7+6,$E90&gt;=IF('Client &amp; Project Profile'!$B$10="",TODAY(),'Client &amp; Project Profile'!$B$10)+10*7),"■",""))</f>
        <v/>
      </c>
      <c r="X90" s="12">
        <f>IF(OR($D90="",$E90=""),"",IF(AND($D90&lt;=IF('Client &amp; Project Profile'!$B$10="",TODAY(),'Client &amp; Project Profile'!$B$10)+11*7+6,$E90&gt;=IF('Client &amp; Project Profile'!$B$10="",TODAY(),'Client &amp; Project Profile'!$B$10)+11*7),"■",""))</f>
        <v/>
      </c>
    </row>
    <row r="91">
      <c r="D91" s="9" t="n"/>
      <c r="E91" s="9" t="n"/>
      <c r="F91" s="9" t="n"/>
      <c r="K91">
        <f>IF(OR($D91="",$E91=""),"",$E91-$D91+1)</f>
        <v/>
      </c>
      <c r="L91">
        <f>IF(AND($E91&lt;TODAY(),$G91&lt;&gt;"Complete"),TODAY()-$E91,0)</f>
        <v/>
      </c>
      <c r="M91">
        <f>IF(OR($D91="",$E91=""),"",IF(AND($D91&lt;=IF('Client &amp; Project Profile'!$B$10="",TODAY(),'Client &amp; Project Profile'!$B$10)+0*7+6,$E91&gt;=IF('Client &amp; Project Profile'!$B$10="",TODAY(),'Client &amp; Project Profile'!$B$10)+0*7),"■",""))</f>
        <v/>
      </c>
      <c r="N91">
        <f>IF(OR($D91="",$E91=""),"",IF(AND($D91&lt;=IF('Client &amp; Project Profile'!$B$10="",TODAY(),'Client &amp; Project Profile'!$B$10)+1*7+6,$E91&gt;=IF('Client &amp; Project Profile'!$B$10="",TODAY(),'Client &amp; Project Profile'!$B$10)+1*7),"■",""))</f>
        <v/>
      </c>
      <c r="O91">
        <f>IF(OR($D91="",$E91=""),"",IF(AND($D91&lt;=IF('Client &amp; Project Profile'!$B$10="",TODAY(),'Client &amp; Project Profile'!$B$10)+2*7+6,$E91&gt;=IF('Client &amp; Project Profile'!$B$10="",TODAY(),'Client &amp; Project Profile'!$B$10)+2*7),"■",""))</f>
        <v/>
      </c>
      <c r="P91">
        <f>IF(OR($D91="",$E91=""),"",IF(AND($D91&lt;=IF('Client &amp; Project Profile'!$B$10="",TODAY(),'Client &amp; Project Profile'!$B$10)+3*7+6,$E91&gt;=IF('Client &amp; Project Profile'!$B$10="",TODAY(),'Client &amp; Project Profile'!$B$10)+3*7),"■",""))</f>
        <v/>
      </c>
      <c r="Q91">
        <f>IF(OR($D91="",$E91=""),"",IF(AND($D91&lt;=IF('Client &amp; Project Profile'!$B$10="",TODAY(),'Client &amp; Project Profile'!$B$10)+4*7+6,$E91&gt;=IF('Client &amp; Project Profile'!$B$10="",TODAY(),'Client &amp; Project Profile'!$B$10)+4*7),"■",""))</f>
        <v/>
      </c>
      <c r="R91">
        <f>IF(OR($D91="",$E91=""),"",IF(AND($D91&lt;=IF('Client &amp; Project Profile'!$B$10="",TODAY(),'Client &amp; Project Profile'!$B$10)+5*7+6,$E91&gt;=IF('Client &amp; Project Profile'!$B$10="",TODAY(),'Client &amp; Project Profile'!$B$10)+5*7),"■",""))</f>
        <v/>
      </c>
      <c r="S91">
        <f>IF(OR($D91="",$E91=""),"",IF(AND($D91&lt;=IF('Client &amp; Project Profile'!$B$10="",TODAY(),'Client &amp; Project Profile'!$B$10)+6*7+6,$E91&gt;=IF('Client &amp; Project Profile'!$B$10="",TODAY(),'Client &amp; Project Profile'!$B$10)+6*7),"■",""))</f>
        <v/>
      </c>
      <c r="T91">
        <f>IF(OR($D91="",$E91=""),"",IF(AND($D91&lt;=IF('Client &amp; Project Profile'!$B$10="",TODAY(),'Client &amp; Project Profile'!$B$10)+7*7+6,$E91&gt;=IF('Client &amp; Project Profile'!$B$10="",TODAY(),'Client &amp; Project Profile'!$B$10)+7*7),"■",""))</f>
        <v/>
      </c>
      <c r="U91">
        <f>IF(OR($D91="",$E91=""),"",IF(AND($D91&lt;=IF('Client &amp; Project Profile'!$B$10="",TODAY(),'Client &amp; Project Profile'!$B$10)+8*7+6,$E91&gt;=IF('Client &amp; Project Profile'!$B$10="",TODAY(),'Client &amp; Project Profile'!$B$10)+8*7),"■",""))</f>
        <v/>
      </c>
      <c r="V91">
        <f>IF(OR($D91="",$E91=""),"",IF(AND($D91&lt;=IF('Client &amp; Project Profile'!$B$10="",TODAY(),'Client &amp; Project Profile'!$B$10)+9*7+6,$E91&gt;=IF('Client &amp; Project Profile'!$B$10="",TODAY(),'Client &amp; Project Profile'!$B$10)+9*7),"■",""))</f>
        <v/>
      </c>
      <c r="W91">
        <f>IF(OR($D91="",$E91=""),"",IF(AND($D91&lt;=IF('Client &amp; Project Profile'!$B$10="",TODAY(),'Client &amp; Project Profile'!$B$10)+10*7+6,$E91&gt;=IF('Client &amp; Project Profile'!$B$10="",TODAY(),'Client &amp; Project Profile'!$B$10)+10*7),"■",""))</f>
        <v/>
      </c>
      <c r="X91">
        <f>IF(OR($D91="",$E91=""),"",IF(AND($D91&lt;=IF('Client &amp; Project Profile'!$B$10="",TODAY(),'Client &amp; Project Profile'!$B$10)+11*7+6,$E91&gt;=IF('Client &amp; Project Profile'!$B$10="",TODAY(),'Client &amp; Project Profile'!$B$10)+11*7),"■",""))</f>
        <v/>
      </c>
    </row>
    <row r="92">
      <c r="A92" s="12" t="n"/>
      <c r="B92" s="12" t="n"/>
      <c r="C92" s="12" t="n"/>
      <c r="D92" s="14" t="n"/>
      <c r="E92" s="14" t="n"/>
      <c r="F92" s="14" t="n"/>
      <c r="G92" s="12" t="n"/>
      <c r="H92" s="12" t="n"/>
      <c r="I92" s="12" t="n"/>
      <c r="J92" s="12" t="n"/>
      <c r="K92" s="12">
        <f>IF(OR($D92="",$E92=""),"",$E92-$D92+1)</f>
        <v/>
      </c>
      <c r="L92" s="12">
        <f>IF(AND($E92&lt;TODAY(),$G92&lt;&gt;"Complete"),TODAY()-$E92,0)</f>
        <v/>
      </c>
      <c r="M92" s="12">
        <f>IF(OR($D92="",$E92=""),"",IF(AND($D92&lt;=IF('Client &amp; Project Profile'!$B$10="",TODAY(),'Client &amp; Project Profile'!$B$10)+0*7+6,$E92&gt;=IF('Client &amp; Project Profile'!$B$10="",TODAY(),'Client &amp; Project Profile'!$B$10)+0*7),"■",""))</f>
        <v/>
      </c>
      <c r="N92" s="12">
        <f>IF(OR($D92="",$E92=""),"",IF(AND($D92&lt;=IF('Client &amp; Project Profile'!$B$10="",TODAY(),'Client &amp; Project Profile'!$B$10)+1*7+6,$E92&gt;=IF('Client &amp; Project Profile'!$B$10="",TODAY(),'Client &amp; Project Profile'!$B$10)+1*7),"■",""))</f>
        <v/>
      </c>
      <c r="O92" s="12">
        <f>IF(OR($D92="",$E92=""),"",IF(AND($D92&lt;=IF('Client &amp; Project Profile'!$B$10="",TODAY(),'Client &amp; Project Profile'!$B$10)+2*7+6,$E92&gt;=IF('Client &amp; Project Profile'!$B$10="",TODAY(),'Client &amp; Project Profile'!$B$10)+2*7),"■",""))</f>
        <v/>
      </c>
      <c r="P92" s="12">
        <f>IF(OR($D92="",$E92=""),"",IF(AND($D92&lt;=IF('Client &amp; Project Profile'!$B$10="",TODAY(),'Client &amp; Project Profile'!$B$10)+3*7+6,$E92&gt;=IF('Client &amp; Project Profile'!$B$10="",TODAY(),'Client &amp; Project Profile'!$B$10)+3*7),"■",""))</f>
        <v/>
      </c>
      <c r="Q92" s="12">
        <f>IF(OR($D92="",$E92=""),"",IF(AND($D92&lt;=IF('Client &amp; Project Profile'!$B$10="",TODAY(),'Client &amp; Project Profile'!$B$10)+4*7+6,$E92&gt;=IF('Client &amp; Project Profile'!$B$10="",TODAY(),'Client &amp; Project Profile'!$B$10)+4*7),"■",""))</f>
        <v/>
      </c>
      <c r="R92" s="12">
        <f>IF(OR($D92="",$E92=""),"",IF(AND($D92&lt;=IF('Client &amp; Project Profile'!$B$10="",TODAY(),'Client &amp; Project Profile'!$B$10)+5*7+6,$E92&gt;=IF('Client &amp; Project Profile'!$B$10="",TODAY(),'Client &amp; Project Profile'!$B$10)+5*7),"■",""))</f>
        <v/>
      </c>
      <c r="S92" s="12">
        <f>IF(OR($D92="",$E92=""),"",IF(AND($D92&lt;=IF('Client &amp; Project Profile'!$B$10="",TODAY(),'Client &amp; Project Profile'!$B$10)+6*7+6,$E92&gt;=IF('Client &amp; Project Profile'!$B$10="",TODAY(),'Client &amp; Project Profile'!$B$10)+6*7),"■",""))</f>
        <v/>
      </c>
      <c r="T92" s="12">
        <f>IF(OR($D92="",$E92=""),"",IF(AND($D92&lt;=IF('Client &amp; Project Profile'!$B$10="",TODAY(),'Client &amp; Project Profile'!$B$10)+7*7+6,$E92&gt;=IF('Client &amp; Project Profile'!$B$10="",TODAY(),'Client &amp; Project Profile'!$B$10)+7*7),"■",""))</f>
        <v/>
      </c>
      <c r="U92" s="12">
        <f>IF(OR($D92="",$E92=""),"",IF(AND($D92&lt;=IF('Client &amp; Project Profile'!$B$10="",TODAY(),'Client &amp; Project Profile'!$B$10)+8*7+6,$E92&gt;=IF('Client &amp; Project Profile'!$B$10="",TODAY(),'Client &amp; Project Profile'!$B$10)+8*7),"■",""))</f>
        <v/>
      </c>
      <c r="V92" s="12">
        <f>IF(OR($D92="",$E92=""),"",IF(AND($D92&lt;=IF('Client &amp; Project Profile'!$B$10="",TODAY(),'Client &amp; Project Profile'!$B$10)+9*7+6,$E92&gt;=IF('Client &amp; Project Profile'!$B$10="",TODAY(),'Client &amp; Project Profile'!$B$10)+9*7),"■",""))</f>
        <v/>
      </c>
      <c r="W92" s="12">
        <f>IF(OR($D92="",$E92=""),"",IF(AND($D92&lt;=IF('Client &amp; Project Profile'!$B$10="",TODAY(),'Client &amp; Project Profile'!$B$10)+10*7+6,$E92&gt;=IF('Client &amp; Project Profile'!$B$10="",TODAY(),'Client &amp; Project Profile'!$B$10)+10*7),"■",""))</f>
        <v/>
      </c>
      <c r="X92" s="12">
        <f>IF(OR($D92="",$E92=""),"",IF(AND($D92&lt;=IF('Client &amp; Project Profile'!$B$10="",TODAY(),'Client &amp; Project Profile'!$B$10)+11*7+6,$E92&gt;=IF('Client &amp; Project Profile'!$B$10="",TODAY(),'Client &amp; Project Profile'!$B$10)+11*7),"■",""))</f>
        <v/>
      </c>
    </row>
    <row r="93">
      <c r="D93" s="9" t="n"/>
      <c r="E93" s="9" t="n"/>
      <c r="F93" s="9" t="n"/>
      <c r="K93">
        <f>IF(OR($D93="",$E93=""),"",$E93-$D93+1)</f>
        <v/>
      </c>
      <c r="L93">
        <f>IF(AND($E93&lt;TODAY(),$G93&lt;&gt;"Complete"),TODAY()-$E93,0)</f>
        <v/>
      </c>
      <c r="M93">
        <f>IF(OR($D93="",$E93=""),"",IF(AND($D93&lt;=IF('Client &amp; Project Profile'!$B$10="",TODAY(),'Client &amp; Project Profile'!$B$10)+0*7+6,$E93&gt;=IF('Client &amp; Project Profile'!$B$10="",TODAY(),'Client &amp; Project Profile'!$B$10)+0*7),"■",""))</f>
        <v/>
      </c>
      <c r="N93">
        <f>IF(OR($D93="",$E93=""),"",IF(AND($D93&lt;=IF('Client &amp; Project Profile'!$B$10="",TODAY(),'Client &amp; Project Profile'!$B$10)+1*7+6,$E93&gt;=IF('Client &amp; Project Profile'!$B$10="",TODAY(),'Client &amp; Project Profile'!$B$10)+1*7),"■",""))</f>
        <v/>
      </c>
      <c r="O93">
        <f>IF(OR($D93="",$E93=""),"",IF(AND($D93&lt;=IF('Client &amp; Project Profile'!$B$10="",TODAY(),'Client &amp; Project Profile'!$B$10)+2*7+6,$E93&gt;=IF('Client &amp; Project Profile'!$B$10="",TODAY(),'Client &amp; Project Profile'!$B$10)+2*7),"■",""))</f>
        <v/>
      </c>
      <c r="P93">
        <f>IF(OR($D93="",$E93=""),"",IF(AND($D93&lt;=IF('Client &amp; Project Profile'!$B$10="",TODAY(),'Client &amp; Project Profile'!$B$10)+3*7+6,$E93&gt;=IF('Client &amp; Project Profile'!$B$10="",TODAY(),'Client &amp; Project Profile'!$B$10)+3*7),"■",""))</f>
        <v/>
      </c>
      <c r="Q93">
        <f>IF(OR($D93="",$E93=""),"",IF(AND($D93&lt;=IF('Client &amp; Project Profile'!$B$10="",TODAY(),'Client &amp; Project Profile'!$B$10)+4*7+6,$E93&gt;=IF('Client &amp; Project Profile'!$B$10="",TODAY(),'Client &amp; Project Profile'!$B$10)+4*7),"■",""))</f>
        <v/>
      </c>
      <c r="R93">
        <f>IF(OR($D93="",$E93=""),"",IF(AND($D93&lt;=IF('Client &amp; Project Profile'!$B$10="",TODAY(),'Client &amp; Project Profile'!$B$10)+5*7+6,$E93&gt;=IF('Client &amp; Project Profile'!$B$10="",TODAY(),'Client &amp; Project Profile'!$B$10)+5*7),"■",""))</f>
        <v/>
      </c>
      <c r="S93">
        <f>IF(OR($D93="",$E93=""),"",IF(AND($D93&lt;=IF('Client &amp; Project Profile'!$B$10="",TODAY(),'Client &amp; Project Profile'!$B$10)+6*7+6,$E93&gt;=IF('Client &amp; Project Profile'!$B$10="",TODAY(),'Client &amp; Project Profile'!$B$10)+6*7),"■",""))</f>
        <v/>
      </c>
      <c r="T93">
        <f>IF(OR($D93="",$E93=""),"",IF(AND($D93&lt;=IF('Client &amp; Project Profile'!$B$10="",TODAY(),'Client &amp; Project Profile'!$B$10)+7*7+6,$E93&gt;=IF('Client &amp; Project Profile'!$B$10="",TODAY(),'Client &amp; Project Profile'!$B$10)+7*7),"■",""))</f>
        <v/>
      </c>
      <c r="U93">
        <f>IF(OR($D93="",$E93=""),"",IF(AND($D93&lt;=IF('Client &amp; Project Profile'!$B$10="",TODAY(),'Client &amp; Project Profile'!$B$10)+8*7+6,$E93&gt;=IF('Client &amp; Project Profile'!$B$10="",TODAY(),'Client &amp; Project Profile'!$B$10)+8*7),"■",""))</f>
        <v/>
      </c>
      <c r="V93">
        <f>IF(OR($D93="",$E93=""),"",IF(AND($D93&lt;=IF('Client &amp; Project Profile'!$B$10="",TODAY(),'Client &amp; Project Profile'!$B$10)+9*7+6,$E93&gt;=IF('Client &amp; Project Profile'!$B$10="",TODAY(),'Client &amp; Project Profile'!$B$10)+9*7),"■",""))</f>
        <v/>
      </c>
      <c r="W93">
        <f>IF(OR($D93="",$E93=""),"",IF(AND($D93&lt;=IF('Client &amp; Project Profile'!$B$10="",TODAY(),'Client &amp; Project Profile'!$B$10)+10*7+6,$E93&gt;=IF('Client &amp; Project Profile'!$B$10="",TODAY(),'Client &amp; Project Profile'!$B$10)+10*7),"■",""))</f>
        <v/>
      </c>
      <c r="X93">
        <f>IF(OR($D93="",$E93=""),"",IF(AND($D93&lt;=IF('Client &amp; Project Profile'!$B$10="",TODAY(),'Client &amp; Project Profile'!$B$10)+11*7+6,$E93&gt;=IF('Client &amp; Project Profile'!$B$10="",TODAY(),'Client &amp; Project Profile'!$B$10)+11*7),"■",""))</f>
        <v/>
      </c>
    </row>
    <row r="94">
      <c r="A94" s="12" t="n"/>
      <c r="B94" s="12" t="n"/>
      <c r="C94" s="12" t="n"/>
      <c r="D94" s="14" t="n"/>
      <c r="E94" s="14" t="n"/>
      <c r="F94" s="14" t="n"/>
      <c r="G94" s="12" t="n"/>
      <c r="H94" s="12" t="n"/>
      <c r="I94" s="12" t="n"/>
      <c r="J94" s="12" t="n"/>
      <c r="K94" s="12">
        <f>IF(OR($D94="",$E94=""),"",$E94-$D94+1)</f>
        <v/>
      </c>
      <c r="L94" s="12">
        <f>IF(AND($E94&lt;TODAY(),$G94&lt;&gt;"Complete"),TODAY()-$E94,0)</f>
        <v/>
      </c>
      <c r="M94" s="12">
        <f>IF(OR($D94="",$E94=""),"",IF(AND($D94&lt;=IF('Client &amp; Project Profile'!$B$10="",TODAY(),'Client &amp; Project Profile'!$B$10)+0*7+6,$E94&gt;=IF('Client &amp; Project Profile'!$B$10="",TODAY(),'Client &amp; Project Profile'!$B$10)+0*7),"■",""))</f>
        <v/>
      </c>
      <c r="N94" s="12">
        <f>IF(OR($D94="",$E94=""),"",IF(AND($D94&lt;=IF('Client &amp; Project Profile'!$B$10="",TODAY(),'Client &amp; Project Profile'!$B$10)+1*7+6,$E94&gt;=IF('Client &amp; Project Profile'!$B$10="",TODAY(),'Client &amp; Project Profile'!$B$10)+1*7),"■",""))</f>
        <v/>
      </c>
      <c r="O94" s="12">
        <f>IF(OR($D94="",$E94=""),"",IF(AND($D94&lt;=IF('Client &amp; Project Profile'!$B$10="",TODAY(),'Client &amp; Project Profile'!$B$10)+2*7+6,$E94&gt;=IF('Client &amp; Project Profile'!$B$10="",TODAY(),'Client &amp; Project Profile'!$B$10)+2*7),"■",""))</f>
        <v/>
      </c>
      <c r="P94" s="12">
        <f>IF(OR($D94="",$E94=""),"",IF(AND($D94&lt;=IF('Client &amp; Project Profile'!$B$10="",TODAY(),'Client &amp; Project Profile'!$B$10)+3*7+6,$E94&gt;=IF('Client &amp; Project Profile'!$B$10="",TODAY(),'Client &amp; Project Profile'!$B$10)+3*7),"■",""))</f>
        <v/>
      </c>
      <c r="Q94" s="12">
        <f>IF(OR($D94="",$E94=""),"",IF(AND($D94&lt;=IF('Client &amp; Project Profile'!$B$10="",TODAY(),'Client &amp; Project Profile'!$B$10)+4*7+6,$E94&gt;=IF('Client &amp; Project Profile'!$B$10="",TODAY(),'Client &amp; Project Profile'!$B$10)+4*7),"■",""))</f>
        <v/>
      </c>
      <c r="R94" s="12">
        <f>IF(OR($D94="",$E94=""),"",IF(AND($D94&lt;=IF('Client &amp; Project Profile'!$B$10="",TODAY(),'Client &amp; Project Profile'!$B$10)+5*7+6,$E94&gt;=IF('Client &amp; Project Profile'!$B$10="",TODAY(),'Client &amp; Project Profile'!$B$10)+5*7),"■",""))</f>
        <v/>
      </c>
      <c r="S94" s="12">
        <f>IF(OR($D94="",$E94=""),"",IF(AND($D94&lt;=IF('Client &amp; Project Profile'!$B$10="",TODAY(),'Client &amp; Project Profile'!$B$10)+6*7+6,$E94&gt;=IF('Client &amp; Project Profile'!$B$10="",TODAY(),'Client &amp; Project Profile'!$B$10)+6*7),"■",""))</f>
        <v/>
      </c>
      <c r="T94" s="12">
        <f>IF(OR($D94="",$E94=""),"",IF(AND($D94&lt;=IF('Client &amp; Project Profile'!$B$10="",TODAY(),'Client &amp; Project Profile'!$B$10)+7*7+6,$E94&gt;=IF('Client &amp; Project Profile'!$B$10="",TODAY(),'Client &amp; Project Profile'!$B$10)+7*7),"■",""))</f>
        <v/>
      </c>
      <c r="U94" s="12">
        <f>IF(OR($D94="",$E94=""),"",IF(AND($D94&lt;=IF('Client &amp; Project Profile'!$B$10="",TODAY(),'Client &amp; Project Profile'!$B$10)+8*7+6,$E94&gt;=IF('Client &amp; Project Profile'!$B$10="",TODAY(),'Client &amp; Project Profile'!$B$10)+8*7),"■",""))</f>
        <v/>
      </c>
      <c r="V94" s="12">
        <f>IF(OR($D94="",$E94=""),"",IF(AND($D94&lt;=IF('Client &amp; Project Profile'!$B$10="",TODAY(),'Client &amp; Project Profile'!$B$10)+9*7+6,$E94&gt;=IF('Client &amp; Project Profile'!$B$10="",TODAY(),'Client &amp; Project Profile'!$B$10)+9*7),"■",""))</f>
        <v/>
      </c>
      <c r="W94" s="12">
        <f>IF(OR($D94="",$E94=""),"",IF(AND($D94&lt;=IF('Client &amp; Project Profile'!$B$10="",TODAY(),'Client &amp; Project Profile'!$B$10)+10*7+6,$E94&gt;=IF('Client &amp; Project Profile'!$B$10="",TODAY(),'Client &amp; Project Profile'!$B$10)+10*7),"■",""))</f>
        <v/>
      </c>
      <c r="X94" s="12">
        <f>IF(OR($D94="",$E94=""),"",IF(AND($D94&lt;=IF('Client &amp; Project Profile'!$B$10="",TODAY(),'Client &amp; Project Profile'!$B$10)+11*7+6,$E94&gt;=IF('Client &amp; Project Profile'!$B$10="",TODAY(),'Client &amp; Project Profile'!$B$10)+11*7),"■",""))</f>
        <v/>
      </c>
    </row>
    <row r="95">
      <c r="D95" s="9" t="n"/>
      <c r="E95" s="9" t="n"/>
      <c r="F95" s="9" t="n"/>
      <c r="K95">
        <f>IF(OR($D95="",$E95=""),"",$E95-$D95+1)</f>
        <v/>
      </c>
      <c r="L95">
        <f>IF(AND($E95&lt;TODAY(),$G95&lt;&gt;"Complete"),TODAY()-$E95,0)</f>
        <v/>
      </c>
      <c r="M95">
        <f>IF(OR($D95="",$E95=""),"",IF(AND($D95&lt;=IF('Client &amp; Project Profile'!$B$10="",TODAY(),'Client &amp; Project Profile'!$B$10)+0*7+6,$E95&gt;=IF('Client &amp; Project Profile'!$B$10="",TODAY(),'Client &amp; Project Profile'!$B$10)+0*7),"■",""))</f>
        <v/>
      </c>
      <c r="N95">
        <f>IF(OR($D95="",$E95=""),"",IF(AND($D95&lt;=IF('Client &amp; Project Profile'!$B$10="",TODAY(),'Client &amp; Project Profile'!$B$10)+1*7+6,$E95&gt;=IF('Client &amp; Project Profile'!$B$10="",TODAY(),'Client &amp; Project Profile'!$B$10)+1*7),"■",""))</f>
        <v/>
      </c>
      <c r="O95">
        <f>IF(OR($D95="",$E95=""),"",IF(AND($D95&lt;=IF('Client &amp; Project Profile'!$B$10="",TODAY(),'Client &amp; Project Profile'!$B$10)+2*7+6,$E95&gt;=IF('Client &amp; Project Profile'!$B$10="",TODAY(),'Client &amp; Project Profile'!$B$10)+2*7),"■",""))</f>
        <v/>
      </c>
      <c r="P95">
        <f>IF(OR($D95="",$E95=""),"",IF(AND($D95&lt;=IF('Client &amp; Project Profile'!$B$10="",TODAY(),'Client &amp; Project Profile'!$B$10)+3*7+6,$E95&gt;=IF('Client &amp; Project Profile'!$B$10="",TODAY(),'Client &amp; Project Profile'!$B$10)+3*7),"■",""))</f>
        <v/>
      </c>
      <c r="Q95">
        <f>IF(OR($D95="",$E95=""),"",IF(AND($D95&lt;=IF('Client &amp; Project Profile'!$B$10="",TODAY(),'Client &amp; Project Profile'!$B$10)+4*7+6,$E95&gt;=IF('Client &amp; Project Profile'!$B$10="",TODAY(),'Client &amp; Project Profile'!$B$10)+4*7),"■",""))</f>
        <v/>
      </c>
      <c r="R95">
        <f>IF(OR($D95="",$E95=""),"",IF(AND($D95&lt;=IF('Client &amp; Project Profile'!$B$10="",TODAY(),'Client &amp; Project Profile'!$B$10)+5*7+6,$E95&gt;=IF('Client &amp; Project Profile'!$B$10="",TODAY(),'Client &amp; Project Profile'!$B$10)+5*7),"■",""))</f>
        <v/>
      </c>
      <c r="S95">
        <f>IF(OR($D95="",$E95=""),"",IF(AND($D95&lt;=IF('Client &amp; Project Profile'!$B$10="",TODAY(),'Client &amp; Project Profile'!$B$10)+6*7+6,$E95&gt;=IF('Client &amp; Project Profile'!$B$10="",TODAY(),'Client &amp; Project Profile'!$B$10)+6*7),"■",""))</f>
        <v/>
      </c>
      <c r="T95">
        <f>IF(OR($D95="",$E95=""),"",IF(AND($D95&lt;=IF('Client &amp; Project Profile'!$B$10="",TODAY(),'Client &amp; Project Profile'!$B$10)+7*7+6,$E95&gt;=IF('Client &amp; Project Profile'!$B$10="",TODAY(),'Client &amp; Project Profile'!$B$10)+7*7),"■",""))</f>
        <v/>
      </c>
      <c r="U95">
        <f>IF(OR($D95="",$E95=""),"",IF(AND($D95&lt;=IF('Client &amp; Project Profile'!$B$10="",TODAY(),'Client &amp; Project Profile'!$B$10)+8*7+6,$E95&gt;=IF('Client &amp; Project Profile'!$B$10="",TODAY(),'Client &amp; Project Profile'!$B$10)+8*7),"■",""))</f>
        <v/>
      </c>
      <c r="V95">
        <f>IF(OR($D95="",$E95=""),"",IF(AND($D95&lt;=IF('Client &amp; Project Profile'!$B$10="",TODAY(),'Client &amp; Project Profile'!$B$10)+9*7+6,$E95&gt;=IF('Client &amp; Project Profile'!$B$10="",TODAY(),'Client &amp; Project Profile'!$B$10)+9*7),"■",""))</f>
        <v/>
      </c>
      <c r="W95">
        <f>IF(OR($D95="",$E95=""),"",IF(AND($D95&lt;=IF('Client &amp; Project Profile'!$B$10="",TODAY(),'Client &amp; Project Profile'!$B$10)+10*7+6,$E95&gt;=IF('Client &amp; Project Profile'!$B$10="",TODAY(),'Client &amp; Project Profile'!$B$10)+10*7),"■",""))</f>
        <v/>
      </c>
      <c r="X95">
        <f>IF(OR($D95="",$E95=""),"",IF(AND($D95&lt;=IF('Client &amp; Project Profile'!$B$10="",TODAY(),'Client &amp; Project Profile'!$B$10)+11*7+6,$E95&gt;=IF('Client &amp; Project Profile'!$B$10="",TODAY(),'Client &amp; Project Profile'!$B$10)+11*7),"■",""))</f>
        <v/>
      </c>
    </row>
    <row r="96">
      <c r="A96" s="12" t="n"/>
      <c r="B96" s="12" t="n"/>
      <c r="C96" s="12" t="n"/>
      <c r="D96" s="14" t="n"/>
      <c r="E96" s="14" t="n"/>
      <c r="F96" s="14" t="n"/>
      <c r="G96" s="12" t="n"/>
      <c r="H96" s="12" t="n"/>
      <c r="I96" s="12" t="n"/>
      <c r="J96" s="12" t="n"/>
      <c r="K96" s="12">
        <f>IF(OR($D96="",$E96=""),"",$E96-$D96+1)</f>
        <v/>
      </c>
      <c r="L96" s="12">
        <f>IF(AND($E96&lt;TODAY(),$G96&lt;&gt;"Complete"),TODAY()-$E96,0)</f>
        <v/>
      </c>
      <c r="M96" s="12">
        <f>IF(OR($D96="",$E96=""),"",IF(AND($D96&lt;=IF('Client &amp; Project Profile'!$B$10="",TODAY(),'Client &amp; Project Profile'!$B$10)+0*7+6,$E96&gt;=IF('Client &amp; Project Profile'!$B$10="",TODAY(),'Client &amp; Project Profile'!$B$10)+0*7),"■",""))</f>
        <v/>
      </c>
      <c r="N96" s="12">
        <f>IF(OR($D96="",$E96=""),"",IF(AND($D96&lt;=IF('Client &amp; Project Profile'!$B$10="",TODAY(),'Client &amp; Project Profile'!$B$10)+1*7+6,$E96&gt;=IF('Client &amp; Project Profile'!$B$10="",TODAY(),'Client &amp; Project Profile'!$B$10)+1*7),"■",""))</f>
        <v/>
      </c>
      <c r="O96" s="12">
        <f>IF(OR($D96="",$E96=""),"",IF(AND($D96&lt;=IF('Client &amp; Project Profile'!$B$10="",TODAY(),'Client &amp; Project Profile'!$B$10)+2*7+6,$E96&gt;=IF('Client &amp; Project Profile'!$B$10="",TODAY(),'Client &amp; Project Profile'!$B$10)+2*7),"■",""))</f>
        <v/>
      </c>
      <c r="P96" s="12">
        <f>IF(OR($D96="",$E96=""),"",IF(AND($D96&lt;=IF('Client &amp; Project Profile'!$B$10="",TODAY(),'Client &amp; Project Profile'!$B$10)+3*7+6,$E96&gt;=IF('Client &amp; Project Profile'!$B$10="",TODAY(),'Client &amp; Project Profile'!$B$10)+3*7),"■",""))</f>
        <v/>
      </c>
      <c r="Q96" s="12">
        <f>IF(OR($D96="",$E96=""),"",IF(AND($D96&lt;=IF('Client &amp; Project Profile'!$B$10="",TODAY(),'Client &amp; Project Profile'!$B$10)+4*7+6,$E96&gt;=IF('Client &amp; Project Profile'!$B$10="",TODAY(),'Client &amp; Project Profile'!$B$10)+4*7),"■",""))</f>
        <v/>
      </c>
      <c r="R96" s="12">
        <f>IF(OR($D96="",$E96=""),"",IF(AND($D96&lt;=IF('Client &amp; Project Profile'!$B$10="",TODAY(),'Client &amp; Project Profile'!$B$10)+5*7+6,$E96&gt;=IF('Client &amp; Project Profile'!$B$10="",TODAY(),'Client &amp; Project Profile'!$B$10)+5*7),"■",""))</f>
        <v/>
      </c>
      <c r="S96" s="12">
        <f>IF(OR($D96="",$E96=""),"",IF(AND($D96&lt;=IF('Client &amp; Project Profile'!$B$10="",TODAY(),'Client &amp; Project Profile'!$B$10)+6*7+6,$E96&gt;=IF('Client &amp; Project Profile'!$B$10="",TODAY(),'Client &amp; Project Profile'!$B$10)+6*7),"■",""))</f>
        <v/>
      </c>
      <c r="T96" s="12">
        <f>IF(OR($D96="",$E96=""),"",IF(AND($D96&lt;=IF('Client &amp; Project Profile'!$B$10="",TODAY(),'Client &amp; Project Profile'!$B$10)+7*7+6,$E96&gt;=IF('Client &amp; Project Profile'!$B$10="",TODAY(),'Client &amp; Project Profile'!$B$10)+7*7),"■",""))</f>
        <v/>
      </c>
      <c r="U96" s="12">
        <f>IF(OR($D96="",$E96=""),"",IF(AND($D96&lt;=IF('Client &amp; Project Profile'!$B$10="",TODAY(),'Client &amp; Project Profile'!$B$10)+8*7+6,$E96&gt;=IF('Client &amp; Project Profile'!$B$10="",TODAY(),'Client &amp; Project Profile'!$B$10)+8*7),"■",""))</f>
        <v/>
      </c>
      <c r="V96" s="12">
        <f>IF(OR($D96="",$E96=""),"",IF(AND($D96&lt;=IF('Client &amp; Project Profile'!$B$10="",TODAY(),'Client &amp; Project Profile'!$B$10)+9*7+6,$E96&gt;=IF('Client &amp; Project Profile'!$B$10="",TODAY(),'Client &amp; Project Profile'!$B$10)+9*7),"■",""))</f>
        <v/>
      </c>
      <c r="W96" s="12">
        <f>IF(OR($D96="",$E96=""),"",IF(AND($D96&lt;=IF('Client &amp; Project Profile'!$B$10="",TODAY(),'Client &amp; Project Profile'!$B$10)+10*7+6,$E96&gt;=IF('Client &amp; Project Profile'!$B$10="",TODAY(),'Client &amp; Project Profile'!$B$10)+10*7),"■",""))</f>
        <v/>
      </c>
      <c r="X96" s="12">
        <f>IF(OR($D96="",$E96=""),"",IF(AND($D96&lt;=IF('Client &amp; Project Profile'!$B$10="",TODAY(),'Client &amp; Project Profile'!$B$10)+11*7+6,$E96&gt;=IF('Client &amp; Project Profile'!$B$10="",TODAY(),'Client &amp; Project Profile'!$B$10)+11*7),"■",""))</f>
        <v/>
      </c>
    </row>
    <row r="97">
      <c r="D97" s="9" t="n"/>
      <c r="E97" s="9" t="n"/>
      <c r="F97" s="9" t="n"/>
      <c r="K97">
        <f>IF(OR($D97="",$E97=""),"",$E97-$D97+1)</f>
        <v/>
      </c>
      <c r="L97">
        <f>IF(AND($E97&lt;TODAY(),$G97&lt;&gt;"Complete"),TODAY()-$E97,0)</f>
        <v/>
      </c>
      <c r="M97">
        <f>IF(OR($D97="",$E97=""),"",IF(AND($D97&lt;=IF('Client &amp; Project Profile'!$B$10="",TODAY(),'Client &amp; Project Profile'!$B$10)+0*7+6,$E97&gt;=IF('Client &amp; Project Profile'!$B$10="",TODAY(),'Client &amp; Project Profile'!$B$10)+0*7),"■",""))</f>
        <v/>
      </c>
      <c r="N97">
        <f>IF(OR($D97="",$E97=""),"",IF(AND($D97&lt;=IF('Client &amp; Project Profile'!$B$10="",TODAY(),'Client &amp; Project Profile'!$B$10)+1*7+6,$E97&gt;=IF('Client &amp; Project Profile'!$B$10="",TODAY(),'Client &amp; Project Profile'!$B$10)+1*7),"■",""))</f>
        <v/>
      </c>
      <c r="O97">
        <f>IF(OR($D97="",$E97=""),"",IF(AND($D97&lt;=IF('Client &amp; Project Profile'!$B$10="",TODAY(),'Client &amp; Project Profile'!$B$10)+2*7+6,$E97&gt;=IF('Client &amp; Project Profile'!$B$10="",TODAY(),'Client &amp; Project Profile'!$B$10)+2*7),"■",""))</f>
        <v/>
      </c>
      <c r="P97">
        <f>IF(OR($D97="",$E97=""),"",IF(AND($D97&lt;=IF('Client &amp; Project Profile'!$B$10="",TODAY(),'Client &amp; Project Profile'!$B$10)+3*7+6,$E97&gt;=IF('Client &amp; Project Profile'!$B$10="",TODAY(),'Client &amp; Project Profile'!$B$10)+3*7),"■",""))</f>
        <v/>
      </c>
      <c r="Q97">
        <f>IF(OR($D97="",$E97=""),"",IF(AND($D97&lt;=IF('Client &amp; Project Profile'!$B$10="",TODAY(),'Client &amp; Project Profile'!$B$10)+4*7+6,$E97&gt;=IF('Client &amp; Project Profile'!$B$10="",TODAY(),'Client &amp; Project Profile'!$B$10)+4*7),"■",""))</f>
        <v/>
      </c>
      <c r="R97">
        <f>IF(OR($D97="",$E97=""),"",IF(AND($D97&lt;=IF('Client &amp; Project Profile'!$B$10="",TODAY(),'Client &amp; Project Profile'!$B$10)+5*7+6,$E97&gt;=IF('Client &amp; Project Profile'!$B$10="",TODAY(),'Client &amp; Project Profile'!$B$10)+5*7),"■",""))</f>
        <v/>
      </c>
      <c r="S97">
        <f>IF(OR($D97="",$E97=""),"",IF(AND($D97&lt;=IF('Client &amp; Project Profile'!$B$10="",TODAY(),'Client &amp; Project Profile'!$B$10)+6*7+6,$E97&gt;=IF('Client &amp; Project Profile'!$B$10="",TODAY(),'Client &amp; Project Profile'!$B$10)+6*7),"■",""))</f>
        <v/>
      </c>
      <c r="T97">
        <f>IF(OR($D97="",$E97=""),"",IF(AND($D97&lt;=IF('Client &amp; Project Profile'!$B$10="",TODAY(),'Client &amp; Project Profile'!$B$10)+7*7+6,$E97&gt;=IF('Client &amp; Project Profile'!$B$10="",TODAY(),'Client &amp; Project Profile'!$B$10)+7*7),"■",""))</f>
        <v/>
      </c>
      <c r="U97">
        <f>IF(OR($D97="",$E97=""),"",IF(AND($D97&lt;=IF('Client &amp; Project Profile'!$B$10="",TODAY(),'Client &amp; Project Profile'!$B$10)+8*7+6,$E97&gt;=IF('Client &amp; Project Profile'!$B$10="",TODAY(),'Client &amp; Project Profile'!$B$10)+8*7),"■",""))</f>
        <v/>
      </c>
      <c r="V97">
        <f>IF(OR($D97="",$E97=""),"",IF(AND($D97&lt;=IF('Client &amp; Project Profile'!$B$10="",TODAY(),'Client &amp; Project Profile'!$B$10)+9*7+6,$E97&gt;=IF('Client &amp; Project Profile'!$B$10="",TODAY(),'Client &amp; Project Profile'!$B$10)+9*7),"■",""))</f>
        <v/>
      </c>
      <c r="W97">
        <f>IF(OR($D97="",$E97=""),"",IF(AND($D97&lt;=IF('Client &amp; Project Profile'!$B$10="",TODAY(),'Client &amp; Project Profile'!$B$10)+10*7+6,$E97&gt;=IF('Client &amp; Project Profile'!$B$10="",TODAY(),'Client &amp; Project Profile'!$B$10)+10*7),"■",""))</f>
        <v/>
      </c>
      <c r="X97">
        <f>IF(OR($D97="",$E97=""),"",IF(AND($D97&lt;=IF('Client &amp; Project Profile'!$B$10="",TODAY(),'Client &amp; Project Profile'!$B$10)+11*7+6,$E97&gt;=IF('Client &amp; Project Profile'!$B$10="",TODAY(),'Client &amp; Project Profile'!$B$10)+11*7),"■",""))</f>
        <v/>
      </c>
    </row>
    <row r="98">
      <c r="A98" s="12" t="n"/>
      <c r="B98" s="12" t="n"/>
      <c r="C98" s="12" t="n"/>
      <c r="D98" s="14" t="n"/>
      <c r="E98" s="14" t="n"/>
      <c r="F98" s="14" t="n"/>
      <c r="G98" s="12" t="n"/>
      <c r="H98" s="12" t="n"/>
      <c r="I98" s="12" t="n"/>
      <c r="J98" s="12" t="n"/>
      <c r="K98" s="12">
        <f>IF(OR($D98="",$E98=""),"",$E98-$D98+1)</f>
        <v/>
      </c>
      <c r="L98" s="12">
        <f>IF(AND($E98&lt;TODAY(),$G98&lt;&gt;"Complete"),TODAY()-$E98,0)</f>
        <v/>
      </c>
      <c r="M98" s="12">
        <f>IF(OR($D98="",$E98=""),"",IF(AND($D98&lt;=IF('Client &amp; Project Profile'!$B$10="",TODAY(),'Client &amp; Project Profile'!$B$10)+0*7+6,$E98&gt;=IF('Client &amp; Project Profile'!$B$10="",TODAY(),'Client &amp; Project Profile'!$B$10)+0*7),"■",""))</f>
        <v/>
      </c>
      <c r="N98" s="12">
        <f>IF(OR($D98="",$E98=""),"",IF(AND($D98&lt;=IF('Client &amp; Project Profile'!$B$10="",TODAY(),'Client &amp; Project Profile'!$B$10)+1*7+6,$E98&gt;=IF('Client &amp; Project Profile'!$B$10="",TODAY(),'Client &amp; Project Profile'!$B$10)+1*7),"■",""))</f>
        <v/>
      </c>
      <c r="O98" s="12">
        <f>IF(OR($D98="",$E98=""),"",IF(AND($D98&lt;=IF('Client &amp; Project Profile'!$B$10="",TODAY(),'Client &amp; Project Profile'!$B$10)+2*7+6,$E98&gt;=IF('Client &amp; Project Profile'!$B$10="",TODAY(),'Client &amp; Project Profile'!$B$10)+2*7),"■",""))</f>
        <v/>
      </c>
      <c r="P98" s="12">
        <f>IF(OR($D98="",$E98=""),"",IF(AND($D98&lt;=IF('Client &amp; Project Profile'!$B$10="",TODAY(),'Client &amp; Project Profile'!$B$10)+3*7+6,$E98&gt;=IF('Client &amp; Project Profile'!$B$10="",TODAY(),'Client &amp; Project Profile'!$B$10)+3*7),"■",""))</f>
        <v/>
      </c>
      <c r="Q98" s="12">
        <f>IF(OR($D98="",$E98=""),"",IF(AND($D98&lt;=IF('Client &amp; Project Profile'!$B$10="",TODAY(),'Client &amp; Project Profile'!$B$10)+4*7+6,$E98&gt;=IF('Client &amp; Project Profile'!$B$10="",TODAY(),'Client &amp; Project Profile'!$B$10)+4*7),"■",""))</f>
        <v/>
      </c>
      <c r="R98" s="12">
        <f>IF(OR($D98="",$E98=""),"",IF(AND($D98&lt;=IF('Client &amp; Project Profile'!$B$10="",TODAY(),'Client &amp; Project Profile'!$B$10)+5*7+6,$E98&gt;=IF('Client &amp; Project Profile'!$B$10="",TODAY(),'Client &amp; Project Profile'!$B$10)+5*7),"■",""))</f>
        <v/>
      </c>
      <c r="S98" s="12">
        <f>IF(OR($D98="",$E98=""),"",IF(AND($D98&lt;=IF('Client &amp; Project Profile'!$B$10="",TODAY(),'Client &amp; Project Profile'!$B$10)+6*7+6,$E98&gt;=IF('Client &amp; Project Profile'!$B$10="",TODAY(),'Client &amp; Project Profile'!$B$10)+6*7),"■",""))</f>
        <v/>
      </c>
      <c r="T98" s="12">
        <f>IF(OR($D98="",$E98=""),"",IF(AND($D98&lt;=IF('Client &amp; Project Profile'!$B$10="",TODAY(),'Client &amp; Project Profile'!$B$10)+7*7+6,$E98&gt;=IF('Client &amp; Project Profile'!$B$10="",TODAY(),'Client &amp; Project Profile'!$B$10)+7*7),"■",""))</f>
        <v/>
      </c>
      <c r="U98" s="12">
        <f>IF(OR($D98="",$E98=""),"",IF(AND($D98&lt;=IF('Client &amp; Project Profile'!$B$10="",TODAY(),'Client &amp; Project Profile'!$B$10)+8*7+6,$E98&gt;=IF('Client &amp; Project Profile'!$B$10="",TODAY(),'Client &amp; Project Profile'!$B$10)+8*7),"■",""))</f>
        <v/>
      </c>
      <c r="V98" s="12">
        <f>IF(OR($D98="",$E98=""),"",IF(AND($D98&lt;=IF('Client &amp; Project Profile'!$B$10="",TODAY(),'Client &amp; Project Profile'!$B$10)+9*7+6,$E98&gt;=IF('Client &amp; Project Profile'!$B$10="",TODAY(),'Client &amp; Project Profile'!$B$10)+9*7),"■",""))</f>
        <v/>
      </c>
      <c r="W98" s="12">
        <f>IF(OR($D98="",$E98=""),"",IF(AND($D98&lt;=IF('Client &amp; Project Profile'!$B$10="",TODAY(),'Client &amp; Project Profile'!$B$10)+10*7+6,$E98&gt;=IF('Client &amp; Project Profile'!$B$10="",TODAY(),'Client &amp; Project Profile'!$B$10)+10*7),"■",""))</f>
        <v/>
      </c>
      <c r="X98" s="12">
        <f>IF(OR($D98="",$E98=""),"",IF(AND($D98&lt;=IF('Client &amp; Project Profile'!$B$10="",TODAY(),'Client &amp; Project Profile'!$B$10)+11*7+6,$E98&gt;=IF('Client &amp; Project Profile'!$B$10="",TODAY(),'Client &amp; Project Profile'!$B$10)+11*7),"■",""))</f>
        <v/>
      </c>
    </row>
    <row r="99">
      <c r="D99" s="9" t="n"/>
      <c r="E99" s="9" t="n"/>
      <c r="F99" s="9" t="n"/>
      <c r="K99">
        <f>IF(OR($D99="",$E99=""),"",$E99-$D99+1)</f>
        <v/>
      </c>
      <c r="L99">
        <f>IF(AND($E99&lt;TODAY(),$G99&lt;&gt;"Complete"),TODAY()-$E99,0)</f>
        <v/>
      </c>
      <c r="M99">
        <f>IF(OR($D99="",$E99=""),"",IF(AND($D99&lt;=IF('Client &amp; Project Profile'!$B$10="",TODAY(),'Client &amp; Project Profile'!$B$10)+0*7+6,$E99&gt;=IF('Client &amp; Project Profile'!$B$10="",TODAY(),'Client &amp; Project Profile'!$B$10)+0*7),"■",""))</f>
        <v/>
      </c>
      <c r="N99">
        <f>IF(OR($D99="",$E99=""),"",IF(AND($D99&lt;=IF('Client &amp; Project Profile'!$B$10="",TODAY(),'Client &amp; Project Profile'!$B$10)+1*7+6,$E99&gt;=IF('Client &amp; Project Profile'!$B$10="",TODAY(),'Client &amp; Project Profile'!$B$10)+1*7),"■",""))</f>
        <v/>
      </c>
      <c r="O99">
        <f>IF(OR($D99="",$E99=""),"",IF(AND($D99&lt;=IF('Client &amp; Project Profile'!$B$10="",TODAY(),'Client &amp; Project Profile'!$B$10)+2*7+6,$E99&gt;=IF('Client &amp; Project Profile'!$B$10="",TODAY(),'Client &amp; Project Profile'!$B$10)+2*7),"■",""))</f>
        <v/>
      </c>
      <c r="P99">
        <f>IF(OR($D99="",$E99=""),"",IF(AND($D99&lt;=IF('Client &amp; Project Profile'!$B$10="",TODAY(),'Client &amp; Project Profile'!$B$10)+3*7+6,$E99&gt;=IF('Client &amp; Project Profile'!$B$10="",TODAY(),'Client &amp; Project Profile'!$B$10)+3*7),"■",""))</f>
        <v/>
      </c>
      <c r="Q99">
        <f>IF(OR($D99="",$E99=""),"",IF(AND($D99&lt;=IF('Client &amp; Project Profile'!$B$10="",TODAY(),'Client &amp; Project Profile'!$B$10)+4*7+6,$E99&gt;=IF('Client &amp; Project Profile'!$B$10="",TODAY(),'Client &amp; Project Profile'!$B$10)+4*7),"■",""))</f>
        <v/>
      </c>
      <c r="R99">
        <f>IF(OR($D99="",$E99=""),"",IF(AND($D99&lt;=IF('Client &amp; Project Profile'!$B$10="",TODAY(),'Client &amp; Project Profile'!$B$10)+5*7+6,$E99&gt;=IF('Client &amp; Project Profile'!$B$10="",TODAY(),'Client &amp; Project Profile'!$B$10)+5*7),"■",""))</f>
        <v/>
      </c>
      <c r="S99">
        <f>IF(OR($D99="",$E99=""),"",IF(AND($D99&lt;=IF('Client &amp; Project Profile'!$B$10="",TODAY(),'Client &amp; Project Profile'!$B$10)+6*7+6,$E99&gt;=IF('Client &amp; Project Profile'!$B$10="",TODAY(),'Client &amp; Project Profile'!$B$10)+6*7),"■",""))</f>
        <v/>
      </c>
      <c r="T99">
        <f>IF(OR($D99="",$E99=""),"",IF(AND($D99&lt;=IF('Client &amp; Project Profile'!$B$10="",TODAY(),'Client &amp; Project Profile'!$B$10)+7*7+6,$E99&gt;=IF('Client &amp; Project Profile'!$B$10="",TODAY(),'Client &amp; Project Profile'!$B$10)+7*7),"■",""))</f>
        <v/>
      </c>
      <c r="U99">
        <f>IF(OR($D99="",$E99=""),"",IF(AND($D99&lt;=IF('Client &amp; Project Profile'!$B$10="",TODAY(),'Client &amp; Project Profile'!$B$10)+8*7+6,$E99&gt;=IF('Client &amp; Project Profile'!$B$10="",TODAY(),'Client &amp; Project Profile'!$B$10)+8*7),"■",""))</f>
        <v/>
      </c>
      <c r="V99">
        <f>IF(OR($D99="",$E99=""),"",IF(AND($D99&lt;=IF('Client &amp; Project Profile'!$B$10="",TODAY(),'Client &amp; Project Profile'!$B$10)+9*7+6,$E99&gt;=IF('Client &amp; Project Profile'!$B$10="",TODAY(),'Client &amp; Project Profile'!$B$10)+9*7),"■",""))</f>
        <v/>
      </c>
      <c r="W99">
        <f>IF(OR($D99="",$E99=""),"",IF(AND($D99&lt;=IF('Client &amp; Project Profile'!$B$10="",TODAY(),'Client &amp; Project Profile'!$B$10)+10*7+6,$E99&gt;=IF('Client &amp; Project Profile'!$B$10="",TODAY(),'Client &amp; Project Profile'!$B$10)+10*7),"■",""))</f>
        <v/>
      </c>
      <c r="X99">
        <f>IF(OR($D99="",$E99=""),"",IF(AND($D99&lt;=IF('Client &amp; Project Profile'!$B$10="",TODAY(),'Client &amp; Project Profile'!$B$10)+11*7+6,$E99&gt;=IF('Client &amp; Project Profile'!$B$10="",TODAY(),'Client &amp; Project Profile'!$B$10)+11*7),"■",""))</f>
        <v/>
      </c>
    </row>
    <row r="100">
      <c r="A100" s="12" t="n"/>
      <c r="B100" s="12" t="n"/>
      <c r="C100" s="12" t="n"/>
      <c r="D100" s="14" t="n"/>
      <c r="E100" s="14" t="n"/>
      <c r="F100" s="14" t="n"/>
      <c r="G100" s="12" t="n"/>
      <c r="H100" s="12" t="n"/>
      <c r="I100" s="12" t="n"/>
      <c r="J100" s="12" t="n"/>
      <c r="K100" s="12">
        <f>IF(OR($D100="",$E100=""),"",$E100-$D100+1)</f>
        <v/>
      </c>
      <c r="L100" s="12">
        <f>IF(AND($E100&lt;TODAY(),$G100&lt;&gt;"Complete"),TODAY()-$E100,0)</f>
        <v/>
      </c>
      <c r="M100" s="12">
        <f>IF(OR($D100="",$E100=""),"",IF(AND($D100&lt;=IF('Client &amp; Project Profile'!$B$10="",TODAY(),'Client &amp; Project Profile'!$B$10)+0*7+6,$E100&gt;=IF('Client &amp; Project Profile'!$B$10="",TODAY(),'Client &amp; Project Profile'!$B$10)+0*7),"■",""))</f>
        <v/>
      </c>
      <c r="N100" s="12">
        <f>IF(OR($D100="",$E100=""),"",IF(AND($D100&lt;=IF('Client &amp; Project Profile'!$B$10="",TODAY(),'Client &amp; Project Profile'!$B$10)+1*7+6,$E100&gt;=IF('Client &amp; Project Profile'!$B$10="",TODAY(),'Client &amp; Project Profile'!$B$10)+1*7),"■",""))</f>
        <v/>
      </c>
      <c r="O100" s="12">
        <f>IF(OR($D100="",$E100=""),"",IF(AND($D100&lt;=IF('Client &amp; Project Profile'!$B$10="",TODAY(),'Client &amp; Project Profile'!$B$10)+2*7+6,$E100&gt;=IF('Client &amp; Project Profile'!$B$10="",TODAY(),'Client &amp; Project Profile'!$B$10)+2*7),"■",""))</f>
        <v/>
      </c>
      <c r="P100" s="12">
        <f>IF(OR($D100="",$E100=""),"",IF(AND($D100&lt;=IF('Client &amp; Project Profile'!$B$10="",TODAY(),'Client &amp; Project Profile'!$B$10)+3*7+6,$E100&gt;=IF('Client &amp; Project Profile'!$B$10="",TODAY(),'Client &amp; Project Profile'!$B$10)+3*7),"■",""))</f>
        <v/>
      </c>
      <c r="Q100" s="12">
        <f>IF(OR($D100="",$E100=""),"",IF(AND($D100&lt;=IF('Client &amp; Project Profile'!$B$10="",TODAY(),'Client &amp; Project Profile'!$B$10)+4*7+6,$E100&gt;=IF('Client &amp; Project Profile'!$B$10="",TODAY(),'Client &amp; Project Profile'!$B$10)+4*7),"■",""))</f>
        <v/>
      </c>
      <c r="R100" s="12">
        <f>IF(OR($D100="",$E100=""),"",IF(AND($D100&lt;=IF('Client &amp; Project Profile'!$B$10="",TODAY(),'Client &amp; Project Profile'!$B$10)+5*7+6,$E100&gt;=IF('Client &amp; Project Profile'!$B$10="",TODAY(),'Client &amp; Project Profile'!$B$10)+5*7),"■",""))</f>
        <v/>
      </c>
      <c r="S100" s="12">
        <f>IF(OR($D100="",$E100=""),"",IF(AND($D100&lt;=IF('Client &amp; Project Profile'!$B$10="",TODAY(),'Client &amp; Project Profile'!$B$10)+6*7+6,$E100&gt;=IF('Client &amp; Project Profile'!$B$10="",TODAY(),'Client &amp; Project Profile'!$B$10)+6*7),"■",""))</f>
        <v/>
      </c>
      <c r="T100" s="12">
        <f>IF(OR($D100="",$E100=""),"",IF(AND($D100&lt;=IF('Client &amp; Project Profile'!$B$10="",TODAY(),'Client &amp; Project Profile'!$B$10)+7*7+6,$E100&gt;=IF('Client &amp; Project Profile'!$B$10="",TODAY(),'Client &amp; Project Profile'!$B$10)+7*7),"■",""))</f>
        <v/>
      </c>
      <c r="U100" s="12">
        <f>IF(OR($D100="",$E100=""),"",IF(AND($D100&lt;=IF('Client &amp; Project Profile'!$B$10="",TODAY(),'Client &amp; Project Profile'!$B$10)+8*7+6,$E100&gt;=IF('Client &amp; Project Profile'!$B$10="",TODAY(),'Client &amp; Project Profile'!$B$10)+8*7),"■",""))</f>
        <v/>
      </c>
      <c r="V100" s="12">
        <f>IF(OR($D100="",$E100=""),"",IF(AND($D100&lt;=IF('Client &amp; Project Profile'!$B$10="",TODAY(),'Client &amp; Project Profile'!$B$10)+9*7+6,$E100&gt;=IF('Client &amp; Project Profile'!$B$10="",TODAY(),'Client &amp; Project Profile'!$B$10)+9*7),"■",""))</f>
        <v/>
      </c>
      <c r="W100" s="12">
        <f>IF(OR($D100="",$E100=""),"",IF(AND($D100&lt;=IF('Client &amp; Project Profile'!$B$10="",TODAY(),'Client &amp; Project Profile'!$B$10)+10*7+6,$E100&gt;=IF('Client &amp; Project Profile'!$B$10="",TODAY(),'Client &amp; Project Profile'!$B$10)+10*7),"■",""))</f>
        <v/>
      </c>
      <c r="X100" s="12">
        <f>IF(OR($D100="",$E100=""),"",IF(AND($D100&lt;=IF('Client &amp; Project Profile'!$B$10="",TODAY(),'Client &amp; Project Profile'!$B$10)+11*7+6,$E100&gt;=IF('Client &amp; Project Profile'!$B$10="",TODAY(),'Client &amp; Project Profile'!$B$10)+11*7),"■",""))</f>
        <v/>
      </c>
    </row>
    <row r="101">
      <c r="D101" s="9" t="n"/>
      <c r="E101" s="9" t="n"/>
      <c r="F101" s="9" t="n"/>
      <c r="K101">
        <f>IF(OR($D101="",$E101=""),"",$E101-$D101+1)</f>
        <v/>
      </c>
      <c r="L101">
        <f>IF(AND($E101&lt;TODAY(),$G101&lt;&gt;"Complete"),TODAY()-$E101,0)</f>
        <v/>
      </c>
      <c r="M101">
        <f>IF(OR($D101="",$E101=""),"",IF(AND($D101&lt;=IF('Client &amp; Project Profile'!$B$10="",TODAY(),'Client &amp; Project Profile'!$B$10)+0*7+6,$E101&gt;=IF('Client &amp; Project Profile'!$B$10="",TODAY(),'Client &amp; Project Profile'!$B$10)+0*7),"■",""))</f>
        <v/>
      </c>
      <c r="N101">
        <f>IF(OR($D101="",$E101=""),"",IF(AND($D101&lt;=IF('Client &amp; Project Profile'!$B$10="",TODAY(),'Client &amp; Project Profile'!$B$10)+1*7+6,$E101&gt;=IF('Client &amp; Project Profile'!$B$10="",TODAY(),'Client &amp; Project Profile'!$B$10)+1*7),"■",""))</f>
        <v/>
      </c>
      <c r="O101">
        <f>IF(OR($D101="",$E101=""),"",IF(AND($D101&lt;=IF('Client &amp; Project Profile'!$B$10="",TODAY(),'Client &amp; Project Profile'!$B$10)+2*7+6,$E101&gt;=IF('Client &amp; Project Profile'!$B$10="",TODAY(),'Client &amp; Project Profile'!$B$10)+2*7),"■",""))</f>
        <v/>
      </c>
      <c r="P101">
        <f>IF(OR($D101="",$E101=""),"",IF(AND($D101&lt;=IF('Client &amp; Project Profile'!$B$10="",TODAY(),'Client &amp; Project Profile'!$B$10)+3*7+6,$E101&gt;=IF('Client &amp; Project Profile'!$B$10="",TODAY(),'Client &amp; Project Profile'!$B$10)+3*7),"■",""))</f>
        <v/>
      </c>
      <c r="Q101">
        <f>IF(OR($D101="",$E101=""),"",IF(AND($D101&lt;=IF('Client &amp; Project Profile'!$B$10="",TODAY(),'Client &amp; Project Profile'!$B$10)+4*7+6,$E101&gt;=IF('Client &amp; Project Profile'!$B$10="",TODAY(),'Client &amp; Project Profile'!$B$10)+4*7),"■",""))</f>
        <v/>
      </c>
      <c r="R101">
        <f>IF(OR($D101="",$E101=""),"",IF(AND($D101&lt;=IF('Client &amp; Project Profile'!$B$10="",TODAY(),'Client &amp; Project Profile'!$B$10)+5*7+6,$E101&gt;=IF('Client &amp; Project Profile'!$B$10="",TODAY(),'Client &amp; Project Profile'!$B$10)+5*7),"■",""))</f>
        <v/>
      </c>
      <c r="S101">
        <f>IF(OR($D101="",$E101=""),"",IF(AND($D101&lt;=IF('Client &amp; Project Profile'!$B$10="",TODAY(),'Client &amp; Project Profile'!$B$10)+6*7+6,$E101&gt;=IF('Client &amp; Project Profile'!$B$10="",TODAY(),'Client &amp; Project Profile'!$B$10)+6*7),"■",""))</f>
        <v/>
      </c>
      <c r="T101">
        <f>IF(OR($D101="",$E101=""),"",IF(AND($D101&lt;=IF('Client &amp; Project Profile'!$B$10="",TODAY(),'Client &amp; Project Profile'!$B$10)+7*7+6,$E101&gt;=IF('Client &amp; Project Profile'!$B$10="",TODAY(),'Client &amp; Project Profile'!$B$10)+7*7),"■",""))</f>
        <v/>
      </c>
      <c r="U101">
        <f>IF(OR($D101="",$E101=""),"",IF(AND($D101&lt;=IF('Client &amp; Project Profile'!$B$10="",TODAY(),'Client &amp; Project Profile'!$B$10)+8*7+6,$E101&gt;=IF('Client &amp; Project Profile'!$B$10="",TODAY(),'Client &amp; Project Profile'!$B$10)+8*7),"■",""))</f>
        <v/>
      </c>
      <c r="V101">
        <f>IF(OR($D101="",$E101=""),"",IF(AND($D101&lt;=IF('Client &amp; Project Profile'!$B$10="",TODAY(),'Client &amp; Project Profile'!$B$10)+9*7+6,$E101&gt;=IF('Client &amp; Project Profile'!$B$10="",TODAY(),'Client &amp; Project Profile'!$B$10)+9*7),"■",""))</f>
        <v/>
      </c>
      <c r="W101">
        <f>IF(OR($D101="",$E101=""),"",IF(AND($D101&lt;=IF('Client &amp; Project Profile'!$B$10="",TODAY(),'Client &amp; Project Profile'!$B$10)+10*7+6,$E101&gt;=IF('Client &amp; Project Profile'!$B$10="",TODAY(),'Client &amp; Project Profile'!$B$10)+10*7),"■",""))</f>
        <v/>
      </c>
      <c r="X101">
        <f>IF(OR($D101="",$E101=""),"",IF(AND($D101&lt;=IF('Client &amp; Project Profile'!$B$10="",TODAY(),'Client &amp; Project Profile'!$B$10)+11*7+6,$E101&gt;=IF('Client &amp; Project Profile'!$B$10="",TODAY(),'Client &amp; Project Profile'!$B$10)+11*7),"■",""))</f>
        <v/>
      </c>
    </row>
    <row r="102">
      <c r="A102" s="12" t="n"/>
      <c r="B102" s="12" t="n"/>
      <c r="C102" s="12" t="n"/>
      <c r="D102" s="14" t="n"/>
      <c r="E102" s="14" t="n"/>
      <c r="F102" s="14" t="n"/>
      <c r="G102" s="12" t="n"/>
      <c r="H102" s="12" t="n"/>
      <c r="I102" s="12" t="n"/>
      <c r="J102" s="12" t="n"/>
      <c r="K102" s="12">
        <f>IF(OR($D102="",$E102=""),"",$E102-$D102+1)</f>
        <v/>
      </c>
      <c r="L102" s="12">
        <f>IF(AND($E102&lt;TODAY(),$G102&lt;&gt;"Complete"),TODAY()-$E102,0)</f>
        <v/>
      </c>
      <c r="M102" s="12">
        <f>IF(OR($D102="",$E102=""),"",IF(AND($D102&lt;=IF('Client &amp; Project Profile'!$B$10="",TODAY(),'Client &amp; Project Profile'!$B$10)+0*7+6,$E102&gt;=IF('Client &amp; Project Profile'!$B$10="",TODAY(),'Client &amp; Project Profile'!$B$10)+0*7),"■",""))</f>
        <v/>
      </c>
      <c r="N102" s="12">
        <f>IF(OR($D102="",$E102=""),"",IF(AND($D102&lt;=IF('Client &amp; Project Profile'!$B$10="",TODAY(),'Client &amp; Project Profile'!$B$10)+1*7+6,$E102&gt;=IF('Client &amp; Project Profile'!$B$10="",TODAY(),'Client &amp; Project Profile'!$B$10)+1*7),"■",""))</f>
        <v/>
      </c>
      <c r="O102" s="12">
        <f>IF(OR($D102="",$E102=""),"",IF(AND($D102&lt;=IF('Client &amp; Project Profile'!$B$10="",TODAY(),'Client &amp; Project Profile'!$B$10)+2*7+6,$E102&gt;=IF('Client &amp; Project Profile'!$B$10="",TODAY(),'Client &amp; Project Profile'!$B$10)+2*7),"■",""))</f>
        <v/>
      </c>
      <c r="P102" s="12">
        <f>IF(OR($D102="",$E102=""),"",IF(AND($D102&lt;=IF('Client &amp; Project Profile'!$B$10="",TODAY(),'Client &amp; Project Profile'!$B$10)+3*7+6,$E102&gt;=IF('Client &amp; Project Profile'!$B$10="",TODAY(),'Client &amp; Project Profile'!$B$10)+3*7),"■",""))</f>
        <v/>
      </c>
      <c r="Q102" s="12">
        <f>IF(OR($D102="",$E102=""),"",IF(AND($D102&lt;=IF('Client &amp; Project Profile'!$B$10="",TODAY(),'Client &amp; Project Profile'!$B$10)+4*7+6,$E102&gt;=IF('Client &amp; Project Profile'!$B$10="",TODAY(),'Client &amp; Project Profile'!$B$10)+4*7),"■",""))</f>
        <v/>
      </c>
      <c r="R102" s="12">
        <f>IF(OR($D102="",$E102=""),"",IF(AND($D102&lt;=IF('Client &amp; Project Profile'!$B$10="",TODAY(),'Client &amp; Project Profile'!$B$10)+5*7+6,$E102&gt;=IF('Client &amp; Project Profile'!$B$10="",TODAY(),'Client &amp; Project Profile'!$B$10)+5*7),"■",""))</f>
        <v/>
      </c>
      <c r="S102" s="12">
        <f>IF(OR($D102="",$E102=""),"",IF(AND($D102&lt;=IF('Client &amp; Project Profile'!$B$10="",TODAY(),'Client &amp; Project Profile'!$B$10)+6*7+6,$E102&gt;=IF('Client &amp; Project Profile'!$B$10="",TODAY(),'Client &amp; Project Profile'!$B$10)+6*7),"■",""))</f>
        <v/>
      </c>
      <c r="T102" s="12">
        <f>IF(OR($D102="",$E102=""),"",IF(AND($D102&lt;=IF('Client &amp; Project Profile'!$B$10="",TODAY(),'Client &amp; Project Profile'!$B$10)+7*7+6,$E102&gt;=IF('Client &amp; Project Profile'!$B$10="",TODAY(),'Client &amp; Project Profile'!$B$10)+7*7),"■",""))</f>
        <v/>
      </c>
      <c r="U102" s="12">
        <f>IF(OR($D102="",$E102=""),"",IF(AND($D102&lt;=IF('Client &amp; Project Profile'!$B$10="",TODAY(),'Client &amp; Project Profile'!$B$10)+8*7+6,$E102&gt;=IF('Client &amp; Project Profile'!$B$10="",TODAY(),'Client &amp; Project Profile'!$B$10)+8*7),"■",""))</f>
        <v/>
      </c>
      <c r="V102" s="12">
        <f>IF(OR($D102="",$E102=""),"",IF(AND($D102&lt;=IF('Client &amp; Project Profile'!$B$10="",TODAY(),'Client &amp; Project Profile'!$B$10)+9*7+6,$E102&gt;=IF('Client &amp; Project Profile'!$B$10="",TODAY(),'Client &amp; Project Profile'!$B$10)+9*7),"■",""))</f>
        <v/>
      </c>
      <c r="W102" s="12">
        <f>IF(OR($D102="",$E102=""),"",IF(AND($D102&lt;=IF('Client &amp; Project Profile'!$B$10="",TODAY(),'Client &amp; Project Profile'!$B$10)+10*7+6,$E102&gt;=IF('Client &amp; Project Profile'!$B$10="",TODAY(),'Client &amp; Project Profile'!$B$10)+10*7),"■",""))</f>
        <v/>
      </c>
      <c r="X102" s="12">
        <f>IF(OR($D102="",$E102=""),"",IF(AND($D102&lt;=IF('Client &amp; Project Profile'!$B$10="",TODAY(),'Client &amp; Project Profile'!$B$10)+11*7+6,$E102&gt;=IF('Client &amp; Project Profile'!$B$10="",TODAY(),'Client &amp; Project Profile'!$B$10)+11*7),"■",""))</f>
        <v/>
      </c>
    </row>
    <row r="103">
      <c r="D103" s="9" t="n"/>
      <c r="E103" s="9" t="n"/>
      <c r="F103" s="9" t="n"/>
      <c r="K103">
        <f>IF(OR($D103="",$E103=""),"",$E103-$D103+1)</f>
        <v/>
      </c>
      <c r="L103">
        <f>IF(AND($E103&lt;TODAY(),$G103&lt;&gt;"Complete"),TODAY()-$E103,0)</f>
        <v/>
      </c>
      <c r="M103">
        <f>IF(OR($D103="",$E103=""),"",IF(AND($D103&lt;=IF('Client &amp; Project Profile'!$B$10="",TODAY(),'Client &amp; Project Profile'!$B$10)+0*7+6,$E103&gt;=IF('Client &amp; Project Profile'!$B$10="",TODAY(),'Client &amp; Project Profile'!$B$10)+0*7),"■",""))</f>
        <v/>
      </c>
      <c r="N103">
        <f>IF(OR($D103="",$E103=""),"",IF(AND($D103&lt;=IF('Client &amp; Project Profile'!$B$10="",TODAY(),'Client &amp; Project Profile'!$B$10)+1*7+6,$E103&gt;=IF('Client &amp; Project Profile'!$B$10="",TODAY(),'Client &amp; Project Profile'!$B$10)+1*7),"■",""))</f>
        <v/>
      </c>
      <c r="O103">
        <f>IF(OR($D103="",$E103=""),"",IF(AND($D103&lt;=IF('Client &amp; Project Profile'!$B$10="",TODAY(),'Client &amp; Project Profile'!$B$10)+2*7+6,$E103&gt;=IF('Client &amp; Project Profile'!$B$10="",TODAY(),'Client &amp; Project Profile'!$B$10)+2*7),"■",""))</f>
        <v/>
      </c>
      <c r="P103">
        <f>IF(OR($D103="",$E103=""),"",IF(AND($D103&lt;=IF('Client &amp; Project Profile'!$B$10="",TODAY(),'Client &amp; Project Profile'!$B$10)+3*7+6,$E103&gt;=IF('Client &amp; Project Profile'!$B$10="",TODAY(),'Client &amp; Project Profile'!$B$10)+3*7),"■",""))</f>
        <v/>
      </c>
      <c r="Q103">
        <f>IF(OR($D103="",$E103=""),"",IF(AND($D103&lt;=IF('Client &amp; Project Profile'!$B$10="",TODAY(),'Client &amp; Project Profile'!$B$10)+4*7+6,$E103&gt;=IF('Client &amp; Project Profile'!$B$10="",TODAY(),'Client &amp; Project Profile'!$B$10)+4*7),"■",""))</f>
        <v/>
      </c>
      <c r="R103">
        <f>IF(OR($D103="",$E103=""),"",IF(AND($D103&lt;=IF('Client &amp; Project Profile'!$B$10="",TODAY(),'Client &amp; Project Profile'!$B$10)+5*7+6,$E103&gt;=IF('Client &amp; Project Profile'!$B$10="",TODAY(),'Client &amp; Project Profile'!$B$10)+5*7),"■",""))</f>
        <v/>
      </c>
      <c r="S103">
        <f>IF(OR($D103="",$E103=""),"",IF(AND($D103&lt;=IF('Client &amp; Project Profile'!$B$10="",TODAY(),'Client &amp; Project Profile'!$B$10)+6*7+6,$E103&gt;=IF('Client &amp; Project Profile'!$B$10="",TODAY(),'Client &amp; Project Profile'!$B$10)+6*7),"■",""))</f>
        <v/>
      </c>
      <c r="T103">
        <f>IF(OR($D103="",$E103=""),"",IF(AND($D103&lt;=IF('Client &amp; Project Profile'!$B$10="",TODAY(),'Client &amp; Project Profile'!$B$10)+7*7+6,$E103&gt;=IF('Client &amp; Project Profile'!$B$10="",TODAY(),'Client &amp; Project Profile'!$B$10)+7*7),"■",""))</f>
        <v/>
      </c>
      <c r="U103">
        <f>IF(OR($D103="",$E103=""),"",IF(AND($D103&lt;=IF('Client &amp; Project Profile'!$B$10="",TODAY(),'Client &amp; Project Profile'!$B$10)+8*7+6,$E103&gt;=IF('Client &amp; Project Profile'!$B$10="",TODAY(),'Client &amp; Project Profile'!$B$10)+8*7),"■",""))</f>
        <v/>
      </c>
      <c r="V103">
        <f>IF(OR($D103="",$E103=""),"",IF(AND($D103&lt;=IF('Client &amp; Project Profile'!$B$10="",TODAY(),'Client &amp; Project Profile'!$B$10)+9*7+6,$E103&gt;=IF('Client &amp; Project Profile'!$B$10="",TODAY(),'Client &amp; Project Profile'!$B$10)+9*7),"■",""))</f>
        <v/>
      </c>
      <c r="W103">
        <f>IF(OR($D103="",$E103=""),"",IF(AND($D103&lt;=IF('Client &amp; Project Profile'!$B$10="",TODAY(),'Client &amp; Project Profile'!$B$10)+10*7+6,$E103&gt;=IF('Client &amp; Project Profile'!$B$10="",TODAY(),'Client &amp; Project Profile'!$B$10)+10*7),"■",""))</f>
        <v/>
      </c>
      <c r="X103">
        <f>IF(OR($D103="",$E103=""),"",IF(AND($D103&lt;=IF('Client &amp; Project Profile'!$B$10="",TODAY(),'Client &amp; Project Profile'!$B$10)+11*7+6,$E103&gt;=IF('Client &amp; Project Profile'!$B$10="",TODAY(),'Client &amp; Project Profile'!$B$10)+11*7),"■",""))</f>
        <v/>
      </c>
    </row>
    <row r="104">
      <c r="A104" s="12" t="n"/>
      <c r="B104" s="12" t="n"/>
      <c r="C104" s="12" t="n"/>
      <c r="D104" s="14" t="n"/>
      <c r="E104" s="14" t="n"/>
      <c r="F104" s="14" t="n"/>
      <c r="G104" s="12" t="n"/>
      <c r="H104" s="12" t="n"/>
      <c r="I104" s="12" t="n"/>
      <c r="J104" s="12" t="n"/>
      <c r="K104" s="12">
        <f>IF(OR($D104="",$E104=""),"",$E104-$D104+1)</f>
        <v/>
      </c>
      <c r="L104" s="12">
        <f>IF(AND($E104&lt;TODAY(),$G104&lt;&gt;"Complete"),TODAY()-$E104,0)</f>
        <v/>
      </c>
      <c r="M104" s="12">
        <f>IF(OR($D104="",$E104=""),"",IF(AND($D104&lt;=IF('Client &amp; Project Profile'!$B$10="",TODAY(),'Client &amp; Project Profile'!$B$10)+0*7+6,$E104&gt;=IF('Client &amp; Project Profile'!$B$10="",TODAY(),'Client &amp; Project Profile'!$B$10)+0*7),"■",""))</f>
        <v/>
      </c>
      <c r="N104" s="12">
        <f>IF(OR($D104="",$E104=""),"",IF(AND($D104&lt;=IF('Client &amp; Project Profile'!$B$10="",TODAY(),'Client &amp; Project Profile'!$B$10)+1*7+6,$E104&gt;=IF('Client &amp; Project Profile'!$B$10="",TODAY(),'Client &amp; Project Profile'!$B$10)+1*7),"■",""))</f>
        <v/>
      </c>
      <c r="O104" s="12">
        <f>IF(OR($D104="",$E104=""),"",IF(AND($D104&lt;=IF('Client &amp; Project Profile'!$B$10="",TODAY(),'Client &amp; Project Profile'!$B$10)+2*7+6,$E104&gt;=IF('Client &amp; Project Profile'!$B$10="",TODAY(),'Client &amp; Project Profile'!$B$10)+2*7),"■",""))</f>
        <v/>
      </c>
      <c r="P104" s="12">
        <f>IF(OR($D104="",$E104=""),"",IF(AND($D104&lt;=IF('Client &amp; Project Profile'!$B$10="",TODAY(),'Client &amp; Project Profile'!$B$10)+3*7+6,$E104&gt;=IF('Client &amp; Project Profile'!$B$10="",TODAY(),'Client &amp; Project Profile'!$B$10)+3*7),"■",""))</f>
        <v/>
      </c>
      <c r="Q104" s="12">
        <f>IF(OR($D104="",$E104=""),"",IF(AND($D104&lt;=IF('Client &amp; Project Profile'!$B$10="",TODAY(),'Client &amp; Project Profile'!$B$10)+4*7+6,$E104&gt;=IF('Client &amp; Project Profile'!$B$10="",TODAY(),'Client &amp; Project Profile'!$B$10)+4*7),"■",""))</f>
        <v/>
      </c>
      <c r="R104" s="12">
        <f>IF(OR($D104="",$E104=""),"",IF(AND($D104&lt;=IF('Client &amp; Project Profile'!$B$10="",TODAY(),'Client &amp; Project Profile'!$B$10)+5*7+6,$E104&gt;=IF('Client &amp; Project Profile'!$B$10="",TODAY(),'Client &amp; Project Profile'!$B$10)+5*7),"■",""))</f>
        <v/>
      </c>
      <c r="S104" s="12">
        <f>IF(OR($D104="",$E104=""),"",IF(AND($D104&lt;=IF('Client &amp; Project Profile'!$B$10="",TODAY(),'Client &amp; Project Profile'!$B$10)+6*7+6,$E104&gt;=IF('Client &amp; Project Profile'!$B$10="",TODAY(),'Client &amp; Project Profile'!$B$10)+6*7),"■",""))</f>
        <v/>
      </c>
      <c r="T104" s="12">
        <f>IF(OR($D104="",$E104=""),"",IF(AND($D104&lt;=IF('Client &amp; Project Profile'!$B$10="",TODAY(),'Client &amp; Project Profile'!$B$10)+7*7+6,$E104&gt;=IF('Client &amp; Project Profile'!$B$10="",TODAY(),'Client &amp; Project Profile'!$B$10)+7*7),"■",""))</f>
        <v/>
      </c>
      <c r="U104" s="12">
        <f>IF(OR($D104="",$E104=""),"",IF(AND($D104&lt;=IF('Client &amp; Project Profile'!$B$10="",TODAY(),'Client &amp; Project Profile'!$B$10)+8*7+6,$E104&gt;=IF('Client &amp; Project Profile'!$B$10="",TODAY(),'Client &amp; Project Profile'!$B$10)+8*7),"■",""))</f>
        <v/>
      </c>
      <c r="V104" s="12">
        <f>IF(OR($D104="",$E104=""),"",IF(AND($D104&lt;=IF('Client &amp; Project Profile'!$B$10="",TODAY(),'Client &amp; Project Profile'!$B$10)+9*7+6,$E104&gt;=IF('Client &amp; Project Profile'!$B$10="",TODAY(),'Client &amp; Project Profile'!$B$10)+9*7),"■",""))</f>
        <v/>
      </c>
      <c r="W104" s="12">
        <f>IF(OR($D104="",$E104=""),"",IF(AND($D104&lt;=IF('Client &amp; Project Profile'!$B$10="",TODAY(),'Client &amp; Project Profile'!$B$10)+10*7+6,$E104&gt;=IF('Client &amp; Project Profile'!$B$10="",TODAY(),'Client &amp; Project Profile'!$B$10)+10*7),"■",""))</f>
        <v/>
      </c>
      <c r="X104" s="12">
        <f>IF(OR($D104="",$E104=""),"",IF(AND($D104&lt;=IF('Client &amp; Project Profile'!$B$10="",TODAY(),'Client &amp; Project Profile'!$B$10)+11*7+6,$E104&gt;=IF('Client &amp; Project Profile'!$B$10="",TODAY(),'Client &amp; Project Profile'!$B$10)+11*7),"■",""))</f>
        <v/>
      </c>
    </row>
    <row r="105">
      <c r="D105" s="9" t="n"/>
      <c r="E105" s="9" t="n"/>
      <c r="F105" s="9" t="n"/>
      <c r="K105">
        <f>IF(OR($D105="",$E105=""),"",$E105-$D105+1)</f>
        <v/>
      </c>
      <c r="L105">
        <f>IF(AND($E105&lt;TODAY(),$G105&lt;&gt;"Complete"),TODAY()-$E105,0)</f>
        <v/>
      </c>
      <c r="M105">
        <f>IF(OR($D105="",$E105=""),"",IF(AND($D105&lt;=IF('Client &amp; Project Profile'!$B$10="",TODAY(),'Client &amp; Project Profile'!$B$10)+0*7+6,$E105&gt;=IF('Client &amp; Project Profile'!$B$10="",TODAY(),'Client &amp; Project Profile'!$B$10)+0*7),"■",""))</f>
        <v/>
      </c>
      <c r="N105">
        <f>IF(OR($D105="",$E105=""),"",IF(AND($D105&lt;=IF('Client &amp; Project Profile'!$B$10="",TODAY(),'Client &amp; Project Profile'!$B$10)+1*7+6,$E105&gt;=IF('Client &amp; Project Profile'!$B$10="",TODAY(),'Client &amp; Project Profile'!$B$10)+1*7),"■",""))</f>
        <v/>
      </c>
      <c r="O105">
        <f>IF(OR($D105="",$E105=""),"",IF(AND($D105&lt;=IF('Client &amp; Project Profile'!$B$10="",TODAY(),'Client &amp; Project Profile'!$B$10)+2*7+6,$E105&gt;=IF('Client &amp; Project Profile'!$B$10="",TODAY(),'Client &amp; Project Profile'!$B$10)+2*7),"■",""))</f>
        <v/>
      </c>
      <c r="P105">
        <f>IF(OR($D105="",$E105=""),"",IF(AND($D105&lt;=IF('Client &amp; Project Profile'!$B$10="",TODAY(),'Client &amp; Project Profile'!$B$10)+3*7+6,$E105&gt;=IF('Client &amp; Project Profile'!$B$10="",TODAY(),'Client &amp; Project Profile'!$B$10)+3*7),"■",""))</f>
        <v/>
      </c>
      <c r="Q105">
        <f>IF(OR($D105="",$E105=""),"",IF(AND($D105&lt;=IF('Client &amp; Project Profile'!$B$10="",TODAY(),'Client &amp; Project Profile'!$B$10)+4*7+6,$E105&gt;=IF('Client &amp; Project Profile'!$B$10="",TODAY(),'Client &amp; Project Profile'!$B$10)+4*7),"■",""))</f>
        <v/>
      </c>
      <c r="R105">
        <f>IF(OR($D105="",$E105=""),"",IF(AND($D105&lt;=IF('Client &amp; Project Profile'!$B$10="",TODAY(),'Client &amp; Project Profile'!$B$10)+5*7+6,$E105&gt;=IF('Client &amp; Project Profile'!$B$10="",TODAY(),'Client &amp; Project Profile'!$B$10)+5*7),"■",""))</f>
        <v/>
      </c>
      <c r="S105">
        <f>IF(OR($D105="",$E105=""),"",IF(AND($D105&lt;=IF('Client &amp; Project Profile'!$B$10="",TODAY(),'Client &amp; Project Profile'!$B$10)+6*7+6,$E105&gt;=IF('Client &amp; Project Profile'!$B$10="",TODAY(),'Client &amp; Project Profile'!$B$10)+6*7),"■",""))</f>
        <v/>
      </c>
      <c r="T105">
        <f>IF(OR($D105="",$E105=""),"",IF(AND($D105&lt;=IF('Client &amp; Project Profile'!$B$10="",TODAY(),'Client &amp; Project Profile'!$B$10)+7*7+6,$E105&gt;=IF('Client &amp; Project Profile'!$B$10="",TODAY(),'Client &amp; Project Profile'!$B$10)+7*7),"■",""))</f>
        <v/>
      </c>
      <c r="U105">
        <f>IF(OR($D105="",$E105=""),"",IF(AND($D105&lt;=IF('Client &amp; Project Profile'!$B$10="",TODAY(),'Client &amp; Project Profile'!$B$10)+8*7+6,$E105&gt;=IF('Client &amp; Project Profile'!$B$10="",TODAY(),'Client &amp; Project Profile'!$B$10)+8*7),"■",""))</f>
        <v/>
      </c>
      <c r="V105">
        <f>IF(OR($D105="",$E105=""),"",IF(AND($D105&lt;=IF('Client &amp; Project Profile'!$B$10="",TODAY(),'Client &amp; Project Profile'!$B$10)+9*7+6,$E105&gt;=IF('Client &amp; Project Profile'!$B$10="",TODAY(),'Client &amp; Project Profile'!$B$10)+9*7),"■",""))</f>
        <v/>
      </c>
      <c r="W105">
        <f>IF(OR($D105="",$E105=""),"",IF(AND($D105&lt;=IF('Client &amp; Project Profile'!$B$10="",TODAY(),'Client &amp; Project Profile'!$B$10)+10*7+6,$E105&gt;=IF('Client &amp; Project Profile'!$B$10="",TODAY(),'Client &amp; Project Profile'!$B$10)+10*7),"■",""))</f>
        <v/>
      </c>
      <c r="X105">
        <f>IF(OR($D105="",$E105=""),"",IF(AND($D105&lt;=IF('Client &amp; Project Profile'!$B$10="",TODAY(),'Client &amp; Project Profile'!$B$10)+11*7+6,$E105&gt;=IF('Client &amp; Project Profile'!$B$10="",TODAY(),'Client &amp; Project Profile'!$B$10)+11*7),"■",""))</f>
        <v/>
      </c>
    </row>
    <row r="106">
      <c r="A106" s="12" t="n"/>
      <c r="B106" s="12" t="n"/>
      <c r="C106" s="12" t="n"/>
      <c r="D106" s="14" t="n"/>
      <c r="E106" s="14" t="n"/>
      <c r="F106" s="14" t="n"/>
      <c r="G106" s="12" t="n"/>
      <c r="H106" s="12" t="n"/>
      <c r="I106" s="12" t="n"/>
      <c r="J106" s="12" t="n"/>
      <c r="K106" s="12">
        <f>IF(OR($D106="",$E106=""),"",$E106-$D106+1)</f>
        <v/>
      </c>
      <c r="L106" s="12">
        <f>IF(AND($E106&lt;TODAY(),$G106&lt;&gt;"Complete"),TODAY()-$E106,0)</f>
        <v/>
      </c>
      <c r="M106" s="12">
        <f>IF(OR($D106="",$E106=""),"",IF(AND($D106&lt;=IF('Client &amp; Project Profile'!$B$10="",TODAY(),'Client &amp; Project Profile'!$B$10)+0*7+6,$E106&gt;=IF('Client &amp; Project Profile'!$B$10="",TODAY(),'Client &amp; Project Profile'!$B$10)+0*7),"■",""))</f>
        <v/>
      </c>
      <c r="N106" s="12">
        <f>IF(OR($D106="",$E106=""),"",IF(AND($D106&lt;=IF('Client &amp; Project Profile'!$B$10="",TODAY(),'Client &amp; Project Profile'!$B$10)+1*7+6,$E106&gt;=IF('Client &amp; Project Profile'!$B$10="",TODAY(),'Client &amp; Project Profile'!$B$10)+1*7),"■",""))</f>
        <v/>
      </c>
      <c r="O106" s="12">
        <f>IF(OR($D106="",$E106=""),"",IF(AND($D106&lt;=IF('Client &amp; Project Profile'!$B$10="",TODAY(),'Client &amp; Project Profile'!$B$10)+2*7+6,$E106&gt;=IF('Client &amp; Project Profile'!$B$10="",TODAY(),'Client &amp; Project Profile'!$B$10)+2*7),"■",""))</f>
        <v/>
      </c>
      <c r="P106" s="12">
        <f>IF(OR($D106="",$E106=""),"",IF(AND($D106&lt;=IF('Client &amp; Project Profile'!$B$10="",TODAY(),'Client &amp; Project Profile'!$B$10)+3*7+6,$E106&gt;=IF('Client &amp; Project Profile'!$B$10="",TODAY(),'Client &amp; Project Profile'!$B$10)+3*7),"■",""))</f>
        <v/>
      </c>
      <c r="Q106" s="12">
        <f>IF(OR($D106="",$E106=""),"",IF(AND($D106&lt;=IF('Client &amp; Project Profile'!$B$10="",TODAY(),'Client &amp; Project Profile'!$B$10)+4*7+6,$E106&gt;=IF('Client &amp; Project Profile'!$B$10="",TODAY(),'Client &amp; Project Profile'!$B$10)+4*7),"■",""))</f>
        <v/>
      </c>
      <c r="R106" s="12">
        <f>IF(OR($D106="",$E106=""),"",IF(AND($D106&lt;=IF('Client &amp; Project Profile'!$B$10="",TODAY(),'Client &amp; Project Profile'!$B$10)+5*7+6,$E106&gt;=IF('Client &amp; Project Profile'!$B$10="",TODAY(),'Client &amp; Project Profile'!$B$10)+5*7),"■",""))</f>
        <v/>
      </c>
      <c r="S106" s="12">
        <f>IF(OR($D106="",$E106=""),"",IF(AND($D106&lt;=IF('Client &amp; Project Profile'!$B$10="",TODAY(),'Client &amp; Project Profile'!$B$10)+6*7+6,$E106&gt;=IF('Client &amp; Project Profile'!$B$10="",TODAY(),'Client &amp; Project Profile'!$B$10)+6*7),"■",""))</f>
        <v/>
      </c>
      <c r="T106" s="12">
        <f>IF(OR($D106="",$E106=""),"",IF(AND($D106&lt;=IF('Client &amp; Project Profile'!$B$10="",TODAY(),'Client &amp; Project Profile'!$B$10)+7*7+6,$E106&gt;=IF('Client &amp; Project Profile'!$B$10="",TODAY(),'Client &amp; Project Profile'!$B$10)+7*7),"■",""))</f>
        <v/>
      </c>
      <c r="U106" s="12">
        <f>IF(OR($D106="",$E106=""),"",IF(AND($D106&lt;=IF('Client &amp; Project Profile'!$B$10="",TODAY(),'Client &amp; Project Profile'!$B$10)+8*7+6,$E106&gt;=IF('Client &amp; Project Profile'!$B$10="",TODAY(),'Client &amp; Project Profile'!$B$10)+8*7),"■",""))</f>
        <v/>
      </c>
      <c r="V106" s="12">
        <f>IF(OR($D106="",$E106=""),"",IF(AND($D106&lt;=IF('Client &amp; Project Profile'!$B$10="",TODAY(),'Client &amp; Project Profile'!$B$10)+9*7+6,$E106&gt;=IF('Client &amp; Project Profile'!$B$10="",TODAY(),'Client &amp; Project Profile'!$B$10)+9*7),"■",""))</f>
        <v/>
      </c>
      <c r="W106" s="12">
        <f>IF(OR($D106="",$E106=""),"",IF(AND($D106&lt;=IF('Client &amp; Project Profile'!$B$10="",TODAY(),'Client &amp; Project Profile'!$B$10)+10*7+6,$E106&gt;=IF('Client &amp; Project Profile'!$B$10="",TODAY(),'Client &amp; Project Profile'!$B$10)+10*7),"■",""))</f>
        <v/>
      </c>
      <c r="X106" s="12">
        <f>IF(OR($D106="",$E106=""),"",IF(AND($D106&lt;=IF('Client &amp; Project Profile'!$B$10="",TODAY(),'Client &amp; Project Profile'!$B$10)+11*7+6,$E106&gt;=IF('Client &amp; Project Profile'!$B$10="",TODAY(),'Client &amp; Project Profile'!$B$10)+11*7),"■",""))</f>
        <v/>
      </c>
    </row>
    <row r="107">
      <c r="D107" s="9" t="n"/>
      <c r="E107" s="9" t="n"/>
      <c r="F107" s="9" t="n"/>
      <c r="K107">
        <f>IF(OR($D107="",$E107=""),"",$E107-$D107+1)</f>
        <v/>
      </c>
      <c r="L107">
        <f>IF(AND($E107&lt;TODAY(),$G107&lt;&gt;"Complete"),TODAY()-$E107,0)</f>
        <v/>
      </c>
      <c r="M107">
        <f>IF(OR($D107="",$E107=""),"",IF(AND($D107&lt;=IF('Client &amp; Project Profile'!$B$10="",TODAY(),'Client &amp; Project Profile'!$B$10)+0*7+6,$E107&gt;=IF('Client &amp; Project Profile'!$B$10="",TODAY(),'Client &amp; Project Profile'!$B$10)+0*7),"■",""))</f>
        <v/>
      </c>
      <c r="N107">
        <f>IF(OR($D107="",$E107=""),"",IF(AND($D107&lt;=IF('Client &amp; Project Profile'!$B$10="",TODAY(),'Client &amp; Project Profile'!$B$10)+1*7+6,$E107&gt;=IF('Client &amp; Project Profile'!$B$10="",TODAY(),'Client &amp; Project Profile'!$B$10)+1*7),"■",""))</f>
        <v/>
      </c>
      <c r="O107">
        <f>IF(OR($D107="",$E107=""),"",IF(AND($D107&lt;=IF('Client &amp; Project Profile'!$B$10="",TODAY(),'Client &amp; Project Profile'!$B$10)+2*7+6,$E107&gt;=IF('Client &amp; Project Profile'!$B$10="",TODAY(),'Client &amp; Project Profile'!$B$10)+2*7),"■",""))</f>
        <v/>
      </c>
      <c r="P107">
        <f>IF(OR($D107="",$E107=""),"",IF(AND($D107&lt;=IF('Client &amp; Project Profile'!$B$10="",TODAY(),'Client &amp; Project Profile'!$B$10)+3*7+6,$E107&gt;=IF('Client &amp; Project Profile'!$B$10="",TODAY(),'Client &amp; Project Profile'!$B$10)+3*7),"■",""))</f>
        <v/>
      </c>
      <c r="Q107">
        <f>IF(OR($D107="",$E107=""),"",IF(AND($D107&lt;=IF('Client &amp; Project Profile'!$B$10="",TODAY(),'Client &amp; Project Profile'!$B$10)+4*7+6,$E107&gt;=IF('Client &amp; Project Profile'!$B$10="",TODAY(),'Client &amp; Project Profile'!$B$10)+4*7),"■",""))</f>
        <v/>
      </c>
      <c r="R107">
        <f>IF(OR($D107="",$E107=""),"",IF(AND($D107&lt;=IF('Client &amp; Project Profile'!$B$10="",TODAY(),'Client &amp; Project Profile'!$B$10)+5*7+6,$E107&gt;=IF('Client &amp; Project Profile'!$B$10="",TODAY(),'Client &amp; Project Profile'!$B$10)+5*7),"■",""))</f>
        <v/>
      </c>
      <c r="S107">
        <f>IF(OR($D107="",$E107=""),"",IF(AND($D107&lt;=IF('Client &amp; Project Profile'!$B$10="",TODAY(),'Client &amp; Project Profile'!$B$10)+6*7+6,$E107&gt;=IF('Client &amp; Project Profile'!$B$10="",TODAY(),'Client &amp; Project Profile'!$B$10)+6*7),"■",""))</f>
        <v/>
      </c>
      <c r="T107">
        <f>IF(OR($D107="",$E107=""),"",IF(AND($D107&lt;=IF('Client &amp; Project Profile'!$B$10="",TODAY(),'Client &amp; Project Profile'!$B$10)+7*7+6,$E107&gt;=IF('Client &amp; Project Profile'!$B$10="",TODAY(),'Client &amp; Project Profile'!$B$10)+7*7),"■",""))</f>
        <v/>
      </c>
      <c r="U107">
        <f>IF(OR($D107="",$E107=""),"",IF(AND($D107&lt;=IF('Client &amp; Project Profile'!$B$10="",TODAY(),'Client &amp; Project Profile'!$B$10)+8*7+6,$E107&gt;=IF('Client &amp; Project Profile'!$B$10="",TODAY(),'Client &amp; Project Profile'!$B$10)+8*7),"■",""))</f>
        <v/>
      </c>
      <c r="V107">
        <f>IF(OR($D107="",$E107=""),"",IF(AND($D107&lt;=IF('Client &amp; Project Profile'!$B$10="",TODAY(),'Client &amp; Project Profile'!$B$10)+9*7+6,$E107&gt;=IF('Client &amp; Project Profile'!$B$10="",TODAY(),'Client &amp; Project Profile'!$B$10)+9*7),"■",""))</f>
        <v/>
      </c>
      <c r="W107">
        <f>IF(OR($D107="",$E107=""),"",IF(AND($D107&lt;=IF('Client &amp; Project Profile'!$B$10="",TODAY(),'Client &amp; Project Profile'!$B$10)+10*7+6,$E107&gt;=IF('Client &amp; Project Profile'!$B$10="",TODAY(),'Client &amp; Project Profile'!$B$10)+10*7),"■",""))</f>
        <v/>
      </c>
      <c r="X107">
        <f>IF(OR($D107="",$E107=""),"",IF(AND($D107&lt;=IF('Client &amp; Project Profile'!$B$10="",TODAY(),'Client &amp; Project Profile'!$B$10)+11*7+6,$E107&gt;=IF('Client &amp; Project Profile'!$B$10="",TODAY(),'Client &amp; Project Profile'!$B$10)+11*7),"■",""))</f>
        <v/>
      </c>
    </row>
    <row r="108">
      <c r="A108" s="12" t="n"/>
      <c r="B108" s="12" t="n"/>
      <c r="C108" s="12" t="n"/>
      <c r="D108" s="14" t="n"/>
      <c r="E108" s="14" t="n"/>
      <c r="F108" s="14" t="n"/>
      <c r="G108" s="12" t="n"/>
      <c r="H108" s="12" t="n"/>
      <c r="I108" s="12" t="n"/>
      <c r="J108" s="12" t="n"/>
      <c r="K108" s="12">
        <f>IF(OR($D108="",$E108=""),"",$E108-$D108+1)</f>
        <v/>
      </c>
      <c r="L108" s="12">
        <f>IF(AND($E108&lt;TODAY(),$G108&lt;&gt;"Complete"),TODAY()-$E108,0)</f>
        <v/>
      </c>
      <c r="M108" s="12">
        <f>IF(OR($D108="",$E108=""),"",IF(AND($D108&lt;=IF('Client &amp; Project Profile'!$B$10="",TODAY(),'Client &amp; Project Profile'!$B$10)+0*7+6,$E108&gt;=IF('Client &amp; Project Profile'!$B$10="",TODAY(),'Client &amp; Project Profile'!$B$10)+0*7),"■",""))</f>
        <v/>
      </c>
      <c r="N108" s="12">
        <f>IF(OR($D108="",$E108=""),"",IF(AND($D108&lt;=IF('Client &amp; Project Profile'!$B$10="",TODAY(),'Client &amp; Project Profile'!$B$10)+1*7+6,$E108&gt;=IF('Client &amp; Project Profile'!$B$10="",TODAY(),'Client &amp; Project Profile'!$B$10)+1*7),"■",""))</f>
        <v/>
      </c>
      <c r="O108" s="12">
        <f>IF(OR($D108="",$E108=""),"",IF(AND($D108&lt;=IF('Client &amp; Project Profile'!$B$10="",TODAY(),'Client &amp; Project Profile'!$B$10)+2*7+6,$E108&gt;=IF('Client &amp; Project Profile'!$B$10="",TODAY(),'Client &amp; Project Profile'!$B$10)+2*7),"■",""))</f>
        <v/>
      </c>
      <c r="P108" s="12">
        <f>IF(OR($D108="",$E108=""),"",IF(AND($D108&lt;=IF('Client &amp; Project Profile'!$B$10="",TODAY(),'Client &amp; Project Profile'!$B$10)+3*7+6,$E108&gt;=IF('Client &amp; Project Profile'!$B$10="",TODAY(),'Client &amp; Project Profile'!$B$10)+3*7),"■",""))</f>
        <v/>
      </c>
      <c r="Q108" s="12">
        <f>IF(OR($D108="",$E108=""),"",IF(AND($D108&lt;=IF('Client &amp; Project Profile'!$B$10="",TODAY(),'Client &amp; Project Profile'!$B$10)+4*7+6,$E108&gt;=IF('Client &amp; Project Profile'!$B$10="",TODAY(),'Client &amp; Project Profile'!$B$10)+4*7),"■",""))</f>
        <v/>
      </c>
      <c r="R108" s="12">
        <f>IF(OR($D108="",$E108=""),"",IF(AND($D108&lt;=IF('Client &amp; Project Profile'!$B$10="",TODAY(),'Client &amp; Project Profile'!$B$10)+5*7+6,$E108&gt;=IF('Client &amp; Project Profile'!$B$10="",TODAY(),'Client &amp; Project Profile'!$B$10)+5*7),"■",""))</f>
        <v/>
      </c>
      <c r="S108" s="12">
        <f>IF(OR($D108="",$E108=""),"",IF(AND($D108&lt;=IF('Client &amp; Project Profile'!$B$10="",TODAY(),'Client &amp; Project Profile'!$B$10)+6*7+6,$E108&gt;=IF('Client &amp; Project Profile'!$B$10="",TODAY(),'Client &amp; Project Profile'!$B$10)+6*7),"■",""))</f>
        <v/>
      </c>
      <c r="T108" s="12">
        <f>IF(OR($D108="",$E108=""),"",IF(AND($D108&lt;=IF('Client &amp; Project Profile'!$B$10="",TODAY(),'Client &amp; Project Profile'!$B$10)+7*7+6,$E108&gt;=IF('Client &amp; Project Profile'!$B$10="",TODAY(),'Client &amp; Project Profile'!$B$10)+7*7),"■",""))</f>
        <v/>
      </c>
      <c r="U108" s="12">
        <f>IF(OR($D108="",$E108=""),"",IF(AND($D108&lt;=IF('Client &amp; Project Profile'!$B$10="",TODAY(),'Client &amp; Project Profile'!$B$10)+8*7+6,$E108&gt;=IF('Client &amp; Project Profile'!$B$10="",TODAY(),'Client &amp; Project Profile'!$B$10)+8*7),"■",""))</f>
        <v/>
      </c>
      <c r="V108" s="12">
        <f>IF(OR($D108="",$E108=""),"",IF(AND($D108&lt;=IF('Client &amp; Project Profile'!$B$10="",TODAY(),'Client &amp; Project Profile'!$B$10)+9*7+6,$E108&gt;=IF('Client &amp; Project Profile'!$B$10="",TODAY(),'Client &amp; Project Profile'!$B$10)+9*7),"■",""))</f>
        <v/>
      </c>
      <c r="W108" s="12">
        <f>IF(OR($D108="",$E108=""),"",IF(AND($D108&lt;=IF('Client &amp; Project Profile'!$B$10="",TODAY(),'Client &amp; Project Profile'!$B$10)+10*7+6,$E108&gt;=IF('Client &amp; Project Profile'!$B$10="",TODAY(),'Client &amp; Project Profile'!$B$10)+10*7),"■",""))</f>
        <v/>
      </c>
      <c r="X108" s="12">
        <f>IF(OR($D108="",$E108=""),"",IF(AND($D108&lt;=IF('Client &amp; Project Profile'!$B$10="",TODAY(),'Client &amp; Project Profile'!$B$10)+11*7+6,$E108&gt;=IF('Client &amp; Project Profile'!$B$10="",TODAY(),'Client &amp; Project Profile'!$B$10)+11*7),"■",""))</f>
        <v/>
      </c>
    </row>
    <row r="109">
      <c r="D109" s="9" t="n"/>
      <c r="E109" s="9" t="n"/>
      <c r="F109" s="9" t="n"/>
      <c r="K109">
        <f>IF(OR($D109="",$E109=""),"",$E109-$D109+1)</f>
        <v/>
      </c>
      <c r="L109">
        <f>IF(AND($E109&lt;TODAY(),$G109&lt;&gt;"Complete"),TODAY()-$E109,0)</f>
        <v/>
      </c>
      <c r="M109">
        <f>IF(OR($D109="",$E109=""),"",IF(AND($D109&lt;=IF('Client &amp; Project Profile'!$B$10="",TODAY(),'Client &amp; Project Profile'!$B$10)+0*7+6,$E109&gt;=IF('Client &amp; Project Profile'!$B$10="",TODAY(),'Client &amp; Project Profile'!$B$10)+0*7),"■",""))</f>
        <v/>
      </c>
      <c r="N109">
        <f>IF(OR($D109="",$E109=""),"",IF(AND($D109&lt;=IF('Client &amp; Project Profile'!$B$10="",TODAY(),'Client &amp; Project Profile'!$B$10)+1*7+6,$E109&gt;=IF('Client &amp; Project Profile'!$B$10="",TODAY(),'Client &amp; Project Profile'!$B$10)+1*7),"■",""))</f>
        <v/>
      </c>
      <c r="O109">
        <f>IF(OR($D109="",$E109=""),"",IF(AND($D109&lt;=IF('Client &amp; Project Profile'!$B$10="",TODAY(),'Client &amp; Project Profile'!$B$10)+2*7+6,$E109&gt;=IF('Client &amp; Project Profile'!$B$10="",TODAY(),'Client &amp; Project Profile'!$B$10)+2*7),"■",""))</f>
        <v/>
      </c>
      <c r="P109">
        <f>IF(OR($D109="",$E109=""),"",IF(AND($D109&lt;=IF('Client &amp; Project Profile'!$B$10="",TODAY(),'Client &amp; Project Profile'!$B$10)+3*7+6,$E109&gt;=IF('Client &amp; Project Profile'!$B$10="",TODAY(),'Client &amp; Project Profile'!$B$10)+3*7),"■",""))</f>
        <v/>
      </c>
      <c r="Q109">
        <f>IF(OR($D109="",$E109=""),"",IF(AND($D109&lt;=IF('Client &amp; Project Profile'!$B$10="",TODAY(),'Client &amp; Project Profile'!$B$10)+4*7+6,$E109&gt;=IF('Client &amp; Project Profile'!$B$10="",TODAY(),'Client &amp; Project Profile'!$B$10)+4*7),"■",""))</f>
        <v/>
      </c>
      <c r="R109">
        <f>IF(OR($D109="",$E109=""),"",IF(AND($D109&lt;=IF('Client &amp; Project Profile'!$B$10="",TODAY(),'Client &amp; Project Profile'!$B$10)+5*7+6,$E109&gt;=IF('Client &amp; Project Profile'!$B$10="",TODAY(),'Client &amp; Project Profile'!$B$10)+5*7),"■",""))</f>
        <v/>
      </c>
      <c r="S109">
        <f>IF(OR($D109="",$E109=""),"",IF(AND($D109&lt;=IF('Client &amp; Project Profile'!$B$10="",TODAY(),'Client &amp; Project Profile'!$B$10)+6*7+6,$E109&gt;=IF('Client &amp; Project Profile'!$B$10="",TODAY(),'Client &amp; Project Profile'!$B$10)+6*7),"■",""))</f>
        <v/>
      </c>
      <c r="T109">
        <f>IF(OR($D109="",$E109=""),"",IF(AND($D109&lt;=IF('Client &amp; Project Profile'!$B$10="",TODAY(),'Client &amp; Project Profile'!$B$10)+7*7+6,$E109&gt;=IF('Client &amp; Project Profile'!$B$10="",TODAY(),'Client &amp; Project Profile'!$B$10)+7*7),"■",""))</f>
        <v/>
      </c>
      <c r="U109">
        <f>IF(OR($D109="",$E109=""),"",IF(AND($D109&lt;=IF('Client &amp; Project Profile'!$B$10="",TODAY(),'Client &amp; Project Profile'!$B$10)+8*7+6,$E109&gt;=IF('Client &amp; Project Profile'!$B$10="",TODAY(),'Client &amp; Project Profile'!$B$10)+8*7),"■",""))</f>
        <v/>
      </c>
      <c r="V109">
        <f>IF(OR($D109="",$E109=""),"",IF(AND($D109&lt;=IF('Client &amp; Project Profile'!$B$10="",TODAY(),'Client &amp; Project Profile'!$B$10)+9*7+6,$E109&gt;=IF('Client &amp; Project Profile'!$B$10="",TODAY(),'Client &amp; Project Profile'!$B$10)+9*7),"■",""))</f>
        <v/>
      </c>
      <c r="W109">
        <f>IF(OR($D109="",$E109=""),"",IF(AND($D109&lt;=IF('Client &amp; Project Profile'!$B$10="",TODAY(),'Client &amp; Project Profile'!$B$10)+10*7+6,$E109&gt;=IF('Client &amp; Project Profile'!$B$10="",TODAY(),'Client &amp; Project Profile'!$B$10)+10*7),"■",""))</f>
        <v/>
      </c>
      <c r="X109">
        <f>IF(OR($D109="",$E109=""),"",IF(AND($D109&lt;=IF('Client &amp; Project Profile'!$B$10="",TODAY(),'Client &amp; Project Profile'!$B$10)+11*7+6,$E109&gt;=IF('Client &amp; Project Profile'!$B$10="",TODAY(),'Client &amp; Project Profile'!$B$10)+11*7),"■",""))</f>
        <v/>
      </c>
    </row>
    <row r="110">
      <c r="A110" s="12" t="n"/>
      <c r="B110" s="12" t="n"/>
      <c r="C110" s="12" t="n"/>
      <c r="D110" s="14" t="n"/>
      <c r="E110" s="14" t="n"/>
      <c r="F110" s="14" t="n"/>
      <c r="G110" s="12" t="n"/>
      <c r="H110" s="12" t="n"/>
      <c r="I110" s="12" t="n"/>
      <c r="J110" s="12" t="n"/>
      <c r="K110" s="12">
        <f>IF(OR($D110="",$E110=""),"",$E110-$D110+1)</f>
        <v/>
      </c>
      <c r="L110" s="12">
        <f>IF(AND($E110&lt;TODAY(),$G110&lt;&gt;"Complete"),TODAY()-$E110,0)</f>
        <v/>
      </c>
      <c r="M110" s="12">
        <f>IF(OR($D110="",$E110=""),"",IF(AND($D110&lt;=IF('Client &amp; Project Profile'!$B$10="",TODAY(),'Client &amp; Project Profile'!$B$10)+0*7+6,$E110&gt;=IF('Client &amp; Project Profile'!$B$10="",TODAY(),'Client &amp; Project Profile'!$B$10)+0*7),"■",""))</f>
        <v/>
      </c>
      <c r="N110" s="12">
        <f>IF(OR($D110="",$E110=""),"",IF(AND($D110&lt;=IF('Client &amp; Project Profile'!$B$10="",TODAY(),'Client &amp; Project Profile'!$B$10)+1*7+6,$E110&gt;=IF('Client &amp; Project Profile'!$B$10="",TODAY(),'Client &amp; Project Profile'!$B$10)+1*7),"■",""))</f>
        <v/>
      </c>
      <c r="O110" s="12">
        <f>IF(OR($D110="",$E110=""),"",IF(AND($D110&lt;=IF('Client &amp; Project Profile'!$B$10="",TODAY(),'Client &amp; Project Profile'!$B$10)+2*7+6,$E110&gt;=IF('Client &amp; Project Profile'!$B$10="",TODAY(),'Client &amp; Project Profile'!$B$10)+2*7),"■",""))</f>
        <v/>
      </c>
      <c r="P110" s="12">
        <f>IF(OR($D110="",$E110=""),"",IF(AND($D110&lt;=IF('Client &amp; Project Profile'!$B$10="",TODAY(),'Client &amp; Project Profile'!$B$10)+3*7+6,$E110&gt;=IF('Client &amp; Project Profile'!$B$10="",TODAY(),'Client &amp; Project Profile'!$B$10)+3*7),"■",""))</f>
        <v/>
      </c>
      <c r="Q110" s="12">
        <f>IF(OR($D110="",$E110=""),"",IF(AND($D110&lt;=IF('Client &amp; Project Profile'!$B$10="",TODAY(),'Client &amp; Project Profile'!$B$10)+4*7+6,$E110&gt;=IF('Client &amp; Project Profile'!$B$10="",TODAY(),'Client &amp; Project Profile'!$B$10)+4*7),"■",""))</f>
        <v/>
      </c>
      <c r="R110" s="12">
        <f>IF(OR($D110="",$E110=""),"",IF(AND($D110&lt;=IF('Client &amp; Project Profile'!$B$10="",TODAY(),'Client &amp; Project Profile'!$B$10)+5*7+6,$E110&gt;=IF('Client &amp; Project Profile'!$B$10="",TODAY(),'Client &amp; Project Profile'!$B$10)+5*7),"■",""))</f>
        <v/>
      </c>
      <c r="S110" s="12">
        <f>IF(OR($D110="",$E110=""),"",IF(AND($D110&lt;=IF('Client &amp; Project Profile'!$B$10="",TODAY(),'Client &amp; Project Profile'!$B$10)+6*7+6,$E110&gt;=IF('Client &amp; Project Profile'!$B$10="",TODAY(),'Client &amp; Project Profile'!$B$10)+6*7),"■",""))</f>
        <v/>
      </c>
      <c r="T110" s="12">
        <f>IF(OR($D110="",$E110=""),"",IF(AND($D110&lt;=IF('Client &amp; Project Profile'!$B$10="",TODAY(),'Client &amp; Project Profile'!$B$10)+7*7+6,$E110&gt;=IF('Client &amp; Project Profile'!$B$10="",TODAY(),'Client &amp; Project Profile'!$B$10)+7*7),"■",""))</f>
        <v/>
      </c>
      <c r="U110" s="12">
        <f>IF(OR($D110="",$E110=""),"",IF(AND($D110&lt;=IF('Client &amp; Project Profile'!$B$10="",TODAY(),'Client &amp; Project Profile'!$B$10)+8*7+6,$E110&gt;=IF('Client &amp; Project Profile'!$B$10="",TODAY(),'Client &amp; Project Profile'!$B$10)+8*7),"■",""))</f>
        <v/>
      </c>
      <c r="V110" s="12">
        <f>IF(OR($D110="",$E110=""),"",IF(AND($D110&lt;=IF('Client &amp; Project Profile'!$B$10="",TODAY(),'Client &amp; Project Profile'!$B$10)+9*7+6,$E110&gt;=IF('Client &amp; Project Profile'!$B$10="",TODAY(),'Client &amp; Project Profile'!$B$10)+9*7),"■",""))</f>
        <v/>
      </c>
      <c r="W110" s="12">
        <f>IF(OR($D110="",$E110=""),"",IF(AND($D110&lt;=IF('Client &amp; Project Profile'!$B$10="",TODAY(),'Client &amp; Project Profile'!$B$10)+10*7+6,$E110&gt;=IF('Client &amp; Project Profile'!$B$10="",TODAY(),'Client &amp; Project Profile'!$B$10)+10*7),"■",""))</f>
        <v/>
      </c>
      <c r="X110" s="12">
        <f>IF(OR($D110="",$E110=""),"",IF(AND($D110&lt;=IF('Client &amp; Project Profile'!$B$10="",TODAY(),'Client &amp; Project Profile'!$B$10)+11*7+6,$E110&gt;=IF('Client &amp; Project Profile'!$B$10="",TODAY(),'Client &amp; Project Profile'!$B$10)+11*7),"■",""))</f>
        <v/>
      </c>
    </row>
    <row r="111">
      <c r="D111" s="9" t="n"/>
      <c r="E111" s="9" t="n"/>
      <c r="F111" s="9" t="n"/>
      <c r="K111">
        <f>IF(OR($D111="",$E111=""),"",$E111-$D111+1)</f>
        <v/>
      </c>
      <c r="L111">
        <f>IF(AND($E111&lt;TODAY(),$G111&lt;&gt;"Complete"),TODAY()-$E111,0)</f>
        <v/>
      </c>
      <c r="M111">
        <f>IF(OR($D111="",$E111=""),"",IF(AND($D111&lt;=IF('Client &amp; Project Profile'!$B$10="",TODAY(),'Client &amp; Project Profile'!$B$10)+0*7+6,$E111&gt;=IF('Client &amp; Project Profile'!$B$10="",TODAY(),'Client &amp; Project Profile'!$B$10)+0*7),"■",""))</f>
        <v/>
      </c>
      <c r="N111">
        <f>IF(OR($D111="",$E111=""),"",IF(AND($D111&lt;=IF('Client &amp; Project Profile'!$B$10="",TODAY(),'Client &amp; Project Profile'!$B$10)+1*7+6,$E111&gt;=IF('Client &amp; Project Profile'!$B$10="",TODAY(),'Client &amp; Project Profile'!$B$10)+1*7),"■",""))</f>
        <v/>
      </c>
      <c r="O111">
        <f>IF(OR($D111="",$E111=""),"",IF(AND($D111&lt;=IF('Client &amp; Project Profile'!$B$10="",TODAY(),'Client &amp; Project Profile'!$B$10)+2*7+6,$E111&gt;=IF('Client &amp; Project Profile'!$B$10="",TODAY(),'Client &amp; Project Profile'!$B$10)+2*7),"■",""))</f>
        <v/>
      </c>
      <c r="P111">
        <f>IF(OR($D111="",$E111=""),"",IF(AND($D111&lt;=IF('Client &amp; Project Profile'!$B$10="",TODAY(),'Client &amp; Project Profile'!$B$10)+3*7+6,$E111&gt;=IF('Client &amp; Project Profile'!$B$10="",TODAY(),'Client &amp; Project Profile'!$B$10)+3*7),"■",""))</f>
        <v/>
      </c>
      <c r="Q111">
        <f>IF(OR($D111="",$E111=""),"",IF(AND($D111&lt;=IF('Client &amp; Project Profile'!$B$10="",TODAY(),'Client &amp; Project Profile'!$B$10)+4*7+6,$E111&gt;=IF('Client &amp; Project Profile'!$B$10="",TODAY(),'Client &amp; Project Profile'!$B$10)+4*7),"■",""))</f>
        <v/>
      </c>
      <c r="R111">
        <f>IF(OR($D111="",$E111=""),"",IF(AND($D111&lt;=IF('Client &amp; Project Profile'!$B$10="",TODAY(),'Client &amp; Project Profile'!$B$10)+5*7+6,$E111&gt;=IF('Client &amp; Project Profile'!$B$10="",TODAY(),'Client &amp; Project Profile'!$B$10)+5*7),"■",""))</f>
        <v/>
      </c>
      <c r="S111">
        <f>IF(OR($D111="",$E111=""),"",IF(AND($D111&lt;=IF('Client &amp; Project Profile'!$B$10="",TODAY(),'Client &amp; Project Profile'!$B$10)+6*7+6,$E111&gt;=IF('Client &amp; Project Profile'!$B$10="",TODAY(),'Client &amp; Project Profile'!$B$10)+6*7),"■",""))</f>
        <v/>
      </c>
      <c r="T111">
        <f>IF(OR($D111="",$E111=""),"",IF(AND($D111&lt;=IF('Client &amp; Project Profile'!$B$10="",TODAY(),'Client &amp; Project Profile'!$B$10)+7*7+6,$E111&gt;=IF('Client &amp; Project Profile'!$B$10="",TODAY(),'Client &amp; Project Profile'!$B$10)+7*7),"■",""))</f>
        <v/>
      </c>
      <c r="U111">
        <f>IF(OR($D111="",$E111=""),"",IF(AND($D111&lt;=IF('Client &amp; Project Profile'!$B$10="",TODAY(),'Client &amp; Project Profile'!$B$10)+8*7+6,$E111&gt;=IF('Client &amp; Project Profile'!$B$10="",TODAY(),'Client &amp; Project Profile'!$B$10)+8*7),"■",""))</f>
        <v/>
      </c>
      <c r="V111">
        <f>IF(OR($D111="",$E111=""),"",IF(AND($D111&lt;=IF('Client &amp; Project Profile'!$B$10="",TODAY(),'Client &amp; Project Profile'!$B$10)+9*7+6,$E111&gt;=IF('Client &amp; Project Profile'!$B$10="",TODAY(),'Client &amp; Project Profile'!$B$10)+9*7),"■",""))</f>
        <v/>
      </c>
      <c r="W111">
        <f>IF(OR($D111="",$E111=""),"",IF(AND($D111&lt;=IF('Client &amp; Project Profile'!$B$10="",TODAY(),'Client &amp; Project Profile'!$B$10)+10*7+6,$E111&gt;=IF('Client &amp; Project Profile'!$B$10="",TODAY(),'Client &amp; Project Profile'!$B$10)+10*7),"■",""))</f>
        <v/>
      </c>
      <c r="X111">
        <f>IF(OR($D111="",$E111=""),"",IF(AND($D111&lt;=IF('Client &amp; Project Profile'!$B$10="",TODAY(),'Client &amp; Project Profile'!$B$10)+11*7+6,$E111&gt;=IF('Client &amp; Project Profile'!$B$10="",TODAY(),'Client &amp; Project Profile'!$B$10)+11*7),"■",""))</f>
        <v/>
      </c>
    </row>
    <row r="112">
      <c r="A112" s="12" t="n"/>
      <c r="B112" s="12" t="n"/>
      <c r="C112" s="12" t="n"/>
      <c r="D112" s="14" t="n"/>
      <c r="E112" s="14" t="n"/>
      <c r="F112" s="14" t="n"/>
      <c r="G112" s="12" t="n"/>
      <c r="H112" s="12" t="n"/>
      <c r="I112" s="12" t="n"/>
      <c r="J112" s="12" t="n"/>
      <c r="K112" s="12">
        <f>IF(OR($D112="",$E112=""),"",$E112-$D112+1)</f>
        <v/>
      </c>
      <c r="L112" s="12">
        <f>IF(AND($E112&lt;TODAY(),$G112&lt;&gt;"Complete"),TODAY()-$E112,0)</f>
        <v/>
      </c>
      <c r="M112" s="12">
        <f>IF(OR($D112="",$E112=""),"",IF(AND($D112&lt;=IF('Client &amp; Project Profile'!$B$10="",TODAY(),'Client &amp; Project Profile'!$B$10)+0*7+6,$E112&gt;=IF('Client &amp; Project Profile'!$B$10="",TODAY(),'Client &amp; Project Profile'!$B$10)+0*7),"■",""))</f>
        <v/>
      </c>
      <c r="N112" s="12">
        <f>IF(OR($D112="",$E112=""),"",IF(AND($D112&lt;=IF('Client &amp; Project Profile'!$B$10="",TODAY(),'Client &amp; Project Profile'!$B$10)+1*7+6,$E112&gt;=IF('Client &amp; Project Profile'!$B$10="",TODAY(),'Client &amp; Project Profile'!$B$10)+1*7),"■",""))</f>
        <v/>
      </c>
      <c r="O112" s="12">
        <f>IF(OR($D112="",$E112=""),"",IF(AND($D112&lt;=IF('Client &amp; Project Profile'!$B$10="",TODAY(),'Client &amp; Project Profile'!$B$10)+2*7+6,$E112&gt;=IF('Client &amp; Project Profile'!$B$10="",TODAY(),'Client &amp; Project Profile'!$B$10)+2*7),"■",""))</f>
        <v/>
      </c>
      <c r="P112" s="12">
        <f>IF(OR($D112="",$E112=""),"",IF(AND($D112&lt;=IF('Client &amp; Project Profile'!$B$10="",TODAY(),'Client &amp; Project Profile'!$B$10)+3*7+6,$E112&gt;=IF('Client &amp; Project Profile'!$B$10="",TODAY(),'Client &amp; Project Profile'!$B$10)+3*7),"■",""))</f>
        <v/>
      </c>
      <c r="Q112" s="12">
        <f>IF(OR($D112="",$E112=""),"",IF(AND($D112&lt;=IF('Client &amp; Project Profile'!$B$10="",TODAY(),'Client &amp; Project Profile'!$B$10)+4*7+6,$E112&gt;=IF('Client &amp; Project Profile'!$B$10="",TODAY(),'Client &amp; Project Profile'!$B$10)+4*7),"■",""))</f>
        <v/>
      </c>
      <c r="R112" s="12">
        <f>IF(OR($D112="",$E112=""),"",IF(AND($D112&lt;=IF('Client &amp; Project Profile'!$B$10="",TODAY(),'Client &amp; Project Profile'!$B$10)+5*7+6,$E112&gt;=IF('Client &amp; Project Profile'!$B$10="",TODAY(),'Client &amp; Project Profile'!$B$10)+5*7),"■",""))</f>
        <v/>
      </c>
      <c r="S112" s="12">
        <f>IF(OR($D112="",$E112=""),"",IF(AND($D112&lt;=IF('Client &amp; Project Profile'!$B$10="",TODAY(),'Client &amp; Project Profile'!$B$10)+6*7+6,$E112&gt;=IF('Client &amp; Project Profile'!$B$10="",TODAY(),'Client &amp; Project Profile'!$B$10)+6*7),"■",""))</f>
        <v/>
      </c>
      <c r="T112" s="12">
        <f>IF(OR($D112="",$E112=""),"",IF(AND($D112&lt;=IF('Client &amp; Project Profile'!$B$10="",TODAY(),'Client &amp; Project Profile'!$B$10)+7*7+6,$E112&gt;=IF('Client &amp; Project Profile'!$B$10="",TODAY(),'Client &amp; Project Profile'!$B$10)+7*7),"■",""))</f>
        <v/>
      </c>
      <c r="U112" s="12">
        <f>IF(OR($D112="",$E112=""),"",IF(AND($D112&lt;=IF('Client &amp; Project Profile'!$B$10="",TODAY(),'Client &amp; Project Profile'!$B$10)+8*7+6,$E112&gt;=IF('Client &amp; Project Profile'!$B$10="",TODAY(),'Client &amp; Project Profile'!$B$10)+8*7),"■",""))</f>
        <v/>
      </c>
      <c r="V112" s="12">
        <f>IF(OR($D112="",$E112=""),"",IF(AND($D112&lt;=IF('Client &amp; Project Profile'!$B$10="",TODAY(),'Client &amp; Project Profile'!$B$10)+9*7+6,$E112&gt;=IF('Client &amp; Project Profile'!$B$10="",TODAY(),'Client &amp; Project Profile'!$B$10)+9*7),"■",""))</f>
        <v/>
      </c>
      <c r="W112" s="12">
        <f>IF(OR($D112="",$E112=""),"",IF(AND($D112&lt;=IF('Client &amp; Project Profile'!$B$10="",TODAY(),'Client &amp; Project Profile'!$B$10)+10*7+6,$E112&gt;=IF('Client &amp; Project Profile'!$B$10="",TODAY(),'Client &amp; Project Profile'!$B$10)+10*7),"■",""))</f>
        <v/>
      </c>
      <c r="X112" s="12">
        <f>IF(OR($D112="",$E112=""),"",IF(AND($D112&lt;=IF('Client &amp; Project Profile'!$B$10="",TODAY(),'Client &amp; Project Profile'!$B$10)+11*7+6,$E112&gt;=IF('Client &amp; Project Profile'!$B$10="",TODAY(),'Client &amp; Project Profile'!$B$10)+11*7),"■",""))</f>
        <v/>
      </c>
    </row>
    <row r="113">
      <c r="D113" s="9" t="n"/>
      <c r="E113" s="9" t="n"/>
      <c r="F113" s="9" t="n"/>
      <c r="K113">
        <f>IF(OR($D113="",$E113=""),"",$E113-$D113+1)</f>
        <v/>
      </c>
      <c r="L113">
        <f>IF(AND($E113&lt;TODAY(),$G113&lt;&gt;"Complete"),TODAY()-$E113,0)</f>
        <v/>
      </c>
      <c r="M113">
        <f>IF(OR($D113="",$E113=""),"",IF(AND($D113&lt;=IF('Client &amp; Project Profile'!$B$10="",TODAY(),'Client &amp; Project Profile'!$B$10)+0*7+6,$E113&gt;=IF('Client &amp; Project Profile'!$B$10="",TODAY(),'Client &amp; Project Profile'!$B$10)+0*7),"■",""))</f>
        <v/>
      </c>
      <c r="N113">
        <f>IF(OR($D113="",$E113=""),"",IF(AND($D113&lt;=IF('Client &amp; Project Profile'!$B$10="",TODAY(),'Client &amp; Project Profile'!$B$10)+1*7+6,$E113&gt;=IF('Client &amp; Project Profile'!$B$10="",TODAY(),'Client &amp; Project Profile'!$B$10)+1*7),"■",""))</f>
        <v/>
      </c>
      <c r="O113">
        <f>IF(OR($D113="",$E113=""),"",IF(AND($D113&lt;=IF('Client &amp; Project Profile'!$B$10="",TODAY(),'Client &amp; Project Profile'!$B$10)+2*7+6,$E113&gt;=IF('Client &amp; Project Profile'!$B$10="",TODAY(),'Client &amp; Project Profile'!$B$10)+2*7),"■",""))</f>
        <v/>
      </c>
      <c r="P113">
        <f>IF(OR($D113="",$E113=""),"",IF(AND($D113&lt;=IF('Client &amp; Project Profile'!$B$10="",TODAY(),'Client &amp; Project Profile'!$B$10)+3*7+6,$E113&gt;=IF('Client &amp; Project Profile'!$B$10="",TODAY(),'Client &amp; Project Profile'!$B$10)+3*7),"■",""))</f>
        <v/>
      </c>
      <c r="Q113">
        <f>IF(OR($D113="",$E113=""),"",IF(AND($D113&lt;=IF('Client &amp; Project Profile'!$B$10="",TODAY(),'Client &amp; Project Profile'!$B$10)+4*7+6,$E113&gt;=IF('Client &amp; Project Profile'!$B$10="",TODAY(),'Client &amp; Project Profile'!$B$10)+4*7),"■",""))</f>
        <v/>
      </c>
      <c r="R113">
        <f>IF(OR($D113="",$E113=""),"",IF(AND($D113&lt;=IF('Client &amp; Project Profile'!$B$10="",TODAY(),'Client &amp; Project Profile'!$B$10)+5*7+6,$E113&gt;=IF('Client &amp; Project Profile'!$B$10="",TODAY(),'Client &amp; Project Profile'!$B$10)+5*7),"■",""))</f>
        <v/>
      </c>
      <c r="S113">
        <f>IF(OR($D113="",$E113=""),"",IF(AND($D113&lt;=IF('Client &amp; Project Profile'!$B$10="",TODAY(),'Client &amp; Project Profile'!$B$10)+6*7+6,$E113&gt;=IF('Client &amp; Project Profile'!$B$10="",TODAY(),'Client &amp; Project Profile'!$B$10)+6*7),"■",""))</f>
        <v/>
      </c>
      <c r="T113">
        <f>IF(OR($D113="",$E113=""),"",IF(AND($D113&lt;=IF('Client &amp; Project Profile'!$B$10="",TODAY(),'Client &amp; Project Profile'!$B$10)+7*7+6,$E113&gt;=IF('Client &amp; Project Profile'!$B$10="",TODAY(),'Client &amp; Project Profile'!$B$10)+7*7),"■",""))</f>
        <v/>
      </c>
      <c r="U113">
        <f>IF(OR($D113="",$E113=""),"",IF(AND($D113&lt;=IF('Client &amp; Project Profile'!$B$10="",TODAY(),'Client &amp; Project Profile'!$B$10)+8*7+6,$E113&gt;=IF('Client &amp; Project Profile'!$B$10="",TODAY(),'Client &amp; Project Profile'!$B$10)+8*7),"■",""))</f>
        <v/>
      </c>
      <c r="V113">
        <f>IF(OR($D113="",$E113=""),"",IF(AND($D113&lt;=IF('Client &amp; Project Profile'!$B$10="",TODAY(),'Client &amp; Project Profile'!$B$10)+9*7+6,$E113&gt;=IF('Client &amp; Project Profile'!$B$10="",TODAY(),'Client &amp; Project Profile'!$B$10)+9*7),"■",""))</f>
        <v/>
      </c>
      <c r="W113">
        <f>IF(OR($D113="",$E113=""),"",IF(AND($D113&lt;=IF('Client &amp; Project Profile'!$B$10="",TODAY(),'Client &amp; Project Profile'!$B$10)+10*7+6,$E113&gt;=IF('Client &amp; Project Profile'!$B$10="",TODAY(),'Client &amp; Project Profile'!$B$10)+10*7),"■",""))</f>
        <v/>
      </c>
      <c r="X113">
        <f>IF(OR($D113="",$E113=""),"",IF(AND($D113&lt;=IF('Client &amp; Project Profile'!$B$10="",TODAY(),'Client &amp; Project Profile'!$B$10)+11*7+6,$E113&gt;=IF('Client &amp; Project Profile'!$B$10="",TODAY(),'Client &amp; Project Profile'!$B$10)+11*7),"■",""))</f>
        <v/>
      </c>
    </row>
    <row r="114">
      <c r="A114" s="12" t="n"/>
      <c r="B114" s="12" t="n"/>
      <c r="C114" s="12" t="n"/>
      <c r="D114" s="14" t="n"/>
      <c r="E114" s="14" t="n"/>
      <c r="F114" s="14" t="n"/>
      <c r="G114" s="12" t="n"/>
      <c r="H114" s="12" t="n"/>
      <c r="I114" s="12" t="n"/>
      <c r="J114" s="12" t="n"/>
      <c r="K114" s="12">
        <f>IF(OR($D114="",$E114=""),"",$E114-$D114+1)</f>
        <v/>
      </c>
      <c r="L114" s="12">
        <f>IF(AND($E114&lt;TODAY(),$G114&lt;&gt;"Complete"),TODAY()-$E114,0)</f>
        <v/>
      </c>
      <c r="M114" s="12">
        <f>IF(OR($D114="",$E114=""),"",IF(AND($D114&lt;=IF('Client &amp; Project Profile'!$B$10="",TODAY(),'Client &amp; Project Profile'!$B$10)+0*7+6,$E114&gt;=IF('Client &amp; Project Profile'!$B$10="",TODAY(),'Client &amp; Project Profile'!$B$10)+0*7),"■",""))</f>
        <v/>
      </c>
      <c r="N114" s="12">
        <f>IF(OR($D114="",$E114=""),"",IF(AND($D114&lt;=IF('Client &amp; Project Profile'!$B$10="",TODAY(),'Client &amp; Project Profile'!$B$10)+1*7+6,$E114&gt;=IF('Client &amp; Project Profile'!$B$10="",TODAY(),'Client &amp; Project Profile'!$B$10)+1*7),"■",""))</f>
        <v/>
      </c>
      <c r="O114" s="12">
        <f>IF(OR($D114="",$E114=""),"",IF(AND($D114&lt;=IF('Client &amp; Project Profile'!$B$10="",TODAY(),'Client &amp; Project Profile'!$B$10)+2*7+6,$E114&gt;=IF('Client &amp; Project Profile'!$B$10="",TODAY(),'Client &amp; Project Profile'!$B$10)+2*7),"■",""))</f>
        <v/>
      </c>
      <c r="P114" s="12">
        <f>IF(OR($D114="",$E114=""),"",IF(AND($D114&lt;=IF('Client &amp; Project Profile'!$B$10="",TODAY(),'Client &amp; Project Profile'!$B$10)+3*7+6,$E114&gt;=IF('Client &amp; Project Profile'!$B$10="",TODAY(),'Client &amp; Project Profile'!$B$10)+3*7),"■",""))</f>
        <v/>
      </c>
      <c r="Q114" s="12">
        <f>IF(OR($D114="",$E114=""),"",IF(AND($D114&lt;=IF('Client &amp; Project Profile'!$B$10="",TODAY(),'Client &amp; Project Profile'!$B$10)+4*7+6,$E114&gt;=IF('Client &amp; Project Profile'!$B$10="",TODAY(),'Client &amp; Project Profile'!$B$10)+4*7),"■",""))</f>
        <v/>
      </c>
      <c r="R114" s="12">
        <f>IF(OR($D114="",$E114=""),"",IF(AND($D114&lt;=IF('Client &amp; Project Profile'!$B$10="",TODAY(),'Client &amp; Project Profile'!$B$10)+5*7+6,$E114&gt;=IF('Client &amp; Project Profile'!$B$10="",TODAY(),'Client &amp; Project Profile'!$B$10)+5*7),"■",""))</f>
        <v/>
      </c>
      <c r="S114" s="12">
        <f>IF(OR($D114="",$E114=""),"",IF(AND($D114&lt;=IF('Client &amp; Project Profile'!$B$10="",TODAY(),'Client &amp; Project Profile'!$B$10)+6*7+6,$E114&gt;=IF('Client &amp; Project Profile'!$B$10="",TODAY(),'Client &amp; Project Profile'!$B$10)+6*7),"■",""))</f>
        <v/>
      </c>
      <c r="T114" s="12">
        <f>IF(OR($D114="",$E114=""),"",IF(AND($D114&lt;=IF('Client &amp; Project Profile'!$B$10="",TODAY(),'Client &amp; Project Profile'!$B$10)+7*7+6,$E114&gt;=IF('Client &amp; Project Profile'!$B$10="",TODAY(),'Client &amp; Project Profile'!$B$10)+7*7),"■",""))</f>
        <v/>
      </c>
      <c r="U114" s="12">
        <f>IF(OR($D114="",$E114=""),"",IF(AND($D114&lt;=IF('Client &amp; Project Profile'!$B$10="",TODAY(),'Client &amp; Project Profile'!$B$10)+8*7+6,$E114&gt;=IF('Client &amp; Project Profile'!$B$10="",TODAY(),'Client &amp; Project Profile'!$B$10)+8*7),"■",""))</f>
        <v/>
      </c>
      <c r="V114" s="12">
        <f>IF(OR($D114="",$E114=""),"",IF(AND($D114&lt;=IF('Client &amp; Project Profile'!$B$10="",TODAY(),'Client &amp; Project Profile'!$B$10)+9*7+6,$E114&gt;=IF('Client &amp; Project Profile'!$B$10="",TODAY(),'Client &amp; Project Profile'!$B$10)+9*7),"■",""))</f>
        <v/>
      </c>
      <c r="W114" s="12">
        <f>IF(OR($D114="",$E114=""),"",IF(AND($D114&lt;=IF('Client &amp; Project Profile'!$B$10="",TODAY(),'Client &amp; Project Profile'!$B$10)+10*7+6,$E114&gt;=IF('Client &amp; Project Profile'!$B$10="",TODAY(),'Client &amp; Project Profile'!$B$10)+10*7),"■",""))</f>
        <v/>
      </c>
      <c r="X114" s="12">
        <f>IF(OR($D114="",$E114=""),"",IF(AND($D114&lt;=IF('Client &amp; Project Profile'!$B$10="",TODAY(),'Client &amp; Project Profile'!$B$10)+11*7+6,$E114&gt;=IF('Client &amp; Project Profile'!$B$10="",TODAY(),'Client &amp; Project Profile'!$B$10)+11*7),"■",""))</f>
        <v/>
      </c>
    </row>
    <row r="115">
      <c r="D115" s="9" t="n"/>
      <c r="E115" s="9" t="n"/>
      <c r="F115" s="9" t="n"/>
      <c r="K115">
        <f>IF(OR($D115="",$E115=""),"",$E115-$D115+1)</f>
        <v/>
      </c>
      <c r="L115">
        <f>IF(AND($E115&lt;TODAY(),$G115&lt;&gt;"Complete"),TODAY()-$E115,0)</f>
        <v/>
      </c>
      <c r="M115">
        <f>IF(OR($D115="",$E115=""),"",IF(AND($D115&lt;=IF('Client &amp; Project Profile'!$B$10="",TODAY(),'Client &amp; Project Profile'!$B$10)+0*7+6,$E115&gt;=IF('Client &amp; Project Profile'!$B$10="",TODAY(),'Client &amp; Project Profile'!$B$10)+0*7),"■",""))</f>
        <v/>
      </c>
      <c r="N115">
        <f>IF(OR($D115="",$E115=""),"",IF(AND($D115&lt;=IF('Client &amp; Project Profile'!$B$10="",TODAY(),'Client &amp; Project Profile'!$B$10)+1*7+6,$E115&gt;=IF('Client &amp; Project Profile'!$B$10="",TODAY(),'Client &amp; Project Profile'!$B$10)+1*7),"■",""))</f>
        <v/>
      </c>
      <c r="O115">
        <f>IF(OR($D115="",$E115=""),"",IF(AND($D115&lt;=IF('Client &amp; Project Profile'!$B$10="",TODAY(),'Client &amp; Project Profile'!$B$10)+2*7+6,$E115&gt;=IF('Client &amp; Project Profile'!$B$10="",TODAY(),'Client &amp; Project Profile'!$B$10)+2*7),"■",""))</f>
        <v/>
      </c>
      <c r="P115">
        <f>IF(OR($D115="",$E115=""),"",IF(AND($D115&lt;=IF('Client &amp; Project Profile'!$B$10="",TODAY(),'Client &amp; Project Profile'!$B$10)+3*7+6,$E115&gt;=IF('Client &amp; Project Profile'!$B$10="",TODAY(),'Client &amp; Project Profile'!$B$10)+3*7),"■",""))</f>
        <v/>
      </c>
      <c r="Q115">
        <f>IF(OR($D115="",$E115=""),"",IF(AND($D115&lt;=IF('Client &amp; Project Profile'!$B$10="",TODAY(),'Client &amp; Project Profile'!$B$10)+4*7+6,$E115&gt;=IF('Client &amp; Project Profile'!$B$10="",TODAY(),'Client &amp; Project Profile'!$B$10)+4*7),"■",""))</f>
        <v/>
      </c>
      <c r="R115">
        <f>IF(OR($D115="",$E115=""),"",IF(AND($D115&lt;=IF('Client &amp; Project Profile'!$B$10="",TODAY(),'Client &amp; Project Profile'!$B$10)+5*7+6,$E115&gt;=IF('Client &amp; Project Profile'!$B$10="",TODAY(),'Client &amp; Project Profile'!$B$10)+5*7),"■",""))</f>
        <v/>
      </c>
      <c r="S115">
        <f>IF(OR($D115="",$E115=""),"",IF(AND($D115&lt;=IF('Client &amp; Project Profile'!$B$10="",TODAY(),'Client &amp; Project Profile'!$B$10)+6*7+6,$E115&gt;=IF('Client &amp; Project Profile'!$B$10="",TODAY(),'Client &amp; Project Profile'!$B$10)+6*7),"■",""))</f>
        <v/>
      </c>
      <c r="T115">
        <f>IF(OR($D115="",$E115=""),"",IF(AND($D115&lt;=IF('Client &amp; Project Profile'!$B$10="",TODAY(),'Client &amp; Project Profile'!$B$10)+7*7+6,$E115&gt;=IF('Client &amp; Project Profile'!$B$10="",TODAY(),'Client &amp; Project Profile'!$B$10)+7*7),"■",""))</f>
        <v/>
      </c>
      <c r="U115">
        <f>IF(OR($D115="",$E115=""),"",IF(AND($D115&lt;=IF('Client &amp; Project Profile'!$B$10="",TODAY(),'Client &amp; Project Profile'!$B$10)+8*7+6,$E115&gt;=IF('Client &amp; Project Profile'!$B$10="",TODAY(),'Client &amp; Project Profile'!$B$10)+8*7),"■",""))</f>
        <v/>
      </c>
      <c r="V115">
        <f>IF(OR($D115="",$E115=""),"",IF(AND($D115&lt;=IF('Client &amp; Project Profile'!$B$10="",TODAY(),'Client &amp; Project Profile'!$B$10)+9*7+6,$E115&gt;=IF('Client &amp; Project Profile'!$B$10="",TODAY(),'Client &amp; Project Profile'!$B$10)+9*7),"■",""))</f>
        <v/>
      </c>
      <c r="W115">
        <f>IF(OR($D115="",$E115=""),"",IF(AND($D115&lt;=IF('Client &amp; Project Profile'!$B$10="",TODAY(),'Client &amp; Project Profile'!$B$10)+10*7+6,$E115&gt;=IF('Client &amp; Project Profile'!$B$10="",TODAY(),'Client &amp; Project Profile'!$B$10)+10*7),"■",""))</f>
        <v/>
      </c>
      <c r="X115">
        <f>IF(OR($D115="",$E115=""),"",IF(AND($D115&lt;=IF('Client &amp; Project Profile'!$B$10="",TODAY(),'Client &amp; Project Profile'!$B$10)+11*7+6,$E115&gt;=IF('Client &amp; Project Profile'!$B$10="",TODAY(),'Client &amp; Project Profile'!$B$10)+11*7),"■",""))</f>
        <v/>
      </c>
    </row>
    <row r="116">
      <c r="A116" s="12" t="n"/>
      <c r="B116" s="12" t="n"/>
      <c r="C116" s="12" t="n"/>
      <c r="D116" s="14" t="n"/>
      <c r="E116" s="14" t="n"/>
      <c r="F116" s="14" t="n"/>
      <c r="G116" s="12" t="n"/>
      <c r="H116" s="12" t="n"/>
      <c r="I116" s="12" t="n"/>
      <c r="J116" s="12" t="n"/>
      <c r="K116" s="12">
        <f>IF(OR($D116="",$E116=""),"",$E116-$D116+1)</f>
        <v/>
      </c>
      <c r="L116" s="12">
        <f>IF(AND($E116&lt;TODAY(),$G116&lt;&gt;"Complete"),TODAY()-$E116,0)</f>
        <v/>
      </c>
      <c r="M116" s="12">
        <f>IF(OR($D116="",$E116=""),"",IF(AND($D116&lt;=IF('Client &amp; Project Profile'!$B$10="",TODAY(),'Client &amp; Project Profile'!$B$10)+0*7+6,$E116&gt;=IF('Client &amp; Project Profile'!$B$10="",TODAY(),'Client &amp; Project Profile'!$B$10)+0*7),"■",""))</f>
        <v/>
      </c>
      <c r="N116" s="12">
        <f>IF(OR($D116="",$E116=""),"",IF(AND($D116&lt;=IF('Client &amp; Project Profile'!$B$10="",TODAY(),'Client &amp; Project Profile'!$B$10)+1*7+6,$E116&gt;=IF('Client &amp; Project Profile'!$B$10="",TODAY(),'Client &amp; Project Profile'!$B$10)+1*7),"■",""))</f>
        <v/>
      </c>
      <c r="O116" s="12">
        <f>IF(OR($D116="",$E116=""),"",IF(AND($D116&lt;=IF('Client &amp; Project Profile'!$B$10="",TODAY(),'Client &amp; Project Profile'!$B$10)+2*7+6,$E116&gt;=IF('Client &amp; Project Profile'!$B$10="",TODAY(),'Client &amp; Project Profile'!$B$10)+2*7),"■",""))</f>
        <v/>
      </c>
      <c r="P116" s="12">
        <f>IF(OR($D116="",$E116=""),"",IF(AND($D116&lt;=IF('Client &amp; Project Profile'!$B$10="",TODAY(),'Client &amp; Project Profile'!$B$10)+3*7+6,$E116&gt;=IF('Client &amp; Project Profile'!$B$10="",TODAY(),'Client &amp; Project Profile'!$B$10)+3*7),"■",""))</f>
        <v/>
      </c>
      <c r="Q116" s="12">
        <f>IF(OR($D116="",$E116=""),"",IF(AND($D116&lt;=IF('Client &amp; Project Profile'!$B$10="",TODAY(),'Client &amp; Project Profile'!$B$10)+4*7+6,$E116&gt;=IF('Client &amp; Project Profile'!$B$10="",TODAY(),'Client &amp; Project Profile'!$B$10)+4*7),"■",""))</f>
        <v/>
      </c>
      <c r="R116" s="12">
        <f>IF(OR($D116="",$E116=""),"",IF(AND($D116&lt;=IF('Client &amp; Project Profile'!$B$10="",TODAY(),'Client &amp; Project Profile'!$B$10)+5*7+6,$E116&gt;=IF('Client &amp; Project Profile'!$B$10="",TODAY(),'Client &amp; Project Profile'!$B$10)+5*7),"■",""))</f>
        <v/>
      </c>
      <c r="S116" s="12">
        <f>IF(OR($D116="",$E116=""),"",IF(AND($D116&lt;=IF('Client &amp; Project Profile'!$B$10="",TODAY(),'Client &amp; Project Profile'!$B$10)+6*7+6,$E116&gt;=IF('Client &amp; Project Profile'!$B$10="",TODAY(),'Client &amp; Project Profile'!$B$10)+6*7),"■",""))</f>
        <v/>
      </c>
      <c r="T116" s="12">
        <f>IF(OR($D116="",$E116=""),"",IF(AND($D116&lt;=IF('Client &amp; Project Profile'!$B$10="",TODAY(),'Client &amp; Project Profile'!$B$10)+7*7+6,$E116&gt;=IF('Client &amp; Project Profile'!$B$10="",TODAY(),'Client &amp; Project Profile'!$B$10)+7*7),"■",""))</f>
        <v/>
      </c>
      <c r="U116" s="12">
        <f>IF(OR($D116="",$E116=""),"",IF(AND($D116&lt;=IF('Client &amp; Project Profile'!$B$10="",TODAY(),'Client &amp; Project Profile'!$B$10)+8*7+6,$E116&gt;=IF('Client &amp; Project Profile'!$B$10="",TODAY(),'Client &amp; Project Profile'!$B$10)+8*7),"■",""))</f>
        <v/>
      </c>
      <c r="V116" s="12">
        <f>IF(OR($D116="",$E116=""),"",IF(AND($D116&lt;=IF('Client &amp; Project Profile'!$B$10="",TODAY(),'Client &amp; Project Profile'!$B$10)+9*7+6,$E116&gt;=IF('Client &amp; Project Profile'!$B$10="",TODAY(),'Client &amp; Project Profile'!$B$10)+9*7),"■",""))</f>
        <v/>
      </c>
      <c r="W116" s="12">
        <f>IF(OR($D116="",$E116=""),"",IF(AND($D116&lt;=IF('Client &amp; Project Profile'!$B$10="",TODAY(),'Client &amp; Project Profile'!$B$10)+10*7+6,$E116&gt;=IF('Client &amp; Project Profile'!$B$10="",TODAY(),'Client &amp; Project Profile'!$B$10)+10*7),"■",""))</f>
        <v/>
      </c>
      <c r="X116" s="12">
        <f>IF(OR($D116="",$E116=""),"",IF(AND($D116&lt;=IF('Client &amp; Project Profile'!$B$10="",TODAY(),'Client &amp; Project Profile'!$B$10)+11*7+6,$E116&gt;=IF('Client &amp; Project Profile'!$B$10="",TODAY(),'Client &amp; Project Profile'!$B$10)+11*7),"■",""))</f>
        <v/>
      </c>
    </row>
    <row r="117">
      <c r="D117" s="9" t="n"/>
      <c r="E117" s="9" t="n"/>
      <c r="F117" s="9" t="n"/>
      <c r="K117">
        <f>IF(OR($D117="",$E117=""),"",$E117-$D117+1)</f>
        <v/>
      </c>
      <c r="L117">
        <f>IF(AND($E117&lt;TODAY(),$G117&lt;&gt;"Complete"),TODAY()-$E117,0)</f>
        <v/>
      </c>
      <c r="M117">
        <f>IF(OR($D117="",$E117=""),"",IF(AND($D117&lt;=IF('Client &amp; Project Profile'!$B$10="",TODAY(),'Client &amp; Project Profile'!$B$10)+0*7+6,$E117&gt;=IF('Client &amp; Project Profile'!$B$10="",TODAY(),'Client &amp; Project Profile'!$B$10)+0*7),"■",""))</f>
        <v/>
      </c>
      <c r="N117">
        <f>IF(OR($D117="",$E117=""),"",IF(AND($D117&lt;=IF('Client &amp; Project Profile'!$B$10="",TODAY(),'Client &amp; Project Profile'!$B$10)+1*7+6,$E117&gt;=IF('Client &amp; Project Profile'!$B$10="",TODAY(),'Client &amp; Project Profile'!$B$10)+1*7),"■",""))</f>
        <v/>
      </c>
      <c r="O117">
        <f>IF(OR($D117="",$E117=""),"",IF(AND($D117&lt;=IF('Client &amp; Project Profile'!$B$10="",TODAY(),'Client &amp; Project Profile'!$B$10)+2*7+6,$E117&gt;=IF('Client &amp; Project Profile'!$B$10="",TODAY(),'Client &amp; Project Profile'!$B$10)+2*7),"■",""))</f>
        <v/>
      </c>
      <c r="P117">
        <f>IF(OR($D117="",$E117=""),"",IF(AND($D117&lt;=IF('Client &amp; Project Profile'!$B$10="",TODAY(),'Client &amp; Project Profile'!$B$10)+3*7+6,$E117&gt;=IF('Client &amp; Project Profile'!$B$10="",TODAY(),'Client &amp; Project Profile'!$B$10)+3*7),"■",""))</f>
        <v/>
      </c>
      <c r="Q117">
        <f>IF(OR($D117="",$E117=""),"",IF(AND($D117&lt;=IF('Client &amp; Project Profile'!$B$10="",TODAY(),'Client &amp; Project Profile'!$B$10)+4*7+6,$E117&gt;=IF('Client &amp; Project Profile'!$B$10="",TODAY(),'Client &amp; Project Profile'!$B$10)+4*7),"■",""))</f>
        <v/>
      </c>
      <c r="R117">
        <f>IF(OR($D117="",$E117=""),"",IF(AND($D117&lt;=IF('Client &amp; Project Profile'!$B$10="",TODAY(),'Client &amp; Project Profile'!$B$10)+5*7+6,$E117&gt;=IF('Client &amp; Project Profile'!$B$10="",TODAY(),'Client &amp; Project Profile'!$B$10)+5*7),"■",""))</f>
        <v/>
      </c>
      <c r="S117">
        <f>IF(OR($D117="",$E117=""),"",IF(AND($D117&lt;=IF('Client &amp; Project Profile'!$B$10="",TODAY(),'Client &amp; Project Profile'!$B$10)+6*7+6,$E117&gt;=IF('Client &amp; Project Profile'!$B$10="",TODAY(),'Client &amp; Project Profile'!$B$10)+6*7),"■",""))</f>
        <v/>
      </c>
      <c r="T117">
        <f>IF(OR($D117="",$E117=""),"",IF(AND($D117&lt;=IF('Client &amp; Project Profile'!$B$10="",TODAY(),'Client &amp; Project Profile'!$B$10)+7*7+6,$E117&gt;=IF('Client &amp; Project Profile'!$B$10="",TODAY(),'Client &amp; Project Profile'!$B$10)+7*7),"■",""))</f>
        <v/>
      </c>
      <c r="U117">
        <f>IF(OR($D117="",$E117=""),"",IF(AND($D117&lt;=IF('Client &amp; Project Profile'!$B$10="",TODAY(),'Client &amp; Project Profile'!$B$10)+8*7+6,$E117&gt;=IF('Client &amp; Project Profile'!$B$10="",TODAY(),'Client &amp; Project Profile'!$B$10)+8*7),"■",""))</f>
        <v/>
      </c>
      <c r="V117">
        <f>IF(OR($D117="",$E117=""),"",IF(AND($D117&lt;=IF('Client &amp; Project Profile'!$B$10="",TODAY(),'Client &amp; Project Profile'!$B$10)+9*7+6,$E117&gt;=IF('Client &amp; Project Profile'!$B$10="",TODAY(),'Client &amp; Project Profile'!$B$10)+9*7),"■",""))</f>
        <v/>
      </c>
      <c r="W117">
        <f>IF(OR($D117="",$E117=""),"",IF(AND($D117&lt;=IF('Client &amp; Project Profile'!$B$10="",TODAY(),'Client &amp; Project Profile'!$B$10)+10*7+6,$E117&gt;=IF('Client &amp; Project Profile'!$B$10="",TODAY(),'Client &amp; Project Profile'!$B$10)+10*7),"■",""))</f>
        <v/>
      </c>
      <c r="X117">
        <f>IF(OR($D117="",$E117=""),"",IF(AND($D117&lt;=IF('Client &amp; Project Profile'!$B$10="",TODAY(),'Client &amp; Project Profile'!$B$10)+11*7+6,$E117&gt;=IF('Client &amp; Project Profile'!$B$10="",TODAY(),'Client &amp; Project Profile'!$B$10)+11*7),"■",""))</f>
        <v/>
      </c>
    </row>
    <row r="118">
      <c r="A118" s="12" t="n"/>
      <c r="B118" s="12" t="n"/>
      <c r="C118" s="12" t="n"/>
      <c r="D118" s="14" t="n"/>
      <c r="E118" s="14" t="n"/>
      <c r="F118" s="14" t="n"/>
      <c r="G118" s="12" t="n"/>
      <c r="H118" s="12" t="n"/>
      <c r="I118" s="12" t="n"/>
      <c r="J118" s="12" t="n"/>
      <c r="K118" s="12">
        <f>IF(OR($D118="",$E118=""),"",$E118-$D118+1)</f>
        <v/>
      </c>
      <c r="L118" s="12">
        <f>IF(AND($E118&lt;TODAY(),$G118&lt;&gt;"Complete"),TODAY()-$E118,0)</f>
        <v/>
      </c>
      <c r="M118" s="12">
        <f>IF(OR($D118="",$E118=""),"",IF(AND($D118&lt;=IF('Client &amp; Project Profile'!$B$10="",TODAY(),'Client &amp; Project Profile'!$B$10)+0*7+6,$E118&gt;=IF('Client &amp; Project Profile'!$B$10="",TODAY(),'Client &amp; Project Profile'!$B$10)+0*7),"■",""))</f>
        <v/>
      </c>
      <c r="N118" s="12">
        <f>IF(OR($D118="",$E118=""),"",IF(AND($D118&lt;=IF('Client &amp; Project Profile'!$B$10="",TODAY(),'Client &amp; Project Profile'!$B$10)+1*7+6,$E118&gt;=IF('Client &amp; Project Profile'!$B$10="",TODAY(),'Client &amp; Project Profile'!$B$10)+1*7),"■",""))</f>
        <v/>
      </c>
      <c r="O118" s="12">
        <f>IF(OR($D118="",$E118=""),"",IF(AND($D118&lt;=IF('Client &amp; Project Profile'!$B$10="",TODAY(),'Client &amp; Project Profile'!$B$10)+2*7+6,$E118&gt;=IF('Client &amp; Project Profile'!$B$10="",TODAY(),'Client &amp; Project Profile'!$B$10)+2*7),"■",""))</f>
        <v/>
      </c>
      <c r="P118" s="12">
        <f>IF(OR($D118="",$E118=""),"",IF(AND($D118&lt;=IF('Client &amp; Project Profile'!$B$10="",TODAY(),'Client &amp; Project Profile'!$B$10)+3*7+6,$E118&gt;=IF('Client &amp; Project Profile'!$B$10="",TODAY(),'Client &amp; Project Profile'!$B$10)+3*7),"■",""))</f>
        <v/>
      </c>
      <c r="Q118" s="12">
        <f>IF(OR($D118="",$E118=""),"",IF(AND($D118&lt;=IF('Client &amp; Project Profile'!$B$10="",TODAY(),'Client &amp; Project Profile'!$B$10)+4*7+6,$E118&gt;=IF('Client &amp; Project Profile'!$B$10="",TODAY(),'Client &amp; Project Profile'!$B$10)+4*7),"■",""))</f>
        <v/>
      </c>
      <c r="R118" s="12">
        <f>IF(OR($D118="",$E118=""),"",IF(AND($D118&lt;=IF('Client &amp; Project Profile'!$B$10="",TODAY(),'Client &amp; Project Profile'!$B$10)+5*7+6,$E118&gt;=IF('Client &amp; Project Profile'!$B$10="",TODAY(),'Client &amp; Project Profile'!$B$10)+5*7),"■",""))</f>
        <v/>
      </c>
      <c r="S118" s="12">
        <f>IF(OR($D118="",$E118=""),"",IF(AND($D118&lt;=IF('Client &amp; Project Profile'!$B$10="",TODAY(),'Client &amp; Project Profile'!$B$10)+6*7+6,$E118&gt;=IF('Client &amp; Project Profile'!$B$10="",TODAY(),'Client &amp; Project Profile'!$B$10)+6*7),"■",""))</f>
        <v/>
      </c>
      <c r="T118" s="12">
        <f>IF(OR($D118="",$E118=""),"",IF(AND($D118&lt;=IF('Client &amp; Project Profile'!$B$10="",TODAY(),'Client &amp; Project Profile'!$B$10)+7*7+6,$E118&gt;=IF('Client &amp; Project Profile'!$B$10="",TODAY(),'Client &amp; Project Profile'!$B$10)+7*7),"■",""))</f>
        <v/>
      </c>
      <c r="U118" s="12">
        <f>IF(OR($D118="",$E118=""),"",IF(AND($D118&lt;=IF('Client &amp; Project Profile'!$B$10="",TODAY(),'Client &amp; Project Profile'!$B$10)+8*7+6,$E118&gt;=IF('Client &amp; Project Profile'!$B$10="",TODAY(),'Client &amp; Project Profile'!$B$10)+8*7),"■",""))</f>
        <v/>
      </c>
      <c r="V118" s="12">
        <f>IF(OR($D118="",$E118=""),"",IF(AND($D118&lt;=IF('Client &amp; Project Profile'!$B$10="",TODAY(),'Client &amp; Project Profile'!$B$10)+9*7+6,$E118&gt;=IF('Client &amp; Project Profile'!$B$10="",TODAY(),'Client &amp; Project Profile'!$B$10)+9*7),"■",""))</f>
        <v/>
      </c>
      <c r="W118" s="12">
        <f>IF(OR($D118="",$E118=""),"",IF(AND($D118&lt;=IF('Client &amp; Project Profile'!$B$10="",TODAY(),'Client &amp; Project Profile'!$B$10)+10*7+6,$E118&gt;=IF('Client &amp; Project Profile'!$B$10="",TODAY(),'Client &amp; Project Profile'!$B$10)+10*7),"■",""))</f>
        <v/>
      </c>
      <c r="X118" s="12">
        <f>IF(OR($D118="",$E118=""),"",IF(AND($D118&lt;=IF('Client &amp; Project Profile'!$B$10="",TODAY(),'Client &amp; Project Profile'!$B$10)+11*7+6,$E118&gt;=IF('Client &amp; Project Profile'!$B$10="",TODAY(),'Client &amp; Project Profile'!$B$10)+11*7),"■",""))</f>
        <v/>
      </c>
    </row>
    <row r="119">
      <c r="D119" s="9" t="n"/>
      <c r="E119" s="9" t="n"/>
      <c r="F119" s="9" t="n"/>
      <c r="K119">
        <f>IF(OR($D119="",$E119=""),"",$E119-$D119+1)</f>
        <v/>
      </c>
      <c r="L119">
        <f>IF(AND($E119&lt;TODAY(),$G119&lt;&gt;"Complete"),TODAY()-$E119,0)</f>
        <v/>
      </c>
      <c r="M119">
        <f>IF(OR($D119="",$E119=""),"",IF(AND($D119&lt;=IF('Client &amp; Project Profile'!$B$10="",TODAY(),'Client &amp; Project Profile'!$B$10)+0*7+6,$E119&gt;=IF('Client &amp; Project Profile'!$B$10="",TODAY(),'Client &amp; Project Profile'!$B$10)+0*7),"■",""))</f>
        <v/>
      </c>
      <c r="N119">
        <f>IF(OR($D119="",$E119=""),"",IF(AND($D119&lt;=IF('Client &amp; Project Profile'!$B$10="",TODAY(),'Client &amp; Project Profile'!$B$10)+1*7+6,$E119&gt;=IF('Client &amp; Project Profile'!$B$10="",TODAY(),'Client &amp; Project Profile'!$B$10)+1*7),"■",""))</f>
        <v/>
      </c>
      <c r="O119">
        <f>IF(OR($D119="",$E119=""),"",IF(AND($D119&lt;=IF('Client &amp; Project Profile'!$B$10="",TODAY(),'Client &amp; Project Profile'!$B$10)+2*7+6,$E119&gt;=IF('Client &amp; Project Profile'!$B$10="",TODAY(),'Client &amp; Project Profile'!$B$10)+2*7),"■",""))</f>
        <v/>
      </c>
      <c r="P119">
        <f>IF(OR($D119="",$E119=""),"",IF(AND($D119&lt;=IF('Client &amp; Project Profile'!$B$10="",TODAY(),'Client &amp; Project Profile'!$B$10)+3*7+6,$E119&gt;=IF('Client &amp; Project Profile'!$B$10="",TODAY(),'Client &amp; Project Profile'!$B$10)+3*7),"■",""))</f>
        <v/>
      </c>
      <c r="Q119">
        <f>IF(OR($D119="",$E119=""),"",IF(AND($D119&lt;=IF('Client &amp; Project Profile'!$B$10="",TODAY(),'Client &amp; Project Profile'!$B$10)+4*7+6,$E119&gt;=IF('Client &amp; Project Profile'!$B$10="",TODAY(),'Client &amp; Project Profile'!$B$10)+4*7),"■",""))</f>
        <v/>
      </c>
      <c r="R119">
        <f>IF(OR($D119="",$E119=""),"",IF(AND($D119&lt;=IF('Client &amp; Project Profile'!$B$10="",TODAY(),'Client &amp; Project Profile'!$B$10)+5*7+6,$E119&gt;=IF('Client &amp; Project Profile'!$B$10="",TODAY(),'Client &amp; Project Profile'!$B$10)+5*7),"■",""))</f>
        <v/>
      </c>
      <c r="S119">
        <f>IF(OR($D119="",$E119=""),"",IF(AND($D119&lt;=IF('Client &amp; Project Profile'!$B$10="",TODAY(),'Client &amp; Project Profile'!$B$10)+6*7+6,$E119&gt;=IF('Client &amp; Project Profile'!$B$10="",TODAY(),'Client &amp; Project Profile'!$B$10)+6*7),"■",""))</f>
        <v/>
      </c>
      <c r="T119">
        <f>IF(OR($D119="",$E119=""),"",IF(AND($D119&lt;=IF('Client &amp; Project Profile'!$B$10="",TODAY(),'Client &amp; Project Profile'!$B$10)+7*7+6,$E119&gt;=IF('Client &amp; Project Profile'!$B$10="",TODAY(),'Client &amp; Project Profile'!$B$10)+7*7),"■",""))</f>
        <v/>
      </c>
      <c r="U119">
        <f>IF(OR($D119="",$E119=""),"",IF(AND($D119&lt;=IF('Client &amp; Project Profile'!$B$10="",TODAY(),'Client &amp; Project Profile'!$B$10)+8*7+6,$E119&gt;=IF('Client &amp; Project Profile'!$B$10="",TODAY(),'Client &amp; Project Profile'!$B$10)+8*7),"■",""))</f>
        <v/>
      </c>
      <c r="V119">
        <f>IF(OR($D119="",$E119=""),"",IF(AND($D119&lt;=IF('Client &amp; Project Profile'!$B$10="",TODAY(),'Client &amp; Project Profile'!$B$10)+9*7+6,$E119&gt;=IF('Client &amp; Project Profile'!$B$10="",TODAY(),'Client &amp; Project Profile'!$B$10)+9*7),"■",""))</f>
        <v/>
      </c>
      <c r="W119">
        <f>IF(OR($D119="",$E119=""),"",IF(AND($D119&lt;=IF('Client &amp; Project Profile'!$B$10="",TODAY(),'Client &amp; Project Profile'!$B$10)+10*7+6,$E119&gt;=IF('Client &amp; Project Profile'!$B$10="",TODAY(),'Client &amp; Project Profile'!$B$10)+10*7),"■",""))</f>
        <v/>
      </c>
      <c r="X119">
        <f>IF(OR($D119="",$E119=""),"",IF(AND($D119&lt;=IF('Client &amp; Project Profile'!$B$10="",TODAY(),'Client &amp; Project Profile'!$B$10)+11*7+6,$E119&gt;=IF('Client &amp; Project Profile'!$B$10="",TODAY(),'Client &amp; Project Profile'!$B$10)+11*7),"■",""))</f>
        <v/>
      </c>
    </row>
    <row r="120">
      <c r="A120" s="12" t="n"/>
      <c r="B120" s="12" t="n"/>
      <c r="C120" s="12" t="n"/>
      <c r="D120" s="14" t="n"/>
      <c r="E120" s="14" t="n"/>
      <c r="F120" s="14" t="n"/>
      <c r="G120" s="12" t="n"/>
      <c r="H120" s="12" t="n"/>
      <c r="I120" s="12" t="n"/>
      <c r="J120" s="12" t="n"/>
      <c r="K120" s="12">
        <f>IF(OR($D120="",$E120=""),"",$E120-$D120+1)</f>
        <v/>
      </c>
      <c r="L120" s="12">
        <f>IF(AND($E120&lt;TODAY(),$G120&lt;&gt;"Complete"),TODAY()-$E120,0)</f>
        <v/>
      </c>
      <c r="M120" s="12">
        <f>IF(OR($D120="",$E120=""),"",IF(AND($D120&lt;=IF('Client &amp; Project Profile'!$B$10="",TODAY(),'Client &amp; Project Profile'!$B$10)+0*7+6,$E120&gt;=IF('Client &amp; Project Profile'!$B$10="",TODAY(),'Client &amp; Project Profile'!$B$10)+0*7),"■",""))</f>
        <v/>
      </c>
      <c r="N120" s="12">
        <f>IF(OR($D120="",$E120=""),"",IF(AND($D120&lt;=IF('Client &amp; Project Profile'!$B$10="",TODAY(),'Client &amp; Project Profile'!$B$10)+1*7+6,$E120&gt;=IF('Client &amp; Project Profile'!$B$10="",TODAY(),'Client &amp; Project Profile'!$B$10)+1*7),"■",""))</f>
        <v/>
      </c>
      <c r="O120" s="12">
        <f>IF(OR($D120="",$E120=""),"",IF(AND($D120&lt;=IF('Client &amp; Project Profile'!$B$10="",TODAY(),'Client &amp; Project Profile'!$B$10)+2*7+6,$E120&gt;=IF('Client &amp; Project Profile'!$B$10="",TODAY(),'Client &amp; Project Profile'!$B$10)+2*7),"■",""))</f>
        <v/>
      </c>
      <c r="P120" s="12">
        <f>IF(OR($D120="",$E120=""),"",IF(AND($D120&lt;=IF('Client &amp; Project Profile'!$B$10="",TODAY(),'Client &amp; Project Profile'!$B$10)+3*7+6,$E120&gt;=IF('Client &amp; Project Profile'!$B$10="",TODAY(),'Client &amp; Project Profile'!$B$10)+3*7),"■",""))</f>
        <v/>
      </c>
      <c r="Q120" s="12">
        <f>IF(OR($D120="",$E120=""),"",IF(AND($D120&lt;=IF('Client &amp; Project Profile'!$B$10="",TODAY(),'Client &amp; Project Profile'!$B$10)+4*7+6,$E120&gt;=IF('Client &amp; Project Profile'!$B$10="",TODAY(),'Client &amp; Project Profile'!$B$10)+4*7),"■",""))</f>
        <v/>
      </c>
      <c r="R120" s="12">
        <f>IF(OR($D120="",$E120=""),"",IF(AND($D120&lt;=IF('Client &amp; Project Profile'!$B$10="",TODAY(),'Client &amp; Project Profile'!$B$10)+5*7+6,$E120&gt;=IF('Client &amp; Project Profile'!$B$10="",TODAY(),'Client &amp; Project Profile'!$B$10)+5*7),"■",""))</f>
        <v/>
      </c>
      <c r="S120" s="12">
        <f>IF(OR($D120="",$E120=""),"",IF(AND($D120&lt;=IF('Client &amp; Project Profile'!$B$10="",TODAY(),'Client &amp; Project Profile'!$B$10)+6*7+6,$E120&gt;=IF('Client &amp; Project Profile'!$B$10="",TODAY(),'Client &amp; Project Profile'!$B$10)+6*7),"■",""))</f>
        <v/>
      </c>
      <c r="T120" s="12">
        <f>IF(OR($D120="",$E120=""),"",IF(AND($D120&lt;=IF('Client &amp; Project Profile'!$B$10="",TODAY(),'Client &amp; Project Profile'!$B$10)+7*7+6,$E120&gt;=IF('Client &amp; Project Profile'!$B$10="",TODAY(),'Client &amp; Project Profile'!$B$10)+7*7),"■",""))</f>
        <v/>
      </c>
      <c r="U120" s="12">
        <f>IF(OR($D120="",$E120=""),"",IF(AND($D120&lt;=IF('Client &amp; Project Profile'!$B$10="",TODAY(),'Client &amp; Project Profile'!$B$10)+8*7+6,$E120&gt;=IF('Client &amp; Project Profile'!$B$10="",TODAY(),'Client &amp; Project Profile'!$B$10)+8*7),"■",""))</f>
        <v/>
      </c>
      <c r="V120" s="12">
        <f>IF(OR($D120="",$E120=""),"",IF(AND($D120&lt;=IF('Client &amp; Project Profile'!$B$10="",TODAY(),'Client &amp; Project Profile'!$B$10)+9*7+6,$E120&gt;=IF('Client &amp; Project Profile'!$B$10="",TODAY(),'Client &amp; Project Profile'!$B$10)+9*7),"■",""))</f>
        <v/>
      </c>
      <c r="W120" s="12">
        <f>IF(OR($D120="",$E120=""),"",IF(AND($D120&lt;=IF('Client &amp; Project Profile'!$B$10="",TODAY(),'Client &amp; Project Profile'!$B$10)+10*7+6,$E120&gt;=IF('Client &amp; Project Profile'!$B$10="",TODAY(),'Client &amp; Project Profile'!$B$10)+10*7),"■",""))</f>
        <v/>
      </c>
      <c r="X120" s="12">
        <f>IF(OR($D120="",$E120=""),"",IF(AND($D120&lt;=IF('Client &amp; Project Profile'!$B$10="",TODAY(),'Client &amp; Project Profile'!$B$10)+11*7+6,$E120&gt;=IF('Client &amp; Project Profile'!$B$10="",TODAY(),'Client &amp; Project Profile'!$B$10)+11*7),"■",""))</f>
        <v/>
      </c>
    </row>
    <row r="121">
      <c r="D121" s="9" t="n"/>
      <c r="E121" s="9" t="n"/>
      <c r="F121" s="9" t="n"/>
      <c r="K121">
        <f>IF(OR($D121="",$E121=""),"",$E121-$D121+1)</f>
        <v/>
      </c>
      <c r="L121">
        <f>IF(AND($E121&lt;TODAY(),$G121&lt;&gt;"Complete"),TODAY()-$E121,0)</f>
        <v/>
      </c>
      <c r="M121">
        <f>IF(OR($D121="",$E121=""),"",IF(AND($D121&lt;=IF('Client &amp; Project Profile'!$B$10="",TODAY(),'Client &amp; Project Profile'!$B$10)+0*7+6,$E121&gt;=IF('Client &amp; Project Profile'!$B$10="",TODAY(),'Client &amp; Project Profile'!$B$10)+0*7),"■",""))</f>
        <v/>
      </c>
      <c r="N121">
        <f>IF(OR($D121="",$E121=""),"",IF(AND($D121&lt;=IF('Client &amp; Project Profile'!$B$10="",TODAY(),'Client &amp; Project Profile'!$B$10)+1*7+6,$E121&gt;=IF('Client &amp; Project Profile'!$B$10="",TODAY(),'Client &amp; Project Profile'!$B$10)+1*7),"■",""))</f>
        <v/>
      </c>
      <c r="O121">
        <f>IF(OR($D121="",$E121=""),"",IF(AND($D121&lt;=IF('Client &amp; Project Profile'!$B$10="",TODAY(),'Client &amp; Project Profile'!$B$10)+2*7+6,$E121&gt;=IF('Client &amp; Project Profile'!$B$10="",TODAY(),'Client &amp; Project Profile'!$B$10)+2*7),"■",""))</f>
        <v/>
      </c>
      <c r="P121">
        <f>IF(OR($D121="",$E121=""),"",IF(AND($D121&lt;=IF('Client &amp; Project Profile'!$B$10="",TODAY(),'Client &amp; Project Profile'!$B$10)+3*7+6,$E121&gt;=IF('Client &amp; Project Profile'!$B$10="",TODAY(),'Client &amp; Project Profile'!$B$10)+3*7),"■",""))</f>
        <v/>
      </c>
      <c r="Q121">
        <f>IF(OR($D121="",$E121=""),"",IF(AND($D121&lt;=IF('Client &amp; Project Profile'!$B$10="",TODAY(),'Client &amp; Project Profile'!$B$10)+4*7+6,$E121&gt;=IF('Client &amp; Project Profile'!$B$10="",TODAY(),'Client &amp; Project Profile'!$B$10)+4*7),"■",""))</f>
        <v/>
      </c>
      <c r="R121">
        <f>IF(OR($D121="",$E121=""),"",IF(AND($D121&lt;=IF('Client &amp; Project Profile'!$B$10="",TODAY(),'Client &amp; Project Profile'!$B$10)+5*7+6,$E121&gt;=IF('Client &amp; Project Profile'!$B$10="",TODAY(),'Client &amp; Project Profile'!$B$10)+5*7),"■",""))</f>
        <v/>
      </c>
      <c r="S121">
        <f>IF(OR($D121="",$E121=""),"",IF(AND($D121&lt;=IF('Client &amp; Project Profile'!$B$10="",TODAY(),'Client &amp; Project Profile'!$B$10)+6*7+6,$E121&gt;=IF('Client &amp; Project Profile'!$B$10="",TODAY(),'Client &amp; Project Profile'!$B$10)+6*7),"■",""))</f>
        <v/>
      </c>
      <c r="T121">
        <f>IF(OR($D121="",$E121=""),"",IF(AND($D121&lt;=IF('Client &amp; Project Profile'!$B$10="",TODAY(),'Client &amp; Project Profile'!$B$10)+7*7+6,$E121&gt;=IF('Client &amp; Project Profile'!$B$10="",TODAY(),'Client &amp; Project Profile'!$B$10)+7*7),"■",""))</f>
        <v/>
      </c>
      <c r="U121">
        <f>IF(OR($D121="",$E121=""),"",IF(AND($D121&lt;=IF('Client &amp; Project Profile'!$B$10="",TODAY(),'Client &amp; Project Profile'!$B$10)+8*7+6,$E121&gt;=IF('Client &amp; Project Profile'!$B$10="",TODAY(),'Client &amp; Project Profile'!$B$10)+8*7),"■",""))</f>
        <v/>
      </c>
      <c r="V121">
        <f>IF(OR($D121="",$E121=""),"",IF(AND($D121&lt;=IF('Client &amp; Project Profile'!$B$10="",TODAY(),'Client &amp; Project Profile'!$B$10)+9*7+6,$E121&gt;=IF('Client &amp; Project Profile'!$B$10="",TODAY(),'Client &amp; Project Profile'!$B$10)+9*7),"■",""))</f>
        <v/>
      </c>
      <c r="W121">
        <f>IF(OR($D121="",$E121=""),"",IF(AND($D121&lt;=IF('Client &amp; Project Profile'!$B$10="",TODAY(),'Client &amp; Project Profile'!$B$10)+10*7+6,$E121&gt;=IF('Client &amp; Project Profile'!$B$10="",TODAY(),'Client &amp; Project Profile'!$B$10)+10*7),"■",""))</f>
        <v/>
      </c>
      <c r="X121">
        <f>IF(OR($D121="",$E121=""),"",IF(AND($D121&lt;=IF('Client &amp; Project Profile'!$B$10="",TODAY(),'Client &amp; Project Profile'!$B$10)+11*7+6,$E121&gt;=IF('Client &amp; Project Profile'!$B$10="",TODAY(),'Client &amp; Project Profile'!$B$10)+11*7),"■",""))</f>
        <v/>
      </c>
    </row>
    <row r="122">
      <c r="A122" s="12" t="n"/>
      <c r="B122" s="12" t="n"/>
      <c r="C122" s="12" t="n"/>
      <c r="D122" s="14" t="n"/>
      <c r="E122" s="14" t="n"/>
      <c r="F122" s="14" t="n"/>
      <c r="G122" s="12" t="n"/>
      <c r="H122" s="12" t="n"/>
      <c r="I122" s="12" t="n"/>
      <c r="J122" s="12" t="n"/>
      <c r="K122" s="12">
        <f>IF(OR($D122="",$E122=""),"",$E122-$D122+1)</f>
        <v/>
      </c>
      <c r="L122" s="12">
        <f>IF(AND($E122&lt;TODAY(),$G122&lt;&gt;"Complete"),TODAY()-$E122,0)</f>
        <v/>
      </c>
      <c r="M122" s="12">
        <f>IF(OR($D122="",$E122=""),"",IF(AND($D122&lt;=IF('Client &amp; Project Profile'!$B$10="",TODAY(),'Client &amp; Project Profile'!$B$10)+0*7+6,$E122&gt;=IF('Client &amp; Project Profile'!$B$10="",TODAY(),'Client &amp; Project Profile'!$B$10)+0*7),"■",""))</f>
        <v/>
      </c>
      <c r="N122" s="12">
        <f>IF(OR($D122="",$E122=""),"",IF(AND($D122&lt;=IF('Client &amp; Project Profile'!$B$10="",TODAY(),'Client &amp; Project Profile'!$B$10)+1*7+6,$E122&gt;=IF('Client &amp; Project Profile'!$B$10="",TODAY(),'Client &amp; Project Profile'!$B$10)+1*7),"■",""))</f>
        <v/>
      </c>
      <c r="O122" s="12">
        <f>IF(OR($D122="",$E122=""),"",IF(AND($D122&lt;=IF('Client &amp; Project Profile'!$B$10="",TODAY(),'Client &amp; Project Profile'!$B$10)+2*7+6,$E122&gt;=IF('Client &amp; Project Profile'!$B$10="",TODAY(),'Client &amp; Project Profile'!$B$10)+2*7),"■",""))</f>
        <v/>
      </c>
      <c r="P122" s="12">
        <f>IF(OR($D122="",$E122=""),"",IF(AND($D122&lt;=IF('Client &amp; Project Profile'!$B$10="",TODAY(),'Client &amp; Project Profile'!$B$10)+3*7+6,$E122&gt;=IF('Client &amp; Project Profile'!$B$10="",TODAY(),'Client &amp; Project Profile'!$B$10)+3*7),"■",""))</f>
        <v/>
      </c>
      <c r="Q122" s="12">
        <f>IF(OR($D122="",$E122=""),"",IF(AND($D122&lt;=IF('Client &amp; Project Profile'!$B$10="",TODAY(),'Client &amp; Project Profile'!$B$10)+4*7+6,$E122&gt;=IF('Client &amp; Project Profile'!$B$10="",TODAY(),'Client &amp; Project Profile'!$B$10)+4*7),"■",""))</f>
        <v/>
      </c>
      <c r="R122" s="12">
        <f>IF(OR($D122="",$E122=""),"",IF(AND($D122&lt;=IF('Client &amp; Project Profile'!$B$10="",TODAY(),'Client &amp; Project Profile'!$B$10)+5*7+6,$E122&gt;=IF('Client &amp; Project Profile'!$B$10="",TODAY(),'Client &amp; Project Profile'!$B$10)+5*7),"■",""))</f>
        <v/>
      </c>
      <c r="S122" s="12">
        <f>IF(OR($D122="",$E122=""),"",IF(AND($D122&lt;=IF('Client &amp; Project Profile'!$B$10="",TODAY(),'Client &amp; Project Profile'!$B$10)+6*7+6,$E122&gt;=IF('Client &amp; Project Profile'!$B$10="",TODAY(),'Client &amp; Project Profile'!$B$10)+6*7),"■",""))</f>
        <v/>
      </c>
      <c r="T122" s="12">
        <f>IF(OR($D122="",$E122=""),"",IF(AND($D122&lt;=IF('Client &amp; Project Profile'!$B$10="",TODAY(),'Client &amp; Project Profile'!$B$10)+7*7+6,$E122&gt;=IF('Client &amp; Project Profile'!$B$10="",TODAY(),'Client &amp; Project Profile'!$B$10)+7*7),"■",""))</f>
        <v/>
      </c>
      <c r="U122" s="12">
        <f>IF(OR($D122="",$E122=""),"",IF(AND($D122&lt;=IF('Client &amp; Project Profile'!$B$10="",TODAY(),'Client &amp; Project Profile'!$B$10)+8*7+6,$E122&gt;=IF('Client &amp; Project Profile'!$B$10="",TODAY(),'Client &amp; Project Profile'!$B$10)+8*7),"■",""))</f>
        <v/>
      </c>
      <c r="V122" s="12">
        <f>IF(OR($D122="",$E122=""),"",IF(AND($D122&lt;=IF('Client &amp; Project Profile'!$B$10="",TODAY(),'Client &amp; Project Profile'!$B$10)+9*7+6,$E122&gt;=IF('Client &amp; Project Profile'!$B$10="",TODAY(),'Client &amp; Project Profile'!$B$10)+9*7),"■",""))</f>
        <v/>
      </c>
      <c r="W122" s="12">
        <f>IF(OR($D122="",$E122=""),"",IF(AND($D122&lt;=IF('Client &amp; Project Profile'!$B$10="",TODAY(),'Client &amp; Project Profile'!$B$10)+10*7+6,$E122&gt;=IF('Client &amp; Project Profile'!$B$10="",TODAY(),'Client &amp; Project Profile'!$B$10)+10*7),"■",""))</f>
        <v/>
      </c>
      <c r="X122" s="12">
        <f>IF(OR($D122="",$E122=""),"",IF(AND($D122&lt;=IF('Client &amp; Project Profile'!$B$10="",TODAY(),'Client &amp; Project Profile'!$B$10)+11*7+6,$E122&gt;=IF('Client &amp; Project Profile'!$B$10="",TODAY(),'Client &amp; Project Profile'!$B$10)+11*7),"■",""))</f>
        <v/>
      </c>
    </row>
    <row r="123">
      <c r="D123" s="9" t="n"/>
      <c r="E123" s="9" t="n"/>
      <c r="F123" s="9" t="n"/>
      <c r="K123">
        <f>IF(OR($D123="",$E123=""),"",$E123-$D123+1)</f>
        <v/>
      </c>
      <c r="L123">
        <f>IF(AND($E123&lt;TODAY(),$G123&lt;&gt;"Complete"),TODAY()-$E123,0)</f>
        <v/>
      </c>
      <c r="M123">
        <f>IF(OR($D123="",$E123=""),"",IF(AND($D123&lt;=IF('Client &amp; Project Profile'!$B$10="",TODAY(),'Client &amp; Project Profile'!$B$10)+0*7+6,$E123&gt;=IF('Client &amp; Project Profile'!$B$10="",TODAY(),'Client &amp; Project Profile'!$B$10)+0*7),"■",""))</f>
        <v/>
      </c>
      <c r="N123">
        <f>IF(OR($D123="",$E123=""),"",IF(AND($D123&lt;=IF('Client &amp; Project Profile'!$B$10="",TODAY(),'Client &amp; Project Profile'!$B$10)+1*7+6,$E123&gt;=IF('Client &amp; Project Profile'!$B$10="",TODAY(),'Client &amp; Project Profile'!$B$10)+1*7),"■",""))</f>
        <v/>
      </c>
      <c r="O123">
        <f>IF(OR($D123="",$E123=""),"",IF(AND($D123&lt;=IF('Client &amp; Project Profile'!$B$10="",TODAY(),'Client &amp; Project Profile'!$B$10)+2*7+6,$E123&gt;=IF('Client &amp; Project Profile'!$B$10="",TODAY(),'Client &amp; Project Profile'!$B$10)+2*7),"■",""))</f>
        <v/>
      </c>
      <c r="P123">
        <f>IF(OR($D123="",$E123=""),"",IF(AND($D123&lt;=IF('Client &amp; Project Profile'!$B$10="",TODAY(),'Client &amp; Project Profile'!$B$10)+3*7+6,$E123&gt;=IF('Client &amp; Project Profile'!$B$10="",TODAY(),'Client &amp; Project Profile'!$B$10)+3*7),"■",""))</f>
        <v/>
      </c>
      <c r="Q123">
        <f>IF(OR($D123="",$E123=""),"",IF(AND($D123&lt;=IF('Client &amp; Project Profile'!$B$10="",TODAY(),'Client &amp; Project Profile'!$B$10)+4*7+6,$E123&gt;=IF('Client &amp; Project Profile'!$B$10="",TODAY(),'Client &amp; Project Profile'!$B$10)+4*7),"■",""))</f>
        <v/>
      </c>
      <c r="R123">
        <f>IF(OR($D123="",$E123=""),"",IF(AND($D123&lt;=IF('Client &amp; Project Profile'!$B$10="",TODAY(),'Client &amp; Project Profile'!$B$10)+5*7+6,$E123&gt;=IF('Client &amp; Project Profile'!$B$10="",TODAY(),'Client &amp; Project Profile'!$B$10)+5*7),"■",""))</f>
        <v/>
      </c>
      <c r="S123">
        <f>IF(OR($D123="",$E123=""),"",IF(AND($D123&lt;=IF('Client &amp; Project Profile'!$B$10="",TODAY(),'Client &amp; Project Profile'!$B$10)+6*7+6,$E123&gt;=IF('Client &amp; Project Profile'!$B$10="",TODAY(),'Client &amp; Project Profile'!$B$10)+6*7),"■",""))</f>
        <v/>
      </c>
      <c r="T123">
        <f>IF(OR($D123="",$E123=""),"",IF(AND($D123&lt;=IF('Client &amp; Project Profile'!$B$10="",TODAY(),'Client &amp; Project Profile'!$B$10)+7*7+6,$E123&gt;=IF('Client &amp; Project Profile'!$B$10="",TODAY(),'Client &amp; Project Profile'!$B$10)+7*7),"■",""))</f>
        <v/>
      </c>
      <c r="U123">
        <f>IF(OR($D123="",$E123=""),"",IF(AND($D123&lt;=IF('Client &amp; Project Profile'!$B$10="",TODAY(),'Client &amp; Project Profile'!$B$10)+8*7+6,$E123&gt;=IF('Client &amp; Project Profile'!$B$10="",TODAY(),'Client &amp; Project Profile'!$B$10)+8*7),"■",""))</f>
        <v/>
      </c>
      <c r="V123">
        <f>IF(OR($D123="",$E123=""),"",IF(AND($D123&lt;=IF('Client &amp; Project Profile'!$B$10="",TODAY(),'Client &amp; Project Profile'!$B$10)+9*7+6,$E123&gt;=IF('Client &amp; Project Profile'!$B$10="",TODAY(),'Client &amp; Project Profile'!$B$10)+9*7),"■",""))</f>
        <v/>
      </c>
      <c r="W123">
        <f>IF(OR($D123="",$E123=""),"",IF(AND($D123&lt;=IF('Client &amp; Project Profile'!$B$10="",TODAY(),'Client &amp; Project Profile'!$B$10)+10*7+6,$E123&gt;=IF('Client &amp; Project Profile'!$B$10="",TODAY(),'Client &amp; Project Profile'!$B$10)+10*7),"■",""))</f>
        <v/>
      </c>
      <c r="X123">
        <f>IF(OR($D123="",$E123=""),"",IF(AND($D123&lt;=IF('Client &amp; Project Profile'!$B$10="",TODAY(),'Client &amp; Project Profile'!$B$10)+11*7+6,$E123&gt;=IF('Client &amp; Project Profile'!$B$10="",TODAY(),'Client &amp; Project Profile'!$B$10)+11*7),"■",""))</f>
        <v/>
      </c>
    </row>
    <row r="124">
      <c r="A124" s="12" t="n"/>
      <c r="B124" s="12" t="n"/>
      <c r="C124" s="12" t="n"/>
      <c r="D124" s="14" t="n"/>
      <c r="E124" s="14" t="n"/>
      <c r="F124" s="14" t="n"/>
      <c r="G124" s="12" t="n"/>
      <c r="H124" s="12" t="n"/>
      <c r="I124" s="12" t="n"/>
      <c r="J124" s="12" t="n"/>
      <c r="K124" s="12">
        <f>IF(OR($D124="",$E124=""),"",$E124-$D124+1)</f>
        <v/>
      </c>
      <c r="L124" s="12">
        <f>IF(AND($E124&lt;TODAY(),$G124&lt;&gt;"Complete"),TODAY()-$E124,0)</f>
        <v/>
      </c>
      <c r="M124" s="12">
        <f>IF(OR($D124="",$E124=""),"",IF(AND($D124&lt;=IF('Client &amp; Project Profile'!$B$10="",TODAY(),'Client &amp; Project Profile'!$B$10)+0*7+6,$E124&gt;=IF('Client &amp; Project Profile'!$B$10="",TODAY(),'Client &amp; Project Profile'!$B$10)+0*7),"■",""))</f>
        <v/>
      </c>
      <c r="N124" s="12">
        <f>IF(OR($D124="",$E124=""),"",IF(AND($D124&lt;=IF('Client &amp; Project Profile'!$B$10="",TODAY(),'Client &amp; Project Profile'!$B$10)+1*7+6,$E124&gt;=IF('Client &amp; Project Profile'!$B$10="",TODAY(),'Client &amp; Project Profile'!$B$10)+1*7),"■",""))</f>
        <v/>
      </c>
      <c r="O124" s="12">
        <f>IF(OR($D124="",$E124=""),"",IF(AND($D124&lt;=IF('Client &amp; Project Profile'!$B$10="",TODAY(),'Client &amp; Project Profile'!$B$10)+2*7+6,$E124&gt;=IF('Client &amp; Project Profile'!$B$10="",TODAY(),'Client &amp; Project Profile'!$B$10)+2*7),"■",""))</f>
        <v/>
      </c>
      <c r="P124" s="12">
        <f>IF(OR($D124="",$E124=""),"",IF(AND($D124&lt;=IF('Client &amp; Project Profile'!$B$10="",TODAY(),'Client &amp; Project Profile'!$B$10)+3*7+6,$E124&gt;=IF('Client &amp; Project Profile'!$B$10="",TODAY(),'Client &amp; Project Profile'!$B$10)+3*7),"■",""))</f>
        <v/>
      </c>
      <c r="Q124" s="12">
        <f>IF(OR($D124="",$E124=""),"",IF(AND($D124&lt;=IF('Client &amp; Project Profile'!$B$10="",TODAY(),'Client &amp; Project Profile'!$B$10)+4*7+6,$E124&gt;=IF('Client &amp; Project Profile'!$B$10="",TODAY(),'Client &amp; Project Profile'!$B$10)+4*7),"■",""))</f>
        <v/>
      </c>
      <c r="R124" s="12">
        <f>IF(OR($D124="",$E124=""),"",IF(AND($D124&lt;=IF('Client &amp; Project Profile'!$B$10="",TODAY(),'Client &amp; Project Profile'!$B$10)+5*7+6,$E124&gt;=IF('Client &amp; Project Profile'!$B$10="",TODAY(),'Client &amp; Project Profile'!$B$10)+5*7),"■",""))</f>
        <v/>
      </c>
      <c r="S124" s="12">
        <f>IF(OR($D124="",$E124=""),"",IF(AND($D124&lt;=IF('Client &amp; Project Profile'!$B$10="",TODAY(),'Client &amp; Project Profile'!$B$10)+6*7+6,$E124&gt;=IF('Client &amp; Project Profile'!$B$10="",TODAY(),'Client &amp; Project Profile'!$B$10)+6*7),"■",""))</f>
        <v/>
      </c>
      <c r="T124" s="12">
        <f>IF(OR($D124="",$E124=""),"",IF(AND($D124&lt;=IF('Client &amp; Project Profile'!$B$10="",TODAY(),'Client &amp; Project Profile'!$B$10)+7*7+6,$E124&gt;=IF('Client &amp; Project Profile'!$B$10="",TODAY(),'Client &amp; Project Profile'!$B$10)+7*7),"■",""))</f>
        <v/>
      </c>
      <c r="U124" s="12">
        <f>IF(OR($D124="",$E124=""),"",IF(AND($D124&lt;=IF('Client &amp; Project Profile'!$B$10="",TODAY(),'Client &amp; Project Profile'!$B$10)+8*7+6,$E124&gt;=IF('Client &amp; Project Profile'!$B$10="",TODAY(),'Client &amp; Project Profile'!$B$10)+8*7),"■",""))</f>
        <v/>
      </c>
      <c r="V124" s="12">
        <f>IF(OR($D124="",$E124=""),"",IF(AND($D124&lt;=IF('Client &amp; Project Profile'!$B$10="",TODAY(),'Client &amp; Project Profile'!$B$10)+9*7+6,$E124&gt;=IF('Client &amp; Project Profile'!$B$10="",TODAY(),'Client &amp; Project Profile'!$B$10)+9*7),"■",""))</f>
        <v/>
      </c>
      <c r="W124" s="12">
        <f>IF(OR($D124="",$E124=""),"",IF(AND($D124&lt;=IF('Client &amp; Project Profile'!$B$10="",TODAY(),'Client &amp; Project Profile'!$B$10)+10*7+6,$E124&gt;=IF('Client &amp; Project Profile'!$B$10="",TODAY(),'Client &amp; Project Profile'!$B$10)+10*7),"■",""))</f>
        <v/>
      </c>
      <c r="X124" s="12">
        <f>IF(OR($D124="",$E124=""),"",IF(AND($D124&lt;=IF('Client &amp; Project Profile'!$B$10="",TODAY(),'Client &amp; Project Profile'!$B$10)+11*7+6,$E124&gt;=IF('Client &amp; Project Profile'!$B$10="",TODAY(),'Client &amp; Project Profile'!$B$10)+11*7),"■",""))</f>
        <v/>
      </c>
    </row>
    <row r="125">
      <c r="D125" s="9" t="n"/>
      <c r="E125" s="9" t="n"/>
      <c r="F125" s="9" t="n"/>
      <c r="K125">
        <f>IF(OR($D125="",$E125=""),"",$E125-$D125+1)</f>
        <v/>
      </c>
      <c r="L125">
        <f>IF(AND($E125&lt;TODAY(),$G125&lt;&gt;"Complete"),TODAY()-$E125,0)</f>
        <v/>
      </c>
      <c r="M125">
        <f>IF(OR($D125="",$E125=""),"",IF(AND($D125&lt;=IF('Client &amp; Project Profile'!$B$10="",TODAY(),'Client &amp; Project Profile'!$B$10)+0*7+6,$E125&gt;=IF('Client &amp; Project Profile'!$B$10="",TODAY(),'Client &amp; Project Profile'!$B$10)+0*7),"■",""))</f>
        <v/>
      </c>
      <c r="N125">
        <f>IF(OR($D125="",$E125=""),"",IF(AND($D125&lt;=IF('Client &amp; Project Profile'!$B$10="",TODAY(),'Client &amp; Project Profile'!$B$10)+1*7+6,$E125&gt;=IF('Client &amp; Project Profile'!$B$10="",TODAY(),'Client &amp; Project Profile'!$B$10)+1*7),"■",""))</f>
        <v/>
      </c>
      <c r="O125">
        <f>IF(OR($D125="",$E125=""),"",IF(AND($D125&lt;=IF('Client &amp; Project Profile'!$B$10="",TODAY(),'Client &amp; Project Profile'!$B$10)+2*7+6,$E125&gt;=IF('Client &amp; Project Profile'!$B$10="",TODAY(),'Client &amp; Project Profile'!$B$10)+2*7),"■",""))</f>
        <v/>
      </c>
      <c r="P125">
        <f>IF(OR($D125="",$E125=""),"",IF(AND($D125&lt;=IF('Client &amp; Project Profile'!$B$10="",TODAY(),'Client &amp; Project Profile'!$B$10)+3*7+6,$E125&gt;=IF('Client &amp; Project Profile'!$B$10="",TODAY(),'Client &amp; Project Profile'!$B$10)+3*7),"■",""))</f>
        <v/>
      </c>
      <c r="Q125">
        <f>IF(OR($D125="",$E125=""),"",IF(AND($D125&lt;=IF('Client &amp; Project Profile'!$B$10="",TODAY(),'Client &amp; Project Profile'!$B$10)+4*7+6,$E125&gt;=IF('Client &amp; Project Profile'!$B$10="",TODAY(),'Client &amp; Project Profile'!$B$10)+4*7),"■",""))</f>
        <v/>
      </c>
      <c r="R125">
        <f>IF(OR($D125="",$E125=""),"",IF(AND($D125&lt;=IF('Client &amp; Project Profile'!$B$10="",TODAY(),'Client &amp; Project Profile'!$B$10)+5*7+6,$E125&gt;=IF('Client &amp; Project Profile'!$B$10="",TODAY(),'Client &amp; Project Profile'!$B$10)+5*7),"■",""))</f>
        <v/>
      </c>
      <c r="S125">
        <f>IF(OR($D125="",$E125=""),"",IF(AND($D125&lt;=IF('Client &amp; Project Profile'!$B$10="",TODAY(),'Client &amp; Project Profile'!$B$10)+6*7+6,$E125&gt;=IF('Client &amp; Project Profile'!$B$10="",TODAY(),'Client &amp; Project Profile'!$B$10)+6*7),"■",""))</f>
        <v/>
      </c>
      <c r="T125">
        <f>IF(OR($D125="",$E125=""),"",IF(AND($D125&lt;=IF('Client &amp; Project Profile'!$B$10="",TODAY(),'Client &amp; Project Profile'!$B$10)+7*7+6,$E125&gt;=IF('Client &amp; Project Profile'!$B$10="",TODAY(),'Client &amp; Project Profile'!$B$10)+7*7),"■",""))</f>
        <v/>
      </c>
      <c r="U125">
        <f>IF(OR($D125="",$E125=""),"",IF(AND($D125&lt;=IF('Client &amp; Project Profile'!$B$10="",TODAY(),'Client &amp; Project Profile'!$B$10)+8*7+6,$E125&gt;=IF('Client &amp; Project Profile'!$B$10="",TODAY(),'Client &amp; Project Profile'!$B$10)+8*7),"■",""))</f>
        <v/>
      </c>
      <c r="V125">
        <f>IF(OR($D125="",$E125=""),"",IF(AND($D125&lt;=IF('Client &amp; Project Profile'!$B$10="",TODAY(),'Client &amp; Project Profile'!$B$10)+9*7+6,$E125&gt;=IF('Client &amp; Project Profile'!$B$10="",TODAY(),'Client &amp; Project Profile'!$B$10)+9*7),"■",""))</f>
        <v/>
      </c>
      <c r="W125">
        <f>IF(OR($D125="",$E125=""),"",IF(AND($D125&lt;=IF('Client &amp; Project Profile'!$B$10="",TODAY(),'Client &amp; Project Profile'!$B$10)+10*7+6,$E125&gt;=IF('Client &amp; Project Profile'!$B$10="",TODAY(),'Client &amp; Project Profile'!$B$10)+10*7),"■",""))</f>
        <v/>
      </c>
      <c r="X125">
        <f>IF(OR($D125="",$E125=""),"",IF(AND($D125&lt;=IF('Client &amp; Project Profile'!$B$10="",TODAY(),'Client &amp; Project Profile'!$B$10)+11*7+6,$E125&gt;=IF('Client &amp; Project Profile'!$B$10="",TODAY(),'Client &amp; Project Profile'!$B$10)+11*7),"■",""))</f>
        <v/>
      </c>
    </row>
    <row r="126">
      <c r="A126" s="12" t="n"/>
      <c r="B126" s="12" t="n"/>
      <c r="C126" s="12" t="n"/>
      <c r="D126" s="14" t="n"/>
      <c r="E126" s="14" t="n"/>
      <c r="F126" s="14" t="n"/>
      <c r="G126" s="12" t="n"/>
      <c r="H126" s="12" t="n"/>
      <c r="I126" s="12" t="n"/>
      <c r="J126" s="12" t="n"/>
      <c r="K126" s="12">
        <f>IF(OR($D126="",$E126=""),"",$E126-$D126+1)</f>
        <v/>
      </c>
      <c r="L126" s="12">
        <f>IF(AND($E126&lt;TODAY(),$G126&lt;&gt;"Complete"),TODAY()-$E126,0)</f>
        <v/>
      </c>
      <c r="M126" s="12">
        <f>IF(OR($D126="",$E126=""),"",IF(AND($D126&lt;=IF('Client &amp; Project Profile'!$B$10="",TODAY(),'Client &amp; Project Profile'!$B$10)+0*7+6,$E126&gt;=IF('Client &amp; Project Profile'!$B$10="",TODAY(),'Client &amp; Project Profile'!$B$10)+0*7),"■",""))</f>
        <v/>
      </c>
      <c r="N126" s="12">
        <f>IF(OR($D126="",$E126=""),"",IF(AND($D126&lt;=IF('Client &amp; Project Profile'!$B$10="",TODAY(),'Client &amp; Project Profile'!$B$10)+1*7+6,$E126&gt;=IF('Client &amp; Project Profile'!$B$10="",TODAY(),'Client &amp; Project Profile'!$B$10)+1*7),"■",""))</f>
        <v/>
      </c>
      <c r="O126" s="12">
        <f>IF(OR($D126="",$E126=""),"",IF(AND($D126&lt;=IF('Client &amp; Project Profile'!$B$10="",TODAY(),'Client &amp; Project Profile'!$B$10)+2*7+6,$E126&gt;=IF('Client &amp; Project Profile'!$B$10="",TODAY(),'Client &amp; Project Profile'!$B$10)+2*7),"■",""))</f>
        <v/>
      </c>
      <c r="P126" s="12">
        <f>IF(OR($D126="",$E126=""),"",IF(AND($D126&lt;=IF('Client &amp; Project Profile'!$B$10="",TODAY(),'Client &amp; Project Profile'!$B$10)+3*7+6,$E126&gt;=IF('Client &amp; Project Profile'!$B$10="",TODAY(),'Client &amp; Project Profile'!$B$10)+3*7),"■",""))</f>
        <v/>
      </c>
      <c r="Q126" s="12">
        <f>IF(OR($D126="",$E126=""),"",IF(AND($D126&lt;=IF('Client &amp; Project Profile'!$B$10="",TODAY(),'Client &amp; Project Profile'!$B$10)+4*7+6,$E126&gt;=IF('Client &amp; Project Profile'!$B$10="",TODAY(),'Client &amp; Project Profile'!$B$10)+4*7),"■",""))</f>
        <v/>
      </c>
      <c r="R126" s="12">
        <f>IF(OR($D126="",$E126=""),"",IF(AND($D126&lt;=IF('Client &amp; Project Profile'!$B$10="",TODAY(),'Client &amp; Project Profile'!$B$10)+5*7+6,$E126&gt;=IF('Client &amp; Project Profile'!$B$10="",TODAY(),'Client &amp; Project Profile'!$B$10)+5*7),"■",""))</f>
        <v/>
      </c>
      <c r="S126" s="12">
        <f>IF(OR($D126="",$E126=""),"",IF(AND($D126&lt;=IF('Client &amp; Project Profile'!$B$10="",TODAY(),'Client &amp; Project Profile'!$B$10)+6*7+6,$E126&gt;=IF('Client &amp; Project Profile'!$B$10="",TODAY(),'Client &amp; Project Profile'!$B$10)+6*7),"■",""))</f>
        <v/>
      </c>
      <c r="T126" s="12">
        <f>IF(OR($D126="",$E126=""),"",IF(AND($D126&lt;=IF('Client &amp; Project Profile'!$B$10="",TODAY(),'Client &amp; Project Profile'!$B$10)+7*7+6,$E126&gt;=IF('Client &amp; Project Profile'!$B$10="",TODAY(),'Client &amp; Project Profile'!$B$10)+7*7),"■",""))</f>
        <v/>
      </c>
      <c r="U126" s="12">
        <f>IF(OR($D126="",$E126=""),"",IF(AND($D126&lt;=IF('Client &amp; Project Profile'!$B$10="",TODAY(),'Client &amp; Project Profile'!$B$10)+8*7+6,$E126&gt;=IF('Client &amp; Project Profile'!$B$10="",TODAY(),'Client &amp; Project Profile'!$B$10)+8*7),"■",""))</f>
        <v/>
      </c>
      <c r="V126" s="12">
        <f>IF(OR($D126="",$E126=""),"",IF(AND($D126&lt;=IF('Client &amp; Project Profile'!$B$10="",TODAY(),'Client &amp; Project Profile'!$B$10)+9*7+6,$E126&gt;=IF('Client &amp; Project Profile'!$B$10="",TODAY(),'Client &amp; Project Profile'!$B$10)+9*7),"■",""))</f>
        <v/>
      </c>
      <c r="W126" s="12">
        <f>IF(OR($D126="",$E126=""),"",IF(AND($D126&lt;=IF('Client &amp; Project Profile'!$B$10="",TODAY(),'Client &amp; Project Profile'!$B$10)+10*7+6,$E126&gt;=IF('Client &amp; Project Profile'!$B$10="",TODAY(),'Client &amp; Project Profile'!$B$10)+10*7),"■",""))</f>
        <v/>
      </c>
      <c r="X126" s="12">
        <f>IF(OR($D126="",$E126=""),"",IF(AND($D126&lt;=IF('Client &amp; Project Profile'!$B$10="",TODAY(),'Client &amp; Project Profile'!$B$10)+11*7+6,$E126&gt;=IF('Client &amp; Project Profile'!$B$10="",TODAY(),'Client &amp; Project Profile'!$B$10)+11*7),"■",""))</f>
        <v/>
      </c>
    </row>
    <row r="127">
      <c r="D127" s="9" t="n"/>
      <c r="E127" s="9" t="n"/>
      <c r="F127" s="9" t="n"/>
      <c r="K127">
        <f>IF(OR($D127="",$E127=""),"",$E127-$D127+1)</f>
        <v/>
      </c>
      <c r="L127">
        <f>IF(AND($E127&lt;TODAY(),$G127&lt;&gt;"Complete"),TODAY()-$E127,0)</f>
        <v/>
      </c>
      <c r="M127">
        <f>IF(OR($D127="",$E127=""),"",IF(AND($D127&lt;=IF('Client &amp; Project Profile'!$B$10="",TODAY(),'Client &amp; Project Profile'!$B$10)+0*7+6,$E127&gt;=IF('Client &amp; Project Profile'!$B$10="",TODAY(),'Client &amp; Project Profile'!$B$10)+0*7),"■",""))</f>
        <v/>
      </c>
      <c r="N127">
        <f>IF(OR($D127="",$E127=""),"",IF(AND($D127&lt;=IF('Client &amp; Project Profile'!$B$10="",TODAY(),'Client &amp; Project Profile'!$B$10)+1*7+6,$E127&gt;=IF('Client &amp; Project Profile'!$B$10="",TODAY(),'Client &amp; Project Profile'!$B$10)+1*7),"■",""))</f>
        <v/>
      </c>
      <c r="O127">
        <f>IF(OR($D127="",$E127=""),"",IF(AND($D127&lt;=IF('Client &amp; Project Profile'!$B$10="",TODAY(),'Client &amp; Project Profile'!$B$10)+2*7+6,$E127&gt;=IF('Client &amp; Project Profile'!$B$10="",TODAY(),'Client &amp; Project Profile'!$B$10)+2*7),"■",""))</f>
        <v/>
      </c>
      <c r="P127">
        <f>IF(OR($D127="",$E127=""),"",IF(AND($D127&lt;=IF('Client &amp; Project Profile'!$B$10="",TODAY(),'Client &amp; Project Profile'!$B$10)+3*7+6,$E127&gt;=IF('Client &amp; Project Profile'!$B$10="",TODAY(),'Client &amp; Project Profile'!$B$10)+3*7),"■",""))</f>
        <v/>
      </c>
      <c r="Q127">
        <f>IF(OR($D127="",$E127=""),"",IF(AND($D127&lt;=IF('Client &amp; Project Profile'!$B$10="",TODAY(),'Client &amp; Project Profile'!$B$10)+4*7+6,$E127&gt;=IF('Client &amp; Project Profile'!$B$10="",TODAY(),'Client &amp; Project Profile'!$B$10)+4*7),"■",""))</f>
        <v/>
      </c>
      <c r="R127">
        <f>IF(OR($D127="",$E127=""),"",IF(AND($D127&lt;=IF('Client &amp; Project Profile'!$B$10="",TODAY(),'Client &amp; Project Profile'!$B$10)+5*7+6,$E127&gt;=IF('Client &amp; Project Profile'!$B$10="",TODAY(),'Client &amp; Project Profile'!$B$10)+5*7),"■",""))</f>
        <v/>
      </c>
      <c r="S127">
        <f>IF(OR($D127="",$E127=""),"",IF(AND($D127&lt;=IF('Client &amp; Project Profile'!$B$10="",TODAY(),'Client &amp; Project Profile'!$B$10)+6*7+6,$E127&gt;=IF('Client &amp; Project Profile'!$B$10="",TODAY(),'Client &amp; Project Profile'!$B$10)+6*7),"■",""))</f>
        <v/>
      </c>
      <c r="T127">
        <f>IF(OR($D127="",$E127=""),"",IF(AND($D127&lt;=IF('Client &amp; Project Profile'!$B$10="",TODAY(),'Client &amp; Project Profile'!$B$10)+7*7+6,$E127&gt;=IF('Client &amp; Project Profile'!$B$10="",TODAY(),'Client &amp; Project Profile'!$B$10)+7*7),"■",""))</f>
        <v/>
      </c>
      <c r="U127">
        <f>IF(OR($D127="",$E127=""),"",IF(AND($D127&lt;=IF('Client &amp; Project Profile'!$B$10="",TODAY(),'Client &amp; Project Profile'!$B$10)+8*7+6,$E127&gt;=IF('Client &amp; Project Profile'!$B$10="",TODAY(),'Client &amp; Project Profile'!$B$10)+8*7),"■",""))</f>
        <v/>
      </c>
      <c r="V127">
        <f>IF(OR($D127="",$E127=""),"",IF(AND($D127&lt;=IF('Client &amp; Project Profile'!$B$10="",TODAY(),'Client &amp; Project Profile'!$B$10)+9*7+6,$E127&gt;=IF('Client &amp; Project Profile'!$B$10="",TODAY(),'Client &amp; Project Profile'!$B$10)+9*7),"■",""))</f>
        <v/>
      </c>
      <c r="W127">
        <f>IF(OR($D127="",$E127=""),"",IF(AND($D127&lt;=IF('Client &amp; Project Profile'!$B$10="",TODAY(),'Client &amp; Project Profile'!$B$10)+10*7+6,$E127&gt;=IF('Client &amp; Project Profile'!$B$10="",TODAY(),'Client &amp; Project Profile'!$B$10)+10*7),"■",""))</f>
        <v/>
      </c>
      <c r="X127">
        <f>IF(OR($D127="",$E127=""),"",IF(AND($D127&lt;=IF('Client &amp; Project Profile'!$B$10="",TODAY(),'Client &amp; Project Profile'!$B$10)+11*7+6,$E127&gt;=IF('Client &amp; Project Profile'!$B$10="",TODAY(),'Client &amp; Project Profile'!$B$10)+11*7),"■",""))</f>
        <v/>
      </c>
    </row>
    <row r="128">
      <c r="A128" s="12" t="n"/>
      <c r="B128" s="12" t="n"/>
      <c r="C128" s="12" t="n"/>
      <c r="D128" s="14" t="n"/>
      <c r="E128" s="14" t="n"/>
      <c r="F128" s="14" t="n"/>
      <c r="G128" s="12" t="n"/>
      <c r="H128" s="12" t="n"/>
      <c r="I128" s="12" t="n"/>
      <c r="J128" s="12" t="n"/>
      <c r="K128" s="12">
        <f>IF(OR($D128="",$E128=""),"",$E128-$D128+1)</f>
        <v/>
      </c>
      <c r="L128" s="12">
        <f>IF(AND($E128&lt;TODAY(),$G128&lt;&gt;"Complete"),TODAY()-$E128,0)</f>
        <v/>
      </c>
      <c r="M128" s="12">
        <f>IF(OR($D128="",$E128=""),"",IF(AND($D128&lt;=IF('Client &amp; Project Profile'!$B$10="",TODAY(),'Client &amp; Project Profile'!$B$10)+0*7+6,$E128&gt;=IF('Client &amp; Project Profile'!$B$10="",TODAY(),'Client &amp; Project Profile'!$B$10)+0*7),"■",""))</f>
        <v/>
      </c>
      <c r="N128" s="12">
        <f>IF(OR($D128="",$E128=""),"",IF(AND($D128&lt;=IF('Client &amp; Project Profile'!$B$10="",TODAY(),'Client &amp; Project Profile'!$B$10)+1*7+6,$E128&gt;=IF('Client &amp; Project Profile'!$B$10="",TODAY(),'Client &amp; Project Profile'!$B$10)+1*7),"■",""))</f>
        <v/>
      </c>
      <c r="O128" s="12">
        <f>IF(OR($D128="",$E128=""),"",IF(AND($D128&lt;=IF('Client &amp; Project Profile'!$B$10="",TODAY(),'Client &amp; Project Profile'!$B$10)+2*7+6,$E128&gt;=IF('Client &amp; Project Profile'!$B$10="",TODAY(),'Client &amp; Project Profile'!$B$10)+2*7),"■",""))</f>
        <v/>
      </c>
      <c r="P128" s="12">
        <f>IF(OR($D128="",$E128=""),"",IF(AND($D128&lt;=IF('Client &amp; Project Profile'!$B$10="",TODAY(),'Client &amp; Project Profile'!$B$10)+3*7+6,$E128&gt;=IF('Client &amp; Project Profile'!$B$10="",TODAY(),'Client &amp; Project Profile'!$B$10)+3*7),"■",""))</f>
        <v/>
      </c>
      <c r="Q128" s="12">
        <f>IF(OR($D128="",$E128=""),"",IF(AND($D128&lt;=IF('Client &amp; Project Profile'!$B$10="",TODAY(),'Client &amp; Project Profile'!$B$10)+4*7+6,$E128&gt;=IF('Client &amp; Project Profile'!$B$10="",TODAY(),'Client &amp; Project Profile'!$B$10)+4*7),"■",""))</f>
        <v/>
      </c>
      <c r="R128" s="12">
        <f>IF(OR($D128="",$E128=""),"",IF(AND($D128&lt;=IF('Client &amp; Project Profile'!$B$10="",TODAY(),'Client &amp; Project Profile'!$B$10)+5*7+6,$E128&gt;=IF('Client &amp; Project Profile'!$B$10="",TODAY(),'Client &amp; Project Profile'!$B$10)+5*7),"■",""))</f>
        <v/>
      </c>
      <c r="S128" s="12">
        <f>IF(OR($D128="",$E128=""),"",IF(AND($D128&lt;=IF('Client &amp; Project Profile'!$B$10="",TODAY(),'Client &amp; Project Profile'!$B$10)+6*7+6,$E128&gt;=IF('Client &amp; Project Profile'!$B$10="",TODAY(),'Client &amp; Project Profile'!$B$10)+6*7),"■",""))</f>
        <v/>
      </c>
      <c r="T128" s="12">
        <f>IF(OR($D128="",$E128=""),"",IF(AND($D128&lt;=IF('Client &amp; Project Profile'!$B$10="",TODAY(),'Client &amp; Project Profile'!$B$10)+7*7+6,$E128&gt;=IF('Client &amp; Project Profile'!$B$10="",TODAY(),'Client &amp; Project Profile'!$B$10)+7*7),"■",""))</f>
        <v/>
      </c>
      <c r="U128" s="12">
        <f>IF(OR($D128="",$E128=""),"",IF(AND($D128&lt;=IF('Client &amp; Project Profile'!$B$10="",TODAY(),'Client &amp; Project Profile'!$B$10)+8*7+6,$E128&gt;=IF('Client &amp; Project Profile'!$B$10="",TODAY(),'Client &amp; Project Profile'!$B$10)+8*7),"■",""))</f>
        <v/>
      </c>
      <c r="V128" s="12">
        <f>IF(OR($D128="",$E128=""),"",IF(AND($D128&lt;=IF('Client &amp; Project Profile'!$B$10="",TODAY(),'Client &amp; Project Profile'!$B$10)+9*7+6,$E128&gt;=IF('Client &amp; Project Profile'!$B$10="",TODAY(),'Client &amp; Project Profile'!$B$10)+9*7),"■",""))</f>
        <v/>
      </c>
      <c r="W128" s="12">
        <f>IF(OR($D128="",$E128=""),"",IF(AND($D128&lt;=IF('Client &amp; Project Profile'!$B$10="",TODAY(),'Client &amp; Project Profile'!$B$10)+10*7+6,$E128&gt;=IF('Client &amp; Project Profile'!$B$10="",TODAY(),'Client &amp; Project Profile'!$B$10)+10*7),"■",""))</f>
        <v/>
      </c>
      <c r="X128" s="12">
        <f>IF(OR($D128="",$E128=""),"",IF(AND($D128&lt;=IF('Client &amp; Project Profile'!$B$10="",TODAY(),'Client &amp; Project Profile'!$B$10)+11*7+6,$E128&gt;=IF('Client &amp; Project Profile'!$B$10="",TODAY(),'Client &amp; Project Profile'!$B$10)+11*7),"■",""))</f>
        <v/>
      </c>
    </row>
    <row r="129">
      <c r="D129" s="9" t="n"/>
      <c r="E129" s="9" t="n"/>
      <c r="F129" s="9" t="n"/>
      <c r="K129">
        <f>IF(OR($D129="",$E129=""),"",$E129-$D129+1)</f>
        <v/>
      </c>
      <c r="L129">
        <f>IF(AND($E129&lt;TODAY(),$G129&lt;&gt;"Complete"),TODAY()-$E129,0)</f>
        <v/>
      </c>
      <c r="M129">
        <f>IF(OR($D129="",$E129=""),"",IF(AND($D129&lt;=IF('Client &amp; Project Profile'!$B$10="",TODAY(),'Client &amp; Project Profile'!$B$10)+0*7+6,$E129&gt;=IF('Client &amp; Project Profile'!$B$10="",TODAY(),'Client &amp; Project Profile'!$B$10)+0*7),"■",""))</f>
        <v/>
      </c>
      <c r="N129">
        <f>IF(OR($D129="",$E129=""),"",IF(AND($D129&lt;=IF('Client &amp; Project Profile'!$B$10="",TODAY(),'Client &amp; Project Profile'!$B$10)+1*7+6,$E129&gt;=IF('Client &amp; Project Profile'!$B$10="",TODAY(),'Client &amp; Project Profile'!$B$10)+1*7),"■",""))</f>
        <v/>
      </c>
      <c r="O129">
        <f>IF(OR($D129="",$E129=""),"",IF(AND($D129&lt;=IF('Client &amp; Project Profile'!$B$10="",TODAY(),'Client &amp; Project Profile'!$B$10)+2*7+6,$E129&gt;=IF('Client &amp; Project Profile'!$B$10="",TODAY(),'Client &amp; Project Profile'!$B$10)+2*7),"■",""))</f>
        <v/>
      </c>
      <c r="P129">
        <f>IF(OR($D129="",$E129=""),"",IF(AND($D129&lt;=IF('Client &amp; Project Profile'!$B$10="",TODAY(),'Client &amp; Project Profile'!$B$10)+3*7+6,$E129&gt;=IF('Client &amp; Project Profile'!$B$10="",TODAY(),'Client &amp; Project Profile'!$B$10)+3*7),"■",""))</f>
        <v/>
      </c>
      <c r="Q129">
        <f>IF(OR($D129="",$E129=""),"",IF(AND($D129&lt;=IF('Client &amp; Project Profile'!$B$10="",TODAY(),'Client &amp; Project Profile'!$B$10)+4*7+6,$E129&gt;=IF('Client &amp; Project Profile'!$B$10="",TODAY(),'Client &amp; Project Profile'!$B$10)+4*7),"■",""))</f>
        <v/>
      </c>
      <c r="R129">
        <f>IF(OR($D129="",$E129=""),"",IF(AND($D129&lt;=IF('Client &amp; Project Profile'!$B$10="",TODAY(),'Client &amp; Project Profile'!$B$10)+5*7+6,$E129&gt;=IF('Client &amp; Project Profile'!$B$10="",TODAY(),'Client &amp; Project Profile'!$B$10)+5*7),"■",""))</f>
        <v/>
      </c>
      <c r="S129">
        <f>IF(OR($D129="",$E129=""),"",IF(AND($D129&lt;=IF('Client &amp; Project Profile'!$B$10="",TODAY(),'Client &amp; Project Profile'!$B$10)+6*7+6,$E129&gt;=IF('Client &amp; Project Profile'!$B$10="",TODAY(),'Client &amp; Project Profile'!$B$10)+6*7),"■",""))</f>
        <v/>
      </c>
      <c r="T129">
        <f>IF(OR($D129="",$E129=""),"",IF(AND($D129&lt;=IF('Client &amp; Project Profile'!$B$10="",TODAY(),'Client &amp; Project Profile'!$B$10)+7*7+6,$E129&gt;=IF('Client &amp; Project Profile'!$B$10="",TODAY(),'Client &amp; Project Profile'!$B$10)+7*7),"■",""))</f>
        <v/>
      </c>
      <c r="U129">
        <f>IF(OR($D129="",$E129=""),"",IF(AND($D129&lt;=IF('Client &amp; Project Profile'!$B$10="",TODAY(),'Client &amp; Project Profile'!$B$10)+8*7+6,$E129&gt;=IF('Client &amp; Project Profile'!$B$10="",TODAY(),'Client &amp; Project Profile'!$B$10)+8*7),"■",""))</f>
        <v/>
      </c>
      <c r="V129">
        <f>IF(OR($D129="",$E129=""),"",IF(AND($D129&lt;=IF('Client &amp; Project Profile'!$B$10="",TODAY(),'Client &amp; Project Profile'!$B$10)+9*7+6,$E129&gt;=IF('Client &amp; Project Profile'!$B$10="",TODAY(),'Client &amp; Project Profile'!$B$10)+9*7),"■",""))</f>
        <v/>
      </c>
      <c r="W129">
        <f>IF(OR($D129="",$E129=""),"",IF(AND($D129&lt;=IF('Client &amp; Project Profile'!$B$10="",TODAY(),'Client &amp; Project Profile'!$B$10)+10*7+6,$E129&gt;=IF('Client &amp; Project Profile'!$B$10="",TODAY(),'Client &amp; Project Profile'!$B$10)+10*7),"■",""))</f>
        <v/>
      </c>
      <c r="X129">
        <f>IF(OR($D129="",$E129=""),"",IF(AND($D129&lt;=IF('Client &amp; Project Profile'!$B$10="",TODAY(),'Client &amp; Project Profile'!$B$10)+11*7+6,$E129&gt;=IF('Client &amp; Project Profile'!$B$10="",TODAY(),'Client &amp; Project Profile'!$B$10)+11*7),"■",""))</f>
        <v/>
      </c>
    </row>
    <row r="130">
      <c r="A130" s="12" t="n"/>
      <c r="B130" s="12" t="n"/>
      <c r="C130" s="12" t="n"/>
      <c r="D130" s="14" t="n"/>
      <c r="E130" s="14" t="n"/>
      <c r="F130" s="14" t="n"/>
      <c r="G130" s="12" t="n"/>
      <c r="H130" s="12" t="n"/>
      <c r="I130" s="12" t="n"/>
      <c r="J130" s="12" t="n"/>
      <c r="K130" s="12">
        <f>IF(OR($D130="",$E130=""),"",$E130-$D130+1)</f>
        <v/>
      </c>
      <c r="L130" s="12">
        <f>IF(AND($E130&lt;TODAY(),$G130&lt;&gt;"Complete"),TODAY()-$E130,0)</f>
        <v/>
      </c>
      <c r="M130" s="12">
        <f>IF(OR($D130="",$E130=""),"",IF(AND($D130&lt;=IF('Client &amp; Project Profile'!$B$10="",TODAY(),'Client &amp; Project Profile'!$B$10)+0*7+6,$E130&gt;=IF('Client &amp; Project Profile'!$B$10="",TODAY(),'Client &amp; Project Profile'!$B$10)+0*7),"■",""))</f>
        <v/>
      </c>
      <c r="N130" s="12">
        <f>IF(OR($D130="",$E130=""),"",IF(AND($D130&lt;=IF('Client &amp; Project Profile'!$B$10="",TODAY(),'Client &amp; Project Profile'!$B$10)+1*7+6,$E130&gt;=IF('Client &amp; Project Profile'!$B$10="",TODAY(),'Client &amp; Project Profile'!$B$10)+1*7),"■",""))</f>
        <v/>
      </c>
      <c r="O130" s="12">
        <f>IF(OR($D130="",$E130=""),"",IF(AND($D130&lt;=IF('Client &amp; Project Profile'!$B$10="",TODAY(),'Client &amp; Project Profile'!$B$10)+2*7+6,$E130&gt;=IF('Client &amp; Project Profile'!$B$10="",TODAY(),'Client &amp; Project Profile'!$B$10)+2*7),"■",""))</f>
        <v/>
      </c>
      <c r="P130" s="12">
        <f>IF(OR($D130="",$E130=""),"",IF(AND($D130&lt;=IF('Client &amp; Project Profile'!$B$10="",TODAY(),'Client &amp; Project Profile'!$B$10)+3*7+6,$E130&gt;=IF('Client &amp; Project Profile'!$B$10="",TODAY(),'Client &amp; Project Profile'!$B$10)+3*7),"■",""))</f>
        <v/>
      </c>
      <c r="Q130" s="12">
        <f>IF(OR($D130="",$E130=""),"",IF(AND($D130&lt;=IF('Client &amp; Project Profile'!$B$10="",TODAY(),'Client &amp; Project Profile'!$B$10)+4*7+6,$E130&gt;=IF('Client &amp; Project Profile'!$B$10="",TODAY(),'Client &amp; Project Profile'!$B$10)+4*7),"■",""))</f>
        <v/>
      </c>
      <c r="R130" s="12">
        <f>IF(OR($D130="",$E130=""),"",IF(AND($D130&lt;=IF('Client &amp; Project Profile'!$B$10="",TODAY(),'Client &amp; Project Profile'!$B$10)+5*7+6,$E130&gt;=IF('Client &amp; Project Profile'!$B$10="",TODAY(),'Client &amp; Project Profile'!$B$10)+5*7),"■",""))</f>
        <v/>
      </c>
      <c r="S130" s="12">
        <f>IF(OR($D130="",$E130=""),"",IF(AND($D130&lt;=IF('Client &amp; Project Profile'!$B$10="",TODAY(),'Client &amp; Project Profile'!$B$10)+6*7+6,$E130&gt;=IF('Client &amp; Project Profile'!$B$10="",TODAY(),'Client &amp; Project Profile'!$B$10)+6*7),"■",""))</f>
        <v/>
      </c>
      <c r="T130" s="12">
        <f>IF(OR($D130="",$E130=""),"",IF(AND($D130&lt;=IF('Client &amp; Project Profile'!$B$10="",TODAY(),'Client &amp; Project Profile'!$B$10)+7*7+6,$E130&gt;=IF('Client &amp; Project Profile'!$B$10="",TODAY(),'Client &amp; Project Profile'!$B$10)+7*7),"■",""))</f>
        <v/>
      </c>
      <c r="U130" s="12">
        <f>IF(OR($D130="",$E130=""),"",IF(AND($D130&lt;=IF('Client &amp; Project Profile'!$B$10="",TODAY(),'Client &amp; Project Profile'!$B$10)+8*7+6,$E130&gt;=IF('Client &amp; Project Profile'!$B$10="",TODAY(),'Client &amp; Project Profile'!$B$10)+8*7),"■",""))</f>
        <v/>
      </c>
      <c r="V130" s="12">
        <f>IF(OR($D130="",$E130=""),"",IF(AND($D130&lt;=IF('Client &amp; Project Profile'!$B$10="",TODAY(),'Client &amp; Project Profile'!$B$10)+9*7+6,$E130&gt;=IF('Client &amp; Project Profile'!$B$10="",TODAY(),'Client &amp; Project Profile'!$B$10)+9*7),"■",""))</f>
        <v/>
      </c>
      <c r="W130" s="12">
        <f>IF(OR($D130="",$E130=""),"",IF(AND($D130&lt;=IF('Client &amp; Project Profile'!$B$10="",TODAY(),'Client &amp; Project Profile'!$B$10)+10*7+6,$E130&gt;=IF('Client &amp; Project Profile'!$B$10="",TODAY(),'Client &amp; Project Profile'!$B$10)+10*7),"■",""))</f>
        <v/>
      </c>
      <c r="X130" s="12">
        <f>IF(OR($D130="",$E130=""),"",IF(AND($D130&lt;=IF('Client &amp; Project Profile'!$B$10="",TODAY(),'Client &amp; Project Profile'!$B$10)+11*7+6,$E130&gt;=IF('Client &amp; Project Profile'!$B$10="",TODAY(),'Client &amp; Project Profile'!$B$10)+11*7),"■",""))</f>
        <v/>
      </c>
    </row>
    <row r="131">
      <c r="D131" s="9" t="n"/>
      <c r="E131" s="9" t="n"/>
      <c r="F131" s="9" t="n"/>
      <c r="K131">
        <f>IF(OR($D131="",$E131=""),"",$E131-$D131+1)</f>
        <v/>
      </c>
      <c r="L131">
        <f>IF(AND($E131&lt;TODAY(),$G131&lt;&gt;"Complete"),TODAY()-$E131,0)</f>
        <v/>
      </c>
      <c r="M131">
        <f>IF(OR($D131="",$E131=""),"",IF(AND($D131&lt;=IF('Client &amp; Project Profile'!$B$10="",TODAY(),'Client &amp; Project Profile'!$B$10)+0*7+6,$E131&gt;=IF('Client &amp; Project Profile'!$B$10="",TODAY(),'Client &amp; Project Profile'!$B$10)+0*7),"■",""))</f>
        <v/>
      </c>
      <c r="N131">
        <f>IF(OR($D131="",$E131=""),"",IF(AND($D131&lt;=IF('Client &amp; Project Profile'!$B$10="",TODAY(),'Client &amp; Project Profile'!$B$10)+1*7+6,$E131&gt;=IF('Client &amp; Project Profile'!$B$10="",TODAY(),'Client &amp; Project Profile'!$B$10)+1*7),"■",""))</f>
        <v/>
      </c>
      <c r="O131">
        <f>IF(OR($D131="",$E131=""),"",IF(AND($D131&lt;=IF('Client &amp; Project Profile'!$B$10="",TODAY(),'Client &amp; Project Profile'!$B$10)+2*7+6,$E131&gt;=IF('Client &amp; Project Profile'!$B$10="",TODAY(),'Client &amp; Project Profile'!$B$10)+2*7),"■",""))</f>
        <v/>
      </c>
      <c r="P131">
        <f>IF(OR($D131="",$E131=""),"",IF(AND($D131&lt;=IF('Client &amp; Project Profile'!$B$10="",TODAY(),'Client &amp; Project Profile'!$B$10)+3*7+6,$E131&gt;=IF('Client &amp; Project Profile'!$B$10="",TODAY(),'Client &amp; Project Profile'!$B$10)+3*7),"■",""))</f>
        <v/>
      </c>
      <c r="Q131">
        <f>IF(OR($D131="",$E131=""),"",IF(AND($D131&lt;=IF('Client &amp; Project Profile'!$B$10="",TODAY(),'Client &amp; Project Profile'!$B$10)+4*7+6,$E131&gt;=IF('Client &amp; Project Profile'!$B$10="",TODAY(),'Client &amp; Project Profile'!$B$10)+4*7),"■",""))</f>
        <v/>
      </c>
      <c r="R131">
        <f>IF(OR($D131="",$E131=""),"",IF(AND($D131&lt;=IF('Client &amp; Project Profile'!$B$10="",TODAY(),'Client &amp; Project Profile'!$B$10)+5*7+6,$E131&gt;=IF('Client &amp; Project Profile'!$B$10="",TODAY(),'Client &amp; Project Profile'!$B$10)+5*7),"■",""))</f>
        <v/>
      </c>
      <c r="S131">
        <f>IF(OR($D131="",$E131=""),"",IF(AND($D131&lt;=IF('Client &amp; Project Profile'!$B$10="",TODAY(),'Client &amp; Project Profile'!$B$10)+6*7+6,$E131&gt;=IF('Client &amp; Project Profile'!$B$10="",TODAY(),'Client &amp; Project Profile'!$B$10)+6*7),"■",""))</f>
        <v/>
      </c>
      <c r="T131">
        <f>IF(OR($D131="",$E131=""),"",IF(AND($D131&lt;=IF('Client &amp; Project Profile'!$B$10="",TODAY(),'Client &amp; Project Profile'!$B$10)+7*7+6,$E131&gt;=IF('Client &amp; Project Profile'!$B$10="",TODAY(),'Client &amp; Project Profile'!$B$10)+7*7),"■",""))</f>
        <v/>
      </c>
      <c r="U131">
        <f>IF(OR($D131="",$E131=""),"",IF(AND($D131&lt;=IF('Client &amp; Project Profile'!$B$10="",TODAY(),'Client &amp; Project Profile'!$B$10)+8*7+6,$E131&gt;=IF('Client &amp; Project Profile'!$B$10="",TODAY(),'Client &amp; Project Profile'!$B$10)+8*7),"■",""))</f>
        <v/>
      </c>
      <c r="V131">
        <f>IF(OR($D131="",$E131=""),"",IF(AND($D131&lt;=IF('Client &amp; Project Profile'!$B$10="",TODAY(),'Client &amp; Project Profile'!$B$10)+9*7+6,$E131&gt;=IF('Client &amp; Project Profile'!$B$10="",TODAY(),'Client &amp; Project Profile'!$B$10)+9*7),"■",""))</f>
        <v/>
      </c>
      <c r="W131">
        <f>IF(OR($D131="",$E131=""),"",IF(AND($D131&lt;=IF('Client &amp; Project Profile'!$B$10="",TODAY(),'Client &amp; Project Profile'!$B$10)+10*7+6,$E131&gt;=IF('Client &amp; Project Profile'!$B$10="",TODAY(),'Client &amp; Project Profile'!$B$10)+10*7),"■",""))</f>
        <v/>
      </c>
      <c r="X131">
        <f>IF(OR($D131="",$E131=""),"",IF(AND($D131&lt;=IF('Client &amp; Project Profile'!$B$10="",TODAY(),'Client &amp; Project Profile'!$B$10)+11*7+6,$E131&gt;=IF('Client &amp; Project Profile'!$B$10="",TODAY(),'Client &amp; Project Profile'!$B$10)+11*7),"■",""))</f>
        <v/>
      </c>
    </row>
    <row r="132">
      <c r="A132" s="12" t="n"/>
      <c r="B132" s="12" t="n"/>
      <c r="C132" s="12" t="n"/>
      <c r="D132" s="14" t="n"/>
      <c r="E132" s="14" t="n"/>
      <c r="F132" s="14" t="n"/>
      <c r="G132" s="12" t="n"/>
      <c r="H132" s="12" t="n"/>
      <c r="I132" s="12" t="n"/>
      <c r="J132" s="12" t="n"/>
      <c r="K132" s="12">
        <f>IF(OR($D132="",$E132=""),"",$E132-$D132+1)</f>
        <v/>
      </c>
      <c r="L132" s="12">
        <f>IF(AND($E132&lt;TODAY(),$G132&lt;&gt;"Complete"),TODAY()-$E132,0)</f>
        <v/>
      </c>
      <c r="M132" s="12">
        <f>IF(OR($D132="",$E132=""),"",IF(AND($D132&lt;=IF('Client &amp; Project Profile'!$B$10="",TODAY(),'Client &amp; Project Profile'!$B$10)+0*7+6,$E132&gt;=IF('Client &amp; Project Profile'!$B$10="",TODAY(),'Client &amp; Project Profile'!$B$10)+0*7),"■",""))</f>
        <v/>
      </c>
      <c r="N132" s="12">
        <f>IF(OR($D132="",$E132=""),"",IF(AND($D132&lt;=IF('Client &amp; Project Profile'!$B$10="",TODAY(),'Client &amp; Project Profile'!$B$10)+1*7+6,$E132&gt;=IF('Client &amp; Project Profile'!$B$10="",TODAY(),'Client &amp; Project Profile'!$B$10)+1*7),"■",""))</f>
        <v/>
      </c>
      <c r="O132" s="12">
        <f>IF(OR($D132="",$E132=""),"",IF(AND($D132&lt;=IF('Client &amp; Project Profile'!$B$10="",TODAY(),'Client &amp; Project Profile'!$B$10)+2*7+6,$E132&gt;=IF('Client &amp; Project Profile'!$B$10="",TODAY(),'Client &amp; Project Profile'!$B$10)+2*7),"■",""))</f>
        <v/>
      </c>
      <c r="P132" s="12">
        <f>IF(OR($D132="",$E132=""),"",IF(AND($D132&lt;=IF('Client &amp; Project Profile'!$B$10="",TODAY(),'Client &amp; Project Profile'!$B$10)+3*7+6,$E132&gt;=IF('Client &amp; Project Profile'!$B$10="",TODAY(),'Client &amp; Project Profile'!$B$10)+3*7),"■",""))</f>
        <v/>
      </c>
      <c r="Q132" s="12">
        <f>IF(OR($D132="",$E132=""),"",IF(AND($D132&lt;=IF('Client &amp; Project Profile'!$B$10="",TODAY(),'Client &amp; Project Profile'!$B$10)+4*7+6,$E132&gt;=IF('Client &amp; Project Profile'!$B$10="",TODAY(),'Client &amp; Project Profile'!$B$10)+4*7),"■",""))</f>
        <v/>
      </c>
      <c r="R132" s="12">
        <f>IF(OR($D132="",$E132=""),"",IF(AND($D132&lt;=IF('Client &amp; Project Profile'!$B$10="",TODAY(),'Client &amp; Project Profile'!$B$10)+5*7+6,$E132&gt;=IF('Client &amp; Project Profile'!$B$10="",TODAY(),'Client &amp; Project Profile'!$B$10)+5*7),"■",""))</f>
        <v/>
      </c>
      <c r="S132" s="12">
        <f>IF(OR($D132="",$E132=""),"",IF(AND($D132&lt;=IF('Client &amp; Project Profile'!$B$10="",TODAY(),'Client &amp; Project Profile'!$B$10)+6*7+6,$E132&gt;=IF('Client &amp; Project Profile'!$B$10="",TODAY(),'Client &amp; Project Profile'!$B$10)+6*7),"■",""))</f>
        <v/>
      </c>
      <c r="T132" s="12">
        <f>IF(OR($D132="",$E132=""),"",IF(AND($D132&lt;=IF('Client &amp; Project Profile'!$B$10="",TODAY(),'Client &amp; Project Profile'!$B$10)+7*7+6,$E132&gt;=IF('Client &amp; Project Profile'!$B$10="",TODAY(),'Client &amp; Project Profile'!$B$10)+7*7),"■",""))</f>
        <v/>
      </c>
      <c r="U132" s="12">
        <f>IF(OR($D132="",$E132=""),"",IF(AND($D132&lt;=IF('Client &amp; Project Profile'!$B$10="",TODAY(),'Client &amp; Project Profile'!$B$10)+8*7+6,$E132&gt;=IF('Client &amp; Project Profile'!$B$10="",TODAY(),'Client &amp; Project Profile'!$B$10)+8*7),"■",""))</f>
        <v/>
      </c>
      <c r="V132" s="12">
        <f>IF(OR($D132="",$E132=""),"",IF(AND($D132&lt;=IF('Client &amp; Project Profile'!$B$10="",TODAY(),'Client &amp; Project Profile'!$B$10)+9*7+6,$E132&gt;=IF('Client &amp; Project Profile'!$B$10="",TODAY(),'Client &amp; Project Profile'!$B$10)+9*7),"■",""))</f>
        <v/>
      </c>
      <c r="W132" s="12">
        <f>IF(OR($D132="",$E132=""),"",IF(AND($D132&lt;=IF('Client &amp; Project Profile'!$B$10="",TODAY(),'Client &amp; Project Profile'!$B$10)+10*7+6,$E132&gt;=IF('Client &amp; Project Profile'!$B$10="",TODAY(),'Client &amp; Project Profile'!$B$10)+10*7),"■",""))</f>
        <v/>
      </c>
      <c r="X132" s="12">
        <f>IF(OR($D132="",$E132=""),"",IF(AND($D132&lt;=IF('Client &amp; Project Profile'!$B$10="",TODAY(),'Client &amp; Project Profile'!$B$10)+11*7+6,$E132&gt;=IF('Client &amp; Project Profile'!$B$10="",TODAY(),'Client &amp; Project Profile'!$B$10)+11*7),"■",""))</f>
        <v/>
      </c>
    </row>
    <row r="133">
      <c r="D133" s="9" t="n"/>
      <c r="E133" s="9" t="n"/>
      <c r="F133" s="9" t="n"/>
      <c r="K133">
        <f>IF(OR($D133="",$E133=""),"",$E133-$D133+1)</f>
        <v/>
      </c>
      <c r="L133">
        <f>IF(AND($E133&lt;TODAY(),$G133&lt;&gt;"Complete"),TODAY()-$E133,0)</f>
        <v/>
      </c>
      <c r="M133">
        <f>IF(OR($D133="",$E133=""),"",IF(AND($D133&lt;=IF('Client &amp; Project Profile'!$B$10="",TODAY(),'Client &amp; Project Profile'!$B$10)+0*7+6,$E133&gt;=IF('Client &amp; Project Profile'!$B$10="",TODAY(),'Client &amp; Project Profile'!$B$10)+0*7),"■",""))</f>
        <v/>
      </c>
      <c r="N133">
        <f>IF(OR($D133="",$E133=""),"",IF(AND($D133&lt;=IF('Client &amp; Project Profile'!$B$10="",TODAY(),'Client &amp; Project Profile'!$B$10)+1*7+6,$E133&gt;=IF('Client &amp; Project Profile'!$B$10="",TODAY(),'Client &amp; Project Profile'!$B$10)+1*7),"■",""))</f>
        <v/>
      </c>
      <c r="O133">
        <f>IF(OR($D133="",$E133=""),"",IF(AND($D133&lt;=IF('Client &amp; Project Profile'!$B$10="",TODAY(),'Client &amp; Project Profile'!$B$10)+2*7+6,$E133&gt;=IF('Client &amp; Project Profile'!$B$10="",TODAY(),'Client &amp; Project Profile'!$B$10)+2*7),"■",""))</f>
        <v/>
      </c>
      <c r="P133">
        <f>IF(OR($D133="",$E133=""),"",IF(AND($D133&lt;=IF('Client &amp; Project Profile'!$B$10="",TODAY(),'Client &amp; Project Profile'!$B$10)+3*7+6,$E133&gt;=IF('Client &amp; Project Profile'!$B$10="",TODAY(),'Client &amp; Project Profile'!$B$10)+3*7),"■",""))</f>
        <v/>
      </c>
      <c r="Q133">
        <f>IF(OR($D133="",$E133=""),"",IF(AND($D133&lt;=IF('Client &amp; Project Profile'!$B$10="",TODAY(),'Client &amp; Project Profile'!$B$10)+4*7+6,$E133&gt;=IF('Client &amp; Project Profile'!$B$10="",TODAY(),'Client &amp; Project Profile'!$B$10)+4*7),"■",""))</f>
        <v/>
      </c>
      <c r="R133">
        <f>IF(OR($D133="",$E133=""),"",IF(AND($D133&lt;=IF('Client &amp; Project Profile'!$B$10="",TODAY(),'Client &amp; Project Profile'!$B$10)+5*7+6,$E133&gt;=IF('Client &amp; Project Profile'!$B$10="",TODAY(),'Client &amp; Project Profile'!$B$10)+5*7),"■",""))</f>
        <v/>
      </c>
      <c r="S133">
        <f>IF(OR($D133="",$E133=""),"",IF(AND($D133&lt;=IF('Client &amp; Project Profile'!$B$10="",TODAY(),'Client &amp; Project Profile'!$B$10)+6*7+6,$E133&gt;=IF('Client &amp; Project Profile'!$B$10="",TODAY(),'Client &amp; Project Profile'!$B$10)+6*7),"■",""))</f>
        <v/>
      </c>
      <c r="T133">
        <f>IF(OR($D133="",$E133=""),"",IF(AND($D133&lt;=IF('Client &amp; Project Profile'!$B$10="",TODAY(),'Client &amp; Project Profile'!$B$10)+7*7+6,$E133&gt;=IF('Client &amp; Project Profile'!$B$10="",TODAY(),'Client &amp; Project Profile'!$B$10)+7*7),"■",""))</f>
        <v/>
      </c>
      <c r="U133">
        <f>IF(OR($D133="",$E133=""),"",IF(AND($D133&lt;=IF('Client &amp; Project Profile'!$B$10="",TODAY(),'Client &amp; Project Profile'!$B$10)+8*7+6,$E133&gt;=IF('Client &amp; Project Profile'!$B$10="",TODAY(),'Client &amp; Project Profile'!$B$10)+8*7),"■",""))</f>
        <v/>
      </c>
      <c r="V133">
        <f>IF(OR($D133="",$E133=""),"",IF(AND($D133&lt;=IF('Client &amp; Project Profile'!$B$10="",TODAY(),'Client &amp; Project Profile'!$B$10)+9*7+6,$E133&gt;=IF('Client &amp; Project Profile'!$B$10="",TODAY(),'Client &amp; Project Profile'!$B$10)+9*7),"■",""))</f>
        <v/>
      </c>
      <c r="W133">
        <f>IF(OR($D133="",$E133=""),"",IF(AND($D133&lt;=IF('Client &amp; Project Profile'!$B$10="",TODAY(),'Client &amp; Project Profile'!$B$10)+10*7+6,$E133&gt;=IF('Client &amp; Project Profile'!$B$10="",TODAY(),'Client &amp; Project Profile'!$B$10)+10*7),"■",""))</f>
        <v/>
      </c>
      <c r="X133">
        <f>IF(OR($D133="",$E133=""),"",IF(AND($D133&lt;=IF('Client &amp; Project Profile'!$B$10="",TODAY(),'Client &amp; Project Profile'!$B$10)+11*7+6,$E133&gt;=IF('Client &amp; Project Profile'!$B$10="",TODAY(),'Client &amp; Project Profile'!$B$10)+11*7),"■",""))</f>
        <v/>
      </c>
    </row>
    <row r="134">
      <c r="A134" s="12" t="n"/>
      <c r="B134" s="12" t="n"/>
      <c r="C134" s="12" t="n"/>
      <c r="D134" s="14" t="n"/>
      <c r="E134" s="14" t="n"/>
      <c r="F134" s="14" t="n"/>
      <c r="G134" s="12" t="n"/>
      <c r="H134" s="12" t="n"/>
      <c r="I134" s="12" t="n"/>
      <c r="J134" s="12" t="n"/>
      <c r="K134" s="12">
        <f>IF(OR($D134="",$E134=""),"",$E134-$D134+1)</f>
        <v/>
      </c>
      <c r="L134" s="12">
        <f>IF(AND($E134&lt;TODAY(),$G134&lt;&gt;"Complete"),TODAY()-$E134,0)</f>
        <v/>
      </c>
      <c r="M134" s="12">
        <f>IF(OR($D134="",$E134=""),"",IF(AND($D134&lt;=IF('Client &amp; Project Profile'!$B$10="",TODAY(),'Client &amp; Project Profile'!$B$10)+0*7+6,$E134&gt;=IF('Client &amp; Project Profile'!$B$10="",TODAY(),'Client &amp; Project Profile'!$B$10)+0*7),"■",""))</f>
        <v/>
      </c>
      <c r="N134" s="12">
        <f>IF(OR($D134="",$E134=""),"",IF(AND($D134&lt;=IF('Client &amp; Project Profile'!$B$10="",TODAY(),'Client &amp; Project Profile'!$B$10)+1*7+6,$E134&gt;=IF('Client &amp; Project Profile'!$B$10="",TODAY(),'Client &amp; Project Profile'!$B$10)+1*7),"■",""))</f>
        <v/>
      </c>
      <c r="O134" s="12">
        <f>IF(OR($D134="",$E134=""),"",IF(AND($D134&lt;=IF('Client &amp; Project Profile'!$B$10="",TODAY(),'Client &amp; Project Profile'!$B$10)+2*7+6,$E134&gt;=IF('Client &amp; Project Profile'!$B$10="",TODAY(),'Client &amp; Project Profile'!$B$10)+2*7),"■",""))</f>
        <v/>
      </c>
      <c r="P134" s="12">
        <f>IF(OR($D134="",$E134=""),"",IF(AND($D134&lt;=IF('Client &amp; Project Profile'!$B$10="",TODAY(),'Client &amp; Project Profile'!$B$10)+3*7+6,$E134&gt;=IF('Client &amp; Project Profile'!$B$10="",TODAY(),'Client &amp; Project Profile'!$B$10)+3*7),"■",""))</f>
        <v/>
      </c>
      <c r="Q134" s="12">
        <f>IF(OR($D134="",$E134=""),"",IF(AND($D134&lt;=IF('Client &amp; Project Profile'!$B$10="",TODAY(),'Client &amp; Project Profile'!$B$10)+4*7+6,$E134&gt;=IF('Client &amp; Project Profile'!$B$10="",TODAY(),'Client &amp; Project Profile'!$B$10)+4*7),"■",""))</f>
        <v/>
      </c>
      <c r="R134" s="12">
        <f>IF(OR($D134="",$E134=""),"",IF(AND($D134&lt;=IF('Client &amp; Project Profile'!$B$10="",TODAY(),'Client &amp; Project Profile'!$B$10)+5*7+6,$E134&gt;=IF('Client &amp; Project Profile'!$B$10="",TODAY(),'Client &amp; Project Profile'!$B$10)+5*7),"■",""))</f>
        <v/>
      </c>
      <c r="S134" s="12">
        <f>IF(OR($D134="",$E134=""),"",IF(AND($D134&lt;=IF('Client &amp; Project Profile'!$B$10="",TODAY(),'Client &amp; Project Profile'!$B$10)+6*7+6,$E134&gt;=IF('Client &amp; Project Profile'!$B$10="",TODAY(),'Client &amp; Project Profile'!$B$10)+6*7),"■",""))</f>
        <v/>
      </c>
      <c r="T134" s="12">
        <f>IF(OR($D134="",$E134=""),"",IF(AND($D134&lt;=IF('Client &amp; Project Profile'!$B$10="",TODAY(),'Client &amp; Project Profile'!$B$10)+7*7+6,$E134&gt;=IF('Client &amp; Project Profile'!$B$10="",TODAY(),'Client &amp; Project Profile'!$B$10)+7*7),"■",""))</f>
        <v/>
      </c>
      <c r="U134" s="12">
        <f>IF(OR($D134="",$E134=""),"",IF(AND($D134&lt;=IF('Client &amp; Project Profile'!$B$10="",TODAY(),'Client &amp; Project Profile'!$B$10)+8*7+6,$E134&gt;=IF('Client &amp; Project Profile'!$B$10="",TODAY(),'Client &amp; Project Profile'!$B$10)+8*7),"■",""))</f>
        <v/>
      </c>
      <c r="V134" s="12">
        <f>IF(OR($D134="",$E134=""),"",IF(AND($D134&lt;=IF('Client &amp; Project Profile'!$B$10="",TODAY(),'Client &amp; Project Profile'!$B$10)+9*7+6,$E134&gt;=IF('Client &amp; Project Profile'!$B$10="",TODAY(),'Client &amp; Project Profile'!$B$10)+9*7),"■",""))</f>
        <v/>
      </c>
      <c r="W134" s="12">
        <f>IF(OR($D134="",$E134=""),"",IF(AND($D134&lt;=IF('Client &amp; Project Profile'!$B$10="",TODAY(),'Client &amp; Project Profile'!$B$10)+10*7+6,$E134&gt;=IF('Client &amp; Project Profile'!$B$10="",TODAY(),'Client &amp; Project Profile'!$B$10)+10*7),"■",""))</f>
        <v/>
      </c>
      <c r="X134" s="12">
        <f>IF(OR($D134="",$E134=""),"",IF(AND($D134&lt;=IF('Client &amp; Project Profile'!$B$10="",TODAY(),'Client &amp; Project Profile'!$B$10)+11*7+6,$E134&gt;=IF('Client &amp; Project Profile'!$B$10="",TODAY(),'Client &amp; Project Profile'!$B$10)+11*7),"■",""))</f>
        <v/>
      </c>
    </row>
    <row r="135">
      <c r="D135" s="9" t="n"/>
      <c r="E135" s="9" t="n"/>
      <c r="F135" s="9" t="n"/>
      <c r="K135">
        <f>IF(OR($D135="",$E135=""),"",$E135-$D135+1)</f>
        <v/>
      </c>
      <c r="L135">
        <f>IF(AND($E135&lt;TODAY(),$G135&lt;&gt;"Complete"),TODAY()-$E135,0)</f>
        <v/>
      </c>
      <c r="M135">
        <f>IF(OR($D135="",$E135=""),"",IF(AND($D135&lt;=IF('Client &amp; Project Profile'!$B$10="",TODAY(),'Client &amp; Project Profile'!$B$10)+0*7+6,$E135&gt;=IF('Client &amp; Project Profile'!$B$10="",TODAY(),'Client &amp; Project Profile'!$B$10)+0*7),"■",""))</f>
        <v/>
      </c>
      <c r="N135">
        <f>IF(OR($D135="",$E135=""),"",IF(AND($D135&lt;=IF('Client &amp; Project Profile'!$B$10="",TODAY(),'Client &amp; Project Profile'!$B$10)+1*7+6,$E135&gt;=IF('Client &amp; Project Profile'!$B$10="",TODAY(),'Client &amp; Project Profile'!$B$10)+1*7),"■",""))</f>
        <v/>
      </c>
      <c r="O135">
        <f>IF(OR($D135="",$E135=""),"",IF(AND($D135&lt;=IF('Client &amp; Project Profile'!$B$10="",TODAY(),'Client &amp; Project Profile'!$B$10)+2*7+6,$E135&gt;=IF('Client &amp; Project Profile'!$B$10="",TODAY(),'Client &amp; Project Profile'!$B$10)+2*7),"■",""))</f>
        <v/>
      </c>
      <c r="P135">
        <f>IF(OR($D135="",$E135=""),"",IF(AND($D135&lt;=IF('Client &amp; Project Profile'!$B$10="",TODAY(),'Client &amp; Project Profile'!$B$10)+3*7+6,$E135&gt;=IF('Client &amp; Project Profile'!$B$10="",TODAY(),'Client &amp; Project Profile'!$B$10)+3*7),"■",""))</f>
        <v/>
      </c>
      <c r="Q135">
        <f>IF(OR($D135="",$E135=""),"",IF(AND($D135&lt;=IF('Client &amp; Project Profile'!$B$10="",TODAY(),'Client &amp; Project Profile'!$B$10)+4*7+6,$E135&gt;=IF('Client &amp; Project Profile'!$B$10="",TODAY(),'Client &amp; Project Profile'!$B$10)+4*7),"■",""))</f>
        <v/>
      </c>
      <c r="R135">
        <f>IF(OR($D135="",$E135=""),"",IF(AND($D135&lt;=IF('Client &amp; Project Profile'!$B$10="",TODAY(),'Client &amp; Project Profile'!$B$10)+5*7+6,$E135&gt;=IF('Client &amp; Project Profile'!$B$10="",TODAY(),'Client &amp; Project Profile'!$B$10)+5*7),"■",""))</f>
        <v/>
      </c>
      <c r="S135">
        <f>IF(OR($D135="",$E135=""),"",IF(AND($D135&lt;=IF('Client &amp; Project Profile'!$B$10="",TODAY(),'Client &amp; Project Profile'!$B$10)+6*7+6,$E135&gt;=IF('Client &amp; Project Profile'!$B$10="",TODAY(),'Client &amp; Project Profile'!$B$10)+6*7),"■",""))</f>
        <v/>
      </c>
      <c r="T135">
        <f>IF(OR($D135="",$E135=""),"",IF(AND($D135&lt;=IF('Client &amp; Project Profile'!$B$10="",TODAY(),'Client &amp; Project Profile'!$B$10)+7*7+6,$E135&gt;=IF('Client &amp; Project Profile'!$B$10="",TODAY(),'Client &amp; Project Profile'!$B$10)+7*7),"■",""))</f>
        <v/>
      </c>
      <c r="U135">
        <f>IF(OR($D135="",$E135=""),"",IF(AND($D135&lt;=IF('Client &amp; Project Profile'!$B$10="",TODAY(),'Client &amp; Project Profile'!$B$10)+8*7+6,$E135&gt;=IF('Client &amp; Project Profile'!$B$10="",TODAY(),'Client &amp; Project Profile'!$B$10)+8*7),"■",""))</f>
        <v/>
      </c>
      <c r="V135">
        <f>IF(OR($D135="",$E135=""),"",IF(AND($D135&lt;=IF('Client &amp; Project Profile'!$B$10="",TODAY(),'Client &amp; Project Profile'!$B$10)+9*7+6,$E135&gt;=IF('Client &amp; Project Profile'!$B$10="",TODAY(),'Client &amp; Project Profile'!$B$10)+9*7),"■",""))</f>
        <v/>
      </c>
      <c r="W135">
        <f>IF(OR($D135="",$E135=""),"",IF(AND($D135&lt;=IF('Client &amp; Project Profile'!$B$10="",TODAY(),'Client &amp; Project Profile'!$B$10)+10*7+6,$E135&gt;=IF('Client &amp; Project Profile'!$B$10="",TODAY(),'Client &amp; Project Profile'!$B$10)+10*7),"■",""))</f>
        <v/>
      </c>
      <c r="X135">
        <f>IF(OR($D135="",$E135=""),"",IF(AND($D135&lt;=IF('Client &amp; Project Profile'!$B$10="",TODAY(),'Client &amp; Project Profile'!$B$10)+11*7+6,$E135&gt;=IF('Client &amp; Project Profile'!$B$10="",TODAY(),'Client &amp; Project Profile'!$B$10)+11*7),"■",""))</f>
        <v/>
      </c>
    </row>
    <row r="136">
      <c r="A136" s="12" t="n"/>
      <c r="B136" s="12" t="n"/>
      <c r="C136" s="12" t="n"/>
      <c r="D136" s="14" t="n"/>
      <c r="E136" s="14" t="n"/>
      <c r="F136" s="14" t="n"/>
      <c r="G136" s="12" t="n"/>
      <c r="H136" s="12" t="n"/>
      <c r="I136" s="12" t="n"/>
      <c r="J136" s="12" t="n"/>
      <c r="K136" s="12">
        <f>IF(OR($D136="",$E136=""),"",$E136-$D136+1)</f>
        <v/>
      </c>
      <c r="L136" s="12">
        <f>IF(AND($E136&lt;TODAY(),$G136&lt;&gt;"Complete"),TODAY()-$E136,0)</f>
        <v/>
      </c>
      <c r="M136" s="12">
        <f>IF(OR($D136="",$E136=""),"",IF(AND($D136&lt;=IF('Client &amp; Project Profile'!$B$10="",TODAY(),'Client &amp; Project Profile'!$B$10)+0*7+6,$E136&gt;=IF('Client &amp; Project Profile'!$B$10="",TODAY(),'Client &amp; Project Profile'!$B$10)+0*7),"■",""))</f>
        <v/>
      </c>
      <c r="N136" s="12">
        <f>IF(OR($D136="",$E136=""),"",IF(AND($D136&lt;=IF('Client &amp; Project Profile'!$B$10="",TODAY(),'Client &amp; Project Profile'!$B$10)+1*7+6,$E136&gt;=IF('Client &amp; Project Profile'!$B$10="",TODAY(),'Client &amp; Project Profile'!$B$10)+1*7),"■",""))</f>
        <v/>
      </c>
      <c r="O136" s="12">
        <f>IF(OR($D136="",$E136=""),"",IF(AND($D136&lt;=IF('Client &amp; Project Profile'!$B$10="",TODAY(),'Client &amp; Project Profile'!$B$10)+2*7+6,$E136&gt;=IF('Client &amp; Project Profile'!$B$10="",TODAY(),'Client &amp; Project Profile'!$B$10)+2*7),"■",""))</f>
        <v/>
      </c>
      <c r="P136" s="12">
        <f>IF(OR($D136="",$E136=""),"",IF(AND($D136&lt;=IF('Client &amp; Project Profile'!$B$10="",TODAY(),'Client &amp; Project Profile'!$B$10)+3*7+6,$E136&gt;=IF('Client &amp; Project Profile'!$B$10="",TODAY(),'Client &amp; Project Profile'!$B$10)+3*7),"■",""))</f>
        <v/>
      </c>
      <c r="Q136" s="12">
        <f>IF(OR($D136="",$E136=""),"",IF(AND($D136&lt;=IF('Client &amp; Project Profile'!$B$10="",TODAY(),'Client &amp; Project Profile'!$B$10)+4*7+6,$E136&gt;=IF('Client &amp; Project Profile'!$B$10="",TODAY(),'Client &amp; Project Profile'!$B$10)+4*7),"■",""))</f>
        <v/>
      </c>
      <c r="R136" s="12">
        <f>IF(OR($D136="",$E136=""),"",IF(AND($D136&lt;=IF('Client &amp; Project Profile'!$B$10="",TODAY(),'Client &amp; Project Profile'!$B$10)+5*7+6,$E136&gt;=IF('Client &amp; Project Profile'!$B$10="",TODAY(),'Client &amp; Project Profile'!$B$10)+5*7),"■",""))</f>
        <v/>
      </c>
      <c r="S136" s="12">
        <f>IF(OR($D136="",$E136=""),"",IF(AND($D136&lt;=IF('Client &amp; Project Profile'!$B$10="",TODAY(),'Client &amp; Project Profile'!$B$10)+6*7+6,$E136&gt;=IF('Client &amp; Project Profile'!$B$10="",TODAY(),'Client &amp; Project Profile'!$B$10)+6*7),"■",""))</f>
        <v/>
      </c>
      <c r="T136" s="12">
        <f>IF(OR($D136="",$E136=""),"",IF(AND($D136&lt;=IF('Client &amp; Project Profile'!$B$10="",TODAY(),'Client &amp; Project Profile'!$B$10)+7*7+6,$E136&gt;=IF('Client &amp; Project Profile'!$B$10="",TODAY(),'Client &amp; Project Profile'!$B$10)+7*7),"■",""))</f>
        <v/>
      </c>
      <c r="U136" s="12">
        <f>IF(OR($D136="",$E136=""),"",IF(AND($D136&lt;=IF('Client &amp; Project Profile'!$B$10="",TODAY(),'Client &amp; Project Profile'!$B$10)+8*7+6,$E136&gt;=IF('Client &amp; Project Profile'!$B$10="",TODAY(),'Client &amp; Project Profile'!$B$10)+8*7),"■",""))</f>
        <v/>
      </c>
      <c r="V136" s="12">
        <f>IF(OR($D136="",$E136=""),"",IF(AND($D136&lt;=IF('Client &amp; Project Profile'!$B$10="",TODAY(),'Client &amp; Project Profile'!$B$10)+9*7+6,$E136&gt;=IF('Client &amp; Project Profile'!$B$10="",TODAY(),'Client &amp; Project Profile'!$B$10)+9*7),"■",""))</f>
        <v/>
      </c>
      <c r="W136" s="12">
        <f>IF(OR($D136="",$E136=""),"",IF(AND($D136&lt;=IF('Client &amp; Project Profile'!$B$10="",TODAY(),'Client &amp; Project Profile'!$B$10)+10*7+6,$E136&gt;=IF('Client &amp; Project Profile'!$B$10="",TODAY(),'Client &amp; Project Profile'!$B$10)+10*7),"■",""))</f>
        <v/>
      </c>
      <c r="X136" s="12">
        <f>IF(OR($D136="",$E136=""),"",IF(AND($D136&lt;=IF('Client &amp; Project Profile'!$B$10="",TODAY(),'Client &amp; Project Profile'!$B$10)+11*7+6,$E136&gt;=IF('Client &amp; Project Profile'!$B$10="",TODAY(),'Client &amp; Project Profile'!$B$10)+11*7),"■",""))</f>
        <v/>
      </c>
    </row>
    <row r="137">
      <c r="D137" s="9" t="n"/>
      <c r="E137" s="9" t="n"/>
      <c r="F137" s="9" t="n"/>
      <c r="K137">
        <f>IF(OR($D137="",$E137=""),"",$E137-$D137+1)</f>
        <v/>
      </c>
      <c r="L137">
        <f>IF(AND($E137&lt;TODAY(),$G137&lt;&gt;"Complete"),TODAY()-$E137,0)</f>
        <v/>
      </c>
      <c r="M137">
        <f>IF(OR($D137="",$E137=""),"",IF(AND($D137&lt;=IF('Client &amp; Project Profile'!$B$10="",TODAY(),'Client &amp; Project Profile'!$B$10)+0*7+6,$E137&gt;=IF('Client &amp; Project Profile'!$B$10="",TODAY(),'Client &amp; Project Profile'!$B$10)+0*7),"■",""))</f>
        <v/>
      </c>
      <c r="N137">
        <f>IF(OR($D137="",$E137=""),"",IF(AND($D137&lt;=IF('Client &amp; Project Profile'!$B$10="",TODAY(),'Client &amp; Project Profile'!$B$10)+1*7+6,$E137&gt;=IF('Client &amp; Project Profile'!$B$10="",TODAY(),'Client &amp; Project Profile'!$B$10)+1*7),"■",""))</f>
        <v/>
      </c>
      <c r="O137">
        <f>IF(OR($D137="",$E137=""),"",IF(AND($D137&lt;=IF('Client &amp; Project Profile'!$B$10="",TODAY(),'Client &amp; Project Profile'!$B$10)+2*7+6,$E137&gt;=IF('Client &amp; Project Profile'!$B$10="",TODAY(),'Client &amp; Project Profile'!$B$10)+2*7),"■",""))</f>
        <v/>
      </c>
      <c r="P137">
        <f>IF(OR($D137="",$E137=""),"",IF(AND($D137&lt;=IF('Client &amp; Project Profile'!$B$10="",TODAY(),'Client &amp; Project Profile'!$B$10)+3*7+6,$E137&gt;=IF('Client &amp; Project Profile'!$B$10="",TODAY(),'Client &amp; Project Profile'!$B$10)+3*7),"■",""))</f>
        <v/>
      </c>
      <c r="Q137">
        <f>IF(OR($D137="",$E137=""),"",IF(AND($D137&lt;=IF('Client &amp; Project Profile'!$B$10="",TODAY(),'Client &amp; Project Profile'!$B$10)+4*7+6,$E137&gt;=IF('Client &amp; Project Profile'!$B$10="",TODAY(),'Client &amp; Project Profile'!$B$10)+4*7),"■",""))</f>
        <v/>
      </c>
      <c r="R137">
        <f>IF(OR($D137="",$E137=""),"",IF(AND($D137&lt;=IF('Client &amp; Project Profile'!$B$10="",TODAY(),'Client &amp; Project Profile'!$B$10)+5*7+6,$E137&gt;=IF('Client &amp; Project Profile'!$B$10="",TODAY(),'Client &amp; Project Profile'!$B$10)+5*7),"■",""))</f>
        <v/>
      </c>
      <c r="S137">
        <f>IF(OR($D137="",$E137=""),"",IF(AND($D137&lt;=IF('Client &amp; Project Profile'!$B$10="",TODAY(),'Client &amp; Project Profile'!$B$10)+6*7+6,$E137&gt;=IF('Client &amp; Project Profile'!$B$10="",TODAY(),'Client &amp; Project Profile'!$B$10)+6*7),"■",""))</f>
        <v/>
      </c>
      <c r="T137">
        <f>IF(OR($D137="",$E137=""),"",IF(AND($D137&lt;=IF('Client &amp; Project Profile'!$B$10="",TODAY(),'Client &amp; Project Profile'!$B$10)+7*7+6,$E137&gt;=IF('Client &amp; Project Profile'!$B$10="",TODAY(),'Client &amp; Project Profile'!$B$10)+7*7),"■",""))</f>
        <v/>
      </c>
      <c r="U137">
        <f>IF(OR($D137="",$E137=""),"",IF(AND($D137&lt;=IF('Client &amp; Project Profile'!$B$10="",TODAY(),'Client &amp; Project Profile'!$B$10)+8*7+6,$E137&gt;=IF('Client &amp; Project Profile'!$B$10="",TODAY(),'Client &amp; Project Profile'!$B$10)+8*7),"■",""))</f>
        <v/>
      </c>
      <c r="V137">
        <f>IF(OR($D137="",$E137=""),"",IF(AND($D137&lt;=IF('Client &amp; Project Profile'!$B$10="",TODAY(),'Client &amp; Project Profile'!$B$10)+9*7+6,$E137&gt;=IF('Client &amp; Project Profile'!$B$10="",TODAY(),'Client &amp; Project Profile'!$B$10)+9*7),"■",""))</f>
        <v/>
      </c>
      <c r="W137">
        <f>IF(OR($D137="",$E137=""),"",IF(AND($D137&lt;=IF('Client &amp; Project Profile'!$B$10="",TODAY(),'Client &amp; Project Profile'!$B$10)+10*7+6,$E137&gt;=IF('Client &amp; Project Profile'!$B$10="",TODAY(),'Client &amp; Project Profile'!$B$10)+10*7),"■",""))</f>
        <v/>
      </c>
      <c r="X137">
        <f>IF(OR($D137="",$E137=""),"",IF(AND($D137&lt;=IF('Client &amp; Project Profile'!$B$10="",TODAY(),'Client &amp; Project Profile'!$B$10)+11*7+6,$E137&gt;=IF('Client &amp; Project Profile'!$B$10="",TODAY(),'Client &amp; Project Profile'!$B$10)+11*7),"■",""))</f>
        <v/>
      </c>
    </row>
    <row r="138">
      <c r="A138" s="12" t="n"/>
      <c r="B138" s="12" t="n"/>
      <c r="C138" s="12" t="n"/>
      <c r="D138" s="14" t="n"/>
      <c r="E138" s="14" t="n"/>
      <c r="F138" s="14" t="n"/>
      <c r="G138" s="12" t="n"/>
      <c r="H138" s="12" t="n"/>
      <c r="I138" s="12" t="n"/>
      <c r="J138" s="12" t="n"/>
      <c r="K138" s="12">
        <f>IF(OR($D138="",$E138=""),"",$E138-$D138+1)</f>
        <v/>
      </c>
      <c r="L138" s="12">
        <f>IF(AND($E138&lt;TODAY(),$G138&lt;&gt;"Complete"),TODAY()-$E138,0)</f>
        <v/>
      </c>
      <c r="M138" s="12">
        <f>IF(OR($D138="",$E138=""),"",IF(AND($D138&lt;=IF('Client &amp; Project Profile'!$B$10="",TODAY(),'Client &amp; Project Profile'!$B$10)+0*7+6,$E138&gt;=IF('Client &amp; Project Profile'!$B$10="",TODAY(),'Client &amp; Project Profile'!$B$10)+0*7),"■",""))</f>
        <v/>
      </c>
      <c r="N138" s="12">
        <f>IF(OR($D138="",$E138=""),"",IF(AND($D138&lt;=IF('Client &amp; Project Profile'!$B$10="",TODAY(),'Client &amp; Project Profile'!$B$10)+1*7+6,$E138&gt;=IF('Client &amp; Project Profile'!$B$10="",TODAY(),'Client &amp; Project Profile'!$B$10)+1*7),"■",""))</f>
        <v/>
      </c>
      <c r="O138" s="12">
        <f>IF(OR($D138="",$E138=""),"",IF(AND($D138&lt;=IF('Client &amp; Project Profile'!$B$10="",TODAY(),'Client &amp; Project Profile'!$B$10)+2*7+6,$E138&gt;=IF('Client &amp; Project Profile'!$B$10="",TODAY(),'Client &amp; Project Profile'!$B$10)+2*7),"■",""))</f>
        <v/>
      </c>
      <c r="P138" s="12">
        <f>IF(OR($D138="",$E138=""),"",IF(AND($D138&lt;=IF('Client &amp; Project Profile'!$B$10="",TODAY(),'Client &amp; Project Profile'!$B$10)+3*7+6,$E138&gt;=IF('Client &amp; Project Profile'!$B$10="",TODAY(),'Client &amp; Project Profile'!$B$10)+3*7),"■",""))</f>
        <v/>
      </c>
      <c r="Q138" s="12">
        <f>IF(OR($D138="",$E138=""),"",IF(AND($D138&lt;=IF('Client &amp; Project Profile'!$B$10="",TODAY(),'Client &amp; Project Profile'!$B$10)+4*7+6,$E138&gt;=IF('Client &amp; Project Profile'!$B$10="",TODAY(),'Client &amp; Project Profile'!$B$10)+4*7),"■",""))</f>
        <v/>
      </c>
      <c r="R138" s="12">
        <f>IF(OR($D138="",$E138=""),"",IF(AND($D138&lt;=IF('Client &amp; Project Profile'!$B$10="",TODAY(),'Client &amp; Project Profile'!$B$10)+5*7+6,$E138&gt;=IF('Client &amp; Project Profile'!$B$10="",TODAY(),'Client &amp; Project Profile'!$B$10)+5*7),"■",""))</f>
        <v/>
      </c>
      <c r="S138" s="12">
        <f>IF(OR($D138="",$E138=""),"",IF(AND($D138&lt;=IF('Client &amp; Project Profile'!$B$10="",TODAY(),'Client &amp; Project Profile'!$B$10)+6*7+6,$E138&gt;=IF('Client &amp; Project Profile'!$B$10="",TODAY(),'Client &amp; Project Profile'!$B$10)+6*7),"■",""))</f>
        <v/>
      </c>
      <c r="T138" s="12">
        <f>IF(OR($D138="",$E138=""),"",IF(AND($D138&lt;=IF('Client &amp; Project Profile'!$B$10="",TODAY(),'Client &amp; Project Profile'!$B$10)+7*7+6,$E138&gt;=IF('Client &amp; Project Profile'!$B$10="",TODAY(),'Client &amp; Project Profile'!$B$10)+7*7),"■",""))</f>
        <v/>
      </c>
      <c r="U138" s="12">
        <f>IF(OR($D138="",$E138=""),"",IF(AND($D138&lt;=IF('Client &amp; Project Profile'!$B$10="",TODAY(),'Client &amp; Project Profile'!$B$10)+8*7+6,$E138&gt;=IF('Client &amp; Project Profile'!$B$10="",TODAY(),'Client &amp; Project Profile'!$B$10)+8*7),"■",""))</f>
        <v/>
      </c>
      <c r="V138" s="12">
        <f>IF(OR($D138="",$E138=""),"",IF(AND($D138&lt;=IF('Client &amp; Project Profile'!$B$10="",TODAY(),'Client &amp; Project Profile'!$B$10)+9*7+6,$E138&gt;=IF('Client &amp; Project Profile'!$B$10="",TODAY(),'Client &amp; Project Profile'!$B$10)+9*7),"■",""))</f>
        <v/>
      </c>
      <c r="W138" s="12">
        <f>IF(OR($D138="",$E138=""),"",IF(AND($D138&lt;=IF('Client &amp; Project Profile'!$B$10="",TODAY(),'Client &amp; Project Profile'!$B$10)+10*7+6,$E138&gt;=IF('Client &amp; Project Profile'!$B$10="",TODAY(),'Client &amp; Project Profile'!$B$10)+10*7),"■",""))</f>
        <v/>
      </c>
      <c r="X138" s="12">
        <f>IF(OR($D138="",$E138=""),"",IF(AND($D138&lt;=IF('Client &amp; Project Profile'!$B$10="",TODAY(),'Client &amp; Project Profile'!$B$10)+11*7+6,$E138&gt;=IF('Client &amp; Project Profile'!$B$10="",TODAY(),'Client &amp; Project Profile'!$B$10)+11*7),"■",""))</f>
        <v/>
      </c>
    </row>
    <row r="139">
      <c r="D139" s="9" t="n"/>
      <c r="E139" s="9" t="n"/>
      <c r="F139" s="9" t="n"/>
      <c r="K139">
        <f>IF(OR($D139="",$E139=""),"",$E139-$D139+1)</f>
        <v/>
      </c>
      <c r="L139">
        <f>IF(AND($E139&lt;TODAY(),$G139&lt;&gt;"Complete"),TODAY()-$E139,0)</f>
        <v/>
      </c>
      <c r="M139">
        <f>IF(OR($D139="",$E139=""),"",IF(AND($D139&lt;=IF('Client &amp; Project Profile'!$B$10="",TODAY(),'Client &amp; Project Profile'!$B$10)+0*7+6,$E139&gt;=IF('Client &amp; Project Profile'!$B$10="",TODAY(),'Client &amp; Project Profile'!$B$10)+0*7),"■",""))</f>
        <v/>
      </c>
      <c r="N139">
        <f>IF(OR($D139="",$E139=""),"",IF(AND($D139&lt;=IF('Client &amp; Project Profile'!$B$10="",TODAY(),'Client &amp; Project Profile'!$B$10)+1*7+6,$E139&gt;=IF('Client &amp; Project Profile'!$B$10="",TODAY(),'Client &amp; Project Profile'!$B$10)+1*7),"■",""))</f>
        <v/>
      </c>
      <c r="O139">
        <f>IF(OR($D139="",$E139=""),"",IF(AND($D139&lt;=IF('Client &amp; Project Profile'!$B$10="",TODAY(),'Client &amp; Project Profile'!$B$10)+2*7+6,$E139&gt;=IF('Client &amp; Project Profile'!$B$10="",TODAY(),'Client &amp; Project Profile'!$B$10)+2*7),"■",""))</f>
        <v/>
      </c>
      <c r="P139">
        <f>IF(OR($D139="",$E139=""),"",IF(AND($D139&lt;=IF('Client &amp; Project Profile'!$B$10="",TODAY(),'Client &amp; Project Profile'!$B$10)+3*7+6,$E139&gt;=IF('Client &amp; Project Profile'!$B$10="",TODAY(),'Client &amp; Project Profile'!$B$10)+3*7),"■",""))</f>
        <v/>
      </c>
      <c r="Q139">
        <f>IF(OR($D139="",$E139=""),"",IF(AND($D139&lt;=IF('Client &amp; Project Profile'!$B$10="",TODAY(),'Client &amp; Project Profile'!$B$10)+4*7+6,$E139&gt;=IF('Client &amp; Project Profile'!$B$10="",TODAY(),'Client &amp; Project Profile'!$B$10)+4*7),"■",""))</f>
        <v/>
      </c>
      <c r="R139">
        <f>IF(OR($D139="",$E139=""),"",IF(AND($D139&lt;=IF('Client &amp; Project Profile'!$B$10="",TODAY(),'Client &amp; Project Profile'!$B$10)+5*7+6,$E139&gt;=IF('Client &amp; Project Profile'!$B$10="",TODAY(),'Client &amp; Project Profile'!$B$10)+5*7),"■",""))</f>
        <v/>
      </c>
      <c r="S139">
        <f>IF(OR($D139="",$E139=""),"",IF(AND($D139&lt;=IF('Client &amp; Project Profile'!$B$10="",TODAY(),'Client &amp; Project Profile'!$B$10)+6*7+6,$E139&gt;=IF('Client &amp; Project Profile'!$B$10="",TODAY(),'Client &amp; Project Profile'!$B$10)+6*7),"■",""))</f>
        <v/>
      </c>
      <c r="T139">
        <f>IF(OR($D139="",$E139=""),"",IF(AND($D139&lt;=IF('Client &amp; Project Profile'!$B$10="",TODAY(),'Client &amp; Project Profile'!$B$10)+7*7+6,$E139&gt;=IF('Client &amp; Project Profile'!$B$10="",TODAY(),'Client &amp; Project Profile'!$B$10)+7*7),"■",""))</f>
        <v/>
      </c>
      <c r="U139">
        <f>IF(OR($D139="",$E139=""),"",IF(AND($D139&lt;=IF('Client &amp; Project Profile'!$B$10="",TODAY(),'Client &amp; Project Profile'!$B$10)+8*7+6,$E139&gt;=IF('Client &amp; Project Profile'!$B$10="",TODAY(),'Client &amp; Project Profile'!$B$10)+8*7),"■",""))</f>
        <v/>
      </c>
      <c r="V139">
        <f>IF(OR($D139="",$E139=""),"",IF(AND($D139&lt;=IF('Client &amp; Project Profile'!$B$10="",TODAY(),'Client &amp; Project Profile'!$B$10)+9*7+6,$E139&gt;=IF('Client &amp; Project Profile'!$B$10="",TODAY(),'Client &amp; Project Profile'!$B$10)+9*7),"■",""))</f>
        <v/>
      </c>
      <c r="W139">
        <f>IF(OR($D139="",$E139=""),"",IF(AND($D139&lt;=IF('Client &amp; Project Profile'!$B$10="",TODAY(),'Client &amp; Project Profile'!$B$10)+10*7+6,$E139&gt;=IF('Client &amp; Project Profile'!$B$10="",TODAY(),'Client &amp; Project Profile'!$B$10)+10*7),"■",""))</f>
        <v/>
      </c>
      <c r="X139">
        <f>IF(OR($D139="",$E139=""),"",IF(AND($D139&lt;=IF('Client &amp; Project Profile'!$B$10="",TODAY(),'Client &amp; Project Profile'!$B$10)+11*7+6,$E139&gt;=IF('Client &amp; Project Profile'!$B$10="",TODAY(),'Client &amp; Project Profile'!$B$10)+11*7),"■",""))</f>
        <v/>
      </c>
    </row>
    <row r="140">
      <c r="A140" s="12" t="n"/>
      <c r="B140" s="12" t="n"/>
      <c r="C140" s="12" t="n"/>
      <c r="D140" s="14" t="n"/>
      <c r="E140" s="14" t="n"/>
      <c r="F140" s="14" t="n"/>
      <c r="G140" s="12" t="n"/>
      <c r="H140" s="12" t="n"/>
      <c r="I140" s="12" t="n"/>
      <c r="J140" s="12" t="n"/>
      <c r="K140" s="12">
        <f>IF(OR($D140="",$E140=""),"",$E140-$D140+1)</f>
        <v/>
      </c>
      <c r="L140" s="12">
        <f>IF(AND($E140&lt;TODAY(),$G140&lt;&gt;"Complete"),TODAY()-$E140,0)</f>
        <v/>
      </c>
      <c r="M140" s="12">
        <f>IF(OR($D140="",$E140=""),"",IF(AND($D140&lt;=IF('Client &amp; Project Profile'!$B$10="",TODAY(),'Client &amp; Project Profile'!$B$10)+0*7+6,$E140&gt;=IF('Client &amp; Project Profile'!$B$10="",TODAY(),'Client &amp; Project Profile'!$B$10)+0*7),"■",""))</f>
        <v/>
      </c>
      <c r="N140" s="12">
        <f>IF(OR($D140="",$E140=""),"",IF(AND($D140&lt;=IF('Client &amp; Project Profile'!$B$10="",TODAY(),'Client &amp; Project Profile'!$B$10)+1*7+6,$E140&gt;=IF('Client &amp; Project Profile'!$B$10="",TODAY(),'Client &amp; Project Profile'!$B$10)+1*7),"■",""))</f>
        <v/>
      </c>
      <c r="O140" s="12">
        <f>IF(OR($D140="",$E140=""),"",IF(AND($D140&lt;=IF('Client &amp; Project Profile'!$B$10="",TODAY(),'Client &amp; Project Profile'!$B$10)+2*7+6,$E140&gt;=IF('Client &amp; Project Profile'!$B$10="",TODAY(),'Client &amp; Project Profile'!$B$10)+2*7),"■",""))</f>
        <v/>
      </c>
      <c r="P140" s="12">
        <f>IF(OR($D140="",$E140=""),"",IF(AND($D140&lt;=IF('Client &amp; Project Profile'!$B$10="",TODAY(),'Client &amp; Project Profile'!$B$10)+3*7+6,$E140&gt;=IF('Client &amp; Project Profile'!$B$10="",TODAY(),'Client &amp; Project Profile'!$B$10)+3*7),"■",""))</f>
        <v/>
      </c>
      <c r="Q140" s="12">
        <f>IF(OR($D140="",$E140=""),"",IF(AND($D140&lt;=IF('Client &amp; Project Profile'!$B$10="",TODAY(),'Client &amp; Project Profile'!$B$10)+4*7+6,$E140&gt;=IF('Client &amp; Project Profile'!$B$10="",TODAY(),'Client &amp; Project Profile'!$B$10)+4*7),"■",""))</f>
        <v/>
      </c>
      <c r="R140" s="12">
        <f>IF(OR($D140="",$E140=""),"",IF(AND($D140&lt;=IF('Client &amp; Project Profile'!$B$10="",TODAY(),'Client &amp; Project Profile'!$B$10)+5*7+6,$E140&gt;=IF('Client &amp; Project Profile'!$B$10="",TODAY(),'Client &amp; Project Profile'!$B$10)+5*7),"■",""))</f>
        <v/>
      </c>
      <c r="S140" s="12">
        <f>IF(OR($D140="",$E140=""),"",IF(AND($D140&lt;=IF('Client &amp; Project Profile'!$B$10="",TODAY(),'Client &amp; Project Profile'!$B$10)+6*7+6,$E140&gt;=IF('Client &amp; Project Profile'!$B$10="",TODAY(),'Client &amp; Project Profile'!$B$10)+6*7),"■",""))</f>
        <v/>
      </c>
      <c r="T140" s="12">
        <f>IF(OR($D140="",$E140=""),"",IF(AND($D140&lt;=IF('Client &amp; Project Profile'!$B$10="",TODAY(),'Client &amp; Project Profile'!$B$10)+7*7+6,$E140&gt;=IF('Client &amp; Project Profile'!$B$10="",TODAY(),'Client &amp; Project Profile'!$B$10)+7*7),"■",""))</f>
        <v/>
      </c>
      <c r="U140" s="12">
        <f>IF(OR($D140="",$E140=""),"",IF(AND($D140&lt;=IF('Client &amp; Project Profile'!$B$10="",TODAY(),'Client &amp; Project Profile'!$B$10)+8*7+6,$E140&gt;=IF('Client &amp; Project Profile'!$B$10="",TODAY(),'Client &amp; Project Profile'!$B$10)+8*7),"■",""))</f>
        <v/>
      </c>
      <c r="V140" s="12">
        <f>IF(OR($D140="",$E140=""),"",IF(AND($D140&lt;=IF('Client &amp; Project Profile'!$B$10="",TODAY(),'Client &amp; Project Profile'!$B$10)+9*7+6,$E140&gt;=IF('Client &amp; Project Profile'!$B$10="",TODAY(),'Client &amp; Project Profile'!$B$10)+9*7),"■",""))</f>
        <v/>
      </c>
      <c r="W140" s="12">
        <f>IF(OR($D140="",$E140=""),"",IF(AND($D140&lt;=IF('Client &amp; Project Profile'!$B$10="",TODAY(),'Client &amp; Project Profile'!$B$10)+10*7+6,$E140&gt;=IF('Client &amp; Project Profile'!$B$10="",TODAY(),'Client &amp; Project Profile'!$B$10)+10*7),"■",""))</f>
        <v/>
      </c>
      <c r="X140" s="12">
        <f>IF(OR($D140="",$E140=""),"",IF(AND($D140&lt;=IF('Client &amp; Project Profile'!$B$10="",TODAY(),'Client &amp; Project Profile'!$B$10)+11*7+6,$E140&gt;=IF('Client &amp; Project Profile'!$B$10="",TODAY(),'Client &amp; Project Profile'!$B$10)+11*7),"■",""))</f>
        <v/>
      </c>
    </row>
    <row r="141">
      <c r="D141" s="9" t="n"/>
      <c r="E141" s="9" t="n"/>
      <c r="F141" s="9" t="n"/>
      <c r="K141">
        <f>IF(OR($D141="",$E141=""),"",$E141-$D141+1)</f>
        <v/>
      </c>
      <c r="L141">
        <f>IF(AND($E141&lt;TODAY(),$G141&lt;&gt;"Complete"),TODAY()-$E141,0)</f>
        <v/>
      </c>
      <c r="M141">
        <f>IF(OR($D141="",$E141=""),"",IF(AND($D141&lt;=IF('Client &amp; Project Profile'!$B$10="",TODAY(),'Client &amp; Project Profile'!$B$10)+0*7+6,$E141&gt;=IF('Client &amp; Project Profile'!$B$10="",TODAY(),'Client &amp; Project Profile'!$B$10)+0*7),"■",""))</f>
        <v/>
      </c>
      <c r="N141">
        <f>IF(OR($D141="",$E141=""),"",IF(AND($D141&lt;=IF('Client &amp; Project Profile'!$B$10="",TODAY(),'Client &amp; Project Profile'!$B$10)+1*7+6,$E141&gt;=IF('Client &amp; Project Profile'!$B$10="",TODAY(),'Client &amp; Project Profile'!$B$10)+1*7),"■",""))</f>
        <v/>
      </c>
      <c r="O141">
        <f>IF(OR($D141="",$E141=""),"",IF(AND($D141&lt;=IF('Client &amp; Project Profile'!$B$10="",TODAY(),'Client &amp; Project Profile'!$B$10)+2*7+6,$E141&gt;=IF('Client &amp; Project Profile'!$B$10="",TODAY(),'Client &amp; Project Profile'!$B$10)+2*7),"■",""))</f>
        <v/>
      </c>
      <c r="P141">
        <f>IF(OR($D141="",$E141=""),"",IF(AND($D141&lt;=IF('Client &amp; Project Profile'!$B$10="",TODAY(),'Client &amp; Project Profile'!$B$10)+3*7+6,$E141&gt;=IF('Client &amp; Project Profile'!$B$10="",TODAY(),'Client &amp; Project Profile'!$B$10)+3*7),"■",""))</f>
        <v/>
      </c>
      <c r="Q141">
        <f>IF(OR($D141="",$E141=""),"",IF(AND($D141&lt;=IF('Client &amp; Project Profile'!$B$10="",TODAY(),'Client &amp; Project Profile'!$B$10)+4*7+6,$E141&gt;=IF('Client &amp; Project Profile'!$B$10="",TODAY(),'Client &amp; Project Profile'!$B$10)+4*7),"■",""))</f>
        <v/>
      </c>
      <c r="R141">
        <f>IF(OR($D141="",$E141=""),"",IF(AND($D141&lt;=IF('Client &amp; Project Profile'!$B$10="",TODAY(),'Client &amp; Project Profile'!$B$10)+5*7+6,$E141&gt;=IF('Client &amp; Project Profile'!$B$10="",TODAY(),'Client &amp; Project Profile'!$B$10)+5*7),"■",""))</f>
        <v/>
      </c>
      <c r="S141">
        <f>IF(OR($D141="",$E141=""),"",IF(AND($D141&lt;=IF('Client &amp; Project Profile'!$B$10="",TODAY(),'Client &amp; Project Profile'!$B$10)+6*7+6,$E141&gt;=IF('Client &amp; Project Profile'!$B$10="",TODAY(),'Client &amp; Project Profile'!$B$10)+6*7),"■",""))</f>
        <v/>
      </c>
      <c r="T141">
        <f>IF(OR($D141="",$E141=""),"",IF(AND($D141&lt;=IF('Client &amp; Project Profile'!$B$10="",TODAY(),'Client &amp; Project Profile'!$B$10)+7*7+6,$E141&gt;=IF('Client &amp; Project Profile'!$B$10="",TODAY(),'Client &amp; Project Profile'!$B$10)+7*7),"■",""))</f>
        <v/>
      </c>
      <c r="U141">
        <f>IF(OR($D141="",$E141=""),"",IF(AND($D141&lt;=IF('Client &amp; Project Profile'!$B$10="",TODAY(),'Client &amp; Project Profile'!$B$10)+8*7+6,$E141&gt;=IF('Client &amp; Project Profile'!$B$10="",TODAY(),'Client &amp; Project Profile'!$B$10)+8*7),"■",""))</f>
        <v/>
      </c>
      <c r="V141">
        <f>IF(OR($D141="",$E141=""),"",IF(AND($D141&lt;=IF('Client &amp; Project Profile'!$B$10="",TODAY(),'Client &amp; Project Profile'!$B$10)+9*7+6,$E141&gt;=IF('Client &amp; Project Profile'!$B$10="",TODAY(),'Client &amp; Project Profile'!$B$10)+9*7),"■",""))</f>
        <v/>
      </c>
      <c r="W141">
        <f>IF(OR($D141="",$E141=""),"",IF(AND($D141&lt;=IF('Client &amp; Project Profile'!$B$10="",TODAY(),'Client &amp; Project Profile'!$B$10)+10*7+6,$E141&gt;=IF('Client &amp; Project Profile'!$B$10="",TODAY(),'Client &amp; Project Profile'!$B$10)+10*7),"■",""))</f>
        <v/>
      </c>
      <c r="X141">
        <f>IF(OR($D141="",$E141=""),"",IF(AND($D141&lt;=IF('Client &amp; Project Profile'!$B$10="",TODAY(),'Client &amp; Project Profile'!$B$10)+11*7+6,$E141&gt;=IF('Client &amp; Project Profile'!$B$10="",TODAY(),'Client &amp; Project Profile'!$B$10)+11*7),"■",""))</f>
        <v/>
      </c>
    </row>
    <row r="142">
      <c r="A142" s="12" t="n"/>
      <c r="B142" s="12" t="n"/>
      <c r="C142" s="12" t="n"/>
      <c r="D142" s="14" t="n"/>
      <c r="E142" s="14" t="n"/>
      <c r="F142" s="14" t="n"/>
      <c r="G142" s="12" t="n"/>
      <c r="H142" s="12" t="n"/>
      <c r="I142" s="12" t="n"/>
      <c r="J142" s="12" t="n"/>
      <c r="K142" s="12">
        <f>IF(OR($D142="",$E142=""),"",$E142-$D142+1)</f>
        <v/>
      </c>
      <c r="L142" s="12">
        <f>IF(AND($E142&lt;TODAY(),$G142&lt;&gt;"Complete"),TODAY()-$E142,0)</f>
        <v/>
      </c>
      <c r="M142" s="12">
        <f>IF(OR($D142="",$E142=""),"",IF(AND($D142&lt;=IF('Client &amp; Project Profile'!$B$10="",TODAY(),'Client &amp; Project Profile'!$B$10)+0*7+6,$E142&gt;=IF('Client &amp; Project Profile'!$B$10="",TODAY(),'Client &amp; Project Profile'!$B$10)+0*7),"■",""))</f>
        <v/>
      </c>
      <c r="N142" s="12">
        <f>IF(OR($D142="",$E142=""),"",IF(AND($D142&lt;=IF('Client &amp; Project Profile'!$B$10="",TODAY(),'Client &amp; Project Profile'!$B$10)+1*7+6,$E142&gt;=IF('Client &amp; Project Profile'!$B$10="",TODAY(),'Client &amp; Project Profile'!$B$10)+1*7),"■",""))</f>
        <v/>
      </c>
      <c r="O142" s="12">
        <f>IF(OR($D142="",$E142=""),"",IF(AND($D142&lt;=IF('Client &amp; Project Profile'!$B$10="",TODAY(),'Client &amp; Project Profile'!$B$10)+2*7+6,$E142&gt;=IF('Client &amp; Project Profile'!$B$10="",TODAY(),'Client &amp; Project Profile'!$B$10)+2*7),"■",""))</f>
        <v/>
      </c>
      <c r="P142" s="12">
        <f>IF(OR($D142="",$E142=""),"",IF(AND($D142&lt;=IF('Client &amp; Project Profile'!$B$10="",TODAY(),'Client &amp; Project Profile'!$B$10)+3*7+6,$E142&gt;=IF('Client &amp; Project Profile'!$B$10="",TODAY(),'Client &amp; Project Profile'!$B$10)+3*7),"■",""))</f>
        <v/>
      </c>
      <c r="Q142" s="12">
        <f>IF(OR($D142="",$E142=""),"",IF(AND($D142&lt;=IF('Client &amp; Project Profile'!$B$10="",TODAY(),'Client &amp; Project Profile'!$B$10)+4*7+6,$E142&gt;=IF('Client &amp; Project Profile'!$B$10="",TODAY(),'Client &amp; Project Profile'!$B$10)+4*7),"■",""))</f>
        <v/>
      </c>
      <c r="R142" s="12">
        <f>IF(OR($D142="",$E142=""),"",IF(AND($D142&lt;=IF('Client &amp; Project Profile'!$B$10="",TODAY(),'Client &amp; Project Profile'!$B$10)+5*7+6,$E142&gt;=IF('Client &amp; Project Profile'!$B$10="",TODAY(),'Client &amp; Project Profile'!$B$10)+5*7),"■",""))</f>
        <v/>
      </c>
      <c r="S142" s="12">
        <f>IF(OR($D142="",$E142=""),"",IF(AND($D142&lt;=IF('Client &amp; Project Profile'!$B$10="",TODAY(),'Client &amp; Project Profile'!$B$10)+6*7+6,$E142&gt;=IF('Client &amp; Project Profile'!$B$10="",TODAY(),'Client &amp; Project Profile'!$B$10)+6*7),"■",""))</f>
        <v/>
      </c>
      <c r="T142" s="12">
        <f>IF(OR($D142="",$E142=""),"",IF(AND($D142&lt;=IF('Client &amp; Project Profile'!$B$10="",TODAY(),'Client &amp; Project Profile'!$B$10)+7*7+6,$E142&gt;=IF('Client &amp; Project Profile'!$B$10="",TODAY(),'Client &amp; Project Profile'!$B$10)+7*7),"■",""))</f>
        <v/>
      </c>
      <c r="U142" s="12">
        <f>IF(OR($D142="",$E142=""),"",IF(AND($D142&lt;=IF('Client &amp; Project Profile'!$B$10="",TODAY(),'Client &amp; Project Profile'!$B$10)+8*7+6,$E142&gt;=IF('Client &amp; Project Profile'!$B$10="",TODAY(),'Client &amp; Project Profile'!$B$10)+8*7),"■",""))</f>
        <v/>
      </c>
      <c r="V142" s="12">
        <f>IF(OR($D142="",$E142=""),"",IF(AND($D142&lt;=IF('Client &amp; Project Profile'!$B$10="",TODAY(),'Client &amp; Project Profile'!$B$10)+9*7+6,$E142&gt;=IF('Client &amp; Project Profile'!$B$10="",TODAY(),'Client &amp; Project Profile'!$B$10)+9*7),"■",""))</f>
        <v/>
      </c>
      <c r="W142" s="12">
        <f>IF(OR($D142="",$E142=""),"",IF(AND($D142&lt;=IF('Client &amp; Project Profile'!$B$10="",TODAY(),'Client &amp; Project Profile'!$B$10)+10*7+6,$E142&gt;=IF('Client &amp; Project Profile'!$B$10="",TODAY(),'Client &amp; Project Profile'!$B$10)+10*7),"■",""))</f>
        <v/>
      </c>
      <c r="X142" s="12">
        <f>IF(OR($D142="",$E142=""),"",IF(AND($D142&lt;=IF('Client &amp; Project Profile'!$B$10="",TODAY(),'Client &amp; Project Profile'!$B$10)+11*7+6,$E142&gt;=IF('Client &amp; Project Profile'!$B$10="",TODAY(),'Client &amp; Project Profile'!$B$10)+11*7),"■",""))</f>
        <v/>
      </c>
    </row>
    <row r="143">
      <c r="D143" s="9" t="n"/>
      <c r="E143" s="9" t="n"/>
      <c r="F143" s="9" t="n"/>
      <c r="K143">
        <f>IF(OR($D143="",$E143=""),"",$E143-$D143+1)</f>
        <v/>
      </c>
      <c r="L143">
        <f>IF(AND($E143&lt;TODAY(),$G143&lt;&gt;"Complete"),TODAY()-$E143,0)</f>
        <v/>
      </c>
      <c r="M143">
        <f>IF(OR($D143="",$E143=""),"",IF(AND($D143&lt;=IF('Client &amp; Project Profile'!$B$10="",TODAY(),'Client &amp; Project Profile'!$B$10)+0*7+6,$E143&gt;=IF('Client &amp; Project Profile'!$B$10="",TODAY(),'Client &amp; Project Profile'!$B$10)+0*7),"■",""))</f>
        <v/>
      </c>
      <c r="N143">
        <f>IF(OR($D143="",$E143=""),"",IF(AND($D143&lt;=IF('Client &amp; Project Profile'!$B$10="",TODAY(),'Client &amp; Project Profile'!$B$10)+1*7+6,$E143&gt;=IF('Client &amp; Project Profile'!$B$10="",TODAY(),'Client &amp; Project Profile'!$B$10)+1*7),"■",""))</f>
        <v/>
      </c>
      <c r="O143">
        <f>IF(OR($D143="",$E143=""),"",IF(AND($D143&lt;=IF('Client &amp; Project Profile'!$B$10="",TODAY(),'Client &amp; Project Profile'!$B$10)+2*7+6,$E143&gt;=IF('Client &amp; Project Profile'!$B$10="",TODAY(),'Client &amp; Project Profile'!$B$10)+2*7),"■",""))</f>
        <v/>
      </c>
      <c r="P143">
        <f>IF(OR($D143="",$E143=""),"",IF(AND($D143&lt;=IF('Client &amp; Project Profile'!$B$10="",TODAY(),'Client &amp; Project Profile'!$B$10)+3*7+6,$E143&gt;=IF('Client &amp; Project Profile'!$B$10="",TODAY(),'Client &amp; Project Profile'!$B$10)+3*7),"■",""))</f>
        <v/>
      </c>
      <c r="Q143">
        <f>IF(OR($D143="",$E143=""),"",IF(AND($D143&lt;=IF('Client &amp; Project Profile'!$B$10="",TODAY(),'Client &amp; Project Profile'!$B$10)+4*7+6,$E143&gt;=IF('Client &amp; Project Profile'!$B$10="",TODAY(),'Client &amp; Project Profile'!$B$10)+4*7),"■",""))</f>
        <v/>
      </c>
      <c r="R143">
        <f>IF(OR($D143="",$E143=""),"",IF(AND($D143&lt;=IF('Client &amp; Project Profile'!$B$10="",TODAY(),'Client &amp; Project Profile'!$B$10)+5*7+6,$E143&gt;=IF('Client &amp; Project Profile'!$B$10="",TODAY(),'Client &amp; Project Profile'!$B$10)+5*7),"■",""))</f>
        <v/>
      </c>
      <c r="S143">
        <f>IF(OR($D143="",$E143=""),"",IF(AND($D143&lt;=IF('Client &amp; Project Profile'!$B$10="",TODAY(),'Client &amp; Project Profile'!$B$10)+6*7+6,$E143&gt;=IF('Client &amp; Project Profile'!$B$10="",TODAY(),'Client &amp; Project Profile'!$B$10)+6*7),"■",""))</f>
        <v/>
      </c>
      <c r="T143">
        <f>IF(OR($D143="",$E143=""),"",IF(AND($D143&lt;=IF('Client &amp; Project Profile'!$B$10="",TODAY(),'Client &amp; Project Profile'!$B$10)+7*7+6,$E143&gt;=IF('Client &amp; Project Profile'!$B$10="",TODAY(),'Client &amp; Project Profile'!$B$10)+7*7),"■",""))</f>
        <v/>
      </c>
      <c r="U143">
        <f>IF(OR($D143="",$E143=""),"",IF(AND($D143&lt;=IF('Client &amp; Project Profile'!$B$10="",TODAY(),'Client &amp; Project Profile'!$B$10)+8*7+6,$E143&gt;=IF('Client &amp; Project Profile'!$B$10="",TODAY(),'Client &amp; Project Profile'!$B$10)+8*7),"■",""))</f>
        <v/>
      </c>
      <c r="V143">
        <f>IF(OR($D143="",$E143=""),"",IF(AND($D143&lt;=IF('Client &amp; Project Profile'!$B$10="",TODAY(),'Client &amp; Project Profile'!$B$10)+9*7+6,$E143&gt;=IF('Client &amp; Project Profile'!$B$10="",TODAY(),'Client &amp; Project Profile'!$B$10)+9*7),"■",""))</f>
        <v/>
      </c>
      <c r="W143">
        <f>IF(OR($D143="",$E143=""),"",IF(AND($D143&lt;=IF('Client &amp; Project Profile'!$B$10="",TODAY(),'Client &amp; Project Profile'!$B$10)+10*7+6,$E143&gt;=IF('Client &amp; Project Profile'!$B$10="",TODAY(),'Client &amp; Project Profile'!$B$10)+10*7),"■",""))</f>
        <v/>
      </c>
      <c r="X143">
        <f>IF(OR($D143="",$E143=""),"",IF(AND($D143&lt;=IF('Client &amp; Project Profile'!$B$10="",TODAY(),'Client &amp; Project Profile'!$B$10)+11*7+6,$E143&gt;=IF('Client &amp; Project Profile'!$B$10="",TODAY(),'Client &amp; Project Profile'!$B$10)+11*7),"■",""))</f>
        <v/>
      </c>
    </row>
    <row r="144">
      <c r="A144" s="12" t="n"/>
      <c r="B144" s="12" t="n"/>
      <c r="C144" s="12" t="n"/>
      <c r="D144" s="14" t="n"/>
      <c r="E144" s="14" t="n"/>
      <c r="F144" s="14" t="n"/>
      <c r="G144" s="12" t="n"/>
      <c r="H144" s="12" t="n"/>
      <c r="I144" s="12" t="n"/>
      <c r="J144" s="12" t="n"/>
      <c r="K144" s="12">
        <f>IF(OR($D144="",$E144=""),"",$E144-$D144+1)</f>
        <v/>
      </c>
      <c r="L144" s="12">
        <f>IF(AND($E144&lt;TODAY(),$G144&lt;&gt;"Complete"),TODAY()-$E144,0)</f>
        <v/>
      </c>
      <c r="M144" s="12">
        <f>IF(OR($D144="",$E144=""),"",IF(AND($D144&lt;=IF('Client &amp; Project Profile'!$B$10="",TODAY(),'Client &amp; Project Profile'!$B$10)+0*7+6,$E144&gt;=IF('Client &amp; Project Profile'!$B$10="",TODAY(),'Client &amp; Project Profile'!$B$10)+0*7),"■",""))</f>
        <v/>
      </c>
      <c r="N144" s="12">
        <f>IF(OR($D144="",$E144=""),"",IF(AND($D144&lt;=IF('Client &amp; Project Profile'!$B$10="",TODAY(),'Client &amp; Project Profile'!$B$10)+1*7+6,$E144&gt;=IF('Client &amp; Project Profile'!$B$10="",TODAY(),'Client &amp; Project Profile'!$B$10)+1*7),"■",""))</f>
        <v/>
      </c>
      <c r="O144" s="12">
        <f>IF(OR($D144="",$E144=""),"",IF(AND($D144&lt;=IF('Client &amp; Project Profile'!$B$10="",TODAY(),'Client &amp; Project Profile'!$B$10)+2*7+6,$E144&gt;=IF('Client &amp; Project Profile'!$B$10="",TODAY(),'Client &amp; Project Profile'!$B$10)+2*7),"■",""))</f>
        <v/>
      </c>
      <c r="P144" s="12">
        <f>IF(OR($D144="",$E144=""),"",IF(AND($D144&lt;=IF('Client &amp; Project Profile'!$B$10="",TODAY(),'Client &amp; Project Profile'!$B$10)+3*7+6,$E144&gt;=IF('Client &amp; Project Profile'!$B$10="",TODAY(),'Client &amp; Project Profile'!$B$10)+3*7),"■",""))</f>
        <v/>
      </c>
      <c r="Q144" s="12">
        <f>IF(OR($D144="",$E144=""),"",IF(AND($D144&lt;=IF('Client &amp; Project Profile'!$B$10="",TODAY(),'Client &amp; Project Profile'!$B$10)+4*7+6,$E144&gt;=IF('Client &amp; Project Profile'!$B$10="",TODAY(),'Client &amp; Project Profile'!$B$10)+4*7),"■",""))</f>
        <v/>
      </c>
      <c r="R144" s="12">
        <f>IF(OR($D144="",$E144=""),"",IF(AND($D144&lt;=IF('Client &amp; Project Profile'!$B$10="",TODAY(),'Client &amp; Project Profile'!$B$10)+5*7+6,$E144&gt;=IF('Client &amp; Project Profile'!$B$10="",TODAY(),'Client &amp; Project Profile'!$B$10)+5*7),"■",""))</f>
        <v/>
      </c>
      <c r="S144" s="12">
        <f>IF(OR($D144="",$E144=""),"",IF(AND($D144&lt;=IF('Client &amp; Project Profile'!$B$10="",TODAY(),'Client &amp; Project Profile'!$B$10)+6*7+6,$E144&gt;=IF('Client &amp; Project Profile'!$B$10="",TODAY(),'Client &amp; Project Profile'!$B$10)+6*7),"■",""))</f>
        <v/>
      </c>
      <c r="T144" s="12">
        <f>IF(OR($D144="",$E144=""),"",IF(AND($D144&lt;=IF('Client &amp; Project Profile'!$B$10="",TODAY(),'Client &amp; Project Profile'!$B$10)+7*7+6,$E144&gt;=IF('Client &amp; Project Profile'!$B$10="",TODAY(),'Client &amp; Project Profile'!$B$10)+7*7),"■",""))</f>
        <v/>
      </c>
      <c r="U144" s="12">
        <f>IF(OR($D144="",$E144=""),"",IF(AND($D144&lt;=IF('Client &amp; Project Profile'!$B$10="",TODAY(),'Client &amp; Project Profile'!$B$10)+8*7+6,$E144&gt;=IF('Client &amp; Project Profile'!$B$10="",TODAY(),'Client &amp; Project Profile'!$B$10)+8*7),"■",""))</f>
        <v/>
      </c>
      <c r="V144" s="12">
        <f>IF(OR($D144="",$E144=""),"",IF(AND($D144&lt;=IF('Client &amp; Project Profile'!$B$10="",TODAY(),'Client &amp; Project Profile'!$B$10)+9*7+6,$E144&gt;=IF('Client &amp; Project Profile'!$B$10="",TODAY(),'Client &amp; Project Profile'!$B$10)+9*7),"■",""))</f>
        <v/>
      </c>
      <c r="W144" s="12">
        <f>IF(OR($D144="",$E144=""),"",IF(AND($D144&lt;=IF('Client &amp; Project Profile'!$B$10="",TODAY(),'Client &amp; Project Profile'!$B$10)+10*7+6,$E144&gt;=IF('Client &amp; Project Profile'!$B$10="",TODAY(),'Client &amp; Project Profile'!$B$10)+10*7),"■",""))</f>
        <v/>
      </c>
      <c r="X144" s="12">
        <f>IF(OR($D144="",$E144=""),"",IF(AND($D144&lt;=IF('Client &amp; Project Profile'!$B$10="",TODAY(),'Client &amp; Project Profile'!$B$10)+11*7+6,$E144&gt;=IF('Client &amp; Project Profile'!$B$10="",TODAY(),'Client &amp; Project Profile'!$B$10)+11*7),"■",""))</f>
        <v/>
      </c>
    </row>
    <row r="145">
      <c r="D145" s="9" t="n"/>
      <c r="E145" s="9" t="n"/>
      <c r="F145" s="9" t="n"/>
      <c r="K145">
        <f>IF(OR($D145="",$E145=""),"",$E145-$D145+1)</f>
        <v/>
      </c>
      <c r="L145">
        <f>IF(AND($E145&lt;TODAY(),$G145&lt;&gt;"Complete"),TODAY()-$E145,0)</f>
        <v/>
      </c>
      <c r="M145">
        <f>IF(OR($D145="",$E145=""),"",IF(AND($D145&lt;=IF('Client &amp; Project Profile'!$B$10="",TODAY(),'Client &amp; Project Profile'!$B$10)+0*7+6,$E145&gt;=IF('Client &amp; Project Profile'!$B$10="",TODAY(),'Client &amp; Project Profile'!$B$10)+0*7),"■",""))</f>
        <v/>
      </c>
      <c r="N145">
        <f>IF(OR($D145="",$E145=""),"",IF(AND($D145&lt;=IF('Client &amp; Project Profile'!$B$10="",TODAY(),'Client &amp; Project Profile'!$B$10)+1*7+6,$E145&gt;=IF('Client &amp; Project Profile'!$B$10="",TODAY(),'Client &amp; Project Profile'!$B$10)+1*7),"■",""))</f>
        <v/>
      </c>
      <c r="O145">
        <f>IF(OR($D145="",$E145=""),"",IF(AND($D145&lt;=IF('Client &amp; Project Profile'!$B$10="",TODAY(),'Client &amp; Project Profile'!$B$10)+2*7+6,$E145&gt;=IF('Client &amp; Project Profile'!$B$10="",TODAY(),'Client &amp; Project Profile'!$B$10)+2*7),"■",""))</f>
        <v/>
      </c>
      <c r="P145">
        <f>IF(OR($D145="",$E145=""),"",IF(AND($D145&lt;=IF('Client &amp; Project Profile'!$B$10="",TODAY(),'Client &amp; Project Profile'!$B$10)+3*7+6,$E145&gt;=IF('Client &amp; Project Profile'!$B$10="",TODAY(),'Client &amp; Project Profile'!$B$10)+3*7),"■",""))</f>
        <v/>
      </c>
      <c r="Q145">
        <f>IF(OR($D145="",$E145=""),"",IF(AND($D145&lt;=IF('Client &amp; Project Profile'!$B$10="",TODAY(),'Client &amp; Project Profile'!$B$10)+4*7+6,$E145&gt;=IF('Client &amp; Project Profile'!$B$10="",TODAY(),'Client &amp; Project Profile'!$B$10)+4*7),"■",""))</f>
        <v/>
      </c>
      <c r="R145">
        <f>IF(OR($D145="",$E145=""),"",IF(AND($D145&lt;=IF('Client &amp; Project Profile'!$B$10="",TODAY(),'Client &amp; Project Profile'!$B$10)+5*7+6,$E145&gt;=IF('Client &amp; Project Profile'!$B$10="",TODAY(),'Client &amp; Project Profile'!$B$10)+5*7),"■",""))</f>
        <v/>
      </c>
      <c r="S145">
        <f>IF(OR($D145="",$E145=""),"",IF(AND($D145&lt;=IF('Client &amp; Project Profile'!$B$10="",TODAY(),'Client &amp; Project Profile'!$B$10)+6*7+6,$E145&gt;=IF('Client &amp; Project Profile'!$B$10="",TODAY(),'Client &amp; Project Profile'!$B$10)+6*7),"■",""))</f>
        <v/>
      </c>
      <c r="T145">
        <f>IF(OR($D145="",$E145=""),"",IF(AND($D145&lt;=IF('Client &amp; Project Profile'!$B$10="",TODAY(),'Client &amp; Project Profile'!$B$10)+7*7+6,$E145&gt;=IF('Client &amp; Project Profile'!$B$10="",TODAY(),'Client &amp; Project Profile'!$B$10)+7*7),"■",""))</f>
        <v/>
      </c>
      <c r="U145">
        <f>IF(OR($D145="",$E145=""),"",IF(AND($D145&lt;=IF('Client &amp; Project Profile'!$B$10="",TODAY(),'Client &amp; Project Profile'!$B$10)+8*7+6,$E145&gt;=IF('Client &amp; Project Profile'!$B$10="",TODAY(),'Client &amp; Project Profile'!$B$10)+8*7),"■",""))</f>
        <v/>
      </c>
      <c r="V145">
        <f>IF(OR($D145="",$E145=""),"",IF(AND($D145&lt;=IF('Client &amp; Project Profile'!$B$10="",TODAY(),'Client &amp; Project Profile'!$B$10)+9*7+6,$E145&gt;=IF('Client &amp; Project Profile'!$B$10="",TODAY(),'Client &amp; Project Profile'!$B$10)+9*7),"■",""))</f>
        <v/>
      </c>
      <c r="W145">
        <f>IF(OR($D145="",$E145=""),"",IF(AND($D145&lt;=IF('Client &amp; Project Profile'!$B$10="",TODAY(),'Client &amp; Project Profile'!$B$10)+10*7+6,$E145&gt;=IF('Client &amp; Project Profile'!$B$10="",TODAY(),'Client &amp; Project Profile'!$B$10)+10*7),"■",""))</f>
        <v/>
      </c>
      <c r="X145">
        <f>IF(OR($D145="",$E145=""),"",IF(AND($D145&lt;=IF('Client &amp; Project Profile'!$B$10="",TODAY(),'Client &amp; Project Profile'!$B$10)+11*7+6,$E145&gt;=IF('Client &amp; Project Profile'!$B$10="",TODAY(),'Client &amp; Project Profile'!$B$10)+11*7),"■",""))</f>
        <v/>
      </c>
    </row>
    <row r="146">
      <c r="A146" s="12" t="n"/>
      <c r="B146" s="12" t="n"/>
      <c r="C146" s="12" t="n"/>
      <c r="D146" s="14" t="n"/>
      <c r="E146" s="14" t="n"/>
      <c r="F146" s="14" t="n"/>
      <c r="G146" s="12" t="n"/>
      <c r="H146" s="12" t="n"/>
      <c r="I146" s="12" t="n"/>
      <c r="J146" s="12" t="n"/>
      <c r="K146" s="12">
        <f>IF(OR($D146="",$E146=""),"",$E146-$D146+1)</f>
        <v/>
      </c>
      <c r="L146" s="12">
        <f>IF(AND($E146&lt;TODAY(),$G146&lt;&gt;"Complete"),TODAY()-$E146,0)</f>
        <v/>
      </c>
      <c r="M146" s="12">
        <f>IF(OR($D146="",$E146=""),"",IF(AND($D146&lt;=IF('Client &amp; Project Profile'!$B$10="",TODAY(),'Client &amp; Project Profile'!$B$10)+0*7+6,$E146&gt;=IF('Client &amp; Project Profile'!$B$10="",TODAY(),'Client &amp; Project Profile'!$B$10)+0*7),"■",""))</f>
        <v/>
      </c>
      <c r="N146" s="12">
        <f>IF(OR($D146="",$E146=""),"",IF(AND($D146&lt;=IF('Client &amp; Project Profile'!$B$10="",TODAY(),'Client &amp; Project Profile'!$B$10)+1*7+6,$E146&gt;=IF('Client &amp; Project Profile'!$B$10="",TODAY(),'Client &amp; Project Profile'!$B$10)+1*7),"■",""))</f>
        <v/>
      </c>
      <c r="O146" s="12">
        <f>IF(OR($D146="",$E146=""),"",IF(AND($D146&lt;=IF('Client &amp; Project Profile'!$B$10="",TODAY(),'Client &amp; Project Profile'!$B$10)+2*7+6,$E146&gt;=IF('Client &amp; Project Profile'!$B$10="",TODAY(),'Client &amp; Project Profile'!$B$10)+2*7),"■",""))</f>
        <v/>
      </c>
      <c r="P146" s="12">
        <f>IF(OR($D146="",$E146=""),"",IF(AND($D146&lt;=IF('Client &amp; Project Profile'!$B$10="",TODAY(),'Client &amp; Project Profile'!$B$10)+3*7+6,$E146&gt;=IF('Client &amp; Project Profile'!$B$10="",TODAY(),'Client &amp; Project Profile'!$B$10)+3*7),"■",""))</f>
        <v/>
      </c>
      <c r="Q146" s="12">
        <f>IF(OR($D146="",$E146=""),"",IF(AND($D146&lt;=IF('Client &amp; Project Profile'!$B$10="",TODAY(),'Client &amp; Project Profile'!$B$10)+4*7+6,$E146&gt;=IF('Client &amp; Project Profile'!$B$10="",TODAY(),'Client &amp; Project Profile'!$B$10)+4*7),"■",""))</f>
        <v/>
      </c>
      <c r="R146" s="12">
        <f>IF(OR($D146="",$E146=""),"",IF(AND($D146&lt;=IF('Client &amp; Project Profile'!$B$10="",TODAY(),'Client &amp; Project Profile'!$B$10)+5*7+6,$E146&gt;=IF('Client &amp; Project Profile'!$B$10="",TODAY(),'Client &amp; Project Profile'!$B$10)+5*7),"■",""))</f>
        <v/>
      </c>
      <c r="S146" s="12">
        <f>IF(OR($D146="",$E146=""),"",IF(AND($D146&lt;=IF('Client &amp; Project Profile'!$B$10="",TODAY(),'Client &amp; Project Profile'!$B$10)+6*7+6,$E146&gt;=IF('Client &amp; Project Profile'!$B$10="",TODAY(),'Client &amp; Project Profile'!$B$10)+6*7),"■",""))</f>
        <v/>
      </c>
      <c r="T146" s="12">
        <f>IF(OR($D146="",$E146=""),"",IF(AND($D146&lt;=IF('Client &amp; Project Profile'!$B$10="",TODAY(),'Client &amp; Project Profile'!$B$10)+7*7+6,$E146&gt;=IF('Client &amp; Project Profile'!$B$10="",TODAY(),'Client &amp; Project Profile'!$B$10)+7*7),"■",""))</f>
        <v/>
      </c>
      <c r="U146" s="12">
        <f>IF(OR($D146="",$E146=""),"",IF(AND($D146&lt;=IF('Client &amp; Project Profile'!$B$10="",TODAY(),'Client &amp; Project Profile'!$B$10)+8*7+6,$E146&gt;=IF('Client &amp; Project Profile'!$B$10="",TODAY(),'Client &amp; Project Profile'!$B$10)+8*7),"■",""))</f>
        <v/>
      </c>
      <c r="V146" s="12">
        <f>IF(OR($D146="",$E146=""),"",IF(AND($D146&lt;=IF('Client &amp; Project Profile'!$B$10="",TODAY(),'Client &amp; Project Profile'!$B$10)+9*7+6,$E146&gt;=IF('Client &amp; Project Profile'!$B$10="",TODAY(),'Client &amp; Project Profile'!$B$10)+9*7),"■",""))</f>
        <v/>
      </c>
      <c r="W146" s="12">
        <f>IF(OR($D146="",$E146=""),"",IF(AND($D146&lt;=IF('Client &amp; Project Profile'!$B$10="",TODAY(),'Client &amp; Project Profile'!$B$10)+10*7+6,$E146&gt;=IF('Client &amp; Project Profile'!$B$10="",TODAY(),'Client &amp; Project Profile'!$B$10)+10*7),"■",""))</f>
        <v/>
      </c>
      <c r="X146" s="12">
        <f>IF(OR($D146="",$E146=""),"",IF(AND($D146&lt;=IF('Client &amp; Project Profile'!$B$10="",TODAY(),'Client &amp; Project Profile'!$B$10)+11*7+6,$E146&gt;=IF('Client &amp; Project Profile'!$B$10="",TODAY(),'Client &amp; Project Profile'!$B$10)+11*7),"■",""))</f>
        <v/>
      </c>
    </row>
    <row r="147">
      <c r="D147" s="9" t="n"/>
      <c r="E147" s="9" t="n"/>
      <c r="F147" s="9" t="n"/>
      <c r="K147">
        <f>IF(OR($D147="",$E147=""),"",$E147-$D147+1)</f>
        <v/>
      </c>
      <c r="L147">
        <f>IF(AND($E147&lt;TODAY(),$G147&lt;&gt;"Complete"),TODAY()-$E147,0)</f>
        <v/>
      </c>
      <c r="M147">
        <f>IF(OR($D147="",$E147=""),"",IF(AND($D147&lt;=IF('Client &amp; Project Profile'!$B$10="",TODAY(),'Client &amp; Project Profile'!$B$10)+0*7+6,$E147&gt;=IF('Client &amp; Project Profile'!$B$10="",TODAY(),'Client &amp; Project Profile'!$B$10)+0*7),"■",""))</f>
        <v/>
      </c>
      <c r="N147">
        <f>IF(OR($D147="",$E147=""),"",IF(AND($D147&lt;=IF('Client &amp; Project Profile'!$B$10="",TODAY(),'Client &amp; Project Profile'!$B$10)+1*7+6,$E147&gt;=IF('Client &amp; Project Profile'!$B$10="",TODAY(),'Client &amp; Project Profile'!$B$10)+1*7),"■",""))</f>
        <v/>
      </c>
      <c r="O147">
        <f>IF(OR($D147="",$E147=""),"",IF(AND($D147&lt;=IF('Client &amp; Project Profile'!$B$10="",TODAY(),'Client &amp; Project Profile'!$B$10)+2*7+6,$E147&gt;=IF('Client &amp; Project Profile'!$B$10="",TODAY(),'Client &amp; Project Profile'!$B$10)+2*7),"■",""))</f>
        <v/>
      </c>
      <c r="P147">
        <f>IF(OR($D147="",$E147=""),"",IF(AND($D147&lt;=IF('Client &amp; Project Profile'!$B$10="",TODAY(),'Client &amp; Project Profile'!$B$10)+3*7+6,$E147&gt;=IF('Client &amp; Project Profile'!$B$10="",TODAY(),'Client &amp; Project Profile'!$B$10)+3*7),"■",""))</f>
        <v/>
      </c>
      <c r="Q147">
        <f>IF(OR($D147="",$E147=""),"",IF(AND($D147&lt;=IF('Client &amp; Project Profile'!$B$10="",TODAY(),'Client &amp; Project Profile'!$B$10)+4*7+6,$E147&gt;=IF('Client &amp; Project Profile'!$B$10="",TODAY(),'Client &amp; Project Profile'!$B$10)+4*7),"■",""))</f>
        <v/>
      </c>
      <c r="R147">
        <f>IF(OR($D147="",$E147=""),"",IF(AND($D147&lt;=IF('Client &amp; Project Profile'!$B$10="",TODAY(),'Client &amp; Project Profile'!$B$10)+5*7+6,$E147&gt;=IF('Client &amp; Project Profile'!$B$10="",TODAY(),'Client &amp; Project Profile'!$B$10)+5*7),"■",""))</f>
        <v/>
      </c>
      <c r="S147">
        <f>IF(OR($D147="",$E147=""),"",IF(AND($D147&lt;=IF('Client &amp; Project Profile'!$B$10="",TODAY(),'Client &amp; Project Profile'!$B$10)+6*7+6,$E147&gt;=IF('Client &amp; Project Profile'!$B$10="",TODAY(),'Client &amp; Project Profile'!$B$10)+6*7),"■",""))</f>
        <v/>
      </c>
      <c r="T147">
        <f>IF(OR($D147="",$E147=""),"",IF(AND($D147&lt;=IF('Client &amp; Project Profile'!$B$10="",TODAY(),'Client &amp; Project Profile'!$B$10)+7*7+6,$E147&gt;=IF('Client &amp; Project Profile'!$B$10="",TODAY(),'Client &amp; Project Profile'!$B$10)+7*7),"■",""))</f>
        <v/>
      </c>
      <c r="U147">
        <f>IF(OR($D147="",$E147=""),"",IF(AND($D147&lt;=IF('Client &amp; Project Profile'!$B$10="",TODAY(),'Client &amp; Project Profile'!$B$10)+8*7+6,$E147&gt;=IF('Client &amp; Project Profile'!$B$10="",TODAY(),'Client &amp; Project Profile'!$B$10)+8*7),"■",""))</f>
        <v/>
      </c>
      <c r="V147">
        <f>IF(OR($D147="",$E147=""),"",IF(AND($D147&lt;=IF('Client &amp; Project Profile'!$B$10="",TODAY(),'Client &amp; Project Profile'!$B$10)+9*7+6,$E147&gt;=IF('Client &amp; Project Profile'!$B$10="",TODAY(),'Client &amp; Project Profile'!$B$10)+9*7),"■",""))</f>
        <v/>
      </c>
      <c r="W147">
        <f>IF(OR($D147="",$E147=""),"",IF(AND($D147&lt;=IF('Client &amp; Project Profile'!$B$10="",TODAY(),'Client &amp; Project Profile'!$B$10)+10*7+6,$E147&gt;=IF('Client &amp; Project Profile'!$B$10="",TODAY(),'Client &amp; Project Profile'!$B$10)+10*7),"■",""))</f>
        <v/>
      </c>
      <c r="X147">
        <f>IF(OR($D147="",$E147=""),"",IF(AND($D147&lt;=IF('Client &amp; Project Profile'!$B$10="",TODAY(),'Client &amp; Project Profile'!$B$10)+11*7+6,$E147&gt;=IF('Client &amp; Project Profile'!$B$10="",TODAY(),'Client &amp; Project Profile'!$B$10)+11*7),"■",""))</f>
        <v/>
      </c>
    </row>
    <row r="148">
      <c r="A148" s="12" t="n"/>
      <c r="B148" s="12" t="n"/>
      <c r="C148" s="12" t="n"/>
      <c r="D148" s="14" t="n"/>
      <c r="E148" s="14" t="n"/>
      <c r="F148" s="14" t="n"/>
      <c r="G148" s="12" t="n"/>
      <c r="H148" s="12" t="n"/>
      <c r="I148" s="12" t="n"/>
      <c r="J148" s="12" t="n"/>
      <c r="K148" s="12">
        <f>IF(OR($D148="",$E148=""),"",$E148-$D148+1)</f>
        <v/>
      </c>
      <c r="L148" s="12">
        <f>IF(AND($E148&lt;TODAY(),$G148&lt;&gt;"Complete"),TODAY()-$E148,0)</f>
        <v/>
      </c>
      <c r="M148" s="12">
        <f>IF(OR($D148="",$E148=""),"",IF(AND($D148&lt;=IF('Client &amp; Project Profile'!$B$10="",TODAY(),'Client &amp; Project Profile'!$B$10)+0*7+6,$E148&gt;=IF('Client &amp; Project Profile'!$B$10="",TODAY(),'Client &amp; Project Profile'!$B$10)+0*7),"■",""))</f>
        <v/>
      </c>
      <c r="N148" s="12">
        <f>IF(OR($D148="",$E148=""),"",IF(AND($D148&lt;=IF('Client &amp; Project Profile'!$B$10="",TODAY(),'Client &amp; Project Profile'!$B$10)+1*7+6,$E148&gt;=IF('Client &amp; Project Profile'!$B$10="",TODAY(),'Client &amp; Project Profile'!$B$10)+1*7),"■",""))</f>
        <v/>
      </c>
      <c r="O148" s="12">
        <f>IF(OR($D148="",$E148=""),"",IF(AND($D148&lt;=IF('Client &amp; Project Profile'!$B$10="",TODAY(),'Client &amp; Project Profile'!$B$10)+2*7+6,$E148&gt;=IF('Client &amp; Project Profile'!$B$10="",TODAY(),'Client &amp; Project Profile'!$B$10)+2*7),"■",""))</f>
        <v/>
      </c>
      <c r="P148" s="12">
        <f>IF(OR($D148="",$E148=""),"",IF(AND($D148&lt;=IF('Client &amp; Project Profile'!$B$10="",TODAY(),'Client &amp; Project Profile'!$B$10)+3*7+6,$E148&gt;=IF('Client &amp; Project Profile'!$B$10="",TODAY(),'Client &amp; Project Profile'!$B$10)+3*7),"■",""))</f>
        <v/>
      </c>
      <c r="Q148" s="12">
        <f>IF(OR($D148="",$E148=""),"",IF(AND($D148&lt;=IF('Client &amp; Project Profile'!$B$10="",TODAY(),'Client &amp; Project Profile'!$B$10)+4*7+6,$E148&gt;=IF('Client &amp; Project Profile'!$B$10="",TODAY(),'Client &amp; Project Profile'!$B$10)+4*7),"■",""))</f>
        <v/>
      </c>
      <c r="R148" s="12">
        <f>IF(OR($D148="",$E148=""),"",IF(AND($D148&lt;=IF('Client &amp; Project Profile'!$B$10="",TODAY(),'Client &amp; Project Profile'!$B$10)+5*7+6,$E148&gt;=IF('Client &amp; Project Profile'!$B$10="",TODAY(),'Client &amp; Project Profile'!$B$10)+5*7),"■",""))</f>
        <v/>
      </c>
      <c r="S148" s="12">
        <f>IF(OR($D148="",$E148=""),"",IF(AND($D148&lt;=IF('Client &amp; Project Profile'!$B$10="",TODAY(),'Client &amp; Project Profile'!$B$10)+6*7+6,$E148&gt;=IF('Client &amp; Project Profile'!$B$10="",TODAY(),'Client &amp; Project Profile'!$B$10)+6*7),"■",""))</f>
        <v/>
      </c>
      <c r="T148" s="12">
        <f>IF(OR($D148="",$E148=""),"",IF(AND($D148&lt;=IF('Client &amp; Project Profile'!$B$10="",TODAY(),'Client &amp; Project Profile'!$B$10)+7*7+6,$E148&gt;=IF('Client &amp; Project Profile'!$B$10="",TODAY(),'Client &amp; Project Profile'!$B$10)+7*7),"■",""))</f>
        <v/>
      </c>
      <c r="U148" s="12">
        <f>IF(OR($D148="",$E148=""),"",IF(AND($D148&lt;=IF('Client &amp; Project Profile'!$B$10="",TODAY(),'Client &amp; Project Profile'!$B$10)+8*7+6,$E148&gt;=IF('Client &amp; Project Profile'!$B$10="",TODAY(),'Client &amp; Project Profile'!$B$10)+8*7),"■",""))</f>
        <v/>
      </c>
      <c r="V148" s="12">
        <f>IF(OR($D148="",$E148=""),"",IF(AND($D148&lt;=IF('Client &amp; Project Profile'!$B$10="",TODAY(),'Client &amp; Project Profile'!$B$10)+9*7+6,$E148&gt;=IF('Client &amp; Project Profile'!$B$10="",TODAY(),'Client &amp; Project Profile'!$B$10)+9*7),"■",""))</f>
        <v/>
      </c>
      <c r="W148" s="12">
        <f>IF(OR($D148="",$E148=""),"",IF(AND($D148&lt;=IF('Client &amp; Project Profile'!$B$10="",TODAY(),'Client &amp; Project Profile'!$B$10)+10*7+6,$E148&gt;=IF('Client &amp; Project Profile'!$B$10="",TODAY(),'Client &amp; Project Profile'!$B$10)+10*7),"■",""))</f>
        <v/>
      </c>
      <c r="X148" s="12">
        <f>IF(OR($D148="",$E148=""),"",IF(AND($D148&lt;=IF('Client &amp; Project Profile'!$B$10="",TODAY(),'Client &amp; Project Profile'!$B$10)+11*7+6,$E148&gt;=IF('Client &amp; Project Profile'!$B$10="",TODAY(),'Client &amp; Project Profile'!$B$10)+11*7),"■",""))</f>
        <v/>
      </c>
    </row>
    <row r="149">
      <c r="D149" s="9" t="n"/>
      <c r="E149" s="9" t="n"/>
      <c r="F149" s="9" t="n"/>
      <c r="K149">
        <f>IF(OR($D149="",$E149=""),"",$E149-$D149+1)</f>
        <v/>
      </c>
      <c r="L149">
        <f>IF(AND($E149&lt;TODAY(),$G149&lt;&gt;"Complete"),TODAY()-$E149,0)</f>
        <v/>
      </c>
      <c r="M149">
        <f>IF(OR($D149="",$E149=""),"",IF(AND($D149&lt;=IF('Client &amp; Project Profile'!$B$10="",TODAY(),'Client &amp; Project Profile'!$B$10)+0*7+6,$E149&gt;=IF('Client &amp; Project Profile'!$B$10="",TODAY(),'Client &amp; Project Profile'!$B$10)+0*7),"■",""))</f>
        <v/>
      </c>
      <c r="N149">
        <f>IF(OR($D149="",$E149=""),"",IF(AND($D149&lt;=IF('Client &amp; Project Profile'!$B$10="",TODAY(),'Client &amp; Project Profile'!$B$10)+1*7+6,$E149&gt;=IF('Client &amp; Project Profile'!$B$10="",TODAY(),'Client &amp; Project Profile'!$B$10)+1*7),"■",""))</f>
        <v/>
      </c>
      <c r="O149">
        <f>IF(OR($D149="",$E149=""),"",IF(AND($D149&lt;=IF('Client &amp; Project Profile'!$B$10="",TODAY(),'Client &amp; Project Profile'!$B$10)+2*7+6,$E149&gt;=IF('Client &amp; Project Profile'!$B$10="",TODAY(),'Client &amp; Project Profile'!$B$10)+2*7),"■",""))</f>
        <v/>
      </c>
      <c r="P149">
        <f>IF(OR($D149="",$E149=""),"",IF(AND($D149&lt;=IF('Client &amp; Project Profile'!$B$10="",TODAY(),'Client &amp; Project Profile'!$B$10)+3*7+6,$E149&gt;=IF('Client &amp; Project Profile'!$B$10="",TODAY(),'Client &amp; Project Profile'!$B$10)+3*7),"■",""))</f>
        <v/>
      </c>
      <c r="Q149">
        <f>IF(OR($D149="",$E149=""),"",IF(AND($D149&lt;=IF('Client &amp; Project Profile'!$B$10="",TODAY(),'Client &amp; Project Profile'!$B$10)+4*7+6,$E149&gt;=IF('Client &amp; Project Profile'!$B$10="",TODAY(),'Client &amp; Project Profile'!$B$10)+4*7),"■",""))</f>
        <v/>
      </c>
      <c r="R149">
        <f>IF(OR($D149="",$E149=""),"",IF(AND($D149&lt;=IF('Client &amp; Project Profile'!$B$10="",TODAY(),'Client &amp; Project Profile'!$B$10)+5*7+6,$E149&gt;=IF('Client &amp; Project Profile'!$B$10="",TODAY(),'Client &amp; Project Profile'!$B$10)+5*7),"■",""))</f>
        <v/>
      </c>
      <c r="S149">
        <f>IF(OR($D149="",$E149=""),"",IF(AND($D149&lt;=IF('Client &amp; Project Profile'!$B$10="",TODAY(),'Client &amp; Project Profile'!$B$10)+6*7+6,$E149&gt;=IF('Client &amp; Project Profile'!$B$10="",TODAY(),'Client &amp; Project Profile'!$B$10)+6*7),"■",""))</f>
        <v/>
      </c>
      <c r="T149">
        <f>IF(OR($D149="",$E149=""),"",IF(AND($D149&lt;=IF('Client &amp; Project Profile'!$B$10="",TODAY(),'Client &amp; Project Profile'!$B$10)+7*7+6,$E149&gt;=IF('Client &amp; Project Profile'!$B$10="",TODAY(),'Client &amp; Project Profile'!$B$10)+7*7),"■",""))</f>
        <v/>
      </c>
      <c r="U149">
        <f>IF(OR($D149="",$E149=""),"",IF(AND($D149&lt;=IF('Client &amp; Project Profile'!$B$10="",TODAY(),'Client &amp; Project Profile'!$B$10)+8*7+6,$E149&gt;=IF('Client &amp; Project Profile'!$B$10="",TODAY(),'Client &amp; Project Profile'!$B$10)+8*7),"■",""))</f>
        <v/>
      </c>
      <c r="V149">
        <f>IF(OR($D149="",$E149=""),"",IF(AND($D149&lt;=IF('Client &amp; Project Profile'!$B$10="",TODAY(),'Client &amp; Project Profile'!$B$10)+9*7+6,$E149&gt;=IF('Client &amp; Project Profile'!$B$10="",TODAY(),'Client &amp; Project Profile'!$B$10)+9*7),"■",""))</f>
        <v/>
      </c>
      <c r="W149">
        <f>IF(OR($D149="",$E149=""),"",IF(AND($D149&lt;=IF('Client &amp; Project Profile'!$B$10="",TODAY(),'Client &amp; Project Profile'!$B$10)+10*7+6,$E149&gt;=IF('Client &amp; Project Profile'!$B$10="",TODAY(),'Client &amp; Project Profile'!$B$10)+10*7),"■",""))</f>
        <v/>
      </c>
      <c r="X149">
        <f>IF(OR($D149="",$E149=""),"",IF(AND($D149&lt;=IF('Client &amp; Project Profile'!$B$10="",TODAY(),'Client &amp; Project Profile'!$B$10)+11*7+6,$E149&gt;=IF('Client &amp; Project Profile'!$B$10="",TODAY(),'Client &amp; Project Profile'!$B$10)+11*7),"■",""))</f>
        <v/>
      </c>
    </row>
    <row r="150">
      <c r="A150" s="12" t="n"/>
      <c r="B150" s="12" t="n"/>
      <c r="C150" s="12" t="n"/>
      <c r="D150" s="14" t="n"/>
      <c r="E150" s="14" t="n"/>
      <c r="F150" s="14" t="n"/>
      <c r="G150" s="12" t="n"/>
      <c r="H150" s="12" t="n"/>
      <c r="I150" s="12" t="n"/>
      <c r="J150" s="12" t="n"/>
      <c r="K150" s="12">
        <f>IF(OR($D150="",$E150=""),"",$E150-$D150+1)</f>
        <v/>
      </c>
      <c r="L150" s="12">
        <f>IF(AND($E150&lt;TODAY(),$G150&lt;&gt;"Complete"),TODAY()-$E150,0)</f>
        <v/>
      </c>
      <c r="M150" s="12">
        <f>IF(OR($D150="",$E150=""),"",IF(AND($D150&lt;=IF('Client &amp; Project Profile'!$B$10="",TODAY(),'Client &amp; Project Profile'!$B$10)+0*7+6,$E150&gt;=IF('Client &amp; Project Profile'!$B$10="",TODAY(),'Client &amp; Project Profile'!$B$10)+0*7),"■",""))</f>
        <v/>
      </c>
      <c r="N150" s="12">
        <f>IF(OR($D150="",$E150=""),"",IF(AND($D150&lt;=IF('Client &amp; Project Profile'!$B$10="",TODAY(),'Client &amp; Project Profile'!$B$10)+1*7+6,$E150&gt;=IF('Client &amp; Project Profile'!$B$10="",TODAY(),'Client &amp; Project Profile'!$B$10)+1*7),"■",""))</f>
        <v/>
      </c>
      <c r="O150" s="12">
        <f>IF(OR($D150="",$E150=""),"",IF(AND($D150&lt;=IF('Client &amp; Project Profile'!$B$10="",TODAY(),'Client &amp; Project Profile'!$B$10)+2*7+6,$E150&gt;=IF('Client &amp; Project Profile'!$B$10="",TODAY(),'Client &amp; Project Profile'!$B$10)+2*7),"■",""))</f>
        <v/>
      </c>
      <c r="P150" s="12">
        <f>IF(OR($D150="",$E150=""),"",IF(AND($D150&lt;=IF('Client &amp; Project Profile'!$B$10="",TODAY(),'Client &amp; Project Profile'!$B$10)+3*7+6,$E150&gt;=IF('Client &amp; Project Profile'!$B$10="",TODAY(),'Client &amp; Project Profile'!$B$10)+3*7),"■",""))</f>
        <v/>
      </c>
      <c r="Q150" s="12">
        <f>IF(OR($D150="",$E150=""),"",IF(AND($D150&lt;=IF('Client &amp; Project Profile'!$B$10="",TODAY(),'Client &amp; Project Profile'!$B$10)+4*7+6,$E150&gt;=IF('Client &amp; Project Profile'!$B$10="",TODAY(),'Client &amp; Project Profile'!$B$10)+4*7),"■",""))</f>
        <v/>
      </c>
      <c r="R150" s="12">
        <f>IF(OR($D150="",$E150=""),"",IF(AND($D150&lt;=IF('Client &amp; Project Profile'!$B$10="",TODAY(),'Client &amp; Project Profile'!$B$10)+5*7+6,$E150&gt;=IF('Client &amp; Project Profile'!$B$10="",TODAY(),'Client &amp; Project Profile'!$B$10)+5*7),"■",""))</f>
        <v/>
      </c>
      <c r="S150" s="12">
        <f>IF(OR($D150="",$E150=""),"",IF(AND($D150&lt;=IF('Client &amp; Project Profile'!$B$10="",TODAY(),'Client &amp; Project Profile'!$B$10)+6*7+6,$E150&gt;=IF('Client &amp; Project Profile'!$B$10="",TODAY(),'Client &amp; Project Profile'!$B$10)+6*7),"■",""))</f>
        <v/>
      </c>
      <c r="T150" s="12">
        <f>IF(OR($D150="",$E150=""),"",IF(AND($D150&lt;=IF('Client &amp; Project Profile'!$B$10="",TODAY(),'Client &amp; Project Profile'!$B$10)+7*7+6,$E150&gt;=IF('Client &amp; Project Profile'!$B$10="",TODAY(),'Client &amp; Project Profile'!$B$10)+7*7),"■",""))</f>
        <v/>
      </c>
      <c r="U150" s="12">
        <f>IF(OR($D150="",$E150=""),"",IF(AND($D150&lt;=IF('Client &amp; Project Profile'!$B$10="",TODAY(),'Client &amp; Project Profile'!$B$10)+8*7+6,$E150&gt;=IF('Client &amp; Project Profile'!$B$10="",TODAY(),'Client &amp; Project Profile'!$B$10)+8*7),"■",""))</f>
        <v/>
      </c>
      <c r="V150" s="12">
        <f>IF(OR($D150="",$E150=""),"",IF(AND($D150&lt;=IF('Client &amp; Project Profile'!$B$10="",TODAY(),'Client &amp; Project Profile'!$B$10)+9*7+6,$E150&gt;=IF('Client &amp; Project Profile'!$B$10="",TODAY(),'Client &amp; Project Profile'!$B$10)+9*7),"■",""))</f>
        <v/>
      </c>
      <c r="W150" s="12">
        <f>IF(OR($D150="",$E150=""),"",IF(AND($D150&lt;=IF('Client &amp; Project Profile'!$B$10="",TODAY(),'Client &amp; Project Profile'!$B$10)+10*7+6,$E150&gt;=IF('Client &amp; Project Profile'!$B$10="",TODAY(),'Client &amp; Project Profile'!$B$10)+10*7),"■",""))</f>
        <v/>
      </c>
      <c r="X150" s="12">
        <f>IF(OR($D150="",$E150=""),"",IF(AND($D150&lt;=IF('Client &amp; Project Profile'!$B$10="",TODAY(),'Client &amp; Project Profile'!$B$10)+11*7+6,$E150&gt;=IF('Client &amp; Project Profile'!$B$10="",TODAY(),'Client &amp; Project Profile'!$B$10)+11*7),"■",""))</f>
        <v/>
      </c>
    </row>
    <row r="151">
      <c r="D151" s="9" t="n"/>
      <c r="E151" s="9" t="n"/>
      <c r="F151" s="9" t="n"/>
      <c r="K151">
        <f>IF(OR($D151="",$E151=""),"",$E151-$D151+1)</f>
        <v/>
      </c>
      <c r="L151">
        <f>IF(AND($E151&lt;TODAY(),$G151&lt;&gt;"Complete"),TODAY()-$E151,0)</f>
        <v/>
      </c>
      <c r="M151">
        <f>IF(OR($D151="",$E151=""),"",IF(AND($D151&lt;=IF('Client &amp; Project Profile'!$B$10="",TODAY(),'Client &amp; Project Profile'!$B$10)+0*7+6,$E151&gt;=IF('Client &amp; Project Profile'!$B$10="",TODAY(),'Client &amp; Project Profile'!$B$10)+0*7),"■",""))</f>
        <v/>
      </c>
      <c r="N151">
        <f>IF(OR($D151="",$E151=""),"",IF(AND($D151&lt;=IF('Client &amp; Project Profile'!$B$10="",TODAY(),'Client &amp; Project Profile'!$B$10)+1*7+6,$E151&gt;=IF('Client &amp; Project Profile'!$B$10="",TODAY(),'Client &amp; Project Profile'!$B$10)+1*7),"■",""))</f>
        <v/>
      </c>
      <c r="O151">
        <f>IF(OR($D151="",$E151=""),"",IF(AND($D151&lt;=IF('Client &amp; Project Profile'!$B$10="",TODAY(),'Client &amp; Project Profile'!$B$10)+2*7+6,$E151&gt;=IF('Client &amp; Project Profile'!$B$10="",TODAY(),'Client &amp; Project Profile'!$B$10)+2*7),"■",""))</f>
        <v/>
      </c>
      <c r="P151">
        <f>IF(OR($D151="",$E151=""),"",IF(AND($D151&lt;=IF('Client &amp; Project Profile'!$B$10="",TODAY(),'Client &amp; Project Profile'!$B$10)+3*7+6,$E151&gt;=IF('Client &amp; Project Profile'!$B$10="",TODAY(),'Client &amp; Project Profile'!$B$10)+3*7),"■",""))</f>
        <v/>
      </c>
      <c r="Q151">
        <f>IF(OR($D151="",$E151=""),"",IF(AND($D151&lt;=IF('Client &amp; Project Profile'!$B$10="",TODAY(),'Client &amp; Project Profile'!$B$10)+4*7+6,$E151&gt;=IF('Client &amp; Project Profile'!$B$10="",TODAY(),'Client &amp; Project Profile'!$B$10)+4*7),"■",""))</f>
        <v/>
      </c>
      <c r="R151">
        <f>IF(OR($D151="",$E151=""),"",IF(AND($D151&lt;=IF('Client &amp; Project Profile'!$B$10="",TODAY(),'Client &amp; Project Profile'!$B$10)+5*7+6,$E151&gt;=IF('Client &amp; Project Profile'!$B$10="",TODAY(),'Client &amp; Project Profile'!$B$10)+5*7),"■",""))</f>
        <v/>
      </c>
      <c r="S151">
        <f>IF(OR($D151="",$E151=""),"",IF(AND($D151&lt;=IF('Client &amp; Project Profile'!$B$10="",TODAY(),'Client &amp; Project Profile'!$B$10)+6*7+6,$E151&gt;=IF('Client &amp; Project Profile'!$B$10="",TODAY(),'Client &amp; Project Profile'!$B$10)+6*7),"■",""))</f>
        <v/>
      </c>
      <c r="T151">
        <f>IF(OR($D151="",$E151=""),"",IF(AND($D151&lt;=IF('Client &amp; Project Profile'!$B$10="",TODAY(),'Client &amp; Project Profile'!$B$10)+7*7+6,$E151&gt;=IF('Client &amp; Project Profile'!$B$10="",TODAY(),'Client &amp; Project Profile'!$B$10)+7*7),"■",""))</f>
        <v/>
      </c>
      <c r="U151">
        <f>IF(OR($D151="",$E151=""),"",IF(AND($D151&lt;=IF('Client &amp; Project Profile'!$B$10="",TODAY(),'Client &amp; Project Profile'!$B$10)+8*7+6,$E151&gt;=IF('Client &amp; Project Profile'!$B$10="",TODAY(),'Client &amp; Project Profile'!$B$10)+8*7),"■",""))</f>
        <v/>
      </c>
      <c r="V151">
        <f>IF(OR($D151="",$E151=""),"",IF(AND($D151&lt;=IF('Client &amp; Project Profile'!$B$10="",TODAY(),'Client &amp; Project Profile'!$B$10)+9*7+6,$E151&gt;=IF('Client &amp; Project Profile'!$B$10="",TODAY(),'Client &amp; Project Profile'!$B$10)+9*7),"■",""))</f>
        <v/>
      </c>
      <c r="W151">
        <f>IF(OR($D151="",$E151=""),"",IF(AND($D151&lt;=IF('Client &amp; Project Profile'!$B$10="",TODAY(),'Client &amp; Project Profile'!$B$10)+10*7+6,$E151&gt;=IF('Client &amp; Project Profile'!$B$10="",TODAY(),'Client &amp; Project Profile'!$B$10)+10*7),"■",""))</f>
        <v/>
      </c>
      <c r="X151">
        <f>IF(OR($D151="",$E151=""),"",IF(AND($D151&lt;=IF('Client &amp; Project Profile'!$B$10="",TODAY(),'Client &amp; Project Profile'!$B$10)+11*7+6,$E151&gt;=IF('Client &amp; Project Profile'!$B$10="",TODAY(),'Client &amp; Project Profile'!$B$10)+11*7),"■",""))</f>
        <v/>
      </c>
    </row>
    <row r="152">
      <c r="A152" s="12" t="n"/>
      <c r="B152" s="12" t="n"/>
      <c r="C152" s="12" t="n"/>
      <c r="D152" s="14" t="n"/>
      <c r="E152" s="14" t="n"/>
      <c r="F152" s="14" t="n"/>
      <c r="G152" s="12" t="n"/>
      <c r="H152" s="12" t="n"/>
      <c r="I152" s="12" t="n"/>
      <c r="J152" s="12" t="n"/>
      <c r="K152" s="12">
        <f>IF(OR($D152="",$E152=""),"",$E152-$D152+1)</f>
        <v/>
      </c>
      <c r="L152" s="12">
        <f>IF(AND($E152&lt;TODAY(),$G152&lt;&gt;"Complete"),TODAY()-$E152,0)</f>
        <v/>
      </c>
      <c r="M152" s="12">
        <f>IF(OR($D152="",$E152=""),"",IF(AND($D152&lt;=IF('Client &amp; Project Profile'!$B$10="",TODAY(),'Client &amp; Project Profile'!$B$10)+0*7+6,$E152&gt;=IF('Client &amp; Project Profile'!$B$10="",TODAY(),'Client &amp; Project Profile'!$B$10)+0*7),"■",""))</f>
        <v/>
      </c>
      <c r="N152" s="12">
        <f>IF(OR($D152="",$E152=""),"",IF(AND($D152&lt;=IF('Client &amp; Project Profile'!$B$10="",TODAY(),'Client &amp; Project Profile'!$B$10)+1*7+6,$E152&gt;=IF('Client &amp; Project Profile'!$B$10="",TODAY(),'Client &amp; Project Profile'!$B$10)+1*7),"■",""))</f>
        <v/>
      </c>
      <c r="O152" s="12">
        <f>IF(OR($D152="",$E152=""),"",IF(AND($D152&lt;=IF('Client &amp; Project Profile'!$B$10="",TODAY(),'Client &amp; Project Profile'!$B$10)+2*7+6,$E152&gt;=IF('Client &amp; Project Profile'!$B$10="",TODAY(),'Client &amp; Project Profile'!$B$10)+2*7),"■",""))</f>
        <v/>
      </c>
      <c r="P152" s="12">
        <f>IF(OR($D152="",$E152=""),"",IF(AND($D152&lt;=IF('Client &amp; Project Profile'!$B$10="",TODAY(),'Client &amp; Project Profile'!$B$10)+3*7+6,$E152&gt;=IF('Client &amp; Project Profile'!$B$10="",TODAY(),'Client &amp; Project Profile'!$B$10)+3*7),"■",""))</f>
        <v/>
      </c>
      <c r="Q152" s="12">
        <f>IF(OR($D152="",$E152=""),"",IF(AND($D152&lt;=IF('Client &amp; Project Profile'!$B$10="",TODAY(),'Client &amp; Project Profile'!$B$10)+4*7+6,$E152&gt;=IF('Client &amp; Project Profile'!$B$10="",TODAY(),'Client &amp; Project Profile'!$B$10)+4*7),"■",""))</f>
        <v/>
      </c>
      <c r="R152" s="12">
        <f>IF(OR($D152="",$E152=""),"",IF(AND($D152&lt;=IF('Client &amp; Project Profile'!$B$10="",TODAY(),'Client &amp; Project Profile'!$B$10)+5*7+6,$E152&gt;=IF('Client &amp; Project Profile'!$B$10="",TODAY(),'Client &amp; Project Profile'!$B$10)+5*7),"■",""))</f>
        <v/>
      </c>
      <c r="S152" s="12">
        <f>IF(OR($D152="",$E152=""),"",IF(AND($D152&lt;=IF('Client &amp; Project Profile'!$B$10="",TODAY(),'Client &amp; Project Profile'!$B$10)+6*7+6,$E152&gt;=IF('Client &amp; Project Profile'!$B$10="",TODAY(),'Client &amp; Project Profile'!$B$10)+6*7),"■",""))</f>
        <v/>
      </c>
      <c r="T152" s="12">
        <f>IF(OR($D152="",$E152=""),"",IF(AND($D152&lt;=IF('Client &amp; Project Profile'!$B$10="",TODAY(),'Client &amp; Project Profile'!$B$10)+7*7+6,$E152&gt;=IF('Client &amp; Project Profile'!$B$10="",TODAY(),'Client &amp; Project Profile'!$B$10)+7*7),"■",""))</f>
        <v/>
      </c>
      <c r="U152" s="12">
        <f>IF(OR($D152="",$E152=""),"",IF(AND($D152&lt;=IF('Client &amp; Project Profile'!$B$10="",TODAY(),'Client &amp; Project Profile'!$B$10)+8*7+6,$E152&gt;=IF('Client &amp; Project Profile'!$B$10="",TODAY(),'Client &amp; Project Profile'!$B$10)+8*7),"■",""))</f>
        <v/>
      </c>
      <c r="V152" s="12">
        <f>IF(OR($D152="",$E152=""),"",IF(AND($D152&lt;=IF('Client &amp; Project Profile'!$B$10="",TODAY(),'Client &amp; Project Profile'!$B$10)+9*7+6,$E152&gt;=IF('Client &amp; Project Profile'!$B$10="",TODAY(),'Client &amp; Project Profile'!$B$10)+9*7),"■",""))</f>
        <v/>
      </c>
      <c r="W152" s="12">
        <f>IF(OR($D152="",$E152=""),"",IF(AND($D152&lt;=IF('Client &amp; Project Profile'!$B$10="",TODAY(),'Client &amp; Project Profile'!$B$10)+10*7+6,$E152&gt;=IF('Client &amp; Project Profile'!$B$10="",TODAY(),'Client &amp; Project Profile'!$B$10)+10*7),"■",""))</f>
        <v/>
      </c>
      <c r="X152" s="12">
        <f>IF(OR($D152="",$E152=""),"",IF(AND($D152&lt;=IF('Client &amp; Project Profile'!$B$10="",TODAY(),'Client &amp; Project Profile'!$B$10)+11*7+6,$E152&gt;=IF('Client &amp; Project Profile'!$B$10="",TODAY(),'Client &amp; Project Profile'!$B$10)+11*7),"■",""))</f>
        <v/>
      </c>
    </row>
    <row r="153">
      <c r="D153" s="9" t="n"/>
      <c r="E153" s="9" t="n"/>
      <c r="F153" s="9" t="n"/>
      <c r="K153">
        <f>IF(OR($D153="",$E153=""),"",$E153-$D153+1)</f>
        <v/>
      </c>
      <c r="L153">
        <f>IF(AND($E153&lt;TODAY(),$G153&lt;&gt;"Complete"),TODAY()-$E153,0)</f>
        <v/>
      </c>
      <c r="M153">
        <f>IF(OR($D153="",$E153=""),"",IF(AND($D153&lt;=IF('Client &amp; Project Profile'!$B$10="",TODAY(),'Client &amp; Project Profile'!$B$10)+0*7+6,$E153&gt;=IF('Client &amp; Project Profile'!$B$10="",TODAY(),'Client &amp; Project Profile'!$B$10)+0*7),"■",""))</f>
        <v/>
      </c>
      <c r="N153">
        <f>IF(OR($D153="",$E153=""),"",IF(AND($D153&lt;=IF('Client &amp; Project Profile'!$B$10="",TODAY(),'Client &amp; Project Profile'!$B$10)+1*7+6,$E153&gt;=IF('Client &amp; Project Profile'!$B$10="",TODAY(),'Client &amp; Project Profile'!$B$10)+1*7),"■",""))</f>
        <v/>
      </c>
      <c r="O153">
        <f>IF(OR($D153="",$E153=""),"",IF(AND($D153&lt;=IF('Client &amp; Project Profile'!$B$10="",TODAY(),'Client &amp; Project Profile'!$B$10)+2*7+6,$E153&gt;=IF('Client &amp; Project Profile'!$B$10="",TODAY(),'Client &amp; Project Profile'!$B$10)+2*7),"■",""))</f>
        <v/>
      </c>
      <c r="P153">
        <f>IF(OR($D153="",$E153=""),"",IF(AND($D153&lt;=IF('Client &amp; Project Profile'!$B$10="",TODAY(),'Client &amp; Project Profile'!$B$10)+3*7+6,$E153&gt;=IF('Client &amp; Project Profile'!$B$10="",TODAY(),'Client &amp; Project Profile'!$B$10)+3*7),"■",""))</f>
        <v/>
      </c>
      <c r="Q153">
        <f>IF(OR($D153="",$E153=""),"",IF(AND($D153&lt;=IF('Client &amp; Project Profile'!$B$10="",TODAY(),'Client &amp; Project Profile'!$B$10)+4*7+6,$E153&gt;=IF('Client &amp; Project Profile'!$B$10="",TODAY(),'Client &amp; Project Profile'!$B$10)+4*7),"■",""))</f>
        <v/>
      </c>
      <c r="R153">
        <f>IF(OR($D153="",$E153=""),"",IF(AND($D153&lt;=IF('Client &amp; Project Profile'!$B$10="",TODAY(),'Client &amp; Project Profile'!$B$10)+5*7+6,$E153&gt;=IF('Client &amp; Project Profile'!$B$10="",TODAY(),'Client &amp; Project Profile'!$B$10)+5*7),"■",""))</f>
        <v/>
      </c>
      <c r="S153">
        <f>IF(OR($D153="",$E153=""),"",IF(AND($D153&lt;=IF('Client &amp; Project Profile'!$B$10="",TODAY(),'Client &amp; Project Profile'!$B$10)+6*7+6,$E153&gt;=IF('Client &amp; Project Profile'!$B$10="",TODAY(),'Client &amp; Project Profile'!$B$10)+6*7),"■",""))</f>
        <v/>
      </c>
      <c r="T153">
        <f>IF(OR($D153="",$E153=""),"",IF(AND($D153&lt;=IF('Client &amp; Project Profile'!$B$10="",TODAY(),'Client &amp; Project Profile'!$B$10)+7*7+6,$E153&gt;=IF('Client &amp; Project Profile'!$B$10="",TODAY(),'Client &amp; Project Profile'!$B$10)+7*7),"■",""))</f>
        <v/>
      </c>
      <c r="U153">
        <f>IF(OR($D153="",$E153=""),"",IF(AND($D153&lt;=IF('Client &amp; Project Profile'!$B$10="",TODAY(),'Client &amp; Project Profile'!$B$10)+8*7+6,$E153&gt;=IF('Client &amp; Project Profile'!$B$10="",TODAY(),'Client &amp; Project Profile'!$B$10)+8*7),"■",""))</f>
        <v/>
      </c>
      <c r="V153">
        <f>IF(OR($D153="",$E153=""),"",IF(AND($D153&lt;=IF('Client &amp; Project Profile'!$B$10="",TODAY(),'Client &amp; Project Profile'!$B$10)+9*7+6,$E153&gt;=IF('Client &amp; Project Profile'!$B$10="",TODAY(),'Client &amp; Project Profile'!$B$10)+9*7),"■",""))</f>
        <v/>
      </c>
      <c r="W153">
        <f>IF(OR($D153="",$E153=""),"",IF(AND($D153&lt;=IF('Client &amp; Project Profile'!$B$10="",TODAY(),'Client &amp; Project Profile'!$B$10)+10*7+6,$E153&gt;=IF('Client &amp; Project Profile'!$B$10="",TODAY(),'Client &amp; Project Profile'!$B$10)+10*7),"■",""))</f>
        <v/>
      </c>
      <c r="X153">
        <f>IF(OR($D153="",$E153=""),"",IF(AND($D153&lt;=IF('Client &amp; Project Profile'!$B$10="",TODAY(),'Client &amp; Project Profile'!$B$10)+11*7+6,$E153&gt;=IF('Client &amp; Project Profile'!$B$10="",TODAY(),'Client &amp; Project Profile'!$B$10)+11*7),"■",""))</f>
        <v/>
      </c>
    </row>
    <row r="154">
      <c r="A154" s="12" t="n"/>
      <c r="B154" s="12" t="n"/>
      <c r="C154" s="12" t="n"/>
      <c r="D154" s="14" t="n"/>
      <c r="E154" s="14" t="n"/>
      <c r="F154" s="14" t="n"/>
      <c r="G154" s="12" t="n"/>
      <c r="H154" s="12" t="n"/>
      <c r="I154" s="12" t="n"/>
      <c r="J154" s="12" t="n"/>
      <c r="K154" s="12">
        <f>IF(OR($D154="",$E154=""),"",$E154-$D154+1)</f>
        <v/>
      </c>
      <c r="L154" s="12">
        <f>IF(AND($E154&lt;TODAY(),$G154&lt;&gt;"Complete"),TODAY()-$E154,0)</f>
        <v/>
      </c>
      <c r="M154" s="12">
        <f>IF(OR($D154="",$E154=""),"",IF(AND($D154&lt;=IF('Client &amp; Project Profile'!$B$10="",TODAY(),'Client &amp; Project Profile'!$B$10)+0*7+6,$E154&gt;=IF('Client &amp; Project Profile'!$B$10="",TODAY(),'Client &amp; Project Profile'!$B$10)+0*7),"■",""))</f>
        <v/>
      </c>
      <c r="N154" s="12">
        <f>IF(OR($D154="",$E154=""),"",IF(AND($D154&lt;=IF('Client &amp; Project Profile'!$B$10="",TODAY(),'Client &amp; Project Profile'!$B$10)+1*7+6,$E154&gt;=IF('Client &amp; Project Profile'!$B$10="",TODAY(),'Client &amp; Project Profile'!$B$10)+1*7),"■",""))</f>
        <v/>
      </c>
      <c r="O154" s="12">
        <f>IF(OR($D154="",$E154=""),"",IF(AND($D154&lt;=IF('Client &amp; Project Profile'!$B$10="",TODAY(),'Client &amp; Project Profile'!$B$10)+2*7+6,$E154&gt;=IF('Client &amp; Project Profile'!$B$10="",TODAY(),'Client &amp; Project Profile'!$B$10)+2*7),"■",""))</f>
        <v/>
      </c>
      <c r="P154" s="12">
        <f>IF(OR($D154="",$E154=""),"",IF(AND($D154&lt;=IF('Client &amp; Project Profile'!$B$10="",TODAY(),'Client &amp; Project Profile'!$B$10)+3*7+6,$E154&gt;=IF('Client &amp; Project Profile'!$B$10="",TODAY(),'Client &amp; Project Profile'!$B$10)+3*7),"■",""))</f>
        <v/>
      </c>
      <c r="Q154" s="12">
        <f>IF(OR($D154="",$E154=""),"",IF(AND($D154&lt;=IF('Client &amp; Project Profile'!$B$10="",TODAY(),'Client &amp; Project Profile'!$B$10)+4*7+6,$E154&gt;=IF('Client &amp; Project Profile'!$B$10="",TODAY(),'Client &amp; Project Profile'!$B$10)+4*7),"■",""))</f>
        <v/>
      </c>
      <c r="R154" s="12">
        <f>IF(OR($D154="",$E154=""),"",IF(AND($D154&lt;=IF('Client &amp; Project Profile'!$B$10="",TODAY(),'Client &amp; Project Profile'!$B$10)+5*7+6,$E154&gt;=IF('Client &amp; Project Profile'!$B$10="",TODAY(),'Client &amp; Project Profile'!$B$10)+5*7),"■",""))</f>
        <v/>
      </c>
      <c r="S154" s="12">
        <f>IF(OR($D154="",$E154=""),"",IF(AND($D154&lt;=IF('Client &amp; Project Profile'!$B$10="",TODAY(),'Client &amp; Project Profile'!$B$10)+6*7+6,$E154&gt;=IF('Client &amp; Project Profile'!$B$10="",TODAY(),'Client &amp; Project Profile'!$B$10)+6*7),"■",""))</f>
        <v/>
      </c>
      <c r="T154" s="12">
        <f>IF(OR($D154="",$E154=""),"",IF(AND($D154&lt;=IF('Client &amp; Project Profile'!$B$10="",TODAY(),'Client &amp; Project Profile'!$B$10)+7*7+6,$E154&gt;=IF('Client &amp; Project Profile'!$B$10="",TODAY(),'Client &amp; Project Profile'!$B$10)+7*7),"■",""))</f>
        <v/>
      </c>
      <c r="U154" s="12">
        <f>IF(OR($D154="",$E154=""),"",IF(AND($D154&lt;=IF('Client &amp; Project Profile'!$B$10="",TODAY(),'Client &amp; Project Profile'!$B$10)+8*7+6,$E154&gt;=IF('Client &amp; Project Profile'!$B$10="",TODAY(),'Client &amp; Project Profile'!$B$10)+8*7),"■",""))</f>
        <v/>
      </c>
      <c r="V154" s="12">
        <f>IF(OR($D154="",$E154=""),"",IF(AND($D154&lt;=IF('Client &amp; Project Profile'!$B$10="",TODAY(),'Client &amp; Project Profile'!$B$10)+9*7+6,$E154&gt;=IF('Client &amp; Project Profile'!$B$10="",TODAY(),'Client &amp; Project Profile'!$B$10)+9*7),"■",""))</f>
        <v/>
      </c>
      <c r="W154" s="12">
        <f>IF(OR($D154="",$E154=""),"",IF(AND($D154&lt;=IF('Client &amp; Project Profile'!$B$10="",TODAY(),'Client &amp; Project Profile'!$B$10)+10*7+6,$E154&gt;=IF('Client &amp; Project Profile'!$B$10="",TODAY(),'Client &amp; Project Profile'!$B$10)+10*7),"■",""))</f>
        <v/>
      </c>
      <c r="X154" s="12">
        <f>IF(OR($D154="",$E154=""),"",IF(AND($D154&lt;=IF('Client &amp; Project Profile'!$B$10="",TODAY(),'Client &amp; Project Profile'!$B$10)+11*7+6,$E154&gt;=IF('Client &amp; Project Profile'!$B$10="",TODAY(),'Client &amp; Project Profile'!$B$10)+11*7),"■",""))</f>
        <v/>
      </c>
    </row>
    <row r="155">
      <c r="D155" s="9" t="n"/>
      <c r="E155" s="9" t="n"/>
      <c r="F155" s="9" t="n"/>
      <c r="K155">
        <f>IF(OR($D155="",$E155=""),"",$E155-$D155+1)</f>
        <v/>
      </c>
      <c r="L155">
        <f>IF(AND($E155&lt;TODAY(),$G155&lt;&gt;"Complete"),TODAY()-$E155,0)</f>
        <v/>
      </c>
      <c r="M155">
        <f>IF(OR($D155="",$E155=""),"",IF(AND($D155&lt;=IF('Client &amp; Project Profile'!$B$10="",TODAY(),'Client &amp; Project Profile'!$B$10)+0*7+6,$E155&gt;=IF('Client &amp; Project Profile'!$B$10="",TODAY(),'Client &amp; Project Profile'!$B$10)+0*7),"■",""))</f>
        <v/>
      </c>
      <c r="N155">
        <f>IF(OR($D155="",$E155=""),"",IF(AND($D155&lt;=IF('Client &amp; Project Profile'!$B$10="",TODAY(),'Client &amp; Project Profile'!$B$10)+1*7+6,$E155&gt;=IF('Client &amp; Project Profile'!$B$10="",TODAY(),'Client &amp; Project Profile'!$B$10)+1*7),"■",""))</f>
        <v/>
      </c>
      <c r="O155">
        <f>IF(OR($D155="",$E155=""),"",IF(AND($D155&lt;=IF('Client &amp; Project Profile'!$B$10="",TODAY(),'Client &amp; Project Profile'!$B$10)+2*7+6,$E155&gt;=IF('Client &amp; Project Profile'!$B$10="",TODAY(),'Client &amp; Project Profile'!$B$10)+2*7),"■",""))</f>
        <v/>
      </c>
      <c r="P155">
        <f>IF(OR($D155="",$E155=""),"",IF(AND($D155&lt;=IF('Client &amp; Project Profile'!$B$10="",TODAY(),'Client &amp; Project Profile'!$B$10)+3*7+6,$E155&gt;=IF('Client &amp; Project Profile'!$B$10="",TODAY(),'Client &amp; Project Profile'!$B$10)+3*7),"■",""))</f>
        <v/>
      </c>
      <c r="Q155">
        <f>IF(OR($D155="",$E155=""),"",IF(AND($D155&lt;=IF('Client &amp; Project Profile'!$B$10="",TODAY(),'Client &amp; Project Profile'!$B$10)+4*7+6,$E155&gt;=IF('Client &amp; Project Profile'!$B$10="",TODAY(),'Client &amp; Project Profile'!$B$10)+4*7),"■",""))</f>
        <v/>
      </c>
      <c r="R155">
        <f>IF(OR($D155="",$E155=""),"",IF(AND($D155&lt;=IF('Client &amp; Project Profile'!$B$10="",TODAY(),'Client &amp; Project Profile'!$B$10)+5*7+6,$E155&gt;=IF('Client &amp; Project Profile'!$B$10="",TODAY(),'Client &amp; Project Profile'!$B$10)+5*7),"■",""))</f>
        <v/>
      </c>
      <c r="S155">
        <f>IF(OR($D155="",$E155=""),"",IF(AND($D155&lt;=IF('Client &amp; Project Profile'!$B$10="",TODAY(),'Client &amp; Project Profile'!$B$10)+6*7+6,$E155&gt;=IF('Client &amp; Project Profile'!$B$10="",TODAY(),'Client &amp; Project Profile'!$B$10)+6*7),"■",""))</f>
        <v/>
      </c>
      <c r="T155">
        <f>IF(OR($D155="",$E155=""),"",IF(AND($D155&lt;=IF('Client &amp; Project Profile'!$B$10="",TODAY(),'Client &amp; Project Profile'!$B$10)+7*7+6,$E155&gt;=IF('Client &amp; Project Profile'!$B$10="",TODAY(),'Client &amp; Project Profile'!$B$10)+7*7),"■",""))</f>
        <v/>
      </c>
      <c r="U155">
        <f>IF(OR($D155="",$E155=""),"",IF(AND($D155&lt;=IF('Client &amp; Project Profile'!$B$10="",TODAY(),'Client &amp; Project Profile'!$B$10)+8*7+6,$E155&gt;=IF('Client &amp; Project Profile'!$B$10="",TODAY(),'Client &amp; Project Profile'!$B$10)+8*7),"■",""))</f>
        <v/>
      </c>
      <c r="V155">
        <f>IF(OR($D155="",$E155=""),"",IF(AND($D155&lt;=IF('Client &amp; Project Profile'!$B$10="",TODAY(),'Client &amp; Project Profile'!$B$10)+9*7+6,$E155&gt;=IF('Client &amp; Project Profile'!$B$10="",TODAY(),'Client &amp; Project Profile'!$B$10)+9*7),"■",""))</f>
        <v/>
      </c>
      <c r="W155">
        <f>IF(OR($D155="",$E155=""),"",IF(AND($D155&lt;=IF('Client &amp; Project Profile'!$B$10="",TODAY(),'Client &amp; Project Profile'!$B$10)+10*7+6,$E155&gt;=IF('Client &amp; Project Profile'!$B$10="",TODAY(),'Client &amp; Project Profile'!$B$10)+10*7),"■",""))</f>
        <v/>
      </c>
      <c r="X155">
        <f>IF(OR($D155="",$E155=""),"",IF(AND($D155&lt;=IF('Client &amp; Project Profile'!$B$10="",TODAY(),'Client &amp; Project Profile'!$B$10)+11*7+6,$E155&gt;=IF('Client &amp; Project Profile'!$B$10="",TODAY(),'Client &amp; Project Profile'!$B$10)+11*7),"■",""))</f>
        <v/>
      </c>
    </row>
    <row r="156">
      <c r="A156" s="12" t="n"/>
      <c r="B156" s="12" t="n"/>
      <c r="C156" s="12" t="n"/>
      <c r="D156" s="14" t="n"/>
      <c r="E156" s="14" t="n"/>
      <c r="F156" s="14" t="n"/>
      <c r="G156" s="12" t="n"/>
      <c r="H156" s="12" t="n"/>
      <c r="I156" s="12" t="n"/>
      <c r="J156" s="12" t="n"/>
      <c r="K156" s="12">
        <f>IF(OR($D156="",$E156=""),"",$E156-$D156+1)</f>
        <v/>
      </c>
      <c r="L156" s="12">
        <f>IF(AND($E156&lt;TODAY(),$G156&lt;&gt;"Complete"),TODAY()-$E156,0)</f>
        <v/>
      </c>
      <c r="M156" s="12">
        <f>IF(OR($D156="",$E156=""),"",IF(AND($D156&lt;=IF('Client &amp; Project Profile'!$B$10="",TODAY(),'Client &amp; Project Profile'!$B$10)+0*7+6,$E156&gt;=IF('Client &amp; Project Profile'!$B$10="",TODAY(),'Client &amp; Project Profile'!$B$10)+0*7),"■",""))</f>
        <v/>
      </c>
      <c r="N156" s="12">
        <f>IF(OR($D156="",$E156=""),"",IF(AND($D156&lt;=IF('Client &amp; Project Profile'!$B$10="",TODAY(),'Client &amp; Project Profile'!$B$10)+1*7+6,$E156&gt;=IF('Client &amp; Project Profile'!$B$10="",TODAY(),'Client &amp; Project Profile'!$B$10)+1*7),"■",""))</f>
        <v/>
      </c>
      <c r="O156" s="12">
        <f>IF(OR($D156="",$E156=""),"",IF(AND($D156&lt;=IF('Client &amp; Project Profile'!$B$10="",TODAY(),'Client &amp; Project Profile'!$B$10)+2*7+6,$E156&gt;=IF('Client &amp; Project Profile'!$B$10="",TODAY(),'Client &amp; Project Profile'!$B$10)+2*7),"■",""))</f>
        <v/>
      </c>
      <c r="P156" s="12">
        <f>IF(OR($D156="",$E156=""),"",IF(AND($D156&lt;=IF('Client &amp; Project Profile'!$B$10="",TODAY(),'Client &amp; Project Profile'!$B$10)+3*7+6,$E156&gt;=IF('Client &amp; Project Profile'!$B$10="",TODAY(),'Client &amp; Project Profile'!$B$10)+3*7),"■",""))</f>
        <v/>
      </c>
      <c r="Q156" s="12">
        <f>IF(OR($D156="",$E156=""),"",IF(AND($D156&lt;=IF('Client &amp; Project Profile'!$B$10="",TODAY(),'Client &amp; Project Profile'!$B$10)+4*7+6,$E156&gt;=IF('Client &amp; Project Profile'!$B$10="",TODAY(),'Client &amp; Project Profile'!$B$10)+4*7),"■",""))</f>
        <v/>
      </c>
      <c r="R156" s="12">
        <f>IF(OR($D156="",$E156=""),"",IF(AND($D156&lt;=IF('Client &amp; Project Profile'!$B$10="",TODAY(),'Client &amp; Project Profile'!$B$10)+5*7+6,$E156&gt;=IF('Client &amp; Project Profile'!$B$10="",TODAY(),'Client &amp; Project Profile'!$B$10)+5*7),"■",""))</f>
        <v/>
      </c>
      <c r="S156" s="12">
        <f>IF(OR($D156="",$E156=""),"",IF(AND($D156&lt;=IF('Client &amp; Project Profile'!$B$10="",TODAY(),'Client &amp; Project Profile'!$B$10)+6*7+6,$E156&gt;=IF('Client &amp; Project Profile'!$B$10="",TODAY(),'Client &amp; Project Profile'!$B$10)+6*7),"■",""))</f>
        <v/>
      </c>
      <c r="T156" s="12">
        <f>IF(OR($D156="",$E156=""),"",IF(AND($D156&lt;=IF('Client &amp; Project Profile'!$B$10="",TODAY(),'Client &amp; Project Profile'!$B$10)+7*7+6,$E156&gt;=IF('Client &amp; Project Profile'!$B$10="",TODAY(),'Client &amp; Project Profile'!$B$10)+7*7),"■",""))</f>
        <v/>
      </c>
      <c r="U156" s="12">
        <f>IF(OR($D156="",$E156=""),"",IF(AND($D156&lt;=IF('Client &amp; Project Profile'!$B$10="",TODAY(),'Client &amp; Project Profile'!$B$10)+8*7+6,$E156&gt;=IF('Client &amp; Project Profile'!$B$10="",TODAY(),'Client &amp; Project Profile'!$B$10)+8*7),"■",""))</f>
        <v/>
      </c>
      <c r="V156" s="12">
        <f>IF(OR($D156="",$E156=""),"",IF(AND($D156&lt;=IF('Client &amp; Project Profile'!$B$10="",TODAY(),'Client &amp; Project Profile'!$B$10)+9*7+6,$E156&gt;=IF('Client &amp; Project Profile'!$B$10="",TODAY(),'Client &amp; Project Profile'!$B$10)+9*7),"■",""))</f>
        <v/>
      </c>
      <c r="W156" s="12">
        <f>IF(OR($D156="",$E156=""),"",IF(AND($D156&lt;=IF('Client &amp; Project Profile'!$B$10="",TODAY(),'Client &amp; Project Profile'!$B$10)+10*7+6,$E156&gt;=IF('Client &amp; Project Profile'!$B$10="",TODAY(),'Client &amp; Project Profile'!$B$10)+10*7),"■",""))</f>
        <v/>
      </c>
      <c r="X156" s="12">
        <f>IF(OR($D156="",$E156=""),"",IF(AND($D156&lt;=IF('Client &amp; Project Profile'!$B$10="",TODAY(),'Client &amp; Project Profile'!$B$10)+11*7+6,$E156&gt;=IF('Client &amp; Project Profile'!$B$10="",TODAY(),'Client &amp; Project Profile'!$B$10)+11*7),"■",""))</f>
        <v/>
      </c>
    </row>
    <row r="157">
      <c r="D157" s="9" t="n"/>
      <c r="E157" s="9" t="n"/>
      <c r="F157" s="9" t="n"/>
      <c r="K157">
        <f>IF(OR($D157="",$E157=""),"",$E157-$D157+1)</f>
        <v/>
      </c>
      <c r="L157">
        <f>IF(AND($E157&lt;TODAY(),$G157&lt;&gt;"Complete"),TODAY()-$E157,0)</f>
        <v/>
      </c>
      <c r="M157">
        <f>IF(OR($D157="",$E157=""),"",IF(AND($D157&lt;=IF('Client &amp; Project Profile'!$B$10="",TODAY(),'Client &amp; Project Profile'!$B$10)+0*7+6,$E157&gt;=IF('Client &amp; Project Profile'!$B$10="",TODAY(),'Client &amp; Project Profile'!$B$10)+0*7),"■",""))</f>
        <v/>
      </c>
      <c r="N157">
        <f>IF(OR($D157="",$E157=""),"",IF(AND($D157&lt;=IF('Client &amp; Project Profile'!$B$10="",TODAY(),'Client &amp; Project Profile'!$B$10)+1*7+6,$E157&gt;=IF('Client &amp; Project Profile'!$B$10="",TODAY(),'Client &amp; Project Profile'!$B$10)+1*7),"■",""))</f>
        <v/>
      </c>
      <c r="O157">
        <f>IF(OR($D157="",$E157=""),"",IF(AND($D157&lt;=IF('Client &amp; Project Profile'!$B$10="",TODAY(),'Client &amp; Project Profile'!$B$10)+2*7+6,$E157&gt;=IF('Client &amp; Project Profile'!$B$10="",TODAY(),'Client &amp; Project Profile'!$B$10)+2*7),"■",""))</f>
        <v/>
      </c>
      <c r="P157">
        <f>IF(OR($D157="",$E157=""),"",IF(AND($D157&lt;=IF('Client &amp; Project Profile'!$B$10="",TODAY(),'Client &amp; Project Profile'!$B$10)+3*7+6,$E157&gt;=IF('Client &amp; Project Profile'!$B$10="",TODAY(),'Client &amp; Project Profile'!$B$10)+3*7),"■",""))</f>
        <v/>
      </c>
      <c r="Q157">
        <f>IF(OR($D157="",$E157=""),"",IF(AND($D157&lt;=IF('Client &amp; Project Profile'!$B$10="",TODAY(),'Client &amp; Project Profile'!$B$10)+4*7+6,$E157&gt;=IF('Client &amp; Project Profile'!$B$10="",TODAY(),'Client &amp; Project Profile'!$B$10)+4*7),"■",""))</f>
        <v/>
      </c>
      <c r="R157">
        <f>IF(OR($D157="",$E157=""),"",IF(AND($D157&lt;=IF('Client &amp; Project Profile'!$B$10="",TODAY(),'Client &amp; Project Profile'!$B$10)+5*7+6,$E157&gt;=IF('Client &amp; Project Profile'!$B$10="",TODAY(),'Client &amp; Project Profile'!$B$10)+5*7),"■",""))</f>
        <v/>
      </c>
      <c r="S157">
        <f>IF(OR($D157="",$E157=""),"",IF(AND($D157&lt;=IF('Client &amp; Project Profile'!$B$10="",TODAY(),'Client &amp; Project Profile'!$B$10)+6*7+6,$E157&gt;=IF('Client &amp; Project Profile'!$B$10="",TODAY(),'Client &amp; Project Profile'!$B$10)+6*7),"■",""))</f>
        <v/>
      </c>
      <c r="T157">
        <f>IF(OR($D157="",$E157=""),"",IF(AND($D157&lt;=IF('Client &amp; Project Profile'!$B$10="",TODAY(),'Client &amp; Project Profile'!$B$10)+7*7+6,$E157&gt;=IF('Client &amp; Project Profile'!$B$10="",TODAY(),'Client &amp; Project Profile'!$B$10)+7*7),"■",""))</f>
        <v/>
      </c>
      <c r="U157">
        <f>IF(OR($D157="",$E157=""),"",IF(AND($D157&lt;=IF('Client &amp; Project Profile'!$B$10="",TODAY(),'Client &amp; Project Profile'!$B$10)+8*7+6,$E157&gt;=IF('Client &amp; Project Profile'!$B$10="",TODAY(),'Client &amp; Project Profile'!$B$10)+8*7),"■",""))</f>
        <v/>
      </c>
      <c r="V157">
        <f>IF(OR($D157="",$E157=""),"",IF(AND($D157&lt;=IF('Client &amp; Project Profile'!$B$10="",TODAY(),'Client &amp; Project Profile'!$B$10)+9*7+6,$E157&gt;=IF('Client &amp; Project Profile'!$B$10="",TODAY(),'Client &amp; Project Profile'!$B$10)+9*7),"■",""))</f>
        <v/>
      </c>
      <c r="W157">
        <f>IF(OR($D157="",$E157=""),"",IF(AND($D157&lt;=IF('Client &amp; Project Profile'!$B$10="",TODAY(),'Client &amp; Project Profile'!$B$10)+10*7+6,$E157&gt;=IF('Client &amp; Project Profile'!$B$10="",TODAY(),'Client &amp; Project Profile'!$B$10)+10*7),"■",""))</f>
        <v/>
      </c>
      <c r="X157">
        <f>IF(OR($D157="",$E157=""),"",IF(AND($D157&lt;=IF('Client &amp; Project Profile'!$B$10="",TODAY(),'Client &amp; Project Profile'!$B$10)+11*7+6,$E157&gt;=IF('Client &amp; Project Profile'!$B$10="",TODAY(),'Client &amp; Project Profile'!$B$10)+11*7),"■",""))</f>
        <v/>
      </c>
    </row>
    <row r="158">
      <c r="A158" s="12" t="n"/>
      <c r="B158" s="12" t="n"/>
      <c r="C158" s="12" t="n"/>
      <c r="D158" s="14" t="n"/>
      <c r="E158" s="14" t="n"/>
      <c r="F158" s="14" t="n"/>
      <c r="G158" s="12" t="n"/>
      <c r="H158" s="12" t="n"/>
      <c r="I158" s="12" t="n"/>
      <c r="J158" s="12" t="n"/>
      <c r="K158" s="12">
        <f>IF(OR($D158="",$E158=""),"",$E158-$D158+1)</f>
        <v/>
      </c>
      <c r="L158" s="12">
        <f>IF(AND($E158&lt;TODAY(),$G158&lt;&gt;"Complete"),TODAY()-$E158,0)</f>
        <v/>
      </c>
      <c r="M158" s="12">
        <f>IF(OR($D158="",$E158=""),"",IF(AND($D158&lt;=IF('Client &amp; Project Profile'!$B$10="",TODAY(),'Client &amp; Project Profile'!$B$10)+0*7+6,$E158&gt;=IF('Client &amp; Project Profile'!$B$10="",TODAY(),'Client &amp; Project Profile'!$B$10)+0*7),"■",""))</f>
        <v/>
      </c>
      <c r="N158" s="12">
        <f>IF(OR($D158="",$E158=""),"",IF(AND($D158&lt;=IF('Client &amp; Project Profile'!$B$10="",TODAY(),'Client &amp; Project Profile'!$B$10)+1*7+6,$E158&gt;=IF('Client &amp; Project Profile'!$B$10="",TODAY(),'Client &amp; Project Profile'!$B$10)+1*7),"■",""))</f>
        <v/>
      </c>
      <c r="O158" s="12">
        <f>IF(OR($D158="",$E158=""),"",IF(AND($D158&lt;=IF('Client &amp; Project Profile'!$B$10="",TODAY(),'Client &amp; Project Profile'!$B$10)+2*7+6,$E158&gt;=IF('Client &amp; Project Profile'!$B$10="",TODAY(),'Client &amp; Project Profile'!$B$10)+2*7),"■",""))</f>
        <v/>
      </c>
      <c r="P158" s="12">
        <f>IF(OR($D158="",$E158=""),"",IF(AND($D158&lt;=IF('Client &amp; Project Profile'!$B$10="",TODAY(),'Client &amp; Project Profile'!$B$10)+3*7+6,$E158&gt;=IF('Client &amp; Project Profile'!$B$10="",TODAY(),'Client &amp; Project Profile'!$B$10)+3*7),"■",""))</f>
        <v/>
      </c>
      <c r="Q158" s="12">
        <f>IF(OR($D158="",$E158=""),"",IF(AND($D158&lt;=IF('Client &amp; Project Profile'!$B$10="",TODAY(),'Client &amp; Project Profile'!$B$10)+4*7+6,$E158&gt;=IF('Client &amp; Project Profile'!$B$10="",TODAY(),'Client &amp; Project Profile'!$B$10)+4*7),"■",""))</f>
        <v/>
      </c>
      <c r="R158" s="12">
        <f>IF(OR($D158="",$E158=""),"",IF(AND($D158&lt;=IF('Client &amp; Project Profile'!$B$10="",TODAY(),'Client &amp; Project Profile'!$B$10)+5*7+6,$E158&gt;=IF('Client &amp; Project Profile'!$B$10="",TODAY(),'Client &amp; Project Profile'!$B$10)+5*7),"■",""))</f>
        <v/>
      </c>
      <c r="S158" s="12">
        <f>IF(OR($D158="",$E158=""),"",IF(AND($D158&lt;=IF('Client &amp; Project Profile'!$B$10="",TODAY(),'Client &amp; Project Profile'!$B$10)+6*7+6,$E158&gt;=IF('Client &amp; Project Profile'!$B$10="",TODAY(),'Client &amp; Project Profile'!$B$10)+6*7),"■",""))</f>
        <v/>
      </c>
      <c r="T158" s="12">
        <f>IF(OR($D158="",$E158=""),"",IF(AND($D158&lt;=IF('Client &amp; Project Profile'!$B$10="",TODAY(),'Client &amp; Project Profile'!$B$10)+7*7+6,$E158&gt;=IF('Client &amp; Project Profile'!$B$10="",TODAY(),'Client &amp; Project Profile'!$B$10)+7*7),"■",""))</f>
        <v/>
      </c>
      <c r="U158" s="12">
        <f>IF(OR($D158="",$E158=""),"",IF(AND($D158&lt;=IF('Client &amp; Project Profile'!$B$10="",TODAY(),'Client &amp; Project Profile'!$B$10)+8*7+6,$E158&gt;=IF('Client &amp; Project Profile'!$B$10="",TODAY(),'Client &amp; Project Profile'!$B$10)+8*7),"■",""))</f>
        <v/>
      </c>
      <c r="V158" s="12">
        <f>IF(OR($D158="",$E158=""),"",IF(AND($D158&lt;=IF('Client &amp; Project Profile'!$B$10="",TODAY(),'Client &amp; Project Profile'!$B$10)+9*7+6,$E158&gt;=IF('Client &amp; Project Profile'!$B$10="",TODAY(),'Client &amp; Project Profile'!$B$10)+9*7),"■",""))</f>
        <v/>
      </c>
      <c r="W158" s="12">
        <f>IF(OR($D158="",$E158=""),"",IF(AND($D158&lt;=IF('Client &amp; Project Profile'!$B$10="",TODAY(),'Client &amp; Project Profile'!$B$10)+10*7+6,$E158&gt;=IF('Client &amp; Project Profile'!$B$10="",TODAY(),'Client &amp; Project Profile'!$B$10)+10*7),"■",""))</f>
        <v/>
      </c>
      <c r="X158" s="12">
        <f>IF(OR($D158="",$E158=""),"",IF(AND($D158&lt;=IF('Client &amp; Project Profile'!$B$10="",TODAY(),'Client &amp; Project Profile'!$B$10)+11*7+6,$E158&gt;=IF('Client &amp; Project Profile'!$B$10="",TODAY(),'Client &amp; Project Profile'!$B$10)+11*7),"■",""))</f>
        <v/>
      </c>
    </row>
    <row r="159">
      <c r="D159" s="9" t="n"/>
      <c r="E159" s="9" t="n"/>
      <c r="F159" s="9" t="n"/>
      <c r="K159">
        <f>IF(OR($D159="",$E159=""),"",$E159-$D159+1)</f>
        <v/>
      </c>
      <c r="L159">
        <f>IF(AND($E159&lt;TODAY(),$G159&lt;&gt;"Complete"),TODAY()-$E159,0)</f>
        <v/>
      </c>
      <c r="M159">
        <f>IF(OR($D159="",$E159=""),"",IF(AND($D159&lt;=IF('Client &amp; Project Profile'!$B$10="",TODAY(),'Client &amp; Project Profile'!$B$10)+0*7+6,$E159&gt;=IF('Client &amp; Project Profile'!$B$10="",TODAY(),'Client &amp; Project Profile'!$B$10)+0*7),"■",""))</f>
        <v/>
      </c>
      <c r="N159">
        <f>IF(OR($D159="",$E159=""),"",IF(AND($D159&lt;=IF('Client &amp; Project Profile'!$B$10="",TODAY(),'Client &amp; Project Profile'!$B$10)+1*7+6,$E159&gt;=IF('Client &amp; Project Profile'!$B$10="",TODAY(),'Client &amp; Project Profile'!$B$10)+1*7),"■",""))</f>
        <v/>
      </c>
      <c r="O159">
        <f>IF(OR($D159="",$E159=""),"",IF(AND($D159&lt;=IF('Client &amp; Project Profile'!$B$10="",TODAY(),'Client &amp; Project Profile'!$B$10)+2*7+6,$E159&gt;=IF('Client &amp; Project Profile'!$B$10="",TODAY(),'Client &amp; Project Profile'!$B$10)+2*7),"■",""))</f>
        <v/>
      </c>
      <c r="P159">
        <f>IF(OR($D159="",$E159=""),"",IF(AND($D159&lt;=IF('Client &amp; Project Profile'!$B$10="",TODAY(),'Client &amp; Project Profile'!$B$10)+3*7+6,$E159&gt;=IF('Client &amp; Project Profile'!$B$10="",TODAY(),'Client &amp; Project Profile'!$B$10)+3*7),"■",""))</f>
        <v/>
      </c>
      <c r="Q159">
        <f>IF(OR($D159="",$E159=""),"",IF(AND($D159&lt;=IF('Client &amp; Project Profile'!$B$10="",TODAY(),'Client &amp; Project Profile'!$B$10)+4*7+6,$E159&gt;=IF('Client &amp; Project Profile'!$B$10="",TODAY(),'Client &amp; Project Profile'!$B$10)+4*7),"■",""))</f>
        <v/>
      </c>
      <c r="R159">
        <f>IF(OR($D159="",$E159=""),"",IF(AND($D159&lt;=IF('Client &amp; Project Profile'!$B$10="",TODAY(),'Client &amp; Project Profile'!$B$10)+5*7+6,$E159&gt;=IF('Client &amp; Project Profile'!$B$10="",TODAY(),'Client &amp; Project Profile'!$B$10)+5*7),"■",""))</f>
        <v/>
      </c>
      <c r="S159">
        <f>IF(OR($D159="",$E159=""),"",IF(AND($D159&lt;=IF('Client &amp; Project Profile'!$B$10="",TODAY(),'Client &amp; Project Profile'!$B$10)+6*7+6,$E159&gt;=IF('Client &amp; Project Profile'!$B$10="",TODAY(),'Client &amp; Project Profile'!$B$10)+6*7),"■",""))</f>
        <v/>
      </c>
      <c r="T159">
        <f>IF(OR($D159="",$E159=""),"",IF(AND($D159&lt;=IF('Client &amp; Project Profile'!$B$10="",TODAY(),'Client &amp; Project Profile'!$B$10)+7*7+6,$E159&gt;=IF('Client &amp; Project Profile'!$B$10="",TODAY(),'Client &amp; Project Profile'!$B$10)+7*7),"■",""))</f>
        <v/>
      </c>
      <c r="U159">
        <f>IF(OR($D159="",$E159=""),"",IF(AND($D159&lt;=IF('Client &amp; Project Profile'!$B$10="",TODAY(),'Client &amp; Project Profile'!$B$10)+8*7+6,$E159&gt;=IF('Client &amp; Project Profile'!$B$10="",TODAY(),'Client &amp; Project Profile'!$B$10)+8*7),"■",""))</f>
        <v/>
      </c>
      <c r="V159">
        <f>IF(OR($D159="",$E159=""),"",IF(AND($D159&lt;=IF('Client &amp; Project Profile'!$B$10="",TODAY(),'Client &amp; Project Profile'!$B$10)+9*7+6,$E159&gt;=IF('Client &amp; Project Profile'!$B$10="",TODAY(),'Client &amp; Project Profile'!$B$10)+9*7),"■",""))</f>
        <v/>
      </c>
      <c r="W159">
        <f>IF(OR($D159="",$E159=""),"",IF(AND($D159&lt;=IF('Client &amp; Project Profile'!$B$10="",TODAY(),'Client &amp; Project Profile'!$B$10)+10*7+6,$E159&gt;=IF('Client &amp; Project Profile'!$B$10="",TODAY(),'Client &amp; Project Profile'!$B$10)+10*7),"■",""))</f>
        <v/>
      </c>
      <c r="X159">
        <f>IF(OR($D159="",$E159=""),"",IF(AND($D159&lt;=IF('Client &amp; Project Profile'!$B$10="",TODAY(),'Client &amp; Project Profile'!$B$10)+11*7+6,$E159&gt;=IF('Client &amp; Project Profile'!$B$10="",TODAY(),'Client &amp; Project Profile'!$B$10)+11*7),"■",""))</f>
        <v/>
      </c>
    </row>
    <row r="160">
      <c r="A160" s="12" t="n"/>
      <c r="B160" s="12" t="n"/>
      <c r="C160" s="12" t="n"/>
      <c r="D160" s="14" t="n"/>
      <c r="E160" s="14" t="n"/>
      <c r="F160" s="14" t="n"/>
      <c r="G160" s="12" t="n"/>
      <c r="H160" s="12" t="n"/>
      <c r="I160" s="12" t="n"/>
      <c r="J160" s="12" t="n"/>
      <c r="K160" s="12">
        <f>IF(OR($D160="",$E160=""),"",$E160-$D160+1)</f>
        <v/>
      </c>
      <c r="L160" s="12">
        <f>IF(AND($E160&lt;TODAY(),$G160&lt;&gt;"Complete"),TODAY()-$E160,0)</f>
        <v/>
      </c>
      <c r="M160" s="12">
        <f>IF(OR($D160="",$E160=""),"",IF(AND($D160&lt;=IF('Client &amp; Project Profile'!$B$10="",TODAY(),'Client &amp; Project Profile'!$B$10)+0*7+6,$E160&gt;=IF('Client &amp; Project Profile'!$B$10="",TODAY(),'Client &amp; Project Profile'!$B$10)+0*7),"■",""))</f>
        <v/>
      </c>
      <c r="N160" s="12">
        <f>IF(OR($D160="",$E160=""),"",IF(AND($D160&lt;=IF('Client &amp; Project Profile'!$B$10="",TODAY(),'Client &amp; Project Profile'!$B$10)+1*7+6,$E160&gt;=IF('Client &amp; Project Profile'!$B$10="",TODAY(),'Client &amp; Project Profile'!$B$10)+1*7),"■",""))</f>
        <v/>
      </c>
      <c r="O160" s="12">
        <f>IF(OR($D160="",$E160=""),"",IF(AND($D160&lt;=IF('Client &amp; Project Profile'!$B$10="",TODAY(),'Client &amp; Project Profile'!$B$10)+2*7+6,$E160&gt;=IF('Client &amp; Project Profile'!$B$10="",TODAY(),'Client &amp; Project Profile'!$B$10)+2*7),"■",""))</f>
        <v/>
      </c>
      <c r="P160" s="12">
        <f>IF(OR($D160="",$E160=""),"",IF(AND($D160&lt;=IF('Client &amp; Project Profile'!$B$10="",TODAY(),'Client &amp; Project Profile'!$B$10)+3*7+6,$E160&gt;=IF('Client &amp; Project Profile'!$B$10="",TODAY(),'Client &amp; Project Profile'!$B$10)+3*7),"■",""))</f>
        <v/>
      </c>
      <c r="Q160" s="12">
        <f>IF(OR($D160="",$E160=""),"",IF(AND($D160&lt;=IF('Client &amp; Project Profile'!$B$10="",TODAY(),'Client &amp; Project Profile'!$B$10)+4*7+6,$E160&gt;=IF('Client &amp; Project Profile'!$B$10="",TODAY(),'Client &amp; Project Profile'!$B$10)+4*7),"■",""))</f>
        <v/>
      </c>
      <c r="R160" s="12">
        <f>IF(OR($D160="",$E160=""),"",IF(AND($D160&lt;=IF('Client &amp; Project Profile'!$B$10="",TODAY(),'Client &amp; Project Profile'!$B$10)+5*7+6,$E160&gt;=IF('Client &amp; Project Profile'!$B$10="",TODAY(),'Client &amp; Project Profile'!$B$10)+5*7),"■",""))</f>
        <v/>
      </c>
      <c r="S160" s="12">
        <f>IF(OR($D160="",$E160=""),"",IF(AND($D160&lt;=IF('Client &amp; Project Profile'!$B$10="",TODAY(),'Client &amp; Project Profile'!$B$10)+6*7+6,$E160&gt;=IF('Client &amp; Project Profile'!$B$10="",TODAY(),'Client &amp; Project Profile'!$B$10)+6*7),"■",""))</f>
        <v/>
      </c>
      <c r="T160" s="12">
        <f>IF(OR($D160="",$E160=""),"",IF(AND($D160&lt;=IF('Client &amp; Project Profile'!$B$10="",TODAY(),'Client &amp; Project Profile'!$B$10)+7*7+6,$E160&gt;=IF('Client &amp; Project Profile'!$B$10="",TODAY(),'Client &amp; Project Profile'!$B$10)+7*7),"■",""))</f>
        <v/>
      </c>
      <c r="U160" s="12">
        <f>IF(OR($D160="",$E160=""),"",IF(AND($D160&lt;=IF('Client &amp; Project Profile'!$B$10="",TODAY(),'Client &amp; Project Profile'!$B$10)+8*7+6,$E160&gt;=IF('Client &amp; Project Profile'!$B$10="",TODAY(),'Client &amp; Project Profile'!$B$10)+8*7),"■",""))</f>
        <v/>
      </c>
      <c r="V160" s="12">
        <f>IF(OR($D160="",$E160=""),"",IF(AND($D160&lt;=IF('Client &amp; Project Profile'!$B$10="",TODAY(),'Client &amp; Project Profile'!$B$10)+9*7+6,$E160&gt;=IF('Client &amp; Project Profile'!$B$10="",TODAY(),'Client &amp; Project Profile'!$B$10)+9*7),"■",""))</f>
        <v/>
      </c>
      <c r="W160" s="12">
        <f>IF(OR($D160="",$E160=""),"",IF(AND($D160&lt;=IF('Client &amp; Project Profile'!$B$10="",TODAY(),'Client &amp; Project Profile'!$B$10)+10*7+6,$E160&gt;=IF('Client &amp; Project Profile'!$B$10="",TODAY(),'Client &amp; Project Profile'!$B$10)+10*7),"■",""))</f>
        <v/>
      </c>
      <c r="X160" s="12">
        <f>IF(OR($D160="",$E160=""),"",IF(AND($D160&lt;=IF('Client &amp; Project Profile'!$B$10="",TODAY(),'Client &amp; Project Profile'!$B$10)+11*7+6,$E160&gt;=IF('Client &amp; Project Profile'!$B$10="",TODAY(),'Client &amp; Project Profile'!$B$10)+11*7),"■",""))</f>
        <v/>
      </c>
    </row>
    <row r="161">
      <c r="D161" s="9" t="n"/>
      <c r="E161" s="9" t="n"/>
      <c r="F161" s="9" t="n"/>
      <c r="K161">
        <f>IF(OR($D161="",$E161=""),"",$E161-$D161+1)</f>
        <v/>
      </c>
      <c r="L161">
        <f>IF(AND($E161&lt;TODAY(),$G161&lt;&gt;"Complete"),TODAY()-$E161,0)</f>
        <v/>
      </c>
      <c r="M161">
        <f>IF(OR($D161="",$E161=""),"",IF(AND($D161&lt;=IF('Client &amp; Project Profile'!$B$10="",TODAY(),'Client &amp; Project Profile'!$B$10)+0*7+6,$E161&gt;=IF('Client &amp; Project Profile'!$B$10="",TODAY(),'Client &amp; Project Profile'!$B$10)+0*7),"■",""))</f>
        <v/>
      </c>
      <c r="N161">
        <f>IF(OR($D161="",$E161=""),"",IF(AND($D161&lt;=IF('Client &amp; Project Profile'!$B$10="",TODAY(),'Client &amp; Project Profile'!$B$10)+1*7+6,$E161&gt;=IF('Client &amp; Project Profile'!$B$10="",TODAY(),'Client &amp; Project Profile'!$B$10)+1*7),"■",""))</f>
        <v/>
      </c>
      <c r="O161">
        <f>IF(OR($D161="",$E161=""),"",IF(AND($D161&lt;=IF('Client &amp; Project Profile'!$B$10="",TODAY(),'Client &amp; Project Profile'!$B$10)+2*7+6,$E161&gt;=IF('Client &amp; Project Profile'!$B$10="",TODAY(),'Client &amp; Project Profile'!$B$10)+2*7),"■",""))</f>
        <v/>
      </c>
      <c r="P161">
        <f>IF(OR($D161="",$E161=""),"",IF(AND($D161&lt;=IF('Client &amp; Project Profile'!$B$10="",TODAY(),'Client &amp; Project Profile'!$B$10)+3*7+6,$E161&gt;=IF('Client &amp; Project Profile'!$B$10="",TODAY(),'Client &amp; Project Profile'!$B$10)+3*7),"■",""))</f>
        <v/>
      </c>
      <c r="Q161">
        <f>IF(OR($D161="",$E161=""),"",IF(AND($D161&lt;=IF('Client &amp; Project Profile'!$B$10="",TODAY(),'Client &amp; Project Profile'!$B$10)+4*7+6,$E161&gt;=IF('Client &amp; Project Profile'!$B$10="",TODAY(),'Client &amp; Project Profile'!$B$10)+4*7),"■",""))</f>
        <v/>
      </c>
      <c r="R161">
        <f>IF(OR($D161="",$E161=""),"",IF(AND($D161&lt;=IF('Client &amp; Project Profile'!$B$10="",TODAY(),'Client &amp; Project Profile'!$B$10)+5*7+6,$E161&gt;=IF('Client &amp; Project Profile'!$B$10="",TODAY(),'Client &amp; Project Profile'!$B$10)+5*7),"■",""))</f>
        <v/>
      </c>
      <c r="S161">
        <f>IF(OR($D161="",$E161=""),"",IF(AND($D161&lt;=IF('Client &amp; Project Profile'!$B$10="",TODAY(),'Client &amp; Project Profile'!$B$10)+6*7+6,$E161&gt;=IF('Client &amp; Project Profile'!$B$10="",TODAY(),'Client &amp; Project Profile'!$B$10)+6*7),"■",""))</f>
        <v/>
      </c>
      <c r="T161">
        <f>IF(OR($D161="",$E161=""),"",IF(AND($D161&lt;=IF('Client &amp; Project Profile'!$B$10="",TODAY(),'Client &amp; Project Profile'!$B$10)+7*7+6,$E161&gt;=IF('Client &amp; Project Profile'!$B$10="",TODAY(),'Client &amp; Project Profile'!$B$10)+7*7),"■",""))</f>
        <v/>
      </c>
      <c r="U161">
        <f>IF(OR($D161="",$E161=""),"",IF(AND($D161&lt;=IF('Client &amp; Project Profile'!$B$10="",TODAY(),'Client &amp; Project Profile'!$B$10)+8*7+6,$E161&gt;=IF('Client &amp; Project Profile'!$B$10="",TODAY(),'Client &amp; Project Profile'!$B$10)+8*7),"■",""))</f>
        <v/>
      </c>
      <c r="V161">
        <f>IF(OR($D161="",$E161=""),"",IF(AND($D161&lt;=IF('Client &amp; Project Profile'!$B$10="",TODAY(),'Client &amp; Project Profile'!$B$10)+9*7+6,$E161&gt;=IF('Client &amp; Project Profile'!$B$10="",TODAY(),'Client &amp; Project Profile'!$B$10)+9*7),"■",""))</f>
        <v/>
      </c>
      <c r="W161">
        <f>IF(OR($D161="",$E161=""),"",IF(AND($D161&lt;=IF('Client &amp; Project Profile'!$B$10="",TODAY(),'Client &amp; Project Profile'!$B$10)+10*7+6,$E161&gt;=IF('Client &amp; Project Profile'!$B$10="",TODAY(),'Client &amp; Project Profile'!$B$10)+10*7),"■",""))</f>
        <v/>
      </c>
      <c r="X161">
        <f>IF(OR($D161="",$E161=""),"",IF(AND($D161&lt;=IF('Client &amp; Project Profile'!$B$10="",TODAY(),'Client &amp; Project Profile'!$B$10)+11*7+6,$E161&gt;=IF('Client &amp; Project Profile'!$B$10="",TODAY(),'Client &amp; Project Profile'!$B$10)+11*7),"■",""))</f>
        <v/>
      </c>
    </row>
    <row r="162">
      <c r="A162" s="12" t="n"/>
      <c r="B162" s="12" t="n"/>
      <c r="C162" s="12" t="n"/>
      <c r="D162" s="14" t="n"/>
      <c r="E162" s="14" t="n"/>
      <c r="F162" s="14" t="n"/>
      <c r="G162" s="12" t="n"/>
      <c r="H162" s="12" t="n"/>
      <c r="I162" s="12" t="n"/>
      <c r="J162" s="12" t="n"/>
      <c r="K162" s="12">
        <f>IF(OR($D162="",$E162=""),"",$E162-$D162+1)</f>
        <v/>
      </c>
      <c r="L162" s="12">
        <f>IF(AND($E162&lt;TODAY(),$G162&lt;&gt;"Complete"),TODAY()-$E162,0)</f>
        <v/>
      </c>
      <c r="M162" s="12">
        <f>IF(OR($D162="",$E162=""),"",IF(AND($D162&lt;=IF('Client &amp; Project Profile'!$B$10="",TODAY(),'Client &amp; Project Profile'!$B$10)+0*7+6,$E162&gt;=IF('Client &amp; Project Profile'!$B$10="",TODAY(),'Client &amp; Project Profile'!$B$10)+0*7),"■",""))</f>
        <v/>
      </c>
      <c r="N162" s="12">
        <f>IF(OR($D162="",$E162=""),"",IF(AND($D162&lt;=IF('Client &amp; Project Profile'!$B$10="",TODAY(),'Client &amp; Project Profile'!$B$10)+1*7+6,$E162&gt;=IF('Client &amp; Project Profile'!$B$10="",TODAY(),'Client &amp; Project Profile'!$B$10)+1*7),"■",""))</f>
        <v/>
      </c>
      <c r="O162" s="12">
        <f>IF(OR($D162="",$E162=""),"",IF(AND($D162&lt;=IF('Client &amp; Project Profile'!$B$10="",TODAY(),'Client &amp; Project Profile'!$B$10)+2*7+6,$E162&gt;=IF('Client &amp; Project Profile'!$B$10="",TODAY(),'Client &amp; Project Profile'!$B$10)+2*7),"■",""))</f>
        <v/>
      </c>
      <c r="P162" s="12">
        <f>IF(OR($D162="",$E162=""),"",IF(AND($D162&lt;=IF('Client &amp; Project Profile'!$B$10="",TODAY(),'Client &amp; Project Profile'!$B$10)+3*7+6,$E162&gt;=IF('Client &amp; Project Profile'!$B$10="",TODAY(),'Client &amp; Project Profile'!$B$10)+3*7),"■",""))</f>
        <v/>
      </c>
      <c r="Q162" s="12">
        <f>IF(OR($D162="",$E162=""),"",IF(AND($D162&lt;=IF('Client &amp; Project Profile'!$B$10="",TODAY(),'Client &amp; Project Profile'!$B$10)+4*7+6,$E162&gt;=IF('Client &amp; Project Profile'!$B$10="",TODAY(),'Client &amp; Project Profile'!$B$10)+4*7),"■",""))</f>
        <v/>
      </c>
      <c r="R162" s="12">
        <f>IF(OR($D162="",$E162=""),"",IF(AND($D162&lt;=IF('Client &amp; Project Profile'!$B$10="",TODAY(),'Client &amp; Project Profile'!$B$10)+5*7+6,$E162&gt;=IF('Client &amp; Project Profile'!$B$10="",TODAY(),'Client &amp; Project Profile'!$B$10)+5*7),"■",""))</f>
        <v/>
      </c>
      <c r="S162" s="12">
        <f>IF(OR($D162="",$E162=""),"",IF(AND($D162&lt;=IF('Client &amp; Project Profile'!$B$10="",TODAY(),'Client &amp; Project Profile'!$B$10)+6*7+6,$E162&gt;=IF('Client &amp; Project Profile'!$B$10="",TODAY(),'Client &amp; Project Profile'!$B$10)+6*7),"■",""))</f>
        <v/>
      </c>
      <c r="T162" s="12">
        <f>IF(OR($D162="",$E162=""),"",IF(AND($D162&lt;=IF('Client &amp; Project Profile'!$B$10="",TODAY(),'Client &amp; Project Profile'!$B$10)+7*7+6,$E162&gt;=IF('Client &amp; Project Profile'!$B$10="",TODAY(),'Client &amp; Project Profile'!$B$10)+7*7),"■",""))</f>
        <v/>
      </c>
      <c r="U162" s="12">
        <f>IF(OR($D162="",$E162=""),"",IF(AND($D162&lt;=IF('Client &amp; Project Profile'!$B$10="",TODAY(),'Client &amp; Project Profile'!$B$10)+8*7+6,$E162&gt;=IF('Client &amp; Project Profile'!$B$10="",TODAY(),'Client &amp; Project Profile'!$B$10)+8*7),"■",""))</f>
        <v/>
      </c>
      <c r="V162" s="12">
        <f>IF(OR($D162="",$E162=""),"",IF(AND($D162&lt;=IF('Client &amp; Project Profile'!$B$10="",TODAY(),'Client &amp; Project Profile'!$B$10)+9*7+6,$E162&gt;=IF('Client &amp; Project Profile'!$B$10="",TODAY(),'Client &amp; Project Profile'!$B$10)+9*7),"■",""))</f>
        <v/>
      </c>
      <c r="W162" s="12">
        <f>IF(OR($D162="",$E162=""),"",IF(AND($D162&lt;=IF('Client &amp; Project Profile'!$B$10="",TODAY(),'Client &amp; Project Profile'!$B$10)+10*7+6,$E162&gt;=IF('Client &amp; Project Profile'!$B$10="",TODAY(),'Client &amp; Project Profile'!$B$10)+10*7),"■",""))</f>
        <v/>
      </c>
      <c r="X162" s="12">
        <f>IF(OR($D162="",$E162=""),"",IF(AND($D162&lt;=IF('Client &amp; Project Profile'!$B$10="",TODAY(),'Client &amp; Project Profile'!$B$10)+11*7+6,$E162&gt;=IF('Client &amp; Project Profile'!$B$10="",TODAY(),'Client &amp; Project Profile'!$B$10)+11*7),"■",""))</f>
        <v/>
      </c>
    </row>
    <row r="163">
      <c r="D163" s="9" t="n"/>
      <c r="E163" s="9" t="n"/>
      <c r="F163" s="9" t="n"/>
      <c r="K163">
        <f>IF(OR($D163="",$E163=""),"",$E163-$D163+1)</f>
        <v/>
      </c>
      <c r="L163">
        <f>IF(AND($E163&lt;TODAY(),$G163&lt;&gt;"Complete"),TODAY()-$E163,0)</f>
        <v/>
      </c>
      <c r="M163">
        <f>IF(OR($D163="",$E163=""),"",IF(AND($D163&lt;=IF('Client &amp; Project Profile'!$B$10="",TODAY(),'Client &amp; Project Profile'!$B$10)+0*7+6,$E163&gt;=IF('Client &amp; Project Profile'!$B$10="",TODAY(),'Client &amp; Project Profile'!$B$10)+0*7),"■",""))</f>
        <v/>
      </c>
      <c r="N163">
        <f>IF(OR($D163="",$E163=""),"",IF(AND($D163&lt;=IF('Client &amp; Project Profile'!$B$10="",TODAY(),'Client &amp; Project Profile'!$B$10)+1*7+6,$E163&gt;=IF('Client &amp; Project Profile'!$B$10="",TODAY(),'Client &amp; Project Profile'!$B$10)+1*7),"■",""))</f>
        <v/>
      </c>
      <c r="O163">
        <f>IF(OR($D163="",$E163=""),"",IF(AND($D163&lt;=IF('Client &amp; Project Profile'!$B$10="",TODAY(),'Client &amp; Project Profile'!$B$10)+2*7+6,$E163&gt;=IF('Client &amp; Project Profile'!$B$10="",TODAY(),'Client &amp; Project Profile'!$B$10)+2*7),"■",""))</f>
        <v/>
      </c>
      <c r="P163">
        <f>IF(OR($D163="",$E163=""),"",IF(AND($D163&lt;=IF('Client &amp; Project Profile'!$B$10="",TODAY(),'Client &amp; Project Profile'!$B$10)+3*7+6,$E163&gt;=IF('Client &amp; Project Profile'!$B$10="",TODAY(),'Client &amp; Project Profile'!$B$10)+3*7),"■",""))</f>
        <v/>
      </c>
      <c r="Q163">
        <f>IF(OR($D163="",$E163=""),"",IF(AND($D163&lt;=IF('Client &amp; Project Profile'!$B$10="",TODAY(),'Client &amp; Project Profile'!$B$10)+4*7+6,$E163&gt;=IF('Client &amp; Project Profile'!$B$10="",TODAY(),'Client &amp; Project Profile'!$B$10)+4*7),"■",""))</f>
        <v/>
      </c>
      <c r="R163">
        <f>IF(OR($D163="",$E163=""),"",IF(AND($D163&lt;=IF('Client &amp; Project Profile'!$B$10="",TODAY(),'Client &amp; Project Profile'!$B$10)+5*7+6,$E163&gt;=IF('Client &amp; Project Profile'!$B$10="",TODAY(),'Client &amp; Project Profile'!$B$10)+5*7),"■",""))</f>
        <v/>
      </c>
      <c r="S163">
        <f>IF(OR($D163="",$E163=""),"",IF(AND($D163&lt;=IF('Client &amp; Project Profile'!$B$10="",TODAY(),'Client &amp; Project Profile'!$B$10)+6*7+6,$E163&gt;=IF('Client &amp; Project Profile'!$B$10="",TODAY(),'Client &amp; Project Profile'!$B$10)+6*7),"■",""))</f>
        <v/>
      </c>
      <c r="T163">
        <f>IF(OR($D163="",$E163=""),"",IF(AND($D163&lt;=IF('Client &amp; Project Profile'!$B$10="",TODAY(),'Client &amp; Project Profile'!$B$10)+7*7+6,$E163&gt;=IF('Client &amp; Project Profile'!$B$10="",TODAY(),'Client &amp; Project Profile'!$B$10)+7*7),"■",""))</f>
        <v/>
      </c>
      <c r="U163">
        <f>IF(OR($D163="",$E163=""),"",IF(AND($D163&lt;=IF('Client &amp; Project Profile'!$B$10="",TODAY(),'Client &amp; Project Profile'!$B$10)+8*7+6,$E163&gt;=IF('Client &amp; Project Profile'!$B$10="",TODAY(),'Client &amp; Project Profile'!$B$10)+8*7),"■",""))</f>
        <v/>
      </c>
      <c r="V163">
        <f>IF(OR($D163="",$E163=""),"",IF(AND($D163&lt;=IF('Client &amp; Project Profile'!$B$10="",TODAY(),'Client &amp; Project Profile'!$B$10)+9*7+6,$E163&gt;=IF('Client &amp; Project Profile'!$B$10="",TODAY(),'Client &amp; Project Profile'!$B$10)+9*7),"■",""))</f>
        <v/>
      </c>
      <c r="W163">
        <f>IF(OR($D163="",$E163=""),"",IF(AND($D163&lt;=IF('Client &amp; Project Profile'!$B$10="",TODAY(),'Client &amp; Project Profile'!$B$10)+10*7+6,$E163&gt;=IF('Client &amp; Project Profile'!$B$10="",TODAY(),'Client &amp; Project Profile'!$B$10)+10*7),"■",""))</f>
        <v/>
      </c>
      <c r="X163">
        <f>IF(OR($D163="",$E163=""),"",IF(AND($D163&lt;=IF('Client &amp; Project Profile'!$B$10="",TODAY(),'Client &amp; Project Profile'!$B$10)+11*7+6,$E163&gt;=IF('Client &amp; Project Profile'!$B$10="",TODAY(),'Client &amp; Project Profile'!$B$10)+11*7),"■",""))</f>
        <v/>
      </c>
    </row>
    <row r="164">
      <c r="A164" s="12" t="n"/>
      <c r="B164" s="12" t="n"/>
      <c r="C164" s="12" t="n"/>
      <c r="D164" s="14" t="n"/>
      <c r="E164" s="14" t="n"/>
      <c r="F164" s="14" t="n"/>
      <c r="G164" s="12" t="n"/>
      <c r="H164" s="12" t="n"/>
      <c r="I164" s="12" t="n"/>
      <c r="J164" s="12" t="n"/>
      <c r="K164" s="12">
        <f>IF(OR($D164="",$E164=""),"",$E164-$D164+1)</f>
        <v/>
      </c>
      <c r="L164" s="12">
        <f>IF(AND($E164&lt;TODAY(),$G164&lt;&gt;"Complete"),TODAY()-$E164,0)</f>
        <v/>
      </c>
      <c r="M164" s="12">
        <f>IF(OR($D164="",$E164=""),"",IF(AND($D164&lt;=IF('Client &amp; Project Profile'!$B$10="",TODAY(),'Client &amp; Project Profile'!$B$10)+0*7+6,$E164&gt;=IF('Client &amp; Project Profile'!$B$10="",TODAY(),'Client &amp; Project Profile'!$B$10)+0*7),"■",""))</f>
        <v/>
      </c>
      <c r="N164" s="12">
        <f>IF(OR($D164="",$E164=""),"",IF(AND($D164&lt;=IF('Client &amp; Project Profile'!$B$10="",TODAY(),'Client &amp; Project Profile'!$B$10)+1*7+6,$E164&gt;=IF('Client &amp; Project Profile'!$B$10="",TODAY(),'Client &amp; Project Profile'!$B$10)+1*7),"■",""))</f>
        <v/>
      </c>
      <c r="O164" s="12">
        <f>IF(OR($D164="",$E164=""),"",IF(AND($D164&lt;=IF('Client &amp; Project Profile'!$B$10="",TODAY(),'Client &amp; Project Profile'!$B$10)+2*7+6,$E164&gt;=IF('Client &amp; Project Profile'!$B$10="",TODAY(),'Client &amp; Project Profile'!$B$10)+2*7),"■",""))</f>
        <v/>
      </c>
      <c r="P164" s="12">
        <f>IF(OR($D164="",$E164=""),"",IF(AND($D164&lt;=IF('Client &amp; Project Profile'!$B$10="",TODAY(),'Client &amp; Project Profile'!$B$10)+3*7+6,$E164&gt;=IF('Client &amp; Project Profile'!$B$10="",TODAY(),'Client &amp; Project Profile'!$B$10)+3*7),"■",""))</f>
        <v/>
      </c>
      <c r="Q164" s="12">
        <f>IF(OR($D164="",$E164=""),"",IF(AND($D164&lt;=IF('Client &amp; Project Profile'!$B$10="",TODAY(),'Client &amp; Project Profile'!$B$10)+4*7+6,$E164&gt;=IF('Client &amp; Project Profile'!$B$10="",TODAY(),'Client &amp; Project Profile'!$B$10)+4*7),"■",""))</f>
        <v/>
      </c>
      <c r="R164" s="12">
        <f>IF(OR($D164="",$E164=""),"",IF(AND($D164&lt;=IF('Client &amp; Project Profile'!$B$10="",TODAY(),'Client &amp; Project Profile'!$B$10)+5*7+6,$E164&gt;=IF('Client &amp; Project Profile'!$B$10="",TODAY(),'Client &amp; Project Profile'!$B$10)+5*7),"■",""))</f>
        <v/>
      </c>
      <c r="S164" s="12">
        <f>IF(OR($D164="",$E164=""),"",IF(AND($D164&lt;=IF('Client &amp; Project Profile'!$B$10="",TODAY(),'Client &amp; Project Profile'!$B$10)+6*7+6,$E164&gt;=IF('Client &amp; Project Profile'!$B$10="",TODAY(),'Client &amp; Project Profile'!$B$10)+6*7),"■",""))</f>
        <v/>
      </c>
      <c r="T164" s="12">
        <f>IF(OR($D164="",$E164=""),"",IF(AND($D164&lt;=IF('Client &amp; Project Profile'!$B$10="",TODAY(),'Client &amp; Project Profile'!$B$10)+7*7+6,$E164&gt;=IF('Client &amp; Project Profile'!$B$10="",TODAY(),'Client &amp; Project Profile'!$B$10)+7*7),"■",""))</f>
        <v/>
      </c>
      <c r="U164" s="12">
        <f>IF(OR($D164="",$E164=""),"",IF(AND($D164&lt;=IF('Client &amp; Project Profile'!$B$10="",TODAY(),'Client &amp; Project Profile'!$B$10)+8*7+6,$E164&gt;=IF('Client &amp; Project Profile'!$B$10="",TODAY(),'Client &amp; Project Profile'!$B$10)+8*7),"■",""))</f>
        <v/>
      </c>
      <c r="V164" s="12">
        <f>IF(OR($D164="",$E164=""),"",IF(AND($D164&lt;=IF('Client &amp; Project Profile'!$B$10="",TODAY(),'Client &amp; Project Profile'!$B$10)+9*7+6,$E164&gt;=IF('Client &amp; Project Profile'!$B$10="",TODAY(),'Client &amp; Project Profile'!$B$10)+9*7),"■",""))</f>
        <v/>
      </c>
      <c r="W164" s="12">
        <f>IF(OR($D164="",$E164=""),"",IF(AND($D164&lt;=IF('Client &amp; Project Profile'!$B$10="",TODAY(),'Client &amp; Project Profile'!$B$10)+10*7+6,$E164&gt;=IF('Client &amp; Project Profile'!$B$10="",TODAY(),'Client &amp; Project Profile'!$B$10)+10*7),"■",""))</f>
        <v/>
      </c>
      <c r="X164" s="12">
        <f>IF(OR($D164="",$E164=""),"",IF(AND($D164&lt;=IF('Client &amp; Project Profile'!$B$10="",TODAY(),'Client &amp; Project Profile'!$B$10)+11*7+6,$E164&gt;=IF('Client &amp; Project Profile'!$B$10="",TODAY(),'Client &amp; Project Profile'!$B$10)+11*7),"■",""))</f>
        <v/>
      </c>
    </row>
    <row r="165">
      <c r="D165" s="9" t="n"/>
      <c r="E165" s="9" t="n"/>
      <c r="F165" s="9" t="n"/>
      <c r="K165">
        <f>IF(OR($D165="",$E165=""),"",$E165-$D165+1)</f>
        <v/>
      </c>
      <c r="L165">
        <f>IF(AND($E165&lt;TODAY(),$G165&lt;&gt;"Complete"),TODAY()-$E165,0)</f>
        <v/>
      </c>
      <c r="M165">
        <f>IF(OR($D165="",$E165=""),"",IF(AND($D165&lt;=IF('Client &amp; Project Profile'!$B$10="",TODAY(),'Client &amp; Project Profile'!$B$10)+0*7+6,$E165&gt;=IF('Client &amp; Project Profile'!$B$10="",TODAY(),'Client &amp; Project Profile'!$B$10)+0*7),"■",""))</f>
        <v/>
      </c>
      <c r="N165">
        <f>IF(OR($D165="",$E165=""),"",IF(AND($D165&lt;=IF('Client &amp; Project Profile'!$B$10="",TODAY(),'Client &amp; Project Profile'!$B$10)+1*7+6,$E165&gt;=IF('Client &amp; Project Profile'!$B$10="",TODAY(),'Client &amp; Project Profile'!$B$10)+1*7),"■",""))</f>
        <v/>
      </c>
      <c r="O165">
        <f>IF(OR($D165="",$E165=""),"",IF(AND($D165&lt;=IF('Client &amp; Project Profile'!$B$10="",TODAY(),'Client &amp; Project Profile'!$B$10)+2*7+6,$E165&gt;=IF('Client &amp; Project Profile'!$B$10="",TODAY(),'Client &amp; Project Profile'!$B$10)+2*7),"■",""))</f>
        <v/>
      </c>
      <c r="P165">
        <f>IF(OR($D165="",$E165=""),"",IF(AND($D165&lt;=IF('Client &amp; Project Profile'!$B$10="",TODAY(),'Client &amp; Project Profile'!$B$10)+3*7+6,$E165&gt;=IF('Client &amp; Project Profile'!$B$10="",TODAY(),'Client &amp; Project Profile'!$B$10)+3*7),"■",""))</f>
        <v/>
      </c>
      <c r="Q165">
        <f>IF(OR($D165="",$E165=""),"",IF(AND($D165&lt;=IF('Client &amp; Project Profile'!$B$10="",TODAY(),'Client &amp; Project Profile'!$B$10)+4*7+6,$E165&gt;=IF('Client &amp; Project Profile'!$B$10="",TODAY(),'Client &amp; Project Profile'!$B$10)+4*7),"■",""))</f>
        <v/>
      </c>
      <c r="R165">
        <f>IF(OR($D165="",$E165=""),"",IF(AND($D165&lt;=IF('Client &amp; Project Profile'!$B$10="",TODAY(),'Client &amp; Project Profile'!$B$10)+5*7+6,$E165&gt;=IF('Client &amp; Project Profile'!$B$10="",TODAY(),'Client &amp; Project Profile'!$B$10)+5*7),"■",""))</f>
        <v/>
      </c>
      <c r="S165">
        <f>IF(OR($D165="",$E165=""),"",IF(AND($D165&lt;=IF('Client &amp; Project Profile'!$B$10="",TODAY(),'Client &amp; Project Profile'!$B$10)+6*7+6,$E165&gt;=IF('Client &amp; Project Profile'!$B$10="",TODAY(),'Client &amp; Project Profile'!$B$10)+6*7),"■",""))</f>
        <v/>
      </c>
      <c r="T165">
        <f>IF(OR($D165="",$E165=""),"",IF(AND($D165&lt;=IF('Client &amp; Project Profile'!$B$10="",TODAY(),'Client &amp; Project Profile'!$B$10)+7*7+6,$E165&gt;=IF('Client &amp; Project Profile'!$B$10="",TODAY(),'Client &amp; Project Profile'!$B$10)+7*7),"■",""))</f>
        <v/>
      </c>
      <c r="U165">
        <f>IF(OR($D165="",$E165=""),"",IF(AND($D165&lt;=IF('Client &amp; Project Profile'!$B$10="",TODAY(),'Client &amp; Project Profile'!$B$10)+8*7+6,$E165&gt;=IF('Client &amp; Project Profile'!$B$10="",TODAY(),'Client &amp; Project Profile'!$B$10)+8*7),"■",""))</f>
        <v/>
      </c>
      <c r="V165">
        <f>IF(OR($D165="",$E165=""),"",IF(AND($D165&lt;=IF('Client &amp; Project Profile'!$B$10="",TODAY(),'Client &amp; Project Profile'!$B$10)+9*7+6,$E165&gt;=IF('Client &amp; Project Profile'!$B$10="",TODAY(),'Client &amp; Project Profile'!$B$10)+9*7),"■",""))</f>
        <v/>
      </c>
      <c r="W165">
        <f>IF(OR($D165="",$E165=""),"",IF(AND($D165&lt;=IF('Client &amp; Project Profile'!$B$10="",TODAY(),'Client &amp; Project Profile'!$B$10)+10*7+6,$E165&gt;=IF('Client &amp; Project Profile'!$B$10="",TODAY(),'Client &amp; Project Profile'!$B$10)+10*7),"■",""))</f>
        <v/>
      </c>
      <c r="X165">
        <f>IF(OR($D165="",$E165=""),"",IF(AND($D165&lt;=IF('Client &amp; Project Profile'!$B$10="",TODAY(),'Client &amp; Project Profile'!$B$10)+11*7+6,$E165&gt;=IF('Client &amp; Project Profile'!$B$10="",TODAY(),'Client &amp; Project Profile'!$B$10)+11*7),"■",""))</f>
        <v/>
      </c>
    </row>
    <row r="166">
      <c r="A166" s="12" t="n"/>
      <c r="B166" s="12" t="n"/>
      <c r="C166" s="12" t="n"/>
      <c r="D166" s="14" t="n"/>
      <c r="E166" s="14" t="n"/>
      <c r="F166" s="14" t="n"/>
      <c r="G166" s="12" t="n"/>
      <c r="H166" s="12" t="n"/>
      <c r="I166" s="12" t="n"/>
      <c r="J166" s="12" t="n"/>
      <c r="K166" s="12">
        <f>IF(OR($D166="",$E166=""),"",$E166-$D166+1)</f>
        <v/>
      </c>
      <c r="L166" s="12">
        <f>IF(AND($E166&lt;TODAY(),$G166&lt;&gt;"Complete"),TODAY()-$E166,0)</f>
        <v/>
      </c>
      <c r="M166" s="12">
        <f>IF(OR($D166="",$E166=""),"",IF(AND($D166&lt;=IF('Client &amp; Project Profile'!$B$10="",TODAY(),'Client &amp; Project Profile'!$B$10)+0*7+6,$E166&gt;=IF('Client &amp; Project Profile'!$B$10="",TODAY(),'Client &amp; Project Profile'!$B$10)+0*7),"■",""))</f>
        <v/>
      </c>
      <c r="N166" s="12">
        <f>IF(OR($D166="",$E166=""),"",IF(AND($D166&lt;=IF('Client &amp; Project Profile'!$B$10="",TODAY(),'Client &amp; Project Profile'!$B$10)+1*7+6,$E166&gt;=IF('Client &amp; Project Profile'!$B$10="",TODAY(),'Client &amp; Project Profile'!$B$10)+1*7),"■",""))</f>
        <v/>
      </c>
      <c r="O166" s="12">
        <f>IF(OR($D166="",$E166=""),"",IF(AND($D166&lt;=IF('Client &amp; Project Profile'!$B$10="",TODAY(),'Client &amp; Project Profile'!$B$10)+2*7+6,$E166&gt;=IF('Client &amp; Project Profile'!$B$10="",TODAY(),'Client &amp; Project Profile'!$B$10)+2*7),"■",""))</f>
        <v/>
      </c>
      <c r="P166" s="12">
        <f>IF(OR($D166="",$E166=""),"",IF(AND($D166&lt;=IF('Client &amp; Project Profile'!$B$10="",TODAY(),'Client &amp; Project Profile'!$B$10)+3*7+6,$E166&gt;=IF('Client &amp; Project Profile'!$B$10="",TODAY(),'Client &amp; Project Profile'!$B$10)+3*7),"■",""))</f>
        <v/>
      </c>
      <c r="Q166" s="12">
        <f>IF(OR($D166="",$E166=""),"",IF(AND($D166&lt;=IF('Client &amp; Project Profile'!$B$10="",TODAY(),'Client &amp; Project Profile'!$B$10)+4*7+6,$E166&gt;=IF('Client &amp; Project Profile'!$B$10="",TODAY(),'Client &amp; Project Profile'!$B$10)+4*7),"■",""))</f>
        <v/>
      </c>
      <c r="R166" s="12">
        <f>IF(OR($D166="",$E166=""),"",IF(AND($D166&lt;=IF('Client &amp; Project Profile'!$B$10="",TODAY(),'Client &amp; Project Profile'!$B$10)+5*7+6,$E166&gt;=IF('Client &amp; Project Profile'!$B$10="",TODAY(),'Client &amp; Project Profile'!$B$10)+5*7),"■",""))</f>
        <v/>
      </c>
      <c r="S166" s="12">
        <f>IF(OR($D166="",$E166=""),"",IF(AND($D166&lt;=IF('Client &amp; Project Profile'!$B$10="",TODAY(),'Client &amp; Project Profile'!$B$10)+6*7+6,$E166&gt;=IF('Client &amp; Project Profile'!$B$10="",TODAY(),'Client &amp; Project Profile'!$B$10)+6*7),"■",""))</f>
        <v/>
      </c>
      <c r="T166" s="12">
        <f>IF(OR($D166="",$E166=""),"",IF(AND($D166&lt;=IF('Client &amp; Project Profile'!$B$10="",TODAY(),'Client &amp; Project Profile'!$B$10)+7*7+6,$E166&gt;=IF('Client &amp; Project Profile'!$B$10="",TODAY(),'Client &amp; Project Profile'!$B$10)+7*7),"■",""))</f>
        <v/>
      </c>
      <c r="U166" s="12">
        <f>IF(OR($D166="",$E166=""),"",IF(AND($D166&lt;=IF('Client &amp; Project Profile'!$B$10="",TODAY(),'Client &amp; Project Profile'!$B$10)+8*7+6,$E166&gt;=IF('Client &amp; Project Profile'!$B$10="",TODAY(),'Client &amp; Project Profile'!$B$10)+8*7),"■",""))</f>
        <v/>
      </c>
      <c r="V166" s="12">
        <f>IF(OR($D166="",$E166=""),"",IF(AND($D166&lt;=IF('Client &amp; Project Profile'!$B$10="",TODAY(),'Client &amp; Project Profile'!$B$10)+9*7+6,$E166&gt;=IF('Client &amp; Project Profile'!$B$10="",TODAY(),'Client &amp; Project Profile'!$B$10)+9*7),"■",""))</f>
        <v/>
      </c>
      <c r="W166" s="12">
        <f>IF(OR($D166="",$E166=""),"",IF(AND($D166&lt;=IF('Client &amp; Project Profile'!$B$10="",TODAY(),'Client &amp; Project Profile'!$B$10)+10*7+6,$E166&gt;=IF('Client &amp; Project Profile'!$B$10="",TODAY(),'Client &amp; Project Profile'!$B$10)+10*7),"■",""))</f>
        <v/>
      </c>
      <c r="X166" s="12">
        <f>IF(OR($D166="",$E166=""),"",IF(AND($D166&lt;=IF('Client &amp; Project Profile'!$B$10="",TODAY(),'Client &amp; Project Profile'!$B$10)+11*7+6,$E166&gt;=IF('Client &amp; Project Profile'!$B$10="",TODAY(),'Client &amp; Project Profile'!$B$10)+11*7),"■",""))</f>
        <v/>
      </c>
    </row>
    <row r="167">
      <c r="D167" s="9" t="n"/>
      <c r="E167" s="9" t="n"/>
      <c r="F167" s="9" t="n"/>
      <c r="K167">
        <f>IF(OR($D167="",$E167=""),"",$E167-$D167+1)</f>
        <v/>
      </c>
      <c r="L167">
        <f>IF(AND($E167&lt;TODAY(),$G167&lt;&gt;"Complete"),TODAY()-$E167,0)</f>
        <v/>
      </c>
      <c r="M167">
        <f>IF(OR($D167="",$E167=""),"",IF(AND($D167&lt;=IF('Client &amp; Project Profile'!$B$10="",TODAY(),'Client &amp; Project Profile'!$B$10)+0*7+6,$E167&gt;=IF('Client &amp; Project Profile'!$B$10="",TODAY(),'Client &amp; Project Profile'!$B$10)+0*7),"■",""))</f>
        <v/>
      </c>
      <c r="N167">
        <f>IF(OR($D167="",$E167=""),"",IF(AND($D167&lt;=IF('Client &amp; Project Profile'!$B$10="",TODAY(),'Client &amp; Project Profile'!$B$10)+1*7+6,$E167&gt;=IF('Client &amp; Project Profile'!$B$10="",TODAY(),'Client &amp; Project Profile'!$B$10)+1*7),"■",""))</f>
        <v/>
      </c>
      <c r="O167">
        <f>IF(OR($D167="",$E167=""),"",IF(AND($D167&lt;=IF('Client &amp; Project Profile'!$B$10="",TODAY(),'Client &amp; Project Profile'!$B$10)+2*7+6,$E167&gt;=IF('Client &amp; Project Profile'!$B$10="",TODAY(),'Client &amp; Project Profile'!$B$10)+2*7),"■",""))</f>
        <v/>
      </c>
      <c r="P167">
        <f>IF(OR($D167="",$E167=""),"",IF(AND($D167&lt;=IF('Client &amp; Project Profile'!$B$10="",TODAY(),'Client &amp; Project Profile'!$B$10)+3*7+6,$E167&gt;=IF('Client &amp; Project Profile'!$B$10="",TODAY(),'Client &amp; Project Profile'!$B$10)+3*7),"■",""))</f>
        <v/>
      </c>
      <c r="Q167">
        <f>IF(OR($D167="",$E167=""),"",IF(AND($D167&lt;=IF('Client &amp; Project Profile'!$B$10="",TODAY(),'Client &amp; Project Profile'!$B$10)+4*7+6,$E167&gt;=IF('Client &amp; Project Profile'!$B$10="",TODAY(),'Client &amp; Project Profile'!$B$10)+4*7),"■",""))</f>
        <v/>
      </c>
      <c r="R167">
        <f>IF(OR($D167="",$E167=""),"",IF(AND($D167&lt;=IF('Client &amp; Project Profile'!$B$10="",TODAY(),'Client &amp; Project Profile'!$B$10)+5*7+6,$E167&gt;=IF('Client &amp; Project Profile'!$B$10="",TODAY(),'Client &amp; Project Profile'!$B$10)+5*7),"■",""))</f>
        <v/>
      </c>
      <c r="S167">
        <f>IF(OR($D167="",$E167=""),"",IF(AND($D167&lt;=IF('Client &amp; Project Profile'!$B$10="",TODAY(),'Client &amp; Project Profile'!$B$10)+6*7+6,$E167&gt;=IF('Client &amp; Project Profile'!$B$10="",TODAY(),'Client &amp; Project Profile'!$B$10)+6*7),"■",""))</f>
        <v/>
      </c>
      <c r="T167">
        <f>IF(OR($D167="",$E167=""),"",IF(AND($D167&lt;=IF('Client &amp; Project Profile'!$B$10="",TODAY(),'Client &amp; Project Profile'!$B$10)+7*7+6,$E167&gt;=IF('Client &amp; Project Profile'!$B$10="",TODAY(),'Client &amp; Project Profile'!$B$10)+7*7),"■",""))</f>
        <v/>
      </c>
      <c r="U167">
        <f>IF(OR($D167="",$E167=""),"",IF(AND($D167&lt;=IF('Client &amp; Project Profile'!$B$10="",TODAY(),'Client &amp; Project Profile'!$B$10)+8*7+6,$E167&gt;=IF('Client &amp; Project Profile'!$B$10="",TODAY(),'Client &amp; Project Profile'!$B$10)+8*7),"■",""))</f>
        <v/>
      </c>
      <c r="V167">
        <f>IF(OR($D167="",$E167=""),"",IF(AND($D167&lt;=IF('Client &amp; Project Profile'!$B$10="",TODAY(),'Client &amp; Project Profile'!$B$10)+9*7+6,$E167&gt;=IF('Client &amp; Project Profile'!$B$10="",TODAY(),'Client &amp; Project Profile'!$B$10)+9*7),"■",""))</f>
        <v/>
      </c>
      <c r="W167">
        <f>IF(OR($D167="",$E167=""),"",IF(AND($D167&lt;=IF('Client &amp; Project Profile'!$B$10="",TODAY(),'Client &amp; Project Profile'!$B$10)+10*7+6,$E167&gt;=IF('Client &amp; Project Profile'!$B$10="",TODAY(),'Client &amp; Project Profile'!$B$10)+10*7),"■",""))</f>
        <v/>
      </c>
      <c r="X167">
        <f>IF(OR($D167="",$E167=""),"",IF(AND($D167&lt;=IF('Client &amp; Project Profile'!$B$10="",TODAY(),'Client &amp; Project Profile'!$B$10)+11*7+6,$E167&gt;=IF('Client &amp; Project Profile'!$B$10="",TODAY(),'Client &amp; Project Profile'!$B$10)+11*7),"■",""))</f>
        <v/>
      </c>
    </row>
    <row r="168">
      <c r="A168" s="12" t="n"/>
      <c r="B168" s="12" t="n"/>
      <c r="C168" s="12" t="n"/>
      <c r="D168" s="14" t="n"/>
      <c r="E168" s="14" t="n"/>
      <c r="F168" s="14" t="n"/>
      <c r="G168" s="12" t="n"/>
      <c r="H168" s="12" t="n"/>
      <c r="I168" s="12" t="n"/>
      <c r="J168" s="12" t="n"/>
      <c r="K168" s="12">
        <f>IF(OR($D168="",$E168=""),"",$E168-$D168+1)</f>
        <v/>
      </c>
      <c r="L168" s="12">
        <f>IF(AND($E168&lt;TODAY(),$G168&lt;&gt;"Complete"),TODAY()-$E168,0)</f>
        <v/>
      </c>
      <c r="M168" s="12">
        <f>IF(OR($D168="",$E168=""),"",IF(AND($D168&lt;=IF('Client &amp; Project Profile'!$B$10="",TODAY(),'Client &amp; Project Profile'!$B$10)+0*7+6,$E168&gt;=IF('Client &amp; Project Profile'!$B$10="",TODAY(),'Client &amp; Project Profile'!$B$10)+0*7),"■",""))</f>
        <v/>
      </c>
      <c r="N168" s="12">
        <f>IF(OR($D168="",$E168=""),"",IF(AND($D168&lt;=IF('Client &amp; Project Profile'!$B$10="",TODAY(),'Client &amp; Project Profile'!$B$10)+1*7+6,$E168&gt;=IF('Client &amp; Project Profile'!$B$10="",TODAY(),'Client &amp; Project Profile'!$B$10)+1*7),"■",""))</f>
        <v/>
      </c>
      <c r="O168" s="12">
        <f>IF(OR($D168="",$E168=""),"",IF(AND($D168&lt;=IF('Client &amp; Project Profile'!$B$10="",TODAY(),'Client &amp; Project Profile'!$B$10)+2*7+6,$E168&gt;=IF('Client &amp; Project Profile'!$B$10="",TODAY(),'Client &amp; Project Profile'!$B$10)+2*7),"■",""))</f>
        <v/>
      </c>
      <c r="P168" s="12">
        <f>IF(OR($D168="",$E168=""),"",IF(AND($D168&lt;=IF('Client &amp; Project Profile'!$B$10="",TODAY(),'Client &amp; Project Profile'!$B$10)+3*7+6,$E168&gt;=IF('Client &amp; Project Profile'!$B$10="",TODAY(),'Client &amp; Project Profile'!$B$10)+3*7),"■",""))</f>
        <v/>
      </c>
      <c r="Q168" s="12">
        <f>IF(OR($D168="",$E168=""),"",IF(AND($D168&lt;=IF('Client &amp; Project Profile'!$B$10="",TODAY(),'Client &amp; Project Profile'!$B$10)+4*7+6,$E168&gt;=IF('Client &amp; Project Profile'!$B$10="",TODAY(),'Client &amp; Project Profile'!$B$10)+4*7),"■",""))</f>
        <v/>
      </c>
      <c r="R168" s="12">
        <f>IF(OR($D168="",$E168=""),"",IF(AND($D168&lt;=IF('Client &amp; Project Profile'!$B$10="",TODAY(),'Client &amp; Project Profile'!$B$10)+5*7+6,$E168&gt;=IF('Client &amp; Project Profile'!$B$10="",TODAY(),'Client &amp; Project Profile'!$B$10)+5*7),"■",""))</f>
        <v/>
      </c>
      <c r="S168" s="12">
        <f>IF(OR($D168="",$E168=""),"",IF(AND($D168&lt;=IF('Client &amp; Project Profile'!$B$10="",TODAY(),'Client &amp; Project Profile'!$B$10)+6*7+6,$E168&gt;=IF('Client &amp; Project Profile'!$B$10="",TODAY(),'Client &amp; Project Profile'!$B$10)+6*7),"■",""))</f>
        <v/>
      </c>
      <c r="T168" s="12">
        <f>IF(OR($D168="",$E168=""),"",IF(AND($D168&lt;=IF('Client &amp; Project Profile'!$B$10="",TODAY(),'Client &amp; Project Profile'!$B$10)+7*7+6,$E168&gt;=IF('Client &amp; Project Profile'!$B$10="",TODAY(),'Client &amp; Project Profile'!$B$10)+7*7),"■",""))</f>
        <v/>
      </c>
      <c r="U168" s="12">
        <f>IF(OR($D168="",$E168=""),"",IF(AND($D168&lt;=IF('Client &amp; Project Profile'!$B$10="",TODAY(),'Client &amp; Project Profile'!$B$10)+8*7+6,$E168&gt;=IF('Client &amp; Project Profile'!$B$10="",TODAY(),'Client &amp; Project Profile'!$B$10)+8*7),"■",""))</f>
        <v/>
      </c>
      <c r="V168" s="12">
        <f>IF(OR($D168="",$E168=""),"",IF(AND($D168&lt;=IF('Client &amp; Project Profile'!$B$10="",TODAY(),'Client &amp; Project Profile'!$B$10)+9*7+6,$E168&gt;=IF('Client &amp; Project Profile'!$B$10="",TODAY(),'Client &amp; Project Profile'!$B$10)+9*7),"■",""))</f>
        <v/>
      </c>
      <c r="W168" s="12">
        <f>IF(OR($D168="",$E168=""),"",IF(AND($D168&lt;=IF('Client &amp; Project Profile'!$B$10="",TODAY(),'Client &amp; Project Profile'!$B$10)+10*7+6,$E168&gt;=IF('Client &amp; Project Profile'!$B$10="",TODAY(),'Client &amp; Project Profile'!$B$10)+10*7),"■",""))</f>
        <v/>
      </c>
      <c r="X168" s="12">
        <f>IF(OR($D168="",$E168=""),"",IF(AND($D168&lt;=IF('Client &amp; Project Profile'!$B$10="",TODAY(),'Client &amp; Project Profile'!$B$10)+11*7+6,$E168&gt;=IF('Client &amp; Project Profile'!$B$10="",TODAY(),'Client &amp; Project Profile'!$B$10)+11*7),"■",""))</f>
        <v/>
      </c>
    </row>
    <row r="169">
      <c r="D169" s="9" t="n"/>
      <c r="E169" s="9" t="n"/>
      <c r="F169" s="9" t="n"/>
      <c r="K169">
        <f>IF(OR($D169="",$E169=""),"",$E169-$D169+1)</f>
        <v/>
      </c>
      <c r="L169">
        <f>IF(AND($E169&lt;TODAY(),$G169&lt;&gt;"Complete"),TODAY()-$E169,0)</f>
        <v/>
      </c>
      <c r="M169">
        <f>IF(OR($D169="",$E169=""),"",IF(AND($D169&lt;=IF('Client &amp; Project Profile'!$B$10="",TODAY(),'Client &amp; Project Profile'!$B$10)+0*7+6,$E169&gt;=IF('Client &amp; Project Profile'!$B$10="",TODAY(),'Client &amp; Project Profile'!$B$10)+0*7),"■",""))</f>
        <v/>
      </c>
      <c r="N169">
        <f>IF(OR($D169="",$E169=""),"",IF(AND($D169&lt;=IF('Client &amp; Project Profile'!$B$10="",TODAY(),'Client &amp; Project Profile'!$B$10)+1*7+6,$E169&gt;=IF('Client &amp; Project Profile'!$B$10="",TODAY(),'Client &amp; Project Profile'!$B$10)+1*7),"■",""))</f>
        <v/>
      </c>
      <c r="O169">
        <f>IF(OR($D169="",$E169=""),"",IF(AND($D169&lt;=IF('Client &amp; Project Profile'!$B$10="",TODAY(),'Client &amp; Project Profile'!$B$10)+2*7+6,$E169&gt;=IF('Client &amp; Project Profile'!$B$10="",TODAY(),'Client &amp; Project Profile'!$B$10)+2*7),"■",""))</f>
        <v/>
      </c>
      <c r="P169">
        <f>IF(OR($D169="",$E169=""),"",IF(AND($D169&lt;=IF('Client &amp; Project Profile'!$B$10="",TODAY(),'Client &amp; Project Profile'!$B$10)+3*7+6,$E169&gt;=IF('Client &amp; Project Profile'!$B$10="",TODAY(),'Client &amp; Project Profile'!$B$10)+3*7),"■",""))</f>
        <v/>
      </c>
      <c r="Q169">
        <f>IF(OR($D169="",$E169=""),"",IF(AND($D169&lt;=IF('Client &amp; Project Profile'!$B$10="",TODAY(),'Client &amp; Project Profile'!$B$10)+4*7+6,$E169&gt;=IF('Client &amp; Project Profile'!$B$10="",TODAY(),'Client &amp; Project Profile'!$B$10)+4*7),"■",""))</f>
        <v/>
      </c>
      <c r="R169">
        <f>IF(OR($D169="",$E169=""),"",IF(AND($D169&lt;=IF('Client &amp; Project Profile'!$B$10="",TODAY(),'Client &amp; Project Profile'!$B$10)+5*7+6,$E169&gt;=IF('Client &amp; Project Profile'!$B$10="",TODAY(),'Client &amp; Project Profile'!$B$10)+5*7),"■",""))</f>
        <v/>
      </c>
      <c r="S169">
        <f>IF(OR($D169="",$E169=""),"",IF(AND($D169&lt;=IF('Client &amp; Project Profile'!$B$10="",TODAY(),'Client &amp; Project Profile'!$B$10)+6*7+6,$E169&gt;=IF('Client &amp; Project Profile'!$B$10="",TODAY(),'Client &amp; Project Profile'!$B$10)+6*7),"■",""))</f>
        <v/>
      </c>
      <c r="T169">
        <f>IF(OR($D169="",$E169=""),"",IF(AND($D169&lt;=IF('Client &amp; Project Profile'!$B$10="",TODAY(),'Client &amp; Project Profile'!$B$10)+7*7+6,$E169&gt;=IF('Client &amp; Project Profile'!$B$10="",TODAY(),'Client &amp; Project Profile'!$B$10)+7*7),"■",""))</f>
        <v/>
      </c>
      <c r="U169">
        <f>IF(OR($D169="",$E169=""),"",IF(AND($D169&lt;=IF('Client &amp; Project Profile'!$B$10="",TODAY(),'Client &amp; Project Profile'!$B$10)+8*7+6,$E169&gt;=IF('Client &amp; Project Profile'!$B$10="",TODAY(),'Client &amp; Project Profile'!$B$10)+8*7),"■",""))</f>
        <v/>
      </c>
      <c r="V169">
        <f>IF(OR($D169="",$E169=""),"",IF(AND($D169&lt;=IF('Client &amp; Project Profile'!$B$10="",TODAY(),'Client &amp; Project Profile'!$B$10)+9*7+6,$E169&gt;=IF('Client &amp; Project Profile'!$B$10="",TODAY(),'Client &amp; Project Profile'!$B$10)+9*7),"■",""))</f>
        <v/>
      </c>
      <c r="W169">
        <f>IF(OR($D169="",$E169=""),"",IF(AND($D169&lt;=IF('Client &amp; Project Profile'!$B$10="",TODAY(),'Client &amp; Project Profile'!$B$10)+10*7+6,$E169&gt;=IF('Client &amp; Project Profile'!$B$10="",TODAY(),'Client &amp; Project Profile'!$B$10)+10*7),"■",""))</f>
        <v/>
      </c>
      <c r="X169">
        <f>IF(OR($D169="",$E169=""),"",IF(AND($D169&lt;=IF('Client &amp; Project Profile'!$B$10="",TODAY(),'Client &amp; Project Profile'!$B$10)+11*7+6,$E169&gt;=IF('Client &amp; Project Profile'!$B$10="",TODAY(),'Client &amp; Project Profile'!$B$10)+11*7),"■",""))</f>
        <v/>
      </c>
    </row>
    <row r="170">
      <c r="A170" s="12" t="n"/>
      <c r="B170" s="12" t="n"/>
      <c r="C170" s="12" t="n"/>
      <c r="D170" s="14" t="n"/>
      <c r="E170" s="14" t="n"/>
      <c r="F170" s="14" t="n"/>
      <c r="G170" s="12" t="n"/>
      <c r="H170" s="12" t="n"/>
      <c r="I170" s="12" t="n"/>
      <c r="J170" s="12" t="n"/>
      <c r="K170" s="12">
        <f>IF(OR($D170="",$E170=""),"",$E170-$D170+1)</f>
        <v/>
      </c>
      <c r="L170" s="12">
        <f>IF(AND($E170&lt;TODAY(),$G170&lt;&gt;"Complete"),TODAY()-$E170,0)</f>
        <v/>
      </c>
      <c r="M170" s="12">
        <f>IF(OR($D170="",$E170=""),"",IF(AND($D170&lt;=IF('Client &amp; Project Profile'!$B$10="",TODAY(),'Client &amp; Project Profile'!$B$10)+0*7+6,$E170&gt;=IF('Client &amp; Project Profile'!$B$10="",TODAY(),'Client &amp; Project Profile'!$B$10)+0*7),"■",""))</f>
        <v/>
      </c>
      <c r="N170" s="12">
        <f>IF(OR($D170="",$E170=""),"",IF(AND($D170&lt;=IF('Client &amp; Project Profile'!$B$10="",TODAY(),'Client &amp; Project Profile'!$B$10)+1*7+6,$E170&gt;=IF('Client &amp; Project Profile'!$B$10="",TODAY(),'Client &amp; Project Profile'!$B$10)+1*7),"■",""))</f>
        <v/>
      </c>
      <c r="O170" s="12">
        <f>IF(OR($D170="",$E170=""),"",IF(AND($D170&lt;=IF('Client &amp; Project Profile'!$B$10="",TODAY(),'Client &amp; Project Profile'!$B$10)+2*7+6,$E170&gt;=IF('Client &amp; Project Profile'!$B$10="",TODAY(),'Client &amp; Project Profile'!$B$10)+2*7),"■",""))</f>
        <v/>
      </c>
      <c r="P170" s="12">
        <f>IF(OR($D170="",$E170=""),"",IF(AND($D170&lt;=IF('Client &amp; Project Profile'!$B$10="",TODAY(),'Client &amp; Project Profile'!$B$10)+3*7+6,$E170&gt;=IF('Client &amp; Project Profile'!$B$10="",TODAY(),'Client &amp; Project Profile'!$B$10)+3*7),"■",""))</f>
        <v/>
      </c>
      <c r="Q170" s="12">
        <f>IF(OR($D170="",$E170=""),"",IF(AND($D170&lt;=IF('Client &amp; Project Profile'!$B$10="",TODAY(),'Client &amp; Project Profile'!$B$10)+4*7+6,$E170&gt;=IF('Client &amp; Project Profile'!$B$10="",TODAY(),'Client &amp; Project Profile'!$B$10)+4*7),"■",""))</f>
        <v/>
      </c>
      <c r="R170" s="12">
        <f>IF(OR($D170="",$E170=""),"",IF(AND($D170&lt;=IF('Client &amp; Project Profile'!$B$10="",TODAY(),'Client &amp; Project Profile'!$B$10)+5*7+6,$E170&gt;=IF('Client &amp; Project Profile'!$B$10="",TODAY(),'Client &amp; Project Profile'!$B$10)+5*7),"■",""))</f>
        <v/>
      </c>
      <c r="S170" s="12">
        <f>IF(OR($D170="",$E170=""),"",IF(AND($D170&lt;=IF('Client &amp; Project Profile'!$B$10="",TODAY(),'Client &amp; Project Profile'!$B$10)+6*7+6,$E170&gt;=IF('Client &amp; Project Profile'!$B$10="",TODAY(),'Client &amp; Project Profile'!$B$10)+6*7),"■",""))</f>
        <v/>
      </c>
      <c r="T170" s="12">
        <f>IF(OR($D170="",$E170=""),"",IF(AND($D170&lt;=IF('Client &amp; Project Profile'!$B$10="",TODAY(),'Client &amp; Project Profile'!$B$10)+7*7+6,$E170&gt;=IF('Client &amp; Project Profile'!$B$10="",TODAY(),'Client &amp; Project Profile'!$B$10)+7*7),"■",""))</f>
        <v/>
      </c>
      <c r="U170" s="12">
        <f>IF(OR($D170="",$E170=""),"",IF(AND($D170&lt;=IF('Client &amp; Project Profile'!$B$10="",TODAY(),'Client &amp; Project Profile'!$B$10)+8*7+6,$E170&gt;=IF('Client &amp; Project Profile'!$B$10="",TODAY(),'Client &amp; Project Profile'!$B$10)+8*7),"■",""))</f>
        <v/>
      </c>
      <c r="V170" s="12">
        <f>IF(OR($D170="",$E170=""),"",IF(AND($D170&lt;=IF('Client &amp; Project Profile'!$B$10="",TODAY(),'Client &amp; Project Profile'!$B$10)+9*7+6,$E170&gt;=IF('Client &amp; Project Profile'!$B$10="",TODAY(),'Client &amp; Project Profile'!$B$10)+9*7),"■",""))</f>
        <v/>
      </c>
      <c r="W170" s="12">
        <f>IF(OR($D170="",$E170=""),"",IF(AND($D170&lt;=IF('Client &amp; Project Profile'!$B$10="",TODAY(),'Client &amp; Project Profile'!$B$10)+10*7+6,$E170&gt;=IF('Client &amp; Project Profile'!$B$10="",TODAY(),'Client &amp; Project Profile'!$B$10)+10*7),"■",""))</f>
        <v/>
      </c>
      <c r="X170" s="12">
        <f>IF(OR($D170="",$E170=""),"",IF(AND($D170&lt;=IF('Client &amp; Project Profile'!$B$10="",TODAY(),'Client &amp; Project Profile'!$B$10)+11*7+6,$E170&gt;=IF('Client &amp; Project Profile'!$B$10="",TODAY(),'Client &amp; Project Profile'!$B$10)+11*7),"■",""))</f>
        <v/>
      </c>
    </row>
    <row r="171">
      <c r="D171" s="9" t="n"/>
      <c r="E171" s="9" t="n"/>
      <c r="F171" s="9" t="n"/>
      <c r="K171">
        <f>IF(OR($D171="",$E171=""),"",$E171-$D171+1)</f>
        <v/>
      </c>
      <c r="L171">
        <f>IF(AND($E171&lt;TODAY(),$G171&lt;&gt;"Complete"),TODAY()-$E171,0)</f>
        <v/>
      </c>
      <c r="M171">
        <f>IF(OR($D171="",$E171=""),"",IF(AND($D171&lt;=IF('Client &amp; Project Profile'!$B$10="",TODAY(),'Client &amp; Project Profile'!$B$10)+0*7+6,$E171&gt;=IF('Client &amp; Project Profile'!$B$10="",TODAY(),'Client &amp; Project Profile'!$B$10)+0*7),"■",""))</f>
        <v/>
      </c>
      <c r="N171">
        <f>IF(OR($D171="",$E171=""),"",IF(AND($D171&lt;=IF('Client &amp; Project Profile'!$B$10="",TODAY(),'Client &amp; Project Profile'!$B$10)+1*7+6,$E171&gt;=IF('Client &amp; Project Profile'!$B$10="",TODAY(),'Client &amp; Project Profile'!$B$10)+1*7),"■",""))</f>
        <v/>
      </c>
      <c r="O171">
        <f>IF(OR($D171="",$E171=""),"",IF(AND($D171&lt;=IF('Client &amp; Project Profile'!$B$10="",TODAY(),'Client &amp; Project Profile'!$B$10)+2*7+6,$E171&gt;=IF('Client &amp; Project Profile'!$B$10="",TODAY(),'Client &amp; Project Profile'!$B$10)+2*7),"■",""))</f>
        <v/>
      </c>
      <c r="P171">
        <f>IF(OR($D171="",$E171=""),"",IF(AND($D171&lt;=IF('Client &amp; Project Profile'!$B$10="",TODAY(),'Client &amp; Project Profile'!$B$10)+3*7+6,$E171&gt;=IF('Client &amp; Project Profile'!$B$10="",TODAY(),'Client &amp; Project Profile'!$B$10)+3*7),"■",""))</f>
        <v/>
      </c>
      <c r="Q171">
        <f>IF(OR($D171="",$E171=""),"",IF(AND($D171&lt;=IF('Client &amp; Project Profile'!$B$10="",TODAY(),'Client &amp; Project Profile'!$B$10)+4*7+6,$E171&gt;=IF('Client &amp; Project Profile'!$B$10="",TODAY(),'Client &amp; Project Profile'!$B$10)+4*7),"■",""))</f>
        <v/>
      </c>
      <c r="R171">
        <f>IF(OR($D171="",$E171=""),"",IF(AND($D171&lt;=IF('Client &amp; Project Profile'!$B$10="",TODAY(),'Client &amp; Project Profile'!$B$10)+5*7+6,$E171&gt;=IF('Client &amp; Project Profile'!$B$10="",TODAY(),'Client &amp; Project Profile'!$B$10)+5*7),"■",""))</f>
        <v/>
      </c>
      <c r="S171">
        <f>IF(OR($D171="",$E171=""),"",IF(AND($D171&lt;=IF('Client &amp; Project Profile'!$B$10="",TODAY(),'Client &amp; Project Profile'!$B$10)+6*7+6,$E171&gt;=IF('Client &amp; Project Profile'!$B$10="",TODAY(),'Client &amp; Project Profile'!$B$10)+6*7),"■",""))</f>
        <v/>
      </c>
      <c r="T171">
        <f>IF(OR($D171="",$E171=""),"",IF(AND($D171&lt;=IF('Client &amp; Project Profile'!$B$10="",TODAY(),'Client &amp; Project Profile'!$B$10)+7*7+6,$E171&gt;=IF('Client &amp; Project Profile'!$B$10="",TODAY(),'Client &amp; Project Profile'!$B$10)+7*7),"■",""))</f>
        <v/>
      </c>
      <c r="U171">
        <f>IF(OR($D171="",$E171=""),"",IF(AND($D171&lt;=IF('Client &amp; Project Profile'!$B$10="",TODAY(),'Client &amp; Project Profile'!$B$10)+8*7+6,$E171&gt;=IF('Client &amp; Project Profile'!$B$10="",TODAY(),'Client &amp; Project Profile'!$B$10)+8*7),"■",""))</f>
        <v/>
      </c>
      <c r="V171">
        <f>IF(OR($D171="",$E171=""),"",IF(AND($D171&lt;=IF('Client &amp; Project Profile'!$B$10="",TODAY(),'Client &amp; Project Profile'!$B$10)+9*7+6,$E171&gt;=IF('Client &amp; Project Profile'!$B$10="",TODAY(),'Client &amp; Project Profile'!$B$10)+9*7),"■",""))</f>
        <v/>
      </c>
      <c r="W171">
        <f>IF(OR($D171="",$E171=""),"",IF(AND($D171&lt;=IF('Client &amp; Project Profile'!$B$10="",TODAY(),'Client &amp; Project Profile'!$B$10)+10*7+6,$E171&gt;=IF('Client &amp; Project Profile'!$B$10="",TODAY(),'Client &amp; Project Profile'!$B$10)+10*7),"■",""))</f>
        <v/>
      </c>
      <c r="X171">
        <f>IF(OR($D171="",$E171=""),"",IF(AND($D171&lt;=IF('Client &amp; Project Profile'!$B$10="",TODAY(),'Client &amp; Project Profile'!$B$10)+11*7+6,$E171&gt;=IF('Client &amp; Project Profile'!$B$10="",TODAY(),'Client &amp; Project Profile'!$B$10)+11*7),"■",""))</f>
        <v/>
      </c>
    </row>
    <row r="172">
      <c r="A172" s="12" t="n"/>
      <c r="B172" s="12" t="n"/>
      <c r="C172" s="12" t="n"/>
      <c r="D172" s="14" t="n"/>
      <c r="E172" s="14" t="n"/>
      <c r="F172" s="14" t="n"/>
      <c r="G172" s="12" t="n"/>
      <c r="H172" s="12" t="n"/>
      <c r="I172" s="12" t="n"/>
      <c r="J172" s="12" t="n"/>
      <c r="K172" s="12">
        <f>IF(OR($D172="",$E172=""),"",$E172-$D172+1)</f>
        <v/>
      </c>
      <c r="L172" s="12">
        <f>IF(AND($E172&lt;TODAY(),$G172&lt;&gt;"Complete"),TODAY()-$E172,0)</f>
        <v/>
      </c>
      <c r="M172" s="12">
        <f>IF(OR($D172="",$E172=""),"",IF(AND($D172&lt;=IF('Client &amp; Project Profile'!$B$10="",TODAY(),'Client &amp; Project Profile'!$B$10)+0*7+6,$E172&gt;=IF('Client &amp; Project Profile'!$B$10="",TODAY(),'Client &amp; Project Profile'!$B$10)+0*7),"■",""))</f>
        <v/>
      </c>
      <c r="N172" s="12">
        <f>IF(OR($D172="",$E172=""),"",IF(AND($D172&lt;=IF('Client &amp; Project Profile'!$B$10="",TODAY(),'Client &amp; Project Profile'!$B$10)+1*7+6,$E172&gt;=IF('Client &amp; Project Profile'!$B$10="",TODAY(),'Client &amp; Project Profile'!$B$10)+1*7),"■",""))</f>
        <v/>
      </c>
      <c r="O172" s="12">
        <f>IF(OR($D172="",$E172=""),"",IF(AND($D172&lt;=IF('Client &amp; Project Profile'!$B$10="",TODAY(),'Client &amp; Project Profile'!$B$10)+2*7+6,$E172&gt;=IF('Client &amp; Project Profile'!$B$10="",TODAY(),'Client &amp; Project Profile'!$B$10)+2*7),"■",""))</f>
        <v/>
      </c>
      <c r="P172" s="12">
        <f>IF(OR($D172="",$E172=""),"",IF(AND($D172&lt;=IF('Client &amp; Project Profile'!$B$10="",TODAY(),'Client &amp; Project Profile'!$B$10)+3*7+6,$E172&gt;=IF('Client &amp; Project Profile'!$B$10="",TODAY(),'Client &amp; Project Profile'!$B$10)+3*7),"■",""))</f>
        <v/>
      </c>
      <c r="Q172" s="12">
        <f>IF(OR($D172="",$E172=""),"",IF(AND($D172&lt;=IF('Client &amp; Project Profile'!$B$10="",TODAY(),'Client &amp; Project Profile'!$B$10)+4*7+6,$E172&gt;=IF('Client &amp; Project Profile'!$B$10="",TODAY(),'Client &amp; Project Profile'!$B$10)+4*7),"■",""))</f>
        <v/>
      </c>
      <c r="R172" s="12">
        <f>IF(OR($D172="",$E172=""),"",IF(AND($D172&lt;=IF('Client &amp; Project Profile'!$B$10="",TODAY(),'Client &amp; Project Profile'!$B$10)+5*7+6,$E172&gt;=IF('Client &amp; Project Profile'!$B$10="",TODAY(),'Client &amp; Project Profile'!$B$10)+5*7),"■",""))</f>
        <v/>
      </c>
      <c r="S172" s="12">
        <f>IF(OR($D172="",$E172=""),"",IF(AND($D172&lt;=IF('Client &amp; Project Profile'!$B$10="",TODAY(),'Client &amp; Project Profile'!$B$10)+6*7+6,$E172&gt;=IF('Client &amp; Project Profile'!$B$10="",TODAY(),'Client &amp; Project Profile'!$B$10)+6*7),"■",""))</f>
        <v/>
      </c>
      <c r="T172" s="12">
        <f>IF(OR($D172="",$E172=""),"",IF(AND($D172&lt;=IF('Client &amp; Project Profile'!$B$10="",TODAY(),'Client &amp; Project Profile'!$B$10)+7*7+6,$E172&gt;=IF('Client &amp; Project Profile'!$B$10="",TODAY(),'Client &amp; Project Profile'!$B$10)+7*7),"■",""))</f>
        <v/>
      </c>
      <c r="U172" s="12">
        <f>IF(OR($D172="",$E172=""),"",IF(AND($D172&lt;=IF('Client &amp; Project Profile'!$B$10="",TODAY(),'Client &amp; Project Profile'!$B$10)+8*7+6,$E172&gt;=IF('Client &amp; Project Profile'!$B$10="",TODAY(),'Client &amp; Project Profile'!$B$10)+8*7),"■",""))</f>
        <v/>
      </c>
      <c r="V172" s="12">
        <f>IF(OR($D172="",$E172=""),"",IF(AND($D172&lt;=IF('Client &amp; Project Profile'!$B$10="",TODAY(),'Client &amp; Project Profile'!$B$10)+9*7+6,$E172&gt;=IF('Client &amp; Project Profile'!$B$10="",TODAY(),'Client &amp; Project Profile'!$B$10)+9*7),"■",""))</f>
        <v/>
      </c>
      <c r="W172" s="12">
        <f>IF(OR($D172="",$E172=""),"",IF(AND($D172&lt;=IF('Client &amp; Project Profile'!$B$10="",TODAY(),'Client &amp; Project Profile'!$B$10)+10*7+6,$E172&gt;=IF('Client &amp; Project Profile'!$B$10="",TODAY(),'Client &amp; Project Profile'!$B$10)+10*7),"■",""))</f>
        <v/>
      </c>
      <c r="X172" s="12">
        <f>IF(OR($D172="",$E172=""),"",IF(AND($D172&lt;=IF('Client &amp; Project Profile'!$B$10="",TODAY(),'Client &amp; Project Profile'!$B$10)+11*7+6,$E172&gt;=IF('Client &amp; Project Profile'!$B$10="",TODAY(),'Client &amp; Project Profile'!$B$10)+11*7),"■",""))</f>
        <v/>
      </c>
    </row>
    <row r="173">
      <c r="D173" s="9" t="n"/>
      <c r="E173" s="9" t="n"/>
      <c r="F173" s="9" t="n"/>
      <c r="K173">
        <f>IF(OR($D173="",$E173=""),"",$E173-$D173+1)</f>
        <v/>
      </c>
      <c r="L173">
        <f>IF(AND($E173&lt;TODAY(),$G173&lt;&gt;"Complete"),TODAY()-$E173,0)</f>
        <v/>
      </c>
      <c r="M173">
        <f>IF(OR($D173="",$E173=""),"",IF(AND($D173&lt;=IF('Client &amp; Project Profile'!$B$10="",TODAY(),'Client &amp; Project Profile'!$B$10)+0*7+6,$E173&gt;=IF('Client &amp; Project Profile'!$B$10="",TODAY(),'Client &amp; Project Profile'!$B$10)+0*7),"■",""))</f>
        <v/>
      </c>
      <c r="N173">
        <f>IF(OR($D173="",$E173=""),"",IF(AND($D173&lt;=IF('Client &amp; Project Profile'!$B$10="",TODAY(),'Client &amp; Project Profile'!$B$10)+1*7+6,$E173&gt;=IF('Client &amp; Project Profile'!$B$10="",TODAY(),'Client &amp; Project Profile'!$B$10)+1*7),"■",""))</f>
        <v/>
      </c>
      <c r="O173">
        <f>IF(OR($D173="",$E173=""),"",IF(AND($D173&lt;=IF('Client &amp; Project Profile'!$B$10="",TODAY(),'Client &amp; Project Profile'!$B$10)+2*7+6,$E173&gt;=IF('Client &amp; Project Profile'!$B$10="",TODAY(),'Client &amp; Project Profile'!$B$10)+2*7),"■",""))</f>
        <v/>
      </c>
      <c r="P173">
        <f>IF(OR($D173="",$E173=""),"",IF(AND($D173&lt;=IF('Client &amp; Project Profile'!$B$10="",TODAY(),'Client &amp; Project Profile'!$B$10)+3*7+6,$E173&gt;=IF('Client &amp; Project Profile'!$B$10="",TODAY(),'Client &amp; Project Profile'!$B$10)+3*7),"■",""))</f>
        <v/>
      </c>
      <c r="Q173">
        <f>IF(OR($D173="",$E173=""),"",IF(AND($D173&lt;=IF('Client &amp; Project Profile'!$B$10="",TODAY(),'Client &amp; Project Profile'!$B$10)+4*7+6,$E173&gt;=IF('Client &amp; Project Profile'!$B$10="",TODAY(),'Client &amp; Project Profile'!$B$10)+4*7),"■",""))</f>
        <v/>
      </c>
      <c r="R173">
        <f>IF(OR($D173="",$E173=""),"",IF(AND($D173&lt;=IF('Client &amp; Project Profile'!$B$10="",TODAY(),'Client &amp; Project Profile'!$B$10)+5*7+6,$E173&gt;=IF('Client &amp; Project Profile'!$B$10="",TODAY(),'Client &amp; Project Profile'!$B$10)+5*7),"■",""))</f>
        <v/>
      </c>
      <c r="S173">
        <f>IF(OR($D173="",$E173=""),"",IF(AND($D173&lt;=IF('Client &amp; Project Profile'!$B$10="",TODAY(),'Client &amp; Project Profile'!$B$10)+6*7+6,$E173&gt;=IF('Client &amp; Project Profile'!$B$10="",TODAY(),'Client &amp; Project Profile'!$B$10)+6*7),"■",""))</f>
        <v/>
      </c>
      <c r="T173">
        <f>IF(OR($D173="",$E173=""),"",IF(AND($D173&lt;=IF('Client &amp; Project Profile'!$B$10="",TODAY(),'Client &amp; Project Profile'!$B$10)+7*7+6,$E173&gt;=IF('Client &amp; Project Profile'!$B$10="",TODAY(),'Client &amp; Project Profile'!$B$10)+7*7),"■",""))</f>
        <v/>
      </c>
      <c r="U173">
        <f>IF(OR($D173="",$E173=""),"",IF(AND($D173&lt;=IF('Client &amp; Project Profile'!$B$10="",TODAY(),'Client &amp; Project Profile'!$B$10)+8*7+6,$E173&gt;=IF('Client &amp; Project Profile'!$B$10="",TODAY(),'Client &amp; Project Profile'!$B$10)+8*7),"■",""))</f>
        <v/>
      </c>
      <c r="V173">
        <f>IF(OR($D173="",$E173=""),"",IF(AND($D173&lt;=IF('Client &amp; Project Profile'!$B$10="",TODAY(),'Client &amp; Project Profile'!$B$10)+9*7+6,$E173&gt;=IF('Client &amp; Project Profile'!$B$10="",TODAY(),'Client &amp; Project Profile'!$B$10)+9*7),"■",""))</f>
        <v/>
      </c>
      <c r="W173">
        <f>IF(OR($D173="",$E173=""),"",IF(AND($D173&lt;=IF('Client &amp; Project Profile'!$B$10="",TODAY(),'Client &amp; Project Profile'!$B$10)+10*7+6,$E173&gt;=IF('Client &amp; Project Profile'!$B$10="",TODAY(),'Client &amp; Project Profile'!$B$10)+10*7),"■",""))</f>
        <v/>
      </c>
      <c r="X173">
        <f>IF(OR($D173="",$E173=""),"",IF(AND($D173&lt;=IF('Client &amp; Project Profile'!$B$10="",TODAY(),'Client &amp; Project Profile'!$B$10)+11*7+6,$E173&gt;=IF('Client &amp; Project Profile'!$B$10="",TODAY(),'Client &amp; Project Profile'!$B$10)+11*7),"■",""))</f>
        <v/>
      </c>
    </row>
    <row r="174">
      <c r="A174" s="12" t="n"/>
      <c r="B174" s="12" t="n"/>
      <c r="C174" s="12" t="n"/>
      <c r="D174" s="14" t="n"/>
      <c r="E174" s="14" t="n"/>
      <c r="F174" s="14" t="n"/>
      <c r="G174" s="12" t="n"/>
      <c r="H174" s="12" t="n"/>
      <c r="I174" s="12" t="n"/>
      <c r="J174" s="12" t="n"/>
      <c r="K174" s="12">
        <f>IF(OR($D174="",$E174=""),"",$E174-$D174+1)</f>
        <v/>
      </c>
      <c r="L174" s="12">
        <f>IF(AND($E174&lt;TODAY(),$G174&lt;&gt;"Complete"),TODAY()-$E174,0)</f>
        <v/>
      </c>
      <c r="M174" s="12">
        <f>IF(OR($D174="",$E174=""),"",IF(AND($D174&lt;=IF('Client &amp; Project Profile'!$B$10="",TODAY(),'Client &amp; Project Profile'!$B$10)+0*7+6,$E174&gt;=IF('Client &amp; Project Profile'!$B$10="",TODAY(),'Client &amp; Project Profile'!$B$10)+0*7),"■",""))</f>
        <v/>
      </c>
      <c r="N174" s="12">
        <f>IF(OR($D174="",$E174=""),"",IF(AND($D174&lt;=IF('Client &amp; Project Profile'!$B$10="",TODAY(),'Client &amp; Project Profile'!$B$10)+1*7+6,$E174&gt;=IF('Client &amp; Project Profile'!$B$10="",TODAY(),'Client &amp; Project Profile'!$B$10)+1*7),"■",""))</f>
        <v/>
      </c>
      <c r="O174" s="12">
        <f>IF(OR($D174="",$E174=""),"",IF(AND($D174&lt;=IF('Client &amp; Project Profile'!$B$10="",TODAY(),'Client &amp; Project Profile'!$B$10)+2*7+6,$E174&gt;=IF('Client &amp; Project Profile'!$B$10="",TODAY(),'Client &amp; Project Profile'!$B$10)+2*7),"■",""))</f>
        <v/>
      </c>
      <c r="P174" s="12">
        <f>IF(OR($D174="",$E174=""),"",IF(AND($D174&lt;=IF('Client &amp; Project Profile'!$B$10="",TODAY(),'Client &amp; Project Profile'!$B$10)+3*7+6,$E174&gt;=IF('Client &amp; Project Profile'!$B$10="",TODAY(),'Client &amp; Project Profile'!$B$10)+3*7),"■",""))</f>
        <v/>
      </c>
      <c r="Q174" s="12">
        <f>IF(OR($D174="",$E174=""),"",IF(AND($D174&lt;=IF('Client &amp; Project Profile'!$B$10="",TODAY(),'Client &amp; Project Profile'!$B$10)+4*7+6,$E174&gt;=IF('Client &amp; Project Profile'!$B$10="",TODAY(),'Client &amp; Project Profile'!$B$10)+4*7),"■",""))</f>
        <v/>
      </c>
      <c r="R174" s="12">
        <f>IF(OR($D174="",$E174=""),"",IF(AND($D174&lt;=IF('Client &amp; Project Profile'!$B$10="",TODAY(),'Client &amp; Project Profile'!$B$10)+5*7+6,$E174&gt;=IF('Client &amp; Project Profile'!$B$10="",TODAY(),'Client &amp; Project Profile'!$B$10)+5*7),"■",""))</f>
        <v/>
      </c>
      <c r="S174" s="12">
        <f>IF(OR($D174="",$E174=""),"",IF(AND($D174&lt;=IF('Client &amp; Project Profile'!$B$10="",TODAY(),'Client &amp; Project Profile'!$B$10)+6*7+6,$E174&gt;=IF('Client &amp; Project Profile'!$B$10="",TODAY(),'Client &amp; Project Profile'!$B$10)+6*7),"■",""))</f>
        <v/>
      </c>
      <c r="T174" s="12">
        <f>IF(OR($D174="",$E174=""),"",IF(AND($D174&lt;=IF('Client &amp; Project Profile'!$B$10="",TODAY(),'Client &amp; Project Profile'!$B$10)+7*7+6,$E174&gt;=IF('Client &amp; Project Profile'!$B$10="",TODAY(),'Client &amp; Project Profile'!$B$10)+7*7),"■",""))</f>
        <v/>
      </c>
      <c r="U174" s="12">
        <f>IF(OR($D174="",$E174=""),"",IF(AND($D174&lt;=IF('Client &amp; Project Profile'!$B$10="",TODAY(),'Client &amp; Project Profile'!$B$10)+8*7+6,$E174&gt;=IF('Client &amp; Project Profile'!$B$10="",TODAY(),'Client &amp; Project Profile'!$B$10)+8*7),"■",""))</f>
        <v/>
      </c>
      <c r="V174" s="12">
        <f>IF(OR($D174="",$E174=""),"",IF(AND($D174&lt;=IF('Client &amp; Project Profile'!$B$10="",TODAY(),'Client &amp; Project Profile'!$B$10)+9*7+6,$E174&gt;=IF('Client &amp; Project Profile'!$B$10="",TODAY(),'Client &amp; Project Profile'!$B$10)+9*7),"■",""))</f>
        <v/>
      </c>
      <c r="W174" s="12">
        <f>IF(OR($D174="",$E174=""),"",IF(AND($D174&lt;=IF('Client &amp; Project Profile'!$B$10="",TODAY(),'Client &amp; Project Profile'!$B$10)+10*7+6,$E174&gt;=IF('Client &amp; Project Profile'!$B$10="",TODAY(),'Client &amp; Project Profile'!$B$10)+10*7),"■",""))</f>
        <v/>
      </c>
      <c r="X174" s="12">
        <f>IF(OR($D174="",$E174=""),"",IF(AND($D174&lt;=IF('Client &amp; Project Profile'!$B$10="",TODAY(),'Client &amp; Project Profile'!$B$10)+11*7+6,$E174&gt;=IF('Client &amp; Project Profile'!$B$10="",TODAY(),'Client &amp; Project Profile'!$B$10)+11*7),"■",""))</f>
        <v/>
      </c>
    </row>
    <row r="175">
      <c r="D175" s="9" t="n"/>
      <c r="E175" s="9" t="n"/>
      <c r="F175" s="9" t="n"/>
      <c r="K175">
        <f>IF(OR($D175="",$E175=""),"",$E175-$D175+1)</f>
        <v/>
      </c>
      <c r="L175">
        <f>IF(AND($E175&lt;TODAY(),$G175&lt;&gt;"Complete"),TODAY()-$E175,0)</f>
        <v/>
      </c>
      <c r="M175">
        <f>IF(OR($D175="",$E175=""),"",IF(AND($D175&lt;=IF('Client &amp; Project Profile'!$B$10="",TODAY(),'Client &amp; Project Profile'!$B$10)+0*7+6,$E175&gt;=IF('Client &amp; Project Profile'!$B$10="",TODAY(),'Client &amp; Project Profile'!$B$10)+0*7),"■",""))</f>
        <v/>
      </c>
      <c r="N175">
        <f>IF(OR($D175="",$E175=""),"",IF(AND($D175&lt;=IF('Client &amp; Project Profile'!$B$10="",TODAY(),'Client &amp; Project Profile'!$B$10)+1*7+6,$E175&gt;=IF('Client &amp; Project Profile'!$B$10="",TODAY(),'Client &amp; Project Profile'!$B$10)+1*7),"■",""))</f>
        <v/>
      </c>
      <c r="O175">
        <f>IF(OR($D175="",$E175=""),"",IF(AND($D175&lt;=IF('Client &amp; Project Profile'!$B$10="",TODAY(),'Client &amp; Project Profile'!$B$10)+2*7+6,$E175&gt;=IF('Client &amp; Project Profile'!$B$10="",TODAY(),'Client &amp; Project Profile'!$B$10)+2*7),"■",""))</f>
        <v/>
      </c>
      <c r="P175">
        <f>IF(OR($D175="",$E175=""),"",IF(AND($D175&lt;=IF('Client &amp; Project Profile'!$B$10="",TODAY(),'Client &amp; Project Profile'!$B$10)+3*7+6,$E175&gt;=IF('Client &amp; Project Profile'!$B$10="",TODAY(),'Client &amp; Project Profile'!$B$10)+3*7),"■",""))</f>
        <v/>
      </c>
      <c r="Q175">
        <f>IF(OR($D175="",$E175=""),"",IF(AND($D175&lt;=IF('Client &amp; Project Profile'!$B$10="",TODAY(),'Client &amp; Project Profile'!$B$10)+4*7+6,$E175&gt;=IF('Client &amp; Project Profile'!$B$10="",TODAY(),'Client &amp; Project Profile'!$B$10)+4*7),"■",""))</f>
        <v/>
      </c>
      <c r="R175">
        <f>IF(OR($D175="",$E175=""),"",IF(AND($D175&lt;=IF('Client &amp; Project Profile'!$B$10="",TODAY(),'Client &amp; Project Profile'!$B$10)+5*7+6,$E175&gt;=IF('Client &amp; Project Profile'!$B$10="",TODAY(),'Client &amp; Project Profile'!$B$10)+5*7),"■",""))</f>
        <v/>
      </c>
      <c r="S175">
        <f>IF(OR($D175="",$E175=""),"",IF(AND($D175&lt;=IF('Client &amp; Project Profile'!$B$10="",TODAY(),'Client &amp; Project Profile'!$B$10)+6*7+6,$E175&gt;=IF('Client &amp; Project Profile'!$B$10="",TODAY(),'Client &amp; Project Profile'!$B$10)+6*7),"■",""))</f>
        <v/>
      </c>
      <c r="T175">
        <f>IF(OR($D175="",$E175=""),"",IF(AND($D175&lt;=IF('Client &amp; Project Profile'!$B$10="",TODAY(),'Client &amp; Project Profile'!$B$10)+7*7+6,$E175&gt;=IF('Client &amp; Project Profile'!$B$10="",TODAY(),'Client &amp; Project Profile'!$B$10)+7*7),"■",""))</f>
        <v/>
      </c>
      <c r="U175">
        <f>IF(OR($D175="",$E175=""),"",IF(AND($D175&lt;=IF('Client &amp; Project Profile'!$B$10="",TODAY(),'Client &amp; Project Profile'!$B$10)+8*7+6,$E175&gt;=IF('Client &amp; Project Profile'!$B$10="",TODAY(),'Client &amp; Project Profile'!$B$10)+8*7),"■",""))</f>
        <v/>
      </c>
      <c r="V175">
        <f>IF(OR($D175="",$E175=""),"",IF(AND($D175&lt;=IF('Client &amp; Project Profile'!$B$10="",TODAY(),'Client &amp; Project Profile'!$B$10)+9*7+6,$E175&gt;=IF('Client &amp; Project Profile'!$B$10="",TODAY(),'Client &amp; Project Profile'!$B$10)+9*7),"■",""))</f>
        <v/>
      </c>
      <c r="W175">
        <f>IF(OR($D175="",$E175=""),"",IF(AND($D175&lt;=IF('Client &amp; Project Profile'!$B$10="",TODAY(),'Client &amp; Project Profile'!$B$10)+10*7+6,$E175&gt;=IF('Client &amp; Project Profile'!$B$10="",TODAY(),'Client &amp; Project Profile'!$B$10)+10*7),"■",""))</f>
        <v/>
      </c>
      <c r="X175">
        <f>IF(OR($D175="",$E175=""),"",IF(AND($D175&lt;=IF('Client &amp; Project Profile'!$B$10="",TODAY(),'Client &amp; Project Profile'!$B$10)+11*7+6,$E175&gt;=IF('Client &amp; Project Profile'!$B$10="",TODAY(),'Client &amp; Project Profile'!$B$10)+11*7),"■",""))</f>
        <v/>
      </c>
    </row>
    <row r="176">
      <c r="A176" s="12" t="n"/>
      <c r="B176" s="12" t="n"/>
      <c r="C176" s="12" t="n"/>
      <c r="D176" s="14" t="n"/>
      <c r="E176" s="14" t="n"/>
      <c r="F176" s="14" t="n"/>
      <c r="G176" s="12" t="n"/>
      <c r="H176" s="12" t="n"/>
      <c r="I176" s="12" t="n"/>
      <c r="J176" s="12" t="n"/>
      <c r="K176" s="12">
        <f>IF(OR($D176="",$E176=""),"",$E176-$D176+1)</f>
        <v/>
      </c>
      <c r="L176" s="12">
        <f>IF(AND($E176&lt;TODAY(),$G176&lt;&gt;"Complete"),TODAY()-$E176,0)</f>
        <v/>
      </c>
      <c r="M176" s="12">
        <f>IF(OR($D176="",$E176=""),"",IF(AND($D176&lt;=IF('Client &amp; Project Profile'!$B$10="",TODAY(),'Client &amp; Project Profile'!$B$10)+0*7+6,$E176&gt;=IF('Client &amp; Project Profile'!$B$10="",TODAY(),'Client &amp; Project Profile'!$B$10)+0*7),"■",""))</f>
        <v/>
      </c>
      <c r="N176" s="12">
        <f>IF(OR($D176="",$E176=""),"",IF(AND($D176&lt;=IF('Client &amp; Project Profile'!$B$10="",TODAY(),'Client &amp; Project Profile'!$B$10)+1*7+6,$E176&gt;=IF('Client &amp; Project Profile'!$B$10="",TODAY(),'Client &amp; Project Profile'!$B$10)+1*7),"■",""))</f>
        <v/>
      </c>
      <c r="O176" s="12">
        <f>IF(OR($D176="",$E176=""),"",IF(AND($D176&lt;=IF('Client &amp; Project Profile'!$B$10="",TODAY(),'Client &amp; Project Profile'!$B$10)+2*7+6,$E176&gt;=IF('Client &amp; Project Profile'!$B$10="",TODAY(),'Client &amp; Project Profile'!$B$10)+2*7),"■",""))</f>
        <v/>
      </c>
      <c r="P176" s="12">
        <f>IF(OR($D176="",$E176=""),"",IF(AND($D176&lt;=IF('Client &amp; Project Profile'!$B$10="",TODAY(),'Client &amp; Project Profile'!$B$10)+3*7+6,$E176&gt;=IF('Client &amp; Project Profile'!$B$10="",TODAY(),'Client &amp; Project Profile'!$B$10)+3*7),"■",""))</f>
        <v/>
      </c>
      <c r="Q176" s="12">
        <f>IF(OR($D176="",$E176=""),"",IF(AND($D176&lt;=IF('Client &amp; Project Profile'!$B$10="",TODAY(),'Client &amp; Project Profile'!$B$10)+4*7+6,$E176&gt;=IF('Client &amp; Project Profile'!$B$10="",TODAY(),'Client &amp; Project Profile'!$B$10)+4*7),"■",""))</f>
        <v/>
      </c>
      <c r="R176" s="12">
        <f>IF(OR($D176="",$E176=""),"",IF(AND($D176&lt;=IF('Client &amp; Project Profile'!$B$10="",TODAY(),'Client &amp; Project Profile'!$B$10)+5*7+6,$E176&gt;=IF('Client &amp; Project Profile'!$B$10="",TODAY(),'Client &amp; Project Profile'!$B$10)+5*7),"■",""))</f>
        <v/>
      </c>
      <c r="S176" s="12">
        <f>IF(OR($D176="",$E176=""),"",IF(AND($D176&lt;=IF('Client &amp; Project Profile'!$B$10="",TODAY(),'Client &amp; Project Profile'!$B$10)+6*7+6,$E176&gt;=IF('Client &amp; Project Profile'!$B$10="",TODAY(),'Client &amp; Project Profile'!$B$10)+6*7),"■",""))</f>
        <v/>
      </c>
      <c r="T176" s="12">
        <f>IF(OR($D176="",$E176=""),"",IF(AND($D176&lt;=IF('Client &amp; Project Profile'!$B$10="",TODAY(),'Client &amp; Project Profile'!$B$10)+7*7+6,$E176&gt;=IF('Client &amp; Project Profile'!$B$10="",TODAY(),'Client &amp; Project Profile'!$B$10)+7*7),"■",""))</f>
        <v/>
      </c>
      <c r="U176" s="12">
        <f>IF(OR($D176="",$E176=""),"",IF(AND($D176&lt;=IF('Client &amp; Project Profile'!$B$10="",TODAY(),'Client &amp; Project Profile'!$B$10)+8*7+6,$E176&gt;=IF('Client &amp; Project Profile'!$B$10="",TODAY(),'Client &amp; Project Profile'!$B$10)+8*7),"■",""))</f>
        <v/>
      </c>
      <c r="V176" s="12">
        <f>IF(OR($D176="",$E176=""),"",IF(AND($D176&lt;=IF('Client &amp; Project Profile'!$B$10="",TODAY(),'Client &amp; Project Profile'!$B$10)+9*7+6,$E176&gt;=IF('Client &amp; Project Profile'!$B$10="",TODAY(),'Client &amp; Project Profile'!$B$10)+9*7),"■",""))</f>
        <v/>
      </c>
      <c r="W176" s="12">
        <f>IF(OR($D176="",$E176=""),"",IF(AND($D176&lt;=IF('Client &amp; Project Profile'!$B$10="",TODAY(),'Client &amp; Project Profile'!$B$10)+10*7+6,$E176&gt;=IF('Client &amp; Project Profile'!$B$10="",TODAY(),'Client &amp; Project Profile'!$B$10)+10*7),"■",""))</f>
        <v/>
      </c>
      <c r="X176" s="12">
        <f>IF(OR($D176="",$E176=""),"",IF(AND($D176&lt;=IF('Client &amp; Project Profile'!$B$10="",TODAY(),'Client &amp; Project Profile'!$B$10)+11*7+6,$E176&gt;=IF('Client &amp; Project Profile'!$B$10="",TODAY(),'Client &amp; Project Profile'!$B$10)+11*7),"■",""))</f>
        <v/>
      </c>
    </row>
    <row r="177">
      <c r="D177" s="9" t="n"/>
      <c r="E177" s="9" t="n"/>
      <c r="F177" s="9" t="n"/>
      <c r="K177">
        <f>IF(OR($D177="",$E177=""),"",$E177-$D177+1)</f>
        <v/>
      </c>
      <c r="L177">
        <f>IF(AND($E177&lt;TODAY(),$G177&lt;&gt;"Complete"),TODAY()-$E177,0)</f>
        <v/>
      </c>
      <c r="M177">
        <f>IF(OR($D177="",$E177=""),"",IF(AND($D177&lt;=IF('Client &amp; Project Profile'!$B$10="",TODAY(),'Client &amp; Project Profile'!$B$10)+0*7+6,$E177&gt;=IF('Client &amp; Project Profile'!$B$10="",TODAY(),'Client &amp; Project Profile'!$B$10)+0*7),"■",""))</f>
        <v/>
      </c>
      <c r="N177">
        <f>IF(OR($D177="",$E177=""),"",IF(AND($D177&lt;=IF('Client &amp; Project Profile'!$B$10="",TODAY(),'Client &amp; Project Profile'!$B$10)+1*7+6,$E177&gt;=IF('Client &amp; Project Profile'!$B$10="",TODAY(),'Client &amp; Project Profile'!$B$10)+1*7),"■",""))</f>
        <v/>
      </c>
      <c r="O177">
        <f>IF(OR($D177="",$E177=""),"",IF(AND($D177&lt;=IF('Client &amp; Project Profile'!$B$10="",TODAY(),'Client &amp; Project Profile'!$B$10)+2*7+6,$E177&gt;=IF('Client &amp; Project Profile'!$B$10="",TODAY(),'Client &amp; Project Profile'!$B$10)+2*7),"■",""))</f>
        <v/>
      </c>
      <c r="P177">
        <f>IF(OR($D177="",$E177=""),"",IF(AND($D177&lt;=IF('Client &amp; Project Profile'!$B$10="",TODAY(),'Client &amp; Project Profile'!$B$10)+3*7+6,$E177&gt;=IF('Client &amp; Project Profile'!$B$10="",TODAY(),'Client &amp; Project Profile'!$B$10)+3*7),"■",""))</f>
        <v/>
      </c>
      <c r="Q177">
        <f>IF(OR($D177="",$E177=""),"",IF(AND($D177&lt;=IF('Client &amp; Project Profile'!$B$10="",TODAY(),'Client &amp; Project Profile'!$B$10)+4*7+6,$E177&gt;=IF('Client &amp; Project Profile'!$B$10="",TODAY(),'Client &amp; Project Profile'!$B$10)+4*7),"■",""))</f>
        <v/>
      </c>
      <c r="R177">
        <f>IF(OR($D177="",$E177=""),"",IF(AND($D177&lt;=IF('Client &amp; Project Profile'!$B$10="",TODAY(),'Client &amp; Project Profile'!$B$10)+5*7+6,$E177&gt;=IF('Client &amp; Project Profile'!$B$10="",TODAY(),'Client &amp; Project Profile'!$B$10)+5*7),"■",""))</f>
        <v/>
      </c>
      <c r="S177">
        <f>IF(OR($D177="",$E177=""),"",IF(AND($D177&lt;=IF('Client &amp; Project Profile'!$B$10="",TODAY(),'Client &amp; Project Profile'!$B$10)+6*7+6,$E177&gt;=IF('Client &amp; Project Profile'!$B$10="",TODAY(),'Client &amp; Project Profile'!$B$10)+6*7),"■",""))</f>
        <v/>
      </c>
      <c r="T177">
        <f>IF(OR($D177="",$E177=""),"",IF(AND($D177&lt;=IF('Client &amp; Project Profile'!$B$10="",TODAY(),'Client &amp; Project Profile'!$B$10)+7*7+6,$E177&gt;=IF('Client &amp; Project Profile'!$B$10="",TODAY(),'Client &amp; Project Profile'!$B$10)+7*7),"■",""))</f>
        <v/>
      </c>
      <c r="U177">
        <f>IF(OR($D177="",$E177=""),"",IF(AND($D177&lt;=IF('Client &amp; Project Profile'!$B$10="",TODAY(),'Client &amp; Project Profile'!$B$10)+8*7+6,$E177&gt;=IF('Client &amp; Project Profile'!$B$10="",TODAY(),'Client &amp; Project Profile'!$B$10)+8*7),"■",""))</f>
        <v/>
      </c>
      <c r="V177">
        <f>IF(OR($D177="",$E177=""),"",IF(AND($D177&lt;=IF('Client &amp; Project Profile'!$B$10="",TODAY(),'Client &amp; Project Profile'!$B$10)+9*7+6,$E177&gt;=IF('Client &amp; Project Profile'!$B$10="",TODAY(),'Client &amp; Project Profile'!$B$10)+9*7),"■",""))</f>
        <v/>
      </c>
      <c r="W177">
        <f>IF(OR($D177="",$E177=""),"",IF(AND($D177&lt;=IF('Client &amp; Project Profile'!$B$10="",TODAY(),'Client &amp; Project Profile'!$B$10)+10*7+6,$E177&gt;=IF('Client &amp; Project Profile'!$B$10="",TODAY(),'Client &amp; Project Profile'!$B$10)+10*7),"■",""))</f>
        <v/>
      </c>
      <c r="X177">
        <f>IF(OR($D177="",$E177=""),"",IF(AND($D177&lt;=IF('Client &amp; Project Profile'!$B$10="",TODAY(),'Client &amp; Project Profile'!$B$10)+11*7+6,$E177&gt;=IF('Client &amp; Project Profile'!$B$10="",TODAY(),'Client &amp; Project Profile'!$B$10)+11*7),"■",""))</f>
        <v/>
      </c>
    </row>
    <row r="178">
      <c r="A178" s="12" t="n"/>
      <c r="B178" s="12" t="n"/>
      <c r="C178" s="12" t="n"/>
      <c r="D178" s="14" t="n"/>
      <c r="E178" s="14" t="n"/>
      <c r="F178" s="14" t="n"/>
      <c r="G178" s="12" t="n"/>
      <c r="H178" s="12" t="n"/>
      <c r="I178" s="12" t="n"/>
      <c r="J178" s="12" t="n"/>
      <c r="K178" s="12">
        <f>IF(OR($D178="",$E178=""),"",$E178-$D178+1)</f>
        <v/>
      </c>
      <c r="L178" s="12">
        <f>IF(AND($E178&lt;TODAY(),$G178&lt;&gt;"Complete"),TODAY()-$E178,0)</f>
        <v/>
      </c>
      <c r="M178" s="12">
        <f>IF(OR($D178="",$E178=""),"",IF(AND($D178&lt;=IF('Client &amp; Project Profile'!$B$10="",TODAY(),'Client &amp; Project Profile'!$B$10)+0*7+6,$E178&gt;=IF('Client &amp; Project Profile'!$B$10="",TODAY(),'Client &amp; Project Profile'!$B$10)+0*7),"■",""))</f>
        <v/>
      </c>
      <c r="N178" s="12">
        <f>IF(OR($D178="",$E178=""),"",IF(AND($D178&lt;=IF('Client &amp; Project Profile'!$B$10="",TODAY(),'Client &amp; Project Profile'!$B$10)+1*7+6,$E178&gt;=IF('Client &amp; Project Profile'!$B$10="",TODAY(),'Client &amp; Project Profile'!$B$10)+1*7),"■",""))</f>
        <v/>
      </c>
      <c r="O178" s="12">
        <f>IF(OR($D178="",$E178=""),"",IF(AND($D178&lt;=IF('Client &amp; Project Profile'!$B$10="",TODAY(),'Client &amp; Project Profile'!$B$10)+2*7+6,$E178&gt;=IF('Client &amp; Project Profile'!$B$10="",TODAY(),'Client &amp; Project Profile'!$B$10)+2*7),"■",""))</f>
        <v/>
      </c>
      <c r="P178" s="12">
        <f>IF(OR($D178="",$E178=""),"",IF(AND($D178&lt;=IF('Client &amp; Project Profile'!$B$10="",TODAY(),'Client &amp; Project Profile'!$B$10)+3*7+6,$E178&gt;=IF('Client &amp; Project Profile'!$B$10="",TODAY(),'Client &amp; Project Profile'!$B$10)+3*7),"■",""))</f>
        <v/>
      </c>
      <c r="Q178" s="12">
        <f>IF(OR($D178="",$E178=""),"",IF(AND($D178&lt;=IF('Client &amp; Project Profile'!$B$10="",TODAY(),'Client &amp; Project Profile'!$B$10)+4*7+6,$E178&gt;=IF('Client &amp; Project Profile'!$B$10="",TODAY(),'Client &amp; Project Profile'!$B$10)+4*7),"■",""))</f>
        <v/>
      </c>
      <c r="R178" s="12">
        <f>IF(OR($D178="",$E178=""),"",IF(AND($D178&lt;=IF('Client &amp; Project Profile'!$B$10="",TODAY(),'Client &amp; Project Profile'!$B$10)+5*7+6,$E178&gt;=IF('Client &amp; Project Profile'!$B$10="",TODAY(),'Client &amp; Project Profile'!$B$10)+5*7),"■",""))</f>
        <v/>
      </c>
      <c r="S178" s="12">
        <f>IF(OR($D178="",$E178=""),"",IF(AND($D178&lt;=IF('Client &amp; Project Profile'!$B$10="",TODAY(),'Client &amp; Project Profile'!$B$10)+6*7+6,$E178&gt;=IF('Client &amp; Project Profile'!$B$10="",TODAY(),'Client &amp; Project Profile'!$B$10)+6*7),"■",""))</f>
        <v/>
      </c>
      <c r="T178" s="12">
        <f>IF(OR($D178="",$E178=""),"",IF(AND($D178&lt;=IF('Client &amp; Project Profile'!$B$10="",TODAY(),'Client &amp; Project Profile'!$B$10)+7*7+6,$E178&gt;=IF('Client &amp; Project Profile'!$B$10="",TODAY(),'Client &amp; Project Profile'!$B$10)+7*7),"■",""))</f>
        <v/>
      </c>
      <c r="U178" s="12">
        <f>IF(OR($D178="",$E178=""),"",IF(AND($D178&lt;=IF('Client &amp; Project Profile'!$B$10="",TODAY(),'Client &amp; Project Profile'!$B$10)+8*7+6,$E178&gt;=IF('Client &amp; Project Profile'!$B$10="",TODAY(),'Client &amp; Project Profile'!$B$10)+8*7),"■",""))</f>
        <v/>
      </c>
      <c r="V178" s="12">
        <f>IF(OR($D178="",$E178=""),"",IF(AND($D178&lt;=IF('Client &amp; Project Profile'!$B$10="",TODAY(),'Client &amp; Project Profile'!$B$10)+9*7+6,$E178&gt;=IF('Client &amp; Project Profile'!$B$10="",TODAY(),'Client &amp; Project Profile'!$B$10)+9*7),"■",""))</f>
        <v/>
      </c>
      <c r="W178" s="12">
        <f>IF(OR($D178="",$E178=""),"",IF(AND($D178&lt;=IF('Client &amp; Project Profile'!$B$10="",TODAY(),'Client &amp; Project Profile'!$B$10)+10*7+6,$E178&gt;=IF('Client &amp; Project Profile'!$B$10="",TODAY(),'Client &amp; Project Profile'!$B$10)+10*7),"■",""))</f>
        <v/>
      </c>
      <c r="X178" s="12">
        <f>IF(OR($D178="",$E178=""),"",IF(AND($D178&lt;=IF('Client &amp; Project Profile'!$B$10="",TODAY(),'Client &amp; Project Profile'!$B$10)+11*7+6,$E178&gt;=IF('Client &amp; Project Profile'!$B$10="",TODAY(),'Client &amp; Project Profile'!$B$10)+11*7),"■",""))</f>
        <v/>
      </c>
    </row>
    <row r="179">
      <c r="D179" s="9" t="n"/>
      <c r="E179" s="9" t="n"/>
      <c r="F179" s="9" t="n"/>
      <c r="K179">
        <f>IF(OR($D179="",$E179=""),"",$E179-$D179+1)</f>
        <v/>
      </c>
      <c r="L179">
        <f>IF(AND($E179&lt;TODAY(),$G179&lt;&gt;"Complete"),TODAY()-$E179,0)</f>
        <v/>
      </c>
      <c r="M179">
        <f>IF(OR($D179="",$E179=""),"",IF(AND($D179&lt;=IF('Client &amp; Project Profile'!$B$10="",TODAY(),'Client &amp; Project Profile'!$B$10)+0*7+6,$E179&gt;=IF('Client &amp; Project Profile'!$B$10="",TODAY(),'Client &amp; Project Profile'!$B$10)+0*7),"■",""))</f>
        <v/>
      </c>
      <c r="N179">
        <f>IF(OR($D179="",$E179=""),"",IF(AND($D179&lt;=IF('Client &amp; Project Profile'!$B$10="",TODAY(),'Client &amp; Project Profile'!$B$10)+1*7+6,$E179&gt;=IF('Client &amp; Project Profile'!$B$10="",TODAY(),'Client &amp; Project Profile'!$B$10)+1*7),"■",""))</f>
        <v/>
      </c>
      <c r="O179">
        <f>IF(OR($D179="",$E179=""),"",IF(AND($D179&lt;=IF('Client &amp; Project Profile'!$B$10="",TODAY(),'Client &amp; Project Profile'!$B$10)+2*7+6,$E179&gt;=IF('Client &amp; Project Profile'!$B$10="",TODAY(),'Client &amp; Project Profile'!$B$10)+2*7),"■",""))</f>
        <v/>
      </c>
      <c r="P179">
        <f>IF(OR($D179="",$E179=""),"",IF(AND($D179&lt;=IF('Client &amp; Project Profile'!$B$10="",TODAY(),'Client &amp; Project Profile'!$B$10)+3*7+6,$E179&gt;=IF('Client &amp; Project Profile'!$B$10="",TODAY(),'Client &amp; Project Profile'!$B$10)+3*7),"■",""))</f>
        <v/>
      </c>
      <c r="Q179">
        <f>IF(OR($D179="",$E179=""),"",IF(AND($D179&lt;=IF('Client &amp; Project Profile'!$B$10="",TODAY(),'Client &amp; Project Profile'!$B$10)+4*7+6,$E179&gt;=IF('Client &amp; Project Profile'!$B$10="",TODAY(),'Client &amp; Project Profile'!$B$10)+4*7),"■",""))</f>
        <v/>
      </c>
      <c r="R179">
        <f>IF(OR($D179="",$E179=""),"",IF(AND($D179&lt;=IF('Client &amp; Project Profile'!$B$10="",TODAY(),'Client &amp; Project Profile'!$B$10)+5*7+6,$E179&gt;=IF('Client &amp; Project Profile'!$B$10="",TODAY(),'Client &amp; Project Profile'!$B$10)+5*7),"■",""))</f>
        <v/>
      </c>
      <c r="S179">
        <f>IF(OR($D179="",$E179=""),"",IF(AND($D179&lt;=IF('Client &amp; Project Profile'!$B$10="",TODAY(),'Client &amp; Project Profile'!$B$10)+6*7+6,$E179&gt;=IF('Client &amp; Project Profile'!$B$10="",TODAY(),'Client &amp; Project Profile'!$B$10)+6*7),"■",""))</f>
        <v/>
      </c>
      <c r="T179">
        <f>IF(OR($D179="",$E179=""),"",IF(AND($D179&lt;=IF('Client &amp; Project Profile'!$B$10="",TODAY(),'Client &amp; Project Profile'!$B$10)+7*7+6,$E179&gt;=IF('Client &amp; Project Profile'!$B$10="",TODAY(),'Client &amp; Project Profile'!$B$10)+7*7),"■",""))</f>
        <v/>
      </c>
      <c r="U179">
        <f>IF(OR($D179="",$E179=""),"",IF(AND($D179&lt;=IF('Client &amp; Project Profile'!$B$10="",TODAY(),'Client &amp; Project Profile'!$B$10)+8*7+6,$E179&gt;=IF('Client &amp; Project Profile'!$B$10="",TODAY(),'Client &amp; Project Profile'!$B$10)+8*7),"■",""))</f>
        <v/>
      </c>
      <c r="V179">
        <f>IF(OR($D179="",$E179=""),"",IF(AND($D179&lt;=IF('Client &amp; Project Profile'!$B$10="",TODAY(),'Client &amp; Project Profile'!$B$10)+9*7+6,$E179&gt;=IF('Client &amp; Project Profile'!$B$10="",TODAY(),'Client &amp; Project Profile'!$B$10)+9*7),"■",""))</f>
        <v/>
      </c>
      <c r="W179">
        <f>IF(OR($D179="",$E179=""),"",IF(AND($D179&lt;=IF('Client &amp; Project Profile'!$B$10="",TODAY(),'Client &amp; Project Profile'!$B$10)+10*7+6,$E179&gt;=IF('Client &amp; Project Profile'!$B$10="",TODAY(),'Client &amp; Project Profile'!$B$10)+10*7),"■",""))</f>
        <v/>
      </c>
      <c r="X179">
        <f>IF(OR($D179="",$E179=""),"",IF(AND($D179&lt;=IF('Client &amp; Project Profile'!$B$10="",TODAY(),'Client &amp; Project Profile'!$B$10)+11*7+6,$E179&gt;=IF('Client &amp; Project Profile'!$B$10="",TODAY(),'Client &amp; Project Profile'!$B$10)+11*7),"■",""))</f>
        <v/>
      </c>
    </row>
    <row r="180">
      <c r="A180" s="12" t="n"/>
      <c r="B180" s="12" t="n"/>
      <c r="C180" s="12" t="n"/>
      <c r="D180" s="14" t="n"/>
      <c r="E180" s="14" t="n"/>
      <c r="F180" s="14" t="n"/>
      <c r="G180" s="12" t="n"/>
      <c r="H180" s="12" t="n"/>
      <c r="I180" s="12" t="n"/>
      <c r="J180" s="12" t="n"/>
      <c r="K180" s="12">
        <f>IF(OR($D180="",$E180=""),"",$E180-$D180+1)</f>
        <v/>
      </c>
      <c r="L180" s="12">
        <f>IF(AND($E180&lt;TODAY(),$G180&lt;&gt;"Complete"),TODAY()-$E180,0)</f>
        <v/>
      </c>
      <c r="M180" s="12">
        <f>IF(OR($D180="",$E180=""),"",IF(AND($D180&lt;=IF('Client &amp; Project Profile'!$B$10="",TODAY(),'Client &amp; Project Profile'!$B$10)+0*7+6,$E180&gt;=IF('Client &amp; Project Profile'!$B$10="",TODAY(),'Client &amp; Project Profile'!$B$10)+0*7),"■",""))</f>
        <v/>
      </c>
      <c r="N180" s="12">
        <f>IF(OR($D180="",$E180=""),"",IF(AND($D180&lt;=IF('Client &amp; Project Profile'!$B$10="",TODAY(),'Client &amp; Project Profile'!$B$10)+1*7+6,$E180&gt;=IF('Client &amp; Project Profile'!$B$10="",TODAY(),'Client &amp; Project Profile'!$B$10)+1*7),"■",""))</f>
        <v/>
      </c>
      <c r="O180" s="12">
        <f>IF(OR($D180="",$E180=""),"",IF(AND($D180&lt;=IF('Client &amp; Project Profile'!$B$10="",TODAY(),'Client &amp; Project Profile'!$B$10)+2*7+6,$E180&gt;=IF('Client &amp; Project Profile'!$B$10="",TODAY(),'Client &amp; Project Profile'!$B$10)+2*7),"■",""))</f>
        <v/>
      </c>
      <c r="P180" s="12">
        <f>IF(OR($D180="",$E180=""),"",IF(AND($D180&lt;=IF('Client &amp; Project Profile'!$B$10="",TODAY(),'Client &amp; Project Profile'!$B$10)+3*7+6,$E180&gt;=IF('Client &amp; Project Profile'!$B$10="",TODAY(),'Client &amp; Project Profile'!$B$10)+3*7),"■",""))</f>
        <v/>
      </c>
      <c r="Q180" s="12">
        <f>IF(OR($D180="",$E180=""),"",IF(AND($D180&lt;=IF('Client &amp; Project Profile'!$B$10="",TODAY(),'Client &amp; Project Profile'!$B$10)+4*7+6,$E180&gt;=IF('Client &amp; Project Profile'!$B$10="",TODAY(),'Client &amp; Project Profile'!$B$10)+4*7),"■",""))</f>
        <v/>
      </c>
      <c r="R180" s="12">
        <f>IF(OR($D180="",$E180=""),"",IF(AND($D180&lt;=IF('Client &amp; Project Profile'!$B$10="",TODAY(),'Client &amp; Project Profile'!$B$10)+5*7+6,$E180&gt;=IF('Client &amp; Project Profile'!$B$10="",TODAY(),'Client &amp; Project Profile'!$B$10)+5*7),"■",""))</f>
        <v/>
      </c>
      <c r="S180" s="12">
        <f>IF(OR($D180="",$E180=""),"",IF(AND($D180&lt;=IF('Client &amp; Project Profile'!$B$10="",TODAY(),'Client &amp; Project Profile'!$B$10)+6*7+6,$E180&gt;=IF('Client &amp; Project Profile'!$B$10="",TODAY(),'Client &amp; Project Profile'!$B$10)+6*7),"■",""))</f>
        <v/>
      </c>
      <c r="T180" s="12">
        <f>IF(OR($D180="",$E180=""),"",IF(AND($D180&lt;=IF('Client &amp; Project Profile'!$B$10="",TODAY(),'Client &amp; Project Profile'!$B$10)+7*7+6,$E180&gt;=IF('Client &amp; Project Profile'!$B$10="",TODAY(),'Client &amp; Project Profile'!$B$10)+7*7),"■",""))</f>
        <v/>
      </c>
      <c r="U180" s="12">
        <f>IF(OR($D180="",$E180=""),"",IF(AND($D180&lt;=IF('Client &amp; Project Profile'!$B$10="",TODAY(),'Client &amp; Project Profile'!$B$10)+8*7+6,$E180&gt;=IF('Client &amp; Project Profile'!$B$10="",TODAY(),'Client &amp; Project Profile'!$B$10)+8*7),"■",""))</f>
        <v/>
      </c>
      <c r="V180" s="12">
        <f>IF(OR($D180="",$E180=""),"",IF(AND($D180&lt;=IF('Client &amp; Project Profile'!$B$10="",TODAY(),'Client &amp; Project Profile'!$B$10)+9*7+6,$E180&gt;=IF('Client &amp; Project Profile'!$B$10="",TODAY(),'Client &amp; Project Profile'!$B$10)+9*7),"■",""))</f>
        <v/>
      </c>
      <c r="W180" s="12">
        <f>IF(OR($D180="",$E180=""),"",IF(AND($D180&lt;=IF('Client &amp; Project Profile'!$B$10="",TODAY(),'Client &amp; Project Profile'!$B$10)+10*7+6,$E180&gt;=IF('Client &amp; Project Profile'!$B$10="",TODAY(),'Client &amp; Project Profile'!$B$10)+10*7),"■",""))</f>
        <v/>
      </c>
      <c r="X180" s="12">
        <f>IF(OR($D180="",$E180=""),"",IF(AND($D180&lt;=IF('Client &amp; Project Profile'!$B$10="",TODAY(),'Client &amp; Project Profile'!$B$10)+11*7+6,$E180&gt;=IF('Client &amp; Project Profile'!$B$10="",TODAY(),'Client &amp; Project Profile'!$B$10)+11*7),"■",""))</f>
        <v/>
      </c>
    </row>
    <row r="181">
      <c r="D181" s="9" t="n"/>
      <c r="E181" s="9" t="n"/>
      <c r="F181" s="9" t="n"/>
      <c r="K181">
        <f>IF(OR($D181="",$E181=""),"",$E181-$D181+1)</f>
        <v/>
      </c>
      <c r="L181">
        <f>IF(AND($E181&lt;TODAY(),$G181&lt;&gt;"Complete"),TODAY()-$E181,0)</f>
        <v/>
      </c>
      <c r="M181">
        <f>IF(OR($D181="",$E181=""),"",IF(AND($D181&lt;=IF('Client &amp; Project Profile'!$B$10="",TODAY(),'Client &amp; Project Profile'!$B$10)+0*7+6,$E181&gt;=IF('Client &amp; Project Profile'!$B$10="",TODAY(),'Client &amp; Project Profile'!$B$10)+0*7),"■",""))</f>
        <v/>
      </c>
      <c r="N181">
        <f>IF(OR($D181="",$E181=""),"",IF(AND($D181&lt;=IF('Client &amp; Project Profile'!$B$10="",TODAY(),'Client &amp; Project Profile'!$B$10)+1*7+6,$E181&gt;=IF('Client &amp; Project Profile'!$B$10="",TODAY(),'Client &amp; Project Profile'!$B$10)+1*7),"■",""))</f>
        <v/>
      </c>
      <c r="O181">
        <f>IF(OR($D181="",$E181=""),"",IF(AND($D181&lt;=IF('Client &amp; Project Profile'!$B$10="",TODAY(),'Client &amp; Project Profile'!$B$10)+2*7+6,$E181&gt;=IF('Client &amp; Project Profile'!$B$10="",TODAY(),'Client &amp; Project Profile'!$B$10)+2*7),"■",""))</f>
        <v/>
      </c>
      <c r="P181">
        <f>IF(OR($D181="",$E181=""),"",IF(AND($D181&lt;=IF('Client &amp; Project Profile'!$B$10="",TODAY(),'Client &amp; Project Profile'!$B$10)+3*7+6,$E181&gt;=IF('Client &amp; Project Profile'!$B$10="",TODAY(),'Client &amp; Project Profile'!$B$10)+3*7),"■",""))</f>
        <v/>
      </c>
      <c r="Q181">
        <f>IF(OR($D181="",$E181=""),"",IF(AND($D181&lt;=IF('Client &amp; Project Profile'!$B$10="",TODAY(),'Client &amp; Project Profile'!$B$10)+4*7+6,$E181&gt;=IF('Client &amp; Project Profile'!$B$10="",TODAY(),'Client &amp; Project Profile'!$B$10)+4*7),"■",""))</f>
        <v/>
      </c>
      <c r="R181">
        <f>IF(OR($D181="",$E181=""),"",IF(AND($D181&lt;=IF('Client &amp; Project Profile'!$B$10="",TODAY(),'Client &amp; Project Profile'!$B$10)+5*7+6,$E181&gt;=IF('Client &amp; Project Profile'!$B$10="",TODAY(),'Client &amp; Project Profile'!$B$10)+5*7),"■",""))</f>
        <v/>
      </c>
      <c r="S181">
        <f>IF(OR($D181="",$E181=""),"",IF(AND($D181&lt;=IF('Client &amp; Project Profile'!$B$10="",TODAY(),'Client &amp; Project Profile'!$B$10)+6*7+6,$E181&gt;=IF('Client &amp; Project Profile'!$B$10="",TODAY(),'Client &amp; Project Profile'!$B$10)+6*7),"■",""))</f>
        <v/>
      </c>
      <c r="T181">
        <f>IF(OR($D181="",$E181=""),"",IF(AND($D181&lt;=IF('Client &amp; Project Profile'!$B$10="",TODAY(),'Client &amp; Project Profile'!$B$10)+7*7+6,$E181&gt;=IF('Client &amp; Project Profile'!$B$10="",TODAY(),'Client &amp; Project Profile'!$B$10)+7*7),"■",""))</f>
        <v/>
      </c>
      <c r="U181">
        <f>IF(OR($D181="",$E181=""),"",IF(AND($D181&lt;=IF('Client &amp; Project Profile'!$B$10="",TODAY(),'Client &amp; Project Profile'!$B$10)+8*7+6,$E181&gt;=IF('Client &amp; Project Profile'!$B$10="",TODAY(),'Client &amp; Project Profile'!$B$10)+8*7),"■",""))</f>
        <v/>
      </c>
      <c r="V181">
        <f>IF(OR($D181="",$E181=""),"",IF(AND($D181&lt;=IF('Client &amp; Project Profile'!$B$10="",TODAY(),'Client &amp; Project Profile'!$B$10)+9*7+6,$E181&gt;=IF('Client &amp; Project Profile'!$B$10="",TODAY(),'Client &amp; Project Profile'!$B$10)+9*7),"■",""))</f>
        <v/>
      </c>
      <c r="W181">
        <f>IF(OR($D181="",$E181=""),"",IF(AND($D181&lt;=IF('Client &amp; Project Profile'!$B$10="",TODAY(),'Client &amp; Project Profile'!$B$10)+10*7+6,$E181&gt;=IF('Client &amp; Project Profile'!$B$10="",TODAY(),'Client &amp; Project Profile'!$B$10)+10*7),"■",""))</f>
        <v/>
      </c>
      <c r="X181">
        <f>IF(OR($D181="",$E181=""),"",IF(AND($D181&lt;=IF('Client &amp; Project Profile'!$B$10="",TODAY(),'Client &amp; Project Profile'!$B$10)+11*7+6,$E181&gt;=IF('Client &amp; Project Profile'!$B$10="",TODAY(),'Client &amp; Project Profile'!$B$10)+11*7),"■",""))</f>
        <v/>
      </c>
    </row>
    <row r="182">
      <c r="A182" s="12" t="n"/>
      <c r="B182" s="12" t="n"/>
      <c r="C182" s="12" t="n"/>
      <c r="D182" s="14" t="n"/>
      <c r="E182" s="14" t="n"/>
      <c r="F182" s="14" t="n"/>
      <c r="G182" s="12" t="n"/>
      <c r="H182" s="12" t="n"/>
      <c r="I182" s="12" t="n"/>
      <c r="J182" s="12" t="n"/>
      <c r="K182" s="12">
        <f>IF(OR($D182="",$E182=""),"",$E182-$D182+1)</f>
        <v/>
      </c>
      <c r="L182" s="12">
        <f>IF(AND($E182&lt;TODAY(),$G182&lt;&gt;"Complete"),TODAY()-$E182,0)</f>
        <v/>
      </c>
      <c r="M182" s="12">
        <f>IF(OR($D182="",$E182=""),"",IF(AND($D182&lt;=IF('Client &amp; Project Profile'!$B$10="",TODAY(),'Client &amp; Project Profile'!$B$10)+0*7+6,$E182&gt;=IF('Client &amp; Project Profile'!$B$10="",TODAY(),'Client &amp; Project Profile'!$B$10)+0*7),"■",""))</f>
        <v/>
      </c>
      <c r="N182" s="12">
        <f>IF(OR($D182="",$E182=""),"",IF(AND($D182&lt;=IF('Client &amp; Project Profile'!$B$10="",TODAY(),'Client &amp; Project Profile'!$B$10)+1*7+6,$E182&gt;=IF('Client &amp; Project Profile'!$B$10="",TODAY(),'Client &amp; Project Profile'!$B$10)+1*7),"■",""))</f>
        <v/>
      </c>
      <c r="O182" s="12">
        <f>IF(OR($D182="",$E182=""),"",IF(AND($D182&lt;=IF('Client &amp; Project Profile'!$B$10="",TODAY(),'Client &amp; Project Profile'!$B$10)+2*7+6,$E182&gt;=IF('Client &amp; Project Profile'!$B$10="",TODAY(),'Client &amp; Project Profile'!$B$10)+2*7),"■",""))</f>
        <v/>
      </c>
      <c r="P182" s="12">
        <f>IF(OR($D182="",$E182=""),"",IF(AND($D182&lt;=IF('Client &amp; Project Profile'!$B$10="",TODAY(),'Client &amp; Project Profile'!$B$10)+3*7+6,$E182&gt;=IF('Client &amp; Project Profile'!$B$10="",TODAY(),'Client &amp; Project Profile'!$B$10)+3*7),"■",""))</f>
        <v/>
      </c>
      <c r="Q182" s="12">
        <f>IF(OR($D182="",$E182=""),"",IF(AND($D182&lt;=IF('Client &amp; Project Profile'!$B$10="",TODAY(),'Client &amp; Project Profile'!$B$10)+4*7+6,$E182&gt;=IF('Client &amp; Project Profile'!$B$10="",TODAY(),'Client &amp; Project Profile'!$B$10)+4*7),"■",""))</f>
        <v/>
      </c>
      <c r="R182" s="12">
        <f>IF(OR($D182="",$E182=""),"",IF(AND($D182&lt;=IF('Client &amp; Project Profile'!$B$10="",TODAY(),'Client &amp; Project Profile'!$B$10)+5*7+6,$E182&gt;=IF('Client &amp; Project Profile'!$B$10="",TODAY(),'Client &amp; Project Profile'!$B$10)+5*7),"■",""))</f>
        <v/>
      </c>
      <c r="S182" s="12">
        <f>IF(OR($D182="",$E182=""),"",IF(AND($D182&lt;=IF('Client &amp; Project Profile'!$B$10="",TODAY(),'Client &amp; Project Profile'!$B$10)+6*7+6,$E182&gt;=IF('Client &amp; Project Profile'!$B$10="",TODAY(),'Client &amp; Project Profile'!$B$10)+6*7),"■",""))</f>
        <v/>
      </c>
      <c r="T182" s="12">
        <f>IF(OR($D182="",$E182=""),"",IF(AND($D182&lt;=IF('Client &amp; Project Profile'!$B$10="",TODAY(),'Client &amp; Project Profile'!$B$10)+7*7+6,$E182&gt;=IF('Client &amp; Project Profile'!$B$10="",TODAY(),'Client &amp; Project Profile'!$B$10)+7*7),"■",""))</f>
        <v/>
      </c>
      <c r="U182" s="12">
        <f>IF(OR($D182="",$E182=""),"",IF(AND($D182&lt;=IF('Client &amp; Project Profile'!$B$10="",TODAY(),'Client &amp; Project Profile'!$B$10)+8*7+6,$E182&gt;=IF('Client &amp; Project Profile'!$B$10="",TODAY(),'Client &amp; Project Profile'!$B$10)+8*7),"■",""))</f>
        <v/>
      </c>
      <c r="V182" s="12">
        <f>IF(OR($D182="",$E182=""),"",IF(AND($D182&lt;=IF('Client &amp; Project Profile'!$B$10="",TODAY(),'Client &amp; Project Profile'!$B$10)+9*7+6,$E182&gt;=IF('Client &amp; Project Profile'!$B$10="",TODAY(),'Client &amp; Project Profile'!$B$10)+9*7),"■",""))</f>
        <v/>
      </c>
      <c r="W182" s="12">
        <f>IF(OR($D182="",$E182=""),"",IF(AND($D182&lt;=IF('Client &amp; Project Profile'!$B$10="",TODAY(),'Client &amp; Project Profile'!$B$10)+10*7+6,$E182&gt;=IF('Client &amp; Project Profile'!$B$10="",TODAY(),'Client &amp; Project Profile'!$B$10)+10*7),"■",""))</f>
        <v/>
      </c>
      <c r="X182" s="12">
        <f>IF(OR($D182="",$E182=""),"",IF(AND($D182&lt;=IF('Client &amp; Project Profile'!$B$10="",TODAY(),'Client &amp; Project Profile'!$B$10)+11*7+6,$E182&gt;=IF('Client &amp; Project Profile'!$B$10="",TODAY(),'Client &amp; Project Profile'!$B$10)+11*7),"■",""))</f>
        <v/>
      </c>
    </row>
    <row r="183">
      <c r="D183" s="9" t="n"/>
      <c r="E183" s="9" t="n"/>
      <c r="F183" s="9" t="n"/>
      <c r="K183">
        <f>IF(OR($D183="",$E183=""),"",$E183-$D183+1)</f>
        <v/>
      </c>
      <c r="L183">
        <f>IF(AND($E183&lt;TODAY(),$G183&lt;&gt;"Complete"),TODAY()-$E183,0)</f>
        <v/>
      </c>
      <c r="M183">
        <f>IF(OR($D183="",$E183=""),"",IF(AND($D183&lt;=IF('Client &amp; Project Profile'!$B$10="",TODAY(),'Client &amp; Project Profile'!$B$10)+0*7+6,$E183&gt;=IF('Client &amp; Project Profile'!$B$10="",TODAY(),'Client &amp; Project Profile'!$B$10)+0*7),"■",""))</f>
        <v/>
      </c>
      <c r="N183">
        <f>IF(OR($D183="",$E183=""),"",IF(AND($D183&lt;=IF('Client &amp; Project Profile'!$B$10="",TODAY(),'Client &amp; Project Profile'!$B$10)+1*7+6,$E183&gt;=IF('Client &amp; Project Profile'!$B$10="",TODAY(),'Client &amp; Project Profile'!$B$10)+1*7),"■",""))</f>
        <v/>
      </c>
      <c r="O183">
        <f>IF(OR($D183="",$E183=""),"",IF(AND($D183&lt;=IF('Client &amp; Project Profile'!$B$10="",TODAY(),'Client &amp; Project Profile'!$B$10)+2*7+6,$E183&gt;=IF('Client &amp; Project Profile'!$B$10="",TODAY(),'Client &amp; Project Profile'!$B$10)+2*7),"■",""))</f>
        <v/>
      </c>
      <c r="P183">
        <f>IF(OR($D183="",$E183=""),"",IF(AND($D183&lt;=IF('Client &amp; Project Profile'!$B$10="",TODAY(),'Client &amp; Project Profile'!$B$10)+3*7+6,$E183&gt;=IF('Client &amp; Project Profile'!$B$10="",TODAY(),'Client &amp; Project Profile'!$B$10)+3*7),"■",""))</f>
        <v/>
      </c>
      <c r="Q183">
        <f>IF(OR($D183="",$E183=""),"",IF(AND($D183&lt;=IF('Client &amp; Project Profile'!$B$10="",TODAY(),'Client &amp; Project Profile'!$B$10)+4*7+6,$E183&gt;=IF('Client &amp; Project Profile'!$B$10="",TODAY(),'Client &amp; Project Profile'!$B$10)+4*7),"■",""))</f>
        <v/>
      </c>
      <c r="R183">
        <f>IF(OR($D183="",$E183=""),"",IF(AND($D183&lt;=IF('Client &amp; Project Profile'!$B$10="",TODAY(),'Client &amp; Project Profile'!$B$10)+5*7+6,$E183&gt;=IF('Client &amp; Project Profile'!$B$10="",TODAY(),'Client &amp; Project Profile'!$B$10)+5*7),"■",""))</f>
        <v/>
      </c>
      <c r="S183">
        <f>IF(OR($D183="",$E183=""),"",IF(AND($D183&lt;=IF('Client &amp; Project Profile'!$B$10="",TODAY(),'Client &amp; Project Profile'!$B$10)+6*7+6,$E183&gt;=IF('Client &amp; Project Profile'!$B$10="",TODAY(),'Client &amp; Project Profile'!$B$10)+6*7),"■",""))</f>
        <v/>
      </c>
      <c r="T183">
        <f>IF(OR($D183="",$E183=""),"",IF(AND($D183&lt;=IF('Client &amp; Project Profile'!$B$10="",TODAY(),'Client &amp; Project Profile'!$B$10)+7*7+6,$E183&gt;=IF('Client &amp; Project Profile'!$B$10="",TODAY(),'Client &amp; Project Profile'!$B$10)+7*7),"■",""))</f>
        <v/>
      </c>
      <c r="U183">
        <f>IF(OR($D183="",$E183=""),"",IF(AND($D183&lt;=IF('Client &amp; Project Profile'!$B$10="",TODAY(),'Client &amp; Project Profile'!$B$10)+8*7+6,$E183&gt;=IF('Client &amp; Project Profile'!$B$10="",TODAY(),'Client &amp; Project Profile'!$B$10)+8*7),"■",""))</f>
        <v/>
      </c>
      <c r="V183">
        <f>IF(OR($D183="",$E183=""),"",IF(AND($D183&lt;=IF('Client &amp; Project Profile'!$B$10="",TODAY(),'Client &amp; Project Profile'!$B$10)+9*7+6,$E183&gt;=IF('Client &amp; Project Profile'!$B$10="",TODAY(),'Client &amp; Project Profile'!$B$10)+9*7),"■",""))</f>
        <v/>
      </c>
      <c r="W183">
        <f>IF(OR($D183="",$E183=""),"",IF(AND($D183&lt;=IF('Client &amp; Project Profile'!$B$10="",TODAY(),'Client &amp; Project Profile'!$B$10)+10*7+6,$E183&gt;=IF('Client &amp; Project Profile'!$B$10="",TODAY(),'Client &amp; Project Profile'!$B$10)+10*7),"■",""))</f>
        <v/>
      </c>
      <c r="X183">
        <f>IF(OR($D183="",$E183=""),"",IF(AND($D183&lt;=IF('Client &amp; Project Profile'!$B$10="",TODAY(),'Client &amp; Project Profile'!$B$10)+11*7+6,$E183&gt;=IF('Client &amp; Project Profile'!$B$10="",TODAY(),'Client &amp; Project Profile'!$B$10)+11*7),"■",""))</f>
        <v/>
      </c>
    </row>
    <row r="184">
      <c r="A184" s="12" t="n"/>
      <c r="B184" s="12" t="n"/>
      <c r="C184" s="12" t="n"/>
      <c r="D184" s="14" t="n"/>
      <c r="E184" s="14" t="n"/>
      <c r="F184" s="14" t="n"/>
      <c r="G184" s="12" t="n"/>
      <c r="H184" s="12" t="n"/>
      <c r="I184" s="12" t="n"/>
      <c r="J184" s="12" t="n"/>
      <c r="K184" s="12">
        <f>IF(OR($D184="",$E184=""),"",$E184-$D184+1)</f>
        <v/>
      </c>
      <c r="L184" s="12">
        <f>IF(AND($E184&lt;TODAY(),$G184&lt;&gt;"Complete"),TODAY()-$E184,0)</f>
        <v/>
      </c>
      <c r="M184" s="12">
        <f>IF(OR($D184="",$E184=""),"",IF(AND($D184&lt;=IF('Client &amp; Project Profile'!$B$10="",TODAY(),'Client &amp; Project Profile'!$B$10)+0*7+6,$E184&gt;=IF('Client &amp; Project Profile'!$B$10="",TODAY(),'Client &amp; Project Profile'!$B$10)+0*7),"■",""))</f>
        <v/>
      </c>
      <c r="N184" s="12">
        <f>IF(OR($D184="",$E184=""),"",IF(AND($D184&lt;=IF('Client &amp; Project Profile'!$B$10="",TODAY(),'Client &amp; Project Profile'!$B$10)+1*7+6,$E184&gt;=IF('Client &amp; Project Profile'!$B$10="",TODAY(),'Client &amp; Project Profile'!$B$10)+1*7),"■",""))</f>
        <v/>
      </c>
      <c r="O184" s="12">
        <f>IF(OR($D184="",$E184=""),"",IF(AND($D184&lt;=IF('Client &amp; Project Profile'!$B$10="",TODAY(),'Client &amp; Project Profile'!$B$10)+2*7+6,$E184&gt;=IF('Client &amp; Project Profile'!$B$10="",TODAY(),'Client &amp; Project Profile'!$B$10)+2*7),"■",""))</f>
        <v/>
      </c>
      <c r="P184" s="12">
        <f>IF(OR($D184="",$E184=""),"",IF(AND($D184&lt;=IF('Client &amp; Project Profile'!$B$10="",TODAY(),'Client &amp; Project Profile'!$B$10)+3*7+6,$E184&gt;=IF('Client &amp; Project Profile'!$B$10="",TODAY(),'Client &amp; Project Profile'!$B$10)+3*7),"■",""))</f>
        <v/>
      </c>
      <c r="Q184" s="12">
        <f>IF(OR($D184="",$E184=""),"",IF(AND($D184&lt;=IF('Client &amp; Project Profile'!$B$10="",TODAY(),'Client &amp; Project Profile'!$B$10)+4*7+6,$E184&gt;=IF('Client &amp; Project Profile'!$B$10="",TODAY(),'Client &amp; Project Profile'!$B$10)+4*7),"■",""))</f>
        <v/>
      </c>
      <c r="R184" s="12">
        <f>IF(OR($D184="",$E184=""),"",IF(AND($D184&lt;=IF('Client &amp; Project Profile'!$B$10="",TODAY(),'Client &amp; Project Profile'!$B$10)+5*7+6,$E184&gt;=IF('Client &amp; Project Profile'!$B$10="",TODAY(),'Client &amp; Project Profile'!$B$10)+5*7),"■",""))</f>
        <v/>
      </c>
      <c r="S184" s="12">
        <f>IF(OR($D184="",$E184=""),"",IF(AND($D184&lt;=IF('Client &amp; Project Profile'!$B$10="",TODAY(),'Client &amp; Project Profile'!$B$10)+6*7+6,$E184&gt;=IF('Client &amp; Project Profile'!$B$10="",TODAY(),'Client &amp; Project Profile'!$B$10)+6*7),"■",""))</f>
        <v/>
      </c>
      <c r="T184" s="12">
        <f>IF(OR($D184="",$E184=""),"",IF(AND($D184&lt;=IF('Client &amp; Project Profile'!$B$10="",TODAY(),'Client &amp; Project Profile'!$B$10)+7*7+6,$E184&gt;=IF('Client &amp; Project Profile'!$B$10="",TODAY(),'Client &amp; Project Profile'!$B$10)+7*7),"■",""))</f>
        <v/>
      </c>
      <c r="U184" s="12">
        <f>IF(OR($D184="",$E184=""),"",IF(AND($D184&lt;=IF('Client &amp; Project Profile'!$B$10="",TODAY(),'Client &amp; Project Profile'!$B$10)+8*7+6,$E184&gt;=IF('Client &amp; Project Profile'!$B$10="",TODAY(),'Client &amp; Project Profile'!$B$10)+8*7),"■",""))</f>
        <v/>
      </c>
      <c r="V184" s="12">
        <f>IF(OR($D184="",$E184=""),"",IF(AND($D184&lt;=IF('Client &amp; Project Profile'!$B$10="",TODAY(),'Client &amp; Project Profile'!$B$10)+9*7+6,$E184&gt;=IF('Client &amp; Project Profile'!$B$10="",TODAY(),'Client &amp; Project Profile'!$B$10)+9*7),"■",""))</f>
        <v/>
      </c>
      <c r="W184" s="12">
        <f>IF(OR($D184="",$E184=""),"",IF(AND($D184&lt;=IF('Client &amp; Project Profile'!$B$10="",TODAY(),'Client &amp; Project Profile'!$B$10)+10*7+6,$E184&gt;=IF('Client &amp; Project Profile'!$B$10="",TODAY(),'Client &amp; Project Profile'!$B$10)+10*7),"■",""))</f>
        <v/>
      </c>
      <c r="X184" s="12">
        <f>IF(OR($D184="",$E184=""),"",IF(AND($D184&lt;=IF('Client &amp; Project Profile'!$B$10="",TODAY(),'Client &amp; Project Profile'!$B$10)+11*7+6,$E184&gt;=IF('Client &amp; Project Profile'!$B$10="",TODAY(),'Client &amp; Project Profile'!$B$10)+11*7),"■",""))</f>
        <v/>
      </c>
    </row>
    <row r="185">
      <c r="D185" s="9" t="n"/>
      <c r="E185" s="9" t="n"/>
      <c r="F185" s="9" t="n"/>
      <c r="K185">
        <f>IF(OR($D185="",$E185=""),"",$E185-$D185+1)</f>
        <v/>
      </c>
      <c r="L185">
        <f>IF(AND($E185&lt;TODAY(),$G185&lt;&gt;"Complete"),TODAY()-$E185,0)</f>
        <v/>
      </c>
      <c r="M185">
        <f>IF(OR($D185="",$E185=""),"",IF(AND($D185&lt;=IF('Client &amp; Project Profile'!$B$10="",TODAY(),'Client &amp; Project Profile'!$B$10)+0*7+6,$E185&gt;=IF('Client &amp; Project Profile'!$B$10="",TODAY(),'Client &amp; Project Profile'!$B$10)+0*7),"■",""))</f>
        <v/>
      </c>
      <c r="N185">
        <f>IF(OR($D185="",$E185=""),"",IF(AND($D185&lt;=IF('Client &amp; Project Profile'!$B$10="",TODAY(),'Client &amp; Project Profile'!$B$10)+1*7+6,$E185&gt;=IF('Client &amp; Project Profile'!$B$10="",TODAY(),'Client &amp; Project Profile'!$B$10)+1*7),"■",""))</f>
        <v/>
      </c>
      <c r="O185">
        <f>IF(OR($D185="",$E185=""),"",IF(AND($D185&lt;=IF('Client &amp; Project Profile'!$B$10="",TODAY(),'Client &amp; Project Profile'!$B$10)+2*7+6,$E185&gt;=IF('Client &amp; Project Profile'!$B$10="",TODAY(),'Client &amp; Project Profile'!$B$10)+2*7),"■",""))</f>
        <v/>
      </c>
      <c r="P185">
        <f>IF(OR($D185="",$E185=""),"",IF(AND($D185&lt;=IF('Client &amp; Project Profile'!$B$10="",TODAY(),'Client &amp; Project Profile'!$B$10)+3*7+6,$E185&gt;=IF('Client &amp; Project Profile'!$B$10="",TODAY(),'Client &amp; Project Profile'!$B$10)+3*7),"■",""))</f>
        <v/>
      </c>
      <c r="Q185">
        <f>IF(OR($D185="",$E185=""),"",IF(AND($D185&lt;=IF('Client &amp; Project Profile'!$B$10="",TODAY(),'Client &amp; Project Profile'!$B$10)+4*7+6,$E185&gt;=IF('Client &amp; Project Profile'!$B$10="",TODAY(),'Client &amp; Project Profile'!$B$10)+4*7),"■",""))</f>
        <v/>
      </c>
      <c r="R185">
        <f>IF(OR($D185="",$E185=""),"",IF(AND($D185&lt;=IF('Client &amp; Project Profile'!$B$10="",TODAY(),'Client &amp; Project Profile'!$B$10)+5*7+6,$E185&gt;=IF('Client &amp; Project Profile'!$B$10="",TODAY(),'Client &amp; Project Profile'!$B$10)+5*7),"■",""))</f>
        <v/>
      </c>
      <c r="S185">
        <f>IF(OR($D185="",$E185=""),"",IF(AND($D185&lt;=IF('Client &amp; Project Profile'!$B$10="",TODAY(),'Client &amp; Project Profile'!$B$10)+6*7+6,$E185&gt;=IF('Client &amp; Project Profile'!$B$10="",TODAY(),'Client &amp; Project Profile'!$B$10)+6*7),"■",""))</f>
        <v/>
      </c>
      <c r="T185">
        <f>IF(OR($D185="",$E185=""),"",IF(AND($D185&lt;=IF('Client &amp; Project Profile'!$B$10="",TODAY(),'Client &amp; Project Profile'!$B$10)+7*7+6,$E185&gt;=IF('Client &amp; Project Profile'!$B$10="",TODAY(),'Client &amp; Project Profile'!$B$10)+7*7),"■",""))</f>
        <v/>
      </c>
      <c r="U185">
        <f>IF(OR($D185="",$E185=""),"",IF(AND($D185&lt;=IF('Client &amp; Project Profile'!$B$10="",TODAY(),'Client &amp; Project Profile'!$B$10)+8*7+6,$E185&gt;=IF('Client &amp; Project Profile'!$B$10="",TODAY(),'Client &amp; Project Profile'!$B$10)+8*7),"■",""))</f>
        <v/>
      </c>
      <c r="V185">
        <f>IF(OR($D185="",$E185=""),"",IF(AND($D185&lt;=IF('Client &amp; Project Profile'!$B$10="",TODAY(),'Client &amp; Project Profile'!$B$10)+9*7+6,$E185&gt;=IF('Client &amp; Project Profile'!$B$10="",TODAY(),'Client &amp; Project Profile'!$B$10)+9*7),"■",""))</f>
        <v/>
      </c>
      <c r="W185">
        <f>IF(OR($D185="",$E185=""),"",IF(AND($D185&lt;=IF('Client &amp; Project Profile'!$B$10="",TODAY(),'Client &amp; Project Profile'!$B$10)+10*7+6,$E185&gt;=IF('Client &amp; Project Profile'!$B$10="",TODAY(),'Client &amp; Project Profile'!$B$10)+10*7),"■",""))</f>
        <v/>
      </c>
      <c r="X185">
        <f>IF(OR($D185="",$E185=""),"",IF(AND($D185&lt;=IF('Client &amp; Project Profile'!$B$10="",TODAY(),'Client &amp; Project Profile'!$B$10)+11*7+6,$E185&gt;=IF('Client &amp; Project Profile'!$B$10="",TODAY(),'Client &amp; Project Profile'!$B$10)+11*7),"■",""))</f>
        <v/>
      </c>
    </row>
    <row r="186">
      <c r="A186" s="12" t="n"/>
      <c r="B186" s="12" t="n"/>
      <c r="C186" s="12" t="n"/>
      <c r="D186" s="14" t="n"/>
      <c r="E186" s="14" t="n"/>
      <c r="F186" s="14" t="n"/>
      <c r="G186" s="12" t="n"/>
      <c r="H186" s="12" t="n"/>
      <c r="I186" s="12" t="n"/>
      <c r="J186" s="12" t="n"/>
      <c r="K186" s="12">
        <f>IF(OR($D186="",$E186=""),"",$E186-$D186+1)</f>
        <v/>
      </c>
      <c r="L186" s="12">
        <f>IF(AND($E186&lt;TODAY(),$G186&lt;&gt;"Complete"),TODAY()-$E186,0)</f>
        <v/>
      </c>
      <c r="M186" s="12">
        <f>IF(OR($D186="",$E186=""),"",IF(AND($D186&lt;=IF('Client &amp; Project Profile'!$B$10="",TODAY(),'Client &amp; Project Profile'!$B$10)+0*7+6,$E186&gt;=IF('Client &amp; Project Profile'!$B$10="",TODAY(),'Client &amp; Project Profile'!$B$10)+0*7),"■",""))</f>
        <v/>
      </c>
      <c r="N186" s="12">
        <f>IF(OR($D186="",$E186=""),"",IF(AND($D186&lt;=IF('Client &amp; Project Profile'!$B$10="",TODAY(),'Client &amp; Project Profile'!$B$10)+1*7+6,$E186&gt;=IF('Client &amp; Project Profile'!$B$10="",TODAY(),'Client &amp; Project Profile'!$B$10)+1*7),"■",""))</f>
        <v/>
      </c>
      <c r="O186" s="12">
        <f>IF(OR($D186="",$E186=""),"",IF(AND($D186&lt;=IF('Client &amp; Project Profile'!$B$10="",TODAY(),'Client &amp; Project Profile'!$B$10)+2*7+6,$E186&gt;=IF('Client &amp; Project Profile'!$B$10="",TODAY(),'Client &amp; Project Profile'!$B$10)+2*7),"■",""))</f>
        <v/>
      </c>
      <c r="P186" s="12">
        <f>IF(OR($D186="",$E186=""),"",IF(AND($D186&lt;=IF('Client &amp; Project Profile'!$B$10="",TODAY(),'Client &amp; Project Profile'!$B$10)+3*7+6,$E186&gt;=IF('Client &amp; Project Profile'!$B$10="",TODAY(),'Client &amp; Project Profile'!$B$10)+3*7),"■",""))</f>
        <v/>
      </c>
      <c r="Q186" s="12">
        <f>IF(OR($D186="",$E186=""),"",IF(AND($D186&lt;=IF('Client &amp; Project Profile'!$B$10="",TODAY(),'Client &amp; Project Profile'!$B$10)+4*7+6,$E186&gt;=IF('Client &amp; Project Profile'!$B$10="",TODAY(),'Client &amp; Project Profile'!$B$10)+4*7),"■",""))</f>
        <v/>
      </c>
      <c r="R186" s="12">
        <f>IF(OR($D186="",$E186=""),"",IF(AND($D186&lt;=IF('Client &amp; Project Profile'!$B$10="",TODAY(),'Client &amp; Project Profile'!$B$10)+5*7+6,$E186&gt;=IF('Client &amp; Project Profile'!$B$10="",TODAY(),'Client &amp; Project Profile'!$B$10)+5*7),"■",""))</f>
        <v/>
      </c>
      <c r="S186" s="12">
        <f>IF(OR($D186="",$E186=""),"",IF(AND($D186&lt;=IF('Client &amp; Project Profile'!$B$10="",TODAY(),'Client &amp; Project Profile'!$B$10)+6*7+6,$E186&gt;=IF('Client &amp; Project Profile'!$B$10="",TODAY(),'Client &amp; Project Profile'!$B$10)+6*7),"■",""))</f>
        <v/>
      </c>
      <c r="T186" s="12">
        <f>IF(OR($D186="",$E186=""),"",IF(AND($D186&lt;=IF('Client &amp; Project Profile'!$B$10="",TODAY(),'Client &amp; Project Profile'!$B$10)+7*7+6,$E186&gt;=IF('Client &amp; Project Profile'!$B$10="",TODAY(),'Client &amp; Project Profile'!$B$10)+7*7),"■",""))</f>
        <v/>
      </c>
      <c r="U186" s="12">
        <f>IF(OR($D186="",$E186=""),"",IF(AND($D186&lt;=IF('Client &amp; Project Profile'!$B$10="",TODAY(),'Client &amp; Project Profile'!$B$10)+8*7+6,$E186&gt;=IF('Client &amp; Project Profile'!$B$10="",TODAY(),'Client &amp; Project Profile'!$B$10)+8*7),"■",""))</f>
        <v/>
      </c>
      <c r="V186" s="12">
        <f>IF(OR($D186="",$E186=""),"",IF(AND($D186&lt;=IF('Client &amp; Project Profile'!$B$10="",TODAY(),'Client &amp; Project Profile'!$B$10)+9*7+6,$E186&gt;=IF('Client &amp; Project Profile'!$B$10="",TODAY(),'Client &amp; Project Profile'!$B$10)+9*7),"■",""))</f>
        <v/>
      </c>
      <c r="W186" s="12">
        <f>IF(OR($D186="",$E186=""),"",IF(AND($D186&lt;=IF('Client &amp; Project Profile'!$B$10="",TODAY(),'Client &amp; Project Profile'!$B$10)+10*7+6,$E186&gt;=IF('Client &amp; Project Profile'!$B$10="",TODAY(),'Client &amp; Project Profile'!$B$10)+10*7),"■",""))</f>
        <v/>
      </c>
      <c r="X186" s="12">
        <f>IF(OR($D186="",$E186=""),"",IF(AND($D186&lt;=IF('Client &amp; Project Profile'!$B$10="",TODAY(),'Client &amp; Project Profile'!$B$10)+11*7+6,$E186&gt;=IF('Client &amp; Project Profile'!$B$10="",TODAY(),'Client &amp; Project Profile'!$B$10)+11*7),"■",""))</f>
        <v/>
      </c>
    </row>
    <row r="187">
      <c r="D187" s="9" t="n"/>
      <c r="E187" s="9" t="n"/>
      <c r="F187" s="9" t="n"/>
      <c r="K187">
        <f>IF(OR($D187="",$E187=""),"",$E187-$D187+1)</f>
        <v/>
      </c>
      <c r="L187">
        <f>IF(AND($E187&lt;TODAY(),$G187&lt;&gt;"Complete"),TODAY()-$E187,0)</f>
        <v/>
      </c>
      <c r="M187">
        <f>IF(OR($D187="",$E187=""),"",IF(AND($D187&lt;=IF('Client &amp; Project Profile'!$B$10="",TODAY(),'Client &amp; Project Profile'!$B$10)+0*7+6,$E187&gt;=IF('Client &amp; Project Profile'!$B$10="",TODAY(),'Client &amp; Project Profile'!$B$10)+0*7),"■",""))</f>
        <v/>
      </c>
      <c r="N187">
        <f>IF(OR($D187="",$E187=""),"",IF(AND($D187&lt;=IF('Client &amp; Project Profile'!$B$10="",TODAY(),'Client &amp; Project Profile'!$B$10)+1*7+6,$E187&gt;=IF('Client &amp; Project Profile'!$B$10="",TODAY(),'Client &amp; Project Profile'!$B$10)+1*7),"■",""))</f>
        <v/>
      </c>
      <c r="O187">
        <f>IF(OR($D187="",$E187=""),"",IF(AND($D187&lt;=IF('Client &amp; Project Profile'!$B$10="",TODAY(),'Client &amp; Project Profile'!$B$10)+2*7+6,$E187&gt;=IF('Client &amp; Project Profile'!$B$10="",TODAY(),'Client &amp; Project Profile'!$B$10)+2*7),"■",""))</f>
        <v/>
      </c>
      <c r="P187">
        <f>IF(OR($D187="",$E187=""),"",IF(AND($D187&lt;=IF('Client &amp; Project Profile'!$B$10="",TODAY(),'Client &amp; Project Profile'!$B$10)+3*7+6,$E187&gt;=IF('Client &amp; Project Profile'!$B$10="",TODAY(),'Client &amp; Project Profile'!$B$10)+3*7),"■",""))</f>
        <v/>
      </c>
      <c r="Q187">
        <f>IF(OR($D187="",$E187=""),"",IF(AND($D187&lt;=IF('Client &amp; Project Profile'!$B$10="",TODAY(),'Client &amp; Project Profile'!$B$10)+4*7+6,$E187&gt;=IF('Client &amp; Project Profile'!$B$10="",TODAY(),'Client &amp; Project Profile'!$B$10)+4*7),"■",""))</f>
        <v/>
      </c>
      <c r="R187">
        <f>IF(OR($D187="",$E187=""),"",IF(AND($D187&lt;=IF('Client &amp; Project Profile'!$B$10="",TODAY(),'Client &amp; Project Profile'!$B$10)+5*7+6,$E187&gt;=IF('Client &amp; Project Profile'!$B$10="",TODAY(),'Client &amp; Project Profile'!$B$10)+5*7),"■",""))</f>
        <v/>
      </c>
      <c r="S187">
        <f>IF(OR($D187="",$E187=""),"",IF(AND($D187&lt;=IF('Client &amp; Project Profile'!$B$10="",TODAY(),'Client &amp; Project Profile'!$B$10)+6*7+6,$E187&gt;=IF('Client &amp; Project Profile'!$B$10="",TODAY(),'Client &amp; Project Profile'!$B$10)+6*7),"■",""))</f>
        <v/>
      </c>
      <c r="T187">
        <f>IF(OR($D187="",$E187=""),"",IF(AND($D187&lt;=IF('Client &amp; Project Profile'!$B$10="",TODAY(),'Client &amp; Project Profile'!$B$10)+7*7+6,$E187&gt;=IF('Client &amp; Project Profile'!$B$10="",TODAY(),'Client &amp; Project Profile'!$B$10)+7*7),"■",""))</f>
        <v/>
      </c>
      <c r="U187">
        <f>IF(OR($D187="",$E187=""),"",IF(AND($D187&lt;=IF('Client &amp; Project Profile'!$B$10="",TODAY(),'Client &amp; Project Profile'!$B$10)+8*7+6,$E187&gt;=IF('Client &amp; Project Profile'!$B$10="",TODAY(),'Client &amp; Project Profile'!$B$10)+8*7),"■",""))</f>
        <v/>
      </c>
      <c r="V187">
        <f>IF(OR($D187="",$E187=""),"",IF(AND($D187&lt;=IF('Client &amp; Project Profile'!$B$10="",TODAY(),'Client &amp; Project Profile'!$B$10)+9*7+6,$E187&gt;=IF('Client &amp; Project Profile'!$B$10="",TODAY(),'Client &amp; Project Profile'!$B$10)+9*7),"■",""))</f>
        <v/>
      </c>
      <c r="W187">
        <f>IF(OR($D187="",$E187=""),"",IF(AND($D187&lt;=IF('Client &amp; Project Profile'!$B$10="",TODAY(),'Client &amp; Project Profile'!$B$10)+10*7+6,$E187&gt;=IF('Client &amp; Project Profile'!$B$10="",TODAY(),'Client &amp; Project Profile'!$B$10)+10*7),"■",""))</f>
        <v/>
      </c>
      <c r="X187">
        <f>IF(OR($D187="",$E187=""),"",IF(AND($D187&lt;=IF('Client &amp; Project Profile'!$B$10="",TODAY(),'Client &amp; Project Profile'!$B$10)+11*7+6,$E187&gt;=IF('Client &amp; Project Profile'!$B$10="",TODAY(),'Client &amp; Project Profile'!$B$10)+11*7),"■",""))</f>
        <v/>
      </c>
    </row>
    <row r="188">
      <c r="A188" s="12" t="n"/>
      <c r="B188" s="12" t="n"/>
      <c r="C188" s="12" t="n"/>
      <c r="D188" s="14" t="n"/>
      <c r="E188" s="14" t="n"/>
      <c r="F188" s="14" t="n"/>
      <c r="G188" s="12" t="n"/>
      <c r="H188" s="12" t="n"/>
      <c r="I188" s="12" t="n"/>
      <c r="J188" s="12" t="n"/>
      <c r="K188" s="12">
        <f>IF(OR($D188="",$E188=""),"",$E188-$D188+1)</f>
        <v/>
      </c>
      <c r="L188" s="12">
        <f>IF(AND($E188&lt;TODAY(),$G188&lt;&gt;"Complete"),TODAY()-$E188,0)</f>
        <v/>
      </c>
      <c r="M188" s="12">
        <f>IF(OR($D188="",$E188=""),"",IF(AND($D188&lt;=IF('Client &amp; Project Profile'!$B$10="",TODAY(),'Client &amp; Project Profile'!$B$10)+0*7+6,$E188&gt;=IF('Client &amp; Project Profile'!$B$10="",TODAY(),'Client &amp; Project Profile'!$B$10)+0*7),"■",""))</f>
        <v/>
      </c>
      <c r="N188" s="12">
        <f>IF(OR($D188="",$E188=""),"",IF(AND($D188&lt;=IF('Client &amp; Project Profile'!$B$10="",TODAY(),'Client &amp; Project Profile'!$B$10)+1*7+6,$E188&gt;=IF('Client &amp; Project Profile'!$B$10="",TODAY(),'Client &amp; Project Profile'!$B$10)+1*7),"■",""))</f>
        <v/>
      </c>
      <c r="O188" s="12">
        <f>IF(OR($D188="",$E188=""),"",IF(AND($D188&lt;=IF('Client &amp; Project Profile'!$B$10="",TODAY(),'Client &amp; Project Profile'!$B$10)+2*7+6,$E188&gt;=IF('Client &amp; Project Profile'!$B$10="",TODAY(),'Client &amp; Project Profile'!$B$10)+2*7),"■",""))</f>
        <v/>
      </c>
      <c r="P188" s="12">
        <f>IF(OR($D188="",$E188=""),"",IF(AND($D188&lt;=IF('Client &amp; Project Profile'!$B$10="",TODAY(),'Client &amp; Project Profile'!$B$10)+3*7+6,$E188&gt;=IF('Client &amp; Project Profile'!$B$10="",TODAY(),'Client &amp; Project Profile'!$B$10)+3*7),"■",""))</f>
        <v/>
      </c>
      <c r="Q188" s="12">
        <f>IF(OR($D188="",$E188=""),"",IF(AND($D188&lt;=IF('Client &amp; Project Profile'!$B$10="",TODAY(),'Client &amp; Project Profile'!$B$10)+4*7+6,$E188&gt;=IF('Client &amp; Project Profile'!$B$10="",TODAY(),'Client &amp; Project Profile'!$B$10)+4*7),"■",""))</f>
        <v/>
      </c>
      <c r="R188" s="12">
        <f>IF(OR($D188="",$E188=""),"",IF(AND($D188&lt;=IF('Client &amp; Project Profile'!$B$10="",TODAY(),'Client &amp; Project Profile'!$B$10)+5*7+6,$E188&gt;=IF('Client &amp; Project Profile'!$B$10="",TODAY(),'Client &amp; Project Profile'!$B$10)+5*7),"■",""))</f>
        <v/>
      </c>
      <c r="S188" s="12">
        <f>IF(OR($D188="",$E188=""),"",IF(AND($D188&lt;=IF('Client &amp; Project Profile'!$B$10="",TODAY(),'Client &amp; Project Profile'!$B$10)+6*7+6,$E188&gt;=IF('Client &amp; Project Profile'!$B$10="",TODAY(),'Client &amp; Project Profile'!$B$10)+6*7),"■",""))</f>
        <v/>
      </c>
      <c r="T188" s="12">
        <f>IF(OR($D188="",$E188=""),"",IF(AND($D188&lt;=IF('Client &amp; Project Profile'!$B$10="",TODAY(),'Client &amp; Project Profile'!$B$10)+7*7+6,$E188&gt;=IF('Client &amp; Project Profile'!$B$10="",TODAY(),'Client &amp; Project Profile'!$B$10)+7*7),"■",""))</f>
        <v/>
      </c>
      <c r="U188" s="12">
        <f>IF(OR($D188="",$E188=""),"",IF(AND($D188&lt;=IF('Client &amp; Project Profile'!$B$10="",TODAY(),'Client &amp; Project Profile'!$B$10)+8*7+6,$E188&gt;=IF('Client &amp; Project Profile'!$B$10="",TODAY(),'Client &amp; Project Profile'!$B$10)+8*7),"■",""))</f>
        <v/>
      </c>
      <c r="V188" s="12">
        <f>IF(OR($D188="",$E188=""),"",IF(AND($D188&lt;=IF('Client &amp; Project Profile'!$B$10="",TODAY(),'Client &amp; Project Profile'!$B$10)+9*7+6,$E188&gt;=IF('Client &amp; Project Profile'!$B$10="",TODAY(),'Client &amp; Project Profile'!$B$10)+9*7),"■",""))</f>
        <v/>
      </c>
      <c r="W188" s="12">
        <f>IF(OR($D188="",$E188=""),"",IF(AND($D188&lt;=IF('Client &amp; Project Profile'!$B$10="",TODAY(),'Client &amp; Project Profile'!$B$10)+10*7+6,$E188&gt;=IF('Client &amp; Project Profile'!$B$10="",TODAY(),'Client &amp; Project Profile'!$B$10)+10*7),"■",""))</f>
        <v/>
      </c>
      <c r="X188" s="12">
        <f>IF(OR($D188="",$E188=""),"",IF(AND($D188&lt;=IF('Client &amp; Project Profile'!$B$10="",TODAY(),'Client &amp; Project Profile'!$B$10)+11*7+6,$E188&gt;=IF('Client &amp; Project Profile'!$B$10="",TODAY(),'Client &amp; Project Profile'!$B$10)+11*7),"■",""))</f>
        <v/>
      </c>
    </row>
    <row r="189">
      <c r="D189" s="9" t="n"/>
      <c r="E189" s="9" t="n"/>
      <c r="F189" s="9" t="n"/>
      <c r="K189">
        <f>IF(OR($D189="",$E189=""),"",$E189-$D189+1)</f>
        <v/>
      </c>
      <c r="L189">
        <f>IF(AND($E189&lt;TODAY(),$G189&lt;&gt;"Complete"),TODAY()-$E189,0)</f>
        <v/>
      </c>
      <c r="M189">
        <f>IF(OR($D189="",$E189=""),"",IF(AND($D189&lt;=IF('Client &amp; Project Profile'!$B$10="",TODAY(),'Client &amp; Project Profile'!$B$10)+0*7+6,$E189&gt;=IF('Client &amp; Project Profile'!$B$10="",TODAY(),'Client &amp; Project Profile'!$B$10)+0*7),"■",""))</f>
        <v/>
      </c>
      <c r="N189">
        <f>IF(OR($D189="",$E189=""),"",IF(AND($D189&lt;=IF('Client &amp; Project Profile'!$B$10="",TODAY(),'Client &amp; Project Profile'!$B$10)+1*7+6,$E189&gt;=IF('Client &amp; Project Profile'!$B$10="",TODAY(),'Client &amp; Project Profile'!$B$10)+1*7),"■",""))</f>
        <v/>
      </c>
      <c r="O189">
        <f>IF(OR($D189="",$E189=""),"",IF(AND($D189&lt;=IF('Client &amp; Project Profile'!$B$10="",TODAY(),'Client &amp; Project Profile'!$B$10)+2*7+6,$E189&gt;=IF('Client &amp; Project Profile'!$B$10="",TODAY(),'Client &amp; Project Profile'!$B$10)+2*7),"■",""))</f>
        <v/>
      </c>
      <c r="P189">
        <f>IF(OR($D189="",$E189=""),"",IF(AND($D189&lt;=IF('Client &amp; Project Profile'!$B$10="",TODAY(),'Client &amp; Project Profile'!$B$10)+3*7+6,$E189&gt;=IF('Client &amp; Project Profile'!$B$10="",TODAY(),'Client &amp; Project Profile'!$B$10)+3*7),"■",""))</f>
        <v/>
      </c>
      <c r="Q189">
        <f>IF(OR($D189="",$E189=""),"",IF(AND($D189&lt;=IF('Client &amp; Project Profile'!$B$10="",TODAY(),'Client &amp; Project Profile'!$B$10)+4*7+6,$E189&gt;=IF('Client &amp; Project Profile'!$B$10="",TODAY(),'Client &amp; Project Profile'!$B$10)+4*7),"■",""))</f>
        <v/>
      </c>
      <c r="R189">
        <f>IF(OR($D189="",$E189=""),"",IF(AND($D189&lt;=IF('Client &amp; Project Profile'!$B$10="",TODAY(),'Client &amp; Project Profile'!$B$10)+5*7+6,$E189&gt;=IF('Client &amp; Project Profile'!$B$10="",TODAY(),'Client &amp; Project Profile'!$B$10)+5*7),"■",""))</f>
        <v/>
      </c>
      <c r="S189">
        <f>IF(OR($D189="",$E189=""),"",IF(AND($D189&lt;=IF('Client &amp; Project Profile'!$B$10="",TODAY(),'Client &amp; Project Profile'!$B$10)+6*7+6,$E189&gt;=IF('Client &amp; Project Profile'!$B$10="",TODAY(),'Client &amp; Project Profile'!$B$10)+6*7),"■",""))</f>
        <v/>
      </c>
      <c r="T189">
        <f>IF(OR($D189="",$E189=""),"",IF(AND($D189&lt;=IF('Client &amp; Project Profile'!$B$10="",TODAY(),'Client &amp; Project Profile'!$B$10)+7*7+6,$E189&gt;=IF('Client &amp; Project Profile'!$B$10="",TODAY(),'Client &amp; Project Profile'!$B$10)+7*7),"■",""))</f>
        <v/>
      </c>
      <c r="U189">
        <f>IF(OR($D189="",$E189=""),"",IF(AND($D189&lt;=IF('Client &amp; Project Profile'!$B$10="",TODAY(),'Client &amp; Project Profile'!$B$10)+8*7+6,$E189&gt;=IF('Client &amp; Project Profile'!$B$10="",TODAY(),'Client &amp; Project Profile'!$B$10)+8*7),"■",""))</f>
        <v/>
      </c>
      <c r="V189">
        <f>IF(OR($D189="",$E189=""),"",IF(AND($D189&lt;=IF('Client &amp; Project Profile'!$B$10="",TODAY(),'Client &amp; Project Profile'!$B$10)+9*7+6,$E189&gt;=IF('Client &amp; Project Profile'!$B$10="",TODAY(),'Client &amp; Project Profile'!$B$10)+9*7),"■",""))</f>
        <v/>
      </c>
      <c r="W189">
        <f>IF(OR($D189="",$E189=""),"",IF(AND($D189&lt;=IF('Client &amp; Project Profile'!$B$10="",TODAY(),'Client &amp; Project Profile'!$B$10)+10*7+6,$E189&gt;=IF('Client &amp; Project Profile'!$B$10="",TODAY(),'Client &amp; Project Profile'!$B$10)+10*7),"■",""))</f>
        <v/>
      </c>
      <c r="X189">
        <f>IF(OR($D189="",$E189=""),"",IF(AND($D189&lt;=IF('Client &amp; Project Profile'!$B$10="",TODAY(),'Client &amp; Project Profile'!$B$10)+11*7+6,$E189&gt;=IF('Client &amp; Project Profile'!$B$10="",TODAY(),'Client &amp; Project Profile'!$B$10)+11*7),"■",""))</f>
        <v/>
      </c>
    </row>
    <row r="190">
      <c r="A190" s="12" t="n"/>
      <c r="B190" s="12" t="n"/>
      <c r="C190" s="12" t="n"/>
      <c r="D190" s="14" t="n"/>
      <c r="E190" s="14" t="n"/>
      <c r="F190" s="14" t="n"/>
      <c r="G190" s="12" t="n"/>
      <c r="H190" s="12" t="n"/>
      <c r="I190" s="12" t="n"/>
      <c r="J190" s="12" t="n"/>
      <c r="K190" s="12">
        <f>IF(OR($D190="",$E190=""),"",$E190-$D190+1)</f>
        <v/>
      </c>
      <c r="L190" s="12">
        <f>IF(AND($E190&lt;TODAY(),$G190&lt;&gt;"Complete"),TODAY()-$E190,0)</f>
        <v/>
      </c>
      <c r="M190" s="12">
        <f>IF(OR($D190="",$E190=""),"",IF(AND($D190&lt;=IF('Client &amp; Project Profile'!$B$10="",TODAY(),'Client &amp; Project Profile'!$B$10)+0*7+6,$E190&gt;=IF('Client &amp; Project Profile'!$B$10="",TODAY(),'Client &amp; Project Profile'!$B$10)+0*7),"■",""))</f>
        <v/>
      </c>
      <c r="N190" s="12">
        <f>IF(OR($D190="",$E190=""),"",IF(AND($D190&lt;=IF('Client &amp; Project Profile'!$B$10="",TODAY(),'Client &amp; Project Profile'!$B$10)+1*7+6,$E190&gt;=IF('Client &amp; Project Profile'!$B$10="",TODAY(),'Client &amp; Project Profile'!$B$10)+1*7),"■",""))</f>
        <v/>
      </c>
      <c r="O190" s="12">
        <f>IF(OR($D190="",$E190=""),"",IF(AND($D190&lt;=IF('Client &amp; Project Profile'!$B$10="",TODAY(),'Client &amp; Project Profile'!$B$10)+2*7+6,$E190&gt;=IF('Client &amp; Project Profile'!$B$10="",TODAY(),'Client &amp; Project Profile'!$B$10)+2*7),"■",""))</f>
        <v/>
      </c>
      <c r="P190" s="12">
        <f>IF(OR($D190="",$E190=""),"",IF(AND($D190&lt;=IF('Client &amp; Project Profile'!$B$10="",TODAY(),'Client &amp; Project Profile'!$B$10)+3*7+6,$E190&gt;=IF('Client &amp; Project Profile'!$B$10="",TODAY(),'Client &amp; Project Profile'!$B$10)+3*7),"■",""))</f>
        <v/>
      </c>
      <c r="Q190" s="12">
        <f>IF(OR($D190="",$E190=""),"",IF(AND($D190&lt;=IF('Client &amp; Project Profile'!$B$10="",TODAY(),'Client &amp; Project Profile'!$B$10)+4*7+6,$E190&gt;=IF('Client &amp; Project Profile'!$B$10="",TODAY(),'Client &amp; Project Profile'!$B$10)+4*7),"■",""))</f>
        <v/>
      </c>
      <c r="R190" s="12">
        <f>IF(OR($D190="",$E190=""),"",IF(AND($D190&lt;=IF('Client &amp; Project Profile'!$B$10="",TODAY(),'Client &amp; Project Profile'!$B$10)+5*7+6,$E190&gt;=IF('Client &amp; Project Profile'!$B$10="",TODAY(),'Client &amp; Project Profile'!$B$10)+5*7),"■",""))</f>
        <v/>
      </c>
      <c r="S190" s="12">
        <f>IF(OR($D190="",$E190=""),"",IF(AND($D190&lt;=IF('Client &amp; Project Profile'!$B$10="",TODAY(),'Client &amp; Project Profile'!$B$10)+6*7+6,$E190&gt;=IF('Client &amp; Project Profile'!$B$10="",TODAY(),'Client &amp; Project Profile'!$B$10)+6*7),"■",""))</f>
        <v/>
      </c>
      <c r="T190" s="12">
        <f>IF(OR($D190="",$E190=""),"",IF(AND($D190&lt;=IF('Client &amp; Project Profile'!$B$10="",TODAY(),'Client &amp; Project Profile'!$B$10)+7*7+6,$E190&gt;=IF('Client &amp; Project Profile'!$B$10="",TODAY(),'Client &amp; Project Profile'!$B$10)+7*7),"■",""))</f>
        <v/>
      </c>
      <c r="U190" s="12">
        <f>IF(OR($D190="",$E190=""),"",IF(AND($D190&lt;=IF('Client &amp; Project Profile'!$B$10="",TODAY(),'Client &amp; Project Profile'!$B$10)+8*7+6,$E190&gt;=IF('Client &amp; Project Profile'!$B$10="",TODAY(),'Client &amp; Project Profile'!$B$10)+8*7),"■",""))</f>
        <v/>
      </c>
      <c r="V190" s="12">
        <f>IF(OR($D190="",$E190=""),"",IF(AND($D190&lt;=IF('Client &amp; Project Profile'!$B$10="",TODAY(),'Client &amp; Project Profile'!$B$10)+9*7+6,$E190&gt;=IF('Client &amp; Project Profile'!$B$10="",TODAY(),'Client &amp; Project Profile'!$B$10)+9*7),"■",""))</f>
        <v/>
      </c>
      <c r="W190" s="12">
        <f>IF(OR($D190="",$E190=""),"",IF(AND($D190&lt;=IF('Client &amp; Project Profile'!$B$10="",TODAY(),'Client &amp; Project Profile'!$B$10)+10*7+6,$E190&gt;=IF('Client &amp; Project Profile'!$B$10="",TODAY(),'Client &amp; Project Profile'!$B$10)+10*7),"■",""))</f>
        <v/>
      </c>
      <c r="X190" s="12">
        <f>IF(OR($D190="",$E190=""),"",IF(AND($D190&lt;=IF('Client &amp; Project Profile'!$B$10="",TODAY(),'Client &amp; Project Profile'!$B$10)+11*7+6,$E190&gt;=IF('Client &amp; Project Profile'!$B$10="",TODAY(),'Client &amp; Project Profile'!$B$10)+11*7),"■",""))</f>
        <v/>
      </c>
    </row>
    <row r="191">
      <c r="D191" s="9" t="n"/>
      <c r="E191" s="9" t="n"/>
      <c r="F191" s="9" t="n"/>
      <c r="K191">
        <f>IF(OR($D191="",$E191=""),"",$E191-$D191+1)</f>
        <v/>
      </c>
      <c r="L191">
        <f>IF(AND($E191&lt;TODAY(),$G191&lt;&gt;"Complete"),TODAY()-$E191,0)</f>
        <v/>
      </c>
      <c r="M191">
        <f>IF(OR($D191="",$E191=""),"",IF(AND($D191&lt;=IF('Client &amp; Project Profile'!$B$10="",TODAY(),'Client &amp; Project Profile'!$B$10)+0*7+6,$E191&gt;=IF('Client &amp; Project Profile'!$B$10="",TODAY(),'Client &amp; Project Profile'!$B$10)+0*7),"■",""))</f>
        <v/>
      </c>
      <c r="N191">
        <f>IF(OR($D191="",$E191=""),"",IF(AND($D191&lt;=IF('Client &amp; Project Profile'!$B$10="",TODAY(),'Client &amp; Project Profile'!$B$10)+1*7+6,$E191&gt;=IF('Client &amp; Project Profile'!$B$10="",TODAY(),'Client &amp; Project Profile'!$B$10)+1*7),"■",""))</f>
        <v/>
      </c>
      <c r="O191">
        <f>IF(OR($D191="",$E191=""),"",IF(AND($D191&lt;=IF('Client &amp; Project Profile'!$B$10="",TODAY(),'Client &amp; Project Profile'!$B$10)+2*7+6,$E191&gt;=IF('Client &amp; Project Profile'!$B$10="",TODAY(),'Client &amp; Project Profile'!$B$10)+2*7),"■",""))</f>
        <v/>
      </c>
      <c r="P191">
        <f>IF(OR($D191="",$E191=""),"",IF(AND($D191&lt;=IF('Client &amp; Project Profile'!$B$10="",TODAY(),'Client &amp; Project Profile'!$B$10)+3*7+6,$E191&gt;=IF('Client &amp; Project Profile'!$B$10="",TODAY(),'Client &amp; Project Profile'!$B$10)+3*7),"■",""))</f>
        <v/>
      </c>
      <c r="Q191">
        <f>IF(OR($D191="",$E191=""),"",IF(AND($D191&lt;=IF('Client &amp; Project Profile'!$B$10="",TODAY(),'Client &amp; Project Profile'!$B$10)+4*7+6,$E191&gt;=IF('Client &amp; Project Profile'!$B$10="",TODAY(),'Client &amp; Project Profile'!$B$10)+4*7),"■",""))</f>
        <v/>
      </c>
      <c r="R191">
        <f>IF(OR($D191="",$E191=""),"",IF(AND($D191&lt;=IF('Client &amp; Project Profile'!$B$10="",TODAY(),'Client &amp; Project Profile'!$B$10)+5*7+6,$E191&gt;=IF('Client &amp; Project Profile'!$B$10="",TODAY(),'Client &amp; Project Profile'!$B$10)+5*7),"■",""))</f>
        <v/>
      </c>
      <c r="S191">
        <f>IF(OR($D191="",$E191=""),"",IF(AND($D191&lt;=IF('Client &amp; Project Profile'!$B$10="",TODAY(),'Client &amp; Project Profile'!$B$10)+6*7+6,$E191&gt;=IF('Client &amp; Project Profile'!$B$10="",TODAY(),'Client &amp; Project Profile'!$B$10)+6*7),"■",""))</f>
        <v/>
      </c>
      <c r="T191">
        <f>IF(OR($D191="",$E191=""),"",IF(AND($D191&lt;=IF('Client &amp; Project Profile'!$B$10="",TODAY(),'Client &amp; Project Profile'!$B$10)+7*7+6,$E191&gt;=IF('Client &amp; Project Profile'!$B$10="",TODAY(),'Client &amp; Project Profile'!$B$10)+7*7),"■",""))</f>
        <v/>
      </c>
      <c r="U191">
        <f>IF(OR($D191="",$E191=""),"",IF(AND($D191&lt;=IF('Client &amp; Project Profile'!$B$10="",TODAY(),'Client &amp; Project Profile'!$B$10)+8*7+6,$E191&gt;=IF('Client &amp; Project Profile'!$B$10="",TODAY(),'Client &amp; Project Profile'!$B$10)+8*7),"■",""))</f>
        <v/>
      </c>
      <c r="V191">
        <f>IF(OR($D191="",$E191=""),"",IF(AND($D191&lt;=IF('Client &amp; Project Profile'!$B$10="",TODAY(),'Client &amp; Project Profile'!$B$10)+9*7+6,$E191&gt;=IF('Client &amp; Project Profile'!$B$10="",TODAY(),'Client &amp; Project Profile'!$B$10)+9*7),"■",""))</f>
        <v/>
      </c>
      <c r="W191">
        <f>IF(OR($D191="",$E191=""),"",IF(AND($D191&lt;=IF('Client &amp; Project Profile'!$B$10="",TODAY(),'Client &amp; Project Profile'!$B$10)+10*7+6,$E191&gt;=IF('Client &amp; Project Profile'!$B$10="",TODAY(),'Client &amp; Project Profile'!$B$10)+10*7),"■",""))</f>
        <v/>
      </c>
      <c r="X191">
        <f>IF(OR($D191="",$E191=""),"",IF(AND($D191&lt;=IF('Client &amp; Project Profile'!$B$10="",TODAY(),'Client &amp; Project Profile'!$B$10)+11*7+6,$E191&gt;=IF('Client &amp; Project Profile'!$B$10="",TODAY(),'Client &amp; Project Profile'!$B$10)+11*7),"■",""))</f>
        <v/>
      </c>
    </row>
    <row r="192">
      <c r="A192" s="12" t="n"/>
      <c r="B192" s="12" t="n"/>
      <c r="C192" s="12" t="n"/>
      <c r="D192" s="14" t="n"/>
      <c r="E192" s="14" t="n"/>
      <c r="F192" s="14" t="n"/>
      <c r="G192" s="12" t="n"/>
      <c r="H192" s="12" t="n"/>
      <c r="I192" s="12" t="n"/>
      <c r="J192" s="12" t="n"/>
      <c r="K192" s="12">
        <f>IF(OR($D192="",$E192=""),"",$E192-$D192+1)</f>
        <v/>
      </c>
      <c r="L192" s="12">
        <f>IF(AND($E192&lt;TODAY(),$G192&lt;&gt;"Complete"),TODAY()-$E192,0)</f>
        <v/>
      </c>
      <c r="M192" s="12">
        <f>IF(OR($D192="",$E192=""),"",IF(AND($D192&lt;=IF('Client &amp; Project Profile'!$B$10="",TODAY(),'Client &amp; Project Profile'!$B$10)+0*7+6,$E192&gt;=IF('Client &amp; Project Profile'!$B$10="",TODAY(),'Client &amp; Project Profile'!$B$10)+0*7),"■",""))</f>
        <v/>
      </c>
      <c r="N192" s="12">
        <f>IF(OR($D192="",$E192=""),"",IF(AND($D192&lt;=IF('Client &amp; Project Profile'!$B$10="",TODAY(),'Client &amp; Project Profile'!$B$10)+1*7+6,$E192&gt;=IF('Client &amp; Project Profile'!$B$10="",TODAY(),'Client &amp; Project Profile'!$B$10)+1*7),"■",""))</f>
        <v/>
      </c>
      <c r="O192" s="12">
        <f>IF(OR($D192="",$E192=""),"",IF(AND($D192&lt;=IF('Client &amp; Project Profile'!$B$10="",TODAY(),'Client &amp; Project Profile'!$B$10)+2*7+6,$E192&gt;=IF('Client &amp; Project Profile'!$B$10="",TODAY(),'Client &amp; Project Profile'!$B$10)+2*7),"■",""))</f>
        <v/>
      </c>
      <c r="P192" s="12">
        <f>IF(OR($D192="",$E192=""),"",IF(AND($D192&lt;=IF('Client &amp; Project Profile'!$B$10="",TODAY(),'Client &amp; Project Profile'!$B$10)+3*7+6,$E192&gt;=IF('Client &amp; Project Profile'!$B$10="",TODAY(),'Client &amp; Project Profile'!$B$10)+3*7),"■",""))</f>
        <v/>
      </c>
      <c r="Q192" s="12">
        <f>IF(OR($D192="",$E192=""),"",IF(AND($D192&lt;=IF('Client &amp; Project Profile'!$B$10="",TODAY(),'Client &amp; Project Profile'!$B$10)+4*7+6,$E192&gt;=IF('Client &amp; Project Profile'!$B$10="",TODAY(),'Client &amp; Project Profile'!$B$10)+4*7),"■",""))</f>
        <v/>
      </c>
      <c r="R192" s="12">
        <f>IF(OR($D192="",$E192=""),"",IF(AND($D192&lt;=IF('Client &amp; Project Profile'!$B$10="",TODAY(),'Client &amp; Project Profile'!$B$10)+5*7+6,$E192&gt;=IF('Client &amp; Project Profile'!$B$10="",TODAY(),'Client &amp; Project Profile'!$B$10)+5*7),"■",""))</f>
        <v/>
      </c>
      <c r="S192" s="12">
        <f>IF(OR($D192="",$E192=""),"",IF(AND($D192&lt;=IF('Client &amp; Project Profile'!$B$10="",TODAY(),'Client &amp; Project Profile'!$B$10)+6*7+6,$E192&gt;=IF('Client &amp; Project Profile'!$B$10="",TODAY(),'Client &amp; Project Profile'!$B$10)+6*7),"■",""))</f>
        <v/>
      </c>
      <c r="T192" s="12">
        <f>IF(OR($D192="",$E192=""),"",IF(AND($D192&lt;=IF('Client &amp; Project Profile'!$B$10="",TODAY(),'Client &amp; Project Profile'!$B$10)+7*7+6,$E192&gt;=IF('Client &amp; Project Profile'!$B$10="",TODAY(),'Client &amp; Project Profile'!$B$10)+7*7),"■",""))</f>
        <v/>
      </c>
      <c r="U192" s="12">
        <f>IF(OR($D192="",$E192=""),"",IF(AND($D192&lt;=IF('Client &amp; Project Profile'!$B$10="",TODAY(),'Client &amp; Project Profile'!$B$10)+8*7+6,$E192&gt;=IF('Client &amp; Project Profile'!$B$10="",TODAY(),'Client &amp; Project Profile'!$B$10)+8*7),"■",""))</f>
        <v/>
      </c>
      <c r="V192" s="12">
        <f>IF(OR($D192="",$E192=""),"",IF(AND($D192&lt;=IF('Client &amp; Project Profile'!$B$10="",TODAY(),'Client &amp; Project Profile'!$B$10)+9*7+6,$E192&gt;=IF('Client &amp; Project Profile'!$B$10="",TODAY(),'Client &amp; Project Profile'!$B$10)+9*7),"■",""))</f>
        <v/>
      </c>
      <c r="W192" s="12">
        <f>IF(OR($D192="",$E192=""),"",IF(AND($D192&lt;=IF('Client &amp; Project Profile'!$B$10="",TODAY(),'Client &amp; Project Profile'!$B$10)+10*7+6,$E192&gt;=IF('Client &amp; Project Profile'!$B$10="",TODAY(),'Client &amp; Project Profile'!$B$10)+10*7),"■",""))</f>
        <v/>
      </c>
      <c r="X192" s="12">
        <f>IF(OR($D192="",$E192=""),"",IF(AND($D192&lt;=IF('Client &amp; Project Profile'!$B$10="",TODAY(),'Client &amp; Project Profile'!$B$10)+11*7+6,$E192&gt;=IF('Client &amp; Project Profile'!$B$10="",TODAY(),'Client &amp; Project Profile'!$B$10)+11*7),"■",""))</f>
        <v/>
      </c>
    </row>
    <row r="193">
      <c r="D193" s="9" t="n"/>
      <c r="E193" s="9" t="n"/>
      <c r="F193" s="9" t="n"/>
      <c r="K193">
        <f>IF(OR($D193="",$E193=""),"",$E193-$D193+1)</f>
        <v/>
      </c>
      <c r="L193">
        <f>IF(AND($E193&lt;TODAY(),$G193&lt;&gt;"Complete"),TODAY()-$E193,0)</f>
        <v/>
      </c>
      <c r="M193">
        <f>IF(OR($D193="",$E193=""),"",IF(AND($D193&lt;=IF('Client &amp; Project Profile'!$B$10="",TODAY(),'Client &amp; Project Profile'!$B$10)+0*7+6,$E193&gt;=IF('Client &amp; Project Profile'!$B$10="",TODAY(),'Client &amp; Project Profile'!$B$10)+0*7),"■",""))</f>
        <v/>
      </c>
      <c r="N193">
        <f>IF(OR($D193="",$E193=""),"",IF(AND($D193&lt;=IF('Client &amp; Project Profile'!$B$10="",TODAY(),'Client &amp; Project Profile'!$B$10)+1*7+6,$E193&gt;=IF('Client &amp; Project Profile'!$B$10="",TODAY(),'Client &amp; Project Profile'!$B$10)+1*7),"■",""))</f>
        <v/>
      </c>
      <c r="O193">
        <f>IF(OR($D193="",$E193=""),"",IF(AND($D193&lt;=IF('Client &amp; Project Profile'!$B$10="",TODAY(),'Client &amp; Project Profile'!$B$10)+2*7+6,$E193&gt;=IF('Client &amp; Project Profile'!$B$10="",TODAY(),'Client &amp; Project Profile'!$B$10)+2*7),"■",""))</f>
        <v/>
      </c>
      <c r="P193">
        <f>IF(OR($D193="",$E193=""),"",IF(AND($D193&lt;=IF('Client &amp; Project Profile'!$B$10="",TODAY(),'Client &amp; Project Profile'!$B$10)+3*7+6,$E193&gt;=IF('Client &amp; Project Profile'!$B$10="",TODAY(),'Client &amp; Project Profile'!$B$10)+3*7),"■",""))</f>
        <v/>
      </c>
      <c r="Q193">
        <f>IF(OR($D193="",$E193=""),"",IF(AND($D193&lt;=IF('Client &amp; Project Profile'!$B$10="",TODAY(),'Client &amp; Project Profile'!$B$10)+4*7+6,$E193&gt;=IF('Client &amp; Project Profile'!$B$10="",TODAY(),'Client &amp; Project Profile'!$B$10)+4*7),"■",""))</f>
        <v/>
      </c>
      <c r="R193">
        <f>IF(OR($D193="",$E193=""),"",IF(AND($D193&lt;=IF('Client &amp; Project Profile'!$B$10="",TODAY(),'Client &amp; Project Profile'!$B$10)+5*7+6,$E193&gt;=IF('Client &amp; Project Profile'!$B$10="",TODAY(),'Client &amp; Project Profile'!$B$10)+5*7),"■",""))</f>
        <v/>
      </c>
      <c r="S193">
        <f>IF(OR($D193="",$E193=""),"",IF(AND($D193&lt;=IF('Client &amp; Project Profile'!$B$10="",TODAY(),'Client &amp; Project Profile'!$B$10)+6*7+6,$E193&gt;=IF('Client &amp; Project Profile'!$B$10="",TODAY(),'Client &amp; Project Profile'!$B$10)+6*7),"■",""))</f>
        <v/>
      </c>
      <c r="T193">
        <f>IF(OR($D193="",$E193=""),"",IF(AND($D193&lt;=IF('Client &amp; Project Profile'!$B$10="",TODAY(),'Client &amp; Project Profile'!$B$10)+7*7+6,$E193&gt;=IF('Client &amp; Project Profile'!$B$10="",TODAY(),'Client &amp; Project Profile'!$B$10)+7*7),"■",""))</f>
        <v/>
      </c>
      <c r="U193">
        <f>IF(OR($D193="",$E193=""),"",IF(AND($D193&lt;=IF('Client &amp; Project Profile'!$B$10="",TODAY(),'Client &amp; Project Profile'!$B$10)+8*7+6,$E193&gt;=IF('Client &amp; Project Profile'!$B$10="",TODAY(),'Client &amp; Project Profile'!$B$10)+8*7),"■",""))</f>
        <v/>
      </c>
      <c r="V193">
        <f>IF(OR($D193="",$E193=""),"",IF(AND($D193&lt;=IF('Client &amp; Project Profile'!$B$10="",TODAY(),'Client &amp; Project Profile'!$B$10)+9*7+6,$E193&gt;=IF('Client &amp; Project Profile'!$B$10="",TODAY(),'Client &amp; Project Profile'!$B$10)+9*7),"■",""))</f>
        <v/>
      </c>
      <c r="W193">
        <f>IF(OR($D193="",$E193=""),"",IF(AND($D193&lt;=IF('Client &amp; Project Profile'!$B$10="",TODAY(),'Client &amp; Project Profile'!$B$10)+10*7+6,$E193&gt;=IF('Client &amp; Project Profile'!$B$10="",TODAY(),'Client &amp; Project Profile'!$B$10)+10*7),"■",""))</f>
        <v/>
      </c>
      <c r="X193">
        <f>IF(OR($D193="",$E193=""),"",IF(AND($D193&lt;=IF('Client &amp; Project Profile'!$B$10="",TODAY(),'Client &amp; Project Profile'!$B$10)+11*7+6,$E193&gt;=IF('Client &amp; Project Profile'!$B$10="",TODAY(),'Client &amp; Project Profile'!$B$10)+11*7),"■",""))</f>
        <v/>
      </c>
    </row>
    <row r="194">
      <c r="A194" s="12" t="n"/>
      <c r="B194" s="12" t="n"/>
      <c r="C194" s="12" t="n"/>
      <c r="D194" s="14" t="n"/>
      <c r="E194" s="14" t="n"/>
      <c r="F194" s="14" t="n"/>
      <c r="G194" s="12" t="n"/>
      <c r="H194" s="12" t="n"/>
      <c r="I194" s="12" t="n"/>
      <c r="J194" s="12" t="n"/>
      <c r="K194" s="12">
        <f>IF(OR($D194="",$E194=""),"",$E194-$D194+1)</f>
        <v/>
      </c>
      <c r="L194" s="12">
        <f>IF(AND($E194&lt;TODAY(),$G194&lt;&gt;"Complete"),TODAY()-$E194,0)</f>
        <v/>
      </c>
      <c r="M194" s="12">
        <f>IF(OR($D194="",$E194=""),"",IF(AND($D194&lt;=IF('Client &amp; Project Profile'!$B$10="",TODAY(),'Client &amp; Project Profile'!$B$10)+0*7+6,$E194&gt;=IF('Client &amp; Project Profile'!$B$10="",TODAY(),'Client &amp; Project Profile'!$B$10)+0*7),"■",""))</f>
        <v/>
      </c>
      <c r="N194" s="12">
        <f>IF(OR($D194="",$E194=""),"",IF(AND($D194&lt;=IF('Client &amp; Project Profile'!$B$10="",TODAY(),'Client &amp; Project Profile'!$B$10)+1*7+6,$E194&gt;=IF('Client &amp; Project Profile'!$B$10="",TODAY(),'Client &amp; Project Profile'!$B$10)+1*7),"■",""))</f>
        <v/>
      </c>
      <c r="O194" s="12">
        <f>IF(OR($D194="",$E194=""),"",IF(AND($D194&lt;=IF('Client &amp; Project Profile'!$B$10="",TODAY(),'Client &amp; Project Profile'!$B$10)+2*7+6,$E194&gt;=IF('Client &amp; Project Profile'!$B$10="",TODAY(),'Client &amp; Project Profile'!$B$10)+2*7),"■",""))</f>
        <v/>
      </c>
      <c r="P194" s="12">
        <f>IF(OR($D194="",$E194=""),"",IF(AND($D194&lt;=IF('Client &amp; Project Profile'!$B$10="",TODAY(),'Client &amp; Project Profile'!$B$10)+3*7+6,$E194&gt;=IF('Client &amp; Project Profile'!$B$10="",TODAY(),'Client &amp; Project Profile'!$B$10)+3*7),"■",""))</f>
        <v/>
      </c>
      <c r="Q194" s="12">
        <f>IF(OR($D194="",$E194=""),"",IF(AND($D194&lt;=IF('Client &amp; Project Profile'!$B$10="",TODAY(),'Client &amp; Project Profile'!$B$10)+4*7+6,$E194&gt;=IF('Client &amp; Project Profile'!$B$10="",TODAY(),'Client &amp; Project Profile'!$B$10)+4*7),"■",""))</f>
        <v/>
      </c>
      <c r="R194" s="12">
        <f>IF(OR($D194="",$E194=""),"",IF(AND($D194&lt;=IF('Client &amp; Project Profile'!$B$10="",TODAY(),'Client &amp; Project Profile'!$B$10)+5*7+6,$E194&gt;=IF('Client &amp; Project Profile'!$B$10="",TODAY(),'Client &amp; Project Profile'!$B$10)+5*7),"■",""))</f>
        <v/>
      </c>
      <c r="S194" s="12">
        <f>IF(OR($D194="",$E194=""),"",IF(AND($D194&lt;=IF('Client &amp; Project Profile'!$B$10="",TODAY(),'Client &amp; Project Profile'!$B$10)+6*7+6,$E194&gt;=IF('Client &amp; Project Profile'!$B$10="",TODAY(),'Client &amp; Project Profile'!$B$10)+6*7),"■",""))</f>
        <v/>
      </c>
      <c r="T194" s="12">
        <f>IF(OR($D194="",$E194=""),"",IF(AND($D194&lt;=IF('Client &amp; Project Profile'!$B$10="",TODAY(),'Client &amp; Project Profile'!$B$10)+7*7+6,$E194&gt;=IF('Client &amp; Project Profile'!$B$10="",TODAY(),'Client &amp; Project Profile'!$B$10)+7*7),"■",""))</f>
        <v/>
      </c>
      <c r="U194" s="12">
        <f>IF(OR($D194="",$E194=""),"",IF(AND($D194&lt;=IF('Client &amp; Project Profile'!$B$10="",TODAY(),'Client &amp; Project Profile'!$B$10)+8*7+6,$E194&gt;=IF('Client &amp; Project Profile'!$B$10="",TODAY(),'Client &amp; Project Profile'!$B$10)+8*7),"■",""))</f>
        <v/>
      </c>
      <c r="V194" s="12">
        <f>IF(OR($D194="",$E194=""),"",IF(AND($D194&lt;=IF('Client &amp; Project Profile'!$B$10="",TODAY(),'Client &amp; Project Profile'!$B$10)+9*7+6,$E194&gt;=IF('Client &amp; Project Profile'!$B$10="",TODAY(),'Client &amp; Project Profile'!$B$10)+9*7),"■",""))</f>
        <v/>
      </c>
      <c r="W194" s="12">
        <f>IF(OR($D194="",$E194=""),"",IF(AND($D194&lt;=IF('Client &amp; Project Profile'!$B$10="",TODAY(),'Client &amp; Project Profile'!$B$10)+10*7+6,$E194&gt;=IF('Client &amp; Project Profile'!$B$10="",TODAY(),'Client &amp; Project Profile'!$B$10)+10*7),"■",""))</f>
        <v/>
      </c>
      <c r="X194" s="12">
        <f>IF(OR($D194="",$E194=""),"",IF(AND($D194&lt;=IF('Client &amp; Project Profile'!$B$10="",TODAY(),'Client &amp; Project Profile'!$B$10)+11*7+6,$E194&gt;=IF('Client &amp; Project Profile'!$B$10="",TODAY(),'Client &amp; Project Profile'!$B$10)+11*7),"■",""))</f>
        <v/>
      </c>
    </row>
    <row r="195">
      <c r="D195" s="9" t="n"/>
      <c r="E195" s="9" t="n"/>
      <c r="F195" s="9" t="n"/>
      <c r="K195">
        <f>IF(OR($D195="",$E195=""),"",$E195-$D195+1)</f>
        <v/>
      </c>
      <c r="L195">
        <f>IF(AND($E195&lt;TODAY(),$G195&lt;&gt;"Complete"),TODAY()-$E195,0)</f>
        <v/>
      </c>
      <c r="M195">
        <f>IF(OR($D195="",$E195=""),"",IF(AND($D195&lt;=IF('Client &amp; Project Profile'!$B$10="",TODAY(),'Client &amp; Project Profile'!$B$10)+0*7+6,$E195&gt;=IF('Client &amp; Project Profile'!$B$10="",TODAY(),'Client &amp; Project Profile'!$B$10)+0*7),"■",""))</f>
        <v/>
      </c>
      <c r="N195">
        <f>IF(OR($D195="",$E195=""),"",IF(AND($D195&lt;=IF('Client &amp; Project Profile'!$B$10="",TODAY(),'Client &amp; Project Profile'!$B$10)+1*7+6,$E195&gt;=IF('Client &amp; Project Profile'!$B$10="",TODAY(),'Client &amp; Project Profile'!$B$10)+1*7),"■",""))</f>
        <v/>
      </c>
      <c r="O195">
        <f>IF(OR($D195="",$E195=""),"",IF(AND($D195&lt;=IF('Client &amp; Project Profile'!$B$10="",TODAY(),'Client &amp; Project Profile'!$B$10)+2*7+6,$E195&gt;=IF('Client &amp; Project Profile'!$B$10="",TODAY(),'Client &amp; Project Profile'!$B$10)+2*7),"■",""))</f>
        <v/>
      </c>
      <c r="P195">
        <f>IF(OR($D195="",$E195=""),"",IF(AND($D195&lt;=IF('Client &amp; Project Profile'!$B$10="",TODAY(),'Client &amp; Project Profile'!$B$10)+3*7+6,$E195&gt;=IF('Client &amp; Project Profile'!$B$10="",TODAY(),'Client &amp; Project Profile'!$B$10)+3*7),"■",""))</f>
        <v/>
      </c>
      <c r="Q195">
        <f>IF(OR($D195="",$E195=""),"",IF(AND($D195&lt;=IF('Client &amp; Project Profile'!$B$10="",TODAY(),'Client &amp; Project Profile'!$B$10)+4*7+6,$E195&gt;=IF('Client &amp; Project Profile'!$B$10="",TODAY(),'Client &amp; Project Profile'!$B$10)+4*7),"■",""))</f>
        <v/>
      </c>
      <c r="R195">
        <f>IF(OR($D195="",$E195=""),"",IF(AND($D195&lt;=IF('Client &amp; Project Profile'!$B$10="",TODAY(),'Client &amp; Project Profile'!$B$10)+5*7+6,$E195&gt;=IF('Client &amp; Project Profile'!$B$10="",TODAY(),'Client &amp; Project Profile'!$B$10)+5*7),"■",""))</f>
        <v/>
      </c>
      <c r="S195">
        <f>IF(OR($D195="",$E195=""),"",IF(AND($D195&lt;=IF('Client &amp; Project Profile'!$B$10="",TODAY(),'Client &amp; Project Profile'!$B$10)+6*7+6,$E195&gt;=IF('Client &amp; Project Profile'!$B$10="",TODAY(),'Client &amp; Project Profile'!$B$10)+6*7),"■",""))</f>
        <v/>
      </c>
      <c r="T195">
        <f>IF(OR($D195="",$E195=""),"",IF(AND($D195&lt;=IF('Client &amp; Project Profile'!$B$10="",TODAY(),'Client &amp; Project Profile'!$B$10)+7*7+6,$E195&gt;=IF('Client &amp; Project Profile'!$B$10="",TODAY(),'Client &amp; Project Profile'!$B$10)+7*7),"■",""))</f>
        <v/>
      </c>
      <c r="U195">
        <f>IF(OR($D195="",$E195=""),"",IF(AND($D195&lt;=IF('Client &amp; Project Profile'!$B$10="",TODAY(),'Client &amp; Project Profile'!$B$10)+8*7+6,$E195&gt;=IF('Client &amp; Project Profile'!$B$10="",TODAY(),'Client &amp; Project Profile'!$B$10)+8*7),"■",""))</f>
        <v/>
      </c>
      <c r="V195">
        <f>IF(OR($D195="",$E195=""),"",IF(AND($D195&lt;=IF('Client &amp; Project Profile'!$B$10="",TODAY(),'Client &amp; Project Profile'!$B$10)+9*7+6,$E195&gt;=IF('Client &amp; Project Profile'!$B$10="",TODAY(),'Client &amp; Project Profile'!$B$10)+9*7),"■",""))</f>
        <v/>
      </c>
      <c r="W195">
        <f>IF(OR($D195="",$E195=""),"",IF(AND($D195&lt;=IF('Client &amp; Project Profile'!$B$10="",TODAY(),'Client &amp; Project Profile'!$B$10)+10*7+6,$E195&gt;=IF('Client &amp; Project Profile'!$B$10="",TODAY(),'Client &amp; Project Profile'!$B$10)+10*7),"■",""))</f>
        <v/>
      </c>
      <c r="X195">
        <f>IF(OR($D195="",$E195=""),"",IF(AND($D195&lt;=IF('Client &amp; Project Profile'!$B$10="",TODAY(),'Client &amp; Project Profile'!$B$10)+11*7+6,$E195&gt;=IF('Client &amp; Project Profile'!$B$10="",TODAY(),'Client &amp; Project Profile'!$B$10)+11*7),"■",""))</f>
        <v/>
      </c>
    </row>
    <row r="196">
      <c r="A196" s="12" t="n"/>
      <c r="B196" s="12" t="n"/>
      <c r="C196" s="12" t="n"/>
      <c r="D196" s="14" t="n"/>
      <c r="E196" s="14" t="n"/>
      <c r="F196" s="14" t="n"/>
      <c r="G196" s="12" t="n"/>
      <c r="H196" s="12" t="n"/>
      <c r="I196" s="12" t="n"/>
      <c r="J196" s="12" t="n"/>
      <c r="K196" s="12">
        <f>IF(OR($D196="",$E196=""),"",$E196-$D196+1)</f>
        <v/>
      </c>
      <c r="L196" s="12">
        <f>IF(AND($E196&lt;TODAY(),$G196&lt;&gt;"Complete"),TODAY()-$E196,0)</f>
        <v/>
      </c>
      <c r="M196" s="12">
        <f>IF(OR($D196="",$E196=""),"",IF(AND($D196&lt;=IF('Client &amp; Project Profile'!$B$10="",TODAY(),'Client &amp; Project Profile'!$B$10)+0*7+6,$E196&gt;=IF('Client &amp; Project Profile'!$B$10="",TODAY(),'Client &amp; Project Profile'!$B$10)+0*7),"■",""))</f>
        <v/>
      </c>
      <c r="N196" s="12">
        <f>IF(OR($D196="",$E196=""),"",IF(AND($D196&lt;=IF('Client &amp; Project Profile'!$B$10="",TODAY(),'Client &amp; Project Profile'!$B$10)+1*7+6,$E196&gt;=IF('Client &amp; Project Profile'!$B$10="",TODAY(),'Client &amp; Project Profile'!$B$10)+1*7),"■",""))</f>
        <v/>
      </c>
      <c r="O196" s="12">
        <f>IF(OR($D196="",$E196=""),"",IF(AND($D196&lt;=IF('Client &amp; Project Profile'!$B$10="",TODAY(),'Client &amp; Project Profile'!$B$10)+2*7+6,$E196&gt;=IF('Client &amp; Project Profile'!$B$10="",TODAY(),'Client &amp; Project Profile'!$B$10)+2*7),"■",""))</f>
        <v/>
      </c>
      <c r="P196" s="12">
        <f>IF(OR($D196="",$E196=""),"",IF(AND($D196&lt;=IF('Client &amp; Project Profile'!$B$10="",TODAY(),'Client &amp; Project Profile'!$B$10)+3*7+6,$E196&gt;=IF('Client &amp; Project Profile'!$B$10="",TODAY(),'Client &amp; Project Profile'!$B$10)+3*7),"■",""))</f>
        <v/>
      </c>
      <c r="Q196" s="12">
        <f>IF(OR($D196="",$E196=""),"",IF(AND($D196&lt;=IF('Client &amp; Project Profile'!$B$10="",TODAY(),'Client &amp; Project Profile'!$B$10)+4*7+6,$E196&gt;=IF('Client &amp; Project Profile'!$B$10="",TODAY(),'Client &amp; Project Profile'!$B$10)+4*7),"■",""))</f>
        <v/>
      </c>
      <c r="R196" s="12">
        <f>IF(OR($D196="",$E196=""),"",IF(AND($D196&lt;=IF('Client &amp; Project Profile'!$B$10="",TODAY(),'Client &amp; Project Profile'!$B$10)+5*7+6,$E196&gt;=IF('Client &amp; Project Profile'!$B$10="",TODAY(),'Client &amp; Project Profile'!$B$10)+5*7),"■",""))</f>
        <v/>
      </c>
      <c r="S196" s="12">
        <f>IF(OR($D196="",$E196=""),"",IF(AND($D196&lt;=IF('Client &amp; Project Profile'!$B$10="",TODAY(),'Client &amp; Project Profile'!$B$10)+6*7+6,$E196&gt;=IF('Client &amp; Project Profile'!$B$10="",TODAY(),'Client &amp; Project Profile'!$B$10)+6*7),"■",""))</f>
        <v/>
      </c>
      <c r="T196" s="12">
        <f>IF(OR($D196="",$E196=""),"",IF(AND($D196&lt;=IF('Client &amp; Project Profile'!$B$10="",TODAY(),'Client &amp; Project Profile'!$B$10)+7*7+6,$E196&gt;=IF('Client &amp; Project Profile'!$B$10="",TODAY(),'Client &amp; Project Profile'!$B$10)+7*7),"■",""))</f>
        <v/>
      </c>
      <c r="U196" s="12">
        <f>IF(OR($D196="",$E196=""),"",IF(AND($D196&lt;=IF('Client &amp; Project Profile'!$B$10="",TODAY(),'Client &amp; Project Profile'!$B$10)+8*7+6,$E196&gt;=IF('Client &amp; Project Profile'!$B$10="",TODAY(),'Client &amp; Project Profile'!$B$10)+8*7),"■",""))</f>
        <v/>
      </c>
      <c r="V196" s="12">
        <f>IF(OR($D196="",$E196=""),"",IF(AND($D196&lt;=IF('Client &amp; Project Profile'!$B$10="",TODAY(),'Client &amp; Project Profile'!$B$10)+9*7+6,$E196&gt;=IF('Client &amp; Project Profile'!$B$10="",TODAY(),'Client &amp; Project Profile'!$B$10)+9*7),"■",""))</f>
        <v/>
      </c>
      <c r="W196" s="12">
        <f>IF(OR($D196="",$E196=""),"",IF(AND($D196&lt;=IF('Client &amp; Project Profile'!$B$10="",TODAY(),'Client &amp; Project Profile'!$B$10)+10*7+6,$E196&gt;=IF('Client &amp; Project Profile'!$B$10="",TODAY(),'Client &amp; Project Profile'!$B$10)+10*7),"■",""))</f>
        <v/>
      </c>
      <c r="X196" s="12">
        <f>IF(OR($D196="",$E196=""),"",IF(AND($D196&lt;=IF('Client &amp; Project Profile'!$B$10="",TODAY(),'Client &amp; Project Profile'!$B$10)+11*7+6,$E196&gt;=IF('Client &amp; Project Profile'!$B$10="",TODAY(),'Client &amp; Project Profile'!$B$10)+11*7),"■",""))</f>
        <v/>
      </c>
    </row>
    <row r="197">
      <c r="D197" s="9" t="n"/>
      <c r="E197" s="9" t="n"/>
      <c r="F197" s="9" t="n"/>
      <c r="K197">
        <f>IF(OR($D197="",$E197=""),"",$E197-$D197+1)</f>
        <v/>
      </c>
      <c r="L197">
        <f>IF(AND($E197&lt;TODAY(),$G197&lt;&gt;"Complete"),TODAY()-$E197,0)</f>
        <v/>
      </c>
      <c r="M197">
        <f>IF(OR($D197="",$E197=""),"",IF(AND($D197&lt;=IF('Client &amp; Project Profile'!$B$10="",TODAY(),'Client &amp; Project Profile'!$B$10)+0*7+6,$E197&gt;=IF('Client &amp; Project Profile'!$B$10="",TODAY(),'Client &amp; Project Profile'!$B$10)+0*7),"■",""))</f>
        <v/>
      </c>
      <c r="N197">
        <f>IF(OR($D197="",$E197=""),"",IF(AND($D197&lt;=IF('Client &amp; Project Profile'!$B$10="",TODAY(),'Client &amp; Project Profile'!$B$10)+1*7+6,$E197&gt;=IF('Client &amp; Project Profile'!$B$10="",TODAY(),'Client &amp; Project Profile'!$B$10)+1*7),"■",""))</f>
        <v/>
      </c>
      <c r="O197">
        <f>IF(OR($D197="",$E197=""),"",IF(AND($D197&lt;=IF('Client &amp; Project Profile'!$B$10="",TODAY(),'Client &amp; Project Profile'!$B$10)+2*7+6,$E197&gt;=IF('Client &amp; Project Profile'!$B$10="",TODAY(),'Client &amp; Project Profile'!$B$10)+2*7),"■",""))</f>
        <v/>
      </c>
      <c r="P197">
        <f>IF(OR($D197="",$E197=""),"",IF(AND($D197&lt;=IF('Client &amp; Project Profile'!$B$10="",TODAY(),'Client &amp; Project Profile'!$B$10)+3*7+6,$E197&gt;=IF('Client &amp; Project Profile'!$B$10="",TODAY(),'Client &amp; Project Profile'!$B$10)+3*7),"■",""))</f>
        <v/>
      </c>
      <c r="Q197">
        <f>IF(OR($D197="",$E197=""),"",IF(AND($D197&lt;=IF('Client &amp; Project Profile'!$B$10="",TODAY(),'Client &amp; Project Profile'!$B$10)+4*7+6,$E197&gt;=IF('Client &amp; Project Profile'!$B$10="",TODAY(),'Client &amp; Project Profile'!$B$10)+4*7),"■",""))</f>
        <v/>
      </c>
      <c r="R197">
        <f>IF(OR($D197="",$E197=""),"",IF(AND($D197&lt;=IF('Client &amp; Project Profile'!$B$10="",TODAY(),'Client &amp; Project Profile'!$B$10)+5*7+6,$E197&gt;=IF('Client &amp; Project Profile'!$B$10="",TODAY(),'Client &amp; Project Profile'!$B$10)+5*7),"■",""))</f>
        <v/>
      </c>
      <c r="S197">
        <f>IF(OR($D197="",$E197=""),"",IF(AND($D197&lt;=IF('Client &amp; Project Profile'!$B$10="",TODAY(),'Client &amp; Project Profile'!$B$10)+6*7+6,$E197&gt;=IF('Client &amp; Project Profile'!$B$10="",TODAY(),'Client &amp; Project Profile'!$B$10)+6*7),"■",""))</f>
        <v/>
      </c>
      <c r="T197">
        <f>IF(OR($D197="",$E197=""),"",IF(AND($D197&lt;=IF('Client &amp; Project Profile'!$B$10="",TODAY(),'Client &amp; Project Profile'!$B$10)+7*7+6,$E197&gt;=IF('Client &amp; Project Profile'!$B$10="",TODAY(),'Client &amp; Project Profile'!$B$10)+7*7),"■",""))</f>
        <v/>
      </c>
      <c r="U197">
        <f>IF(OR($D197="",$E197=""),"",IF(AND($D197&lt;=IF('Client &amp; Project Profile'!$B$10="",TODAY(),'Client &amp; Project Profile'!$B$10)+8*7+6,$E197&gt;=IF('Client &amp; Project Profile'!$B$10="",TODAY(),'Client &amp; Project Profile'!$B$10)+8*7),"■",""))</f>
        <v/>
      </c>
      <c r="V197">
        <f>IF(OR($D197="",$E197=""),"",IF(AND($D197&lt;=IF('Client &amp; Project Profile'!$B$10="",TODAY(),'Client &amp; Project Profile'!$B$10)+9*7+6,$E197&gt;=IF('Client &amp; Project Profile'!$B$10="",TODAY(),'Client &amp; Project Profile'!$B$10)+9*7),"■",""))</f>
        <v/>
      </c>
      <c r="W197">
        <f>IF(OR($D197="",$E197=""),"",IF(AND($D197&lt;=IF('Client &amp; Project Profile'!$B$10="",TODAY(),'Client &amp; Project Profile'!$B$10)+10*7+6,$E197&gt;=IF('Client &amp; Project Profile'!$B$10="",TODAY(),'Client &amp; Project Profile'!$B$10)+10*7),"■",""))</f>
        <v/>
      </c>
      <c r="X197">
        <f>IF(OR($D197="",$E197=""),"",IF(AND($D197&lt;=IF('Client &amp; Project Profile'!$B$10="",TODAY(),'Client &amp; Project Profile'!$B$10)+11*7+6,$E197&gt;=IF('Client &amp; Project Profile'!$B$10="",TODAY(),'Client &amp; Project Profile'!$B$10)+11*7),"■",""))</f>
        <v/>
      </c>
    </row>
    <row r="198">
      <c r="A198" s="12" t="n"/>
      <c r="B198" s="12" t="n"/>
      <c r="C198" s="12" t="n"/>
      <c r="D198" s="14" t="n"/>
      <c r="E198" s="14" t="n"/>
      <c r="F198" s="14" t="n"/>
      <c r="G198" s="12" t="n"/>
      <c r="H198" s="12" t="n"/>
      <c r="I198" s="12" t="n"/>
      <c r="J198" s="12" t="n"/>
      <c r="K198" s="12">
        <f>IF(OR($D198="",$E198=""),"",$E198-$D198+1)</f>
        <v/>
      </c>
      <c r="L198" s="12">
        <f>IF(AND($E198&lt;TODAY(),$G198&lt;&gt;"Complete"),TODAY()-$E198,0)</f>
        <v/>
      </c>
      <c r="M198" s="12">
        <f>IF(OR($D198="",$E198=""),"",IF(AND($D198&lt;=IF('Client &amp; Project Profile'!$B$10="",TODAY(),'Client &amp; Project Profile'!$B$10)+0*7+6,$E198&gt;=IF('Client &amp; Project Profile'!$B$10="",TODAY(),'Client &amp; Project Profile'!$B$10)+0*7),"■",""))</f>
        <v/>
      </c>
      <c r="N198" s="12">
        <f>IF(OR($D198="",$E198=""),"",IF(AND($D198&lt;=IF('Client &amp; Project Profile'!$B$10="",TODAY(),'Client &amp; Project Profile'!$B$10)+1*7+6,$E198&gt;=IF('Client &amp; Project Profile'!$B$10="",TODAY(),'Client &amp; Project Profile'!$B$10)+1*7),"■",""))</f>
        <v/>
      </c>
      <c r="O198" s="12">
        <f>IF(OR($D198="",$E198=""),"",IF(AND($D198&lt;=IF('Client &amp; Project Profile'!$B$10="",TODAY(),'Client &amp; Project Profile'!$B$10)+2*7+6,$E198&gt;=IF('Client &amp; Project Profile'!$B$10="",TODAY(),'Client &amp; Project Profile'!$B$10)+2*7),"■",""))</f>
        <v/>
      </c>
      <c r="P198" s="12">
        <f>IF(OR($D198="",$E198=""),"",IF(AND($D198&lt;=IF('Client &amp; Project Profile'!$B$10="",TODAY(),'Client &amp; Project Profile'!$B$10)+3*7+6,$E198&gt;=IF('Client &amp; Project Profile'!$B$10="",TODAY(),'Client &amp; Project Profile'!$B$10)+3*7),"■",""))</f>
        <v/>
      </c>
      <c r="Q198" s="12">
        <f>IF(OR($D198="",$E198=""),"",IF(AND($D198&lt;=IF('Client &amp; Project Profile'!$B$10="",TODAY(),'Client &amp; Project Profile'!$B$10)+4*7+6,$E198&gt;=IF('Client &amp; Project Profile'!$B$10="",TODAY(),'Client &amp; Project Profile'!$B$10)+4*7),"■",""))</f>
        <v/>
      </c>
      <c r="R198" s="12">
        <f>IF(OR($D198="",$E198=""),"",IF(AND($D198&lt;=IF('Client &amp; Project Profile'!$B$10="",TODAY(),'Client &amp; Project Profile'!$B$10)+5*7+6,$E198&gt;=IF('Client &amp; Project Profile'!$B$10="",TODAY(),'Client &amp; Project Profile'!$B$10)+5*7),"■",""))</f>
        <v/>
      </c>
      <c r="S198" s="12">
        <f>IF(OR($D198="",$E198=""),"",IF(AND($D198&lt;=IF('Client &amp; Project Profile'!$B$10="",TODAY(),'Client &amp; Project Profile'!$B$10)+6*7+6,$E198&gt;=IF('Client &amp; Project Profile'!$B$10="",TODAY(),'Client &amp; Project Profile'!$B$10)+6*7),"■",""))</f>
        <v/>
      </c>
      <c r="T198" s="12">
        <f>IF(OR($D198="",$E198=""),"",IF(AND($D198&lt;=IF('Client &amp; Project Profile'!$B$10="",TODAY(),'Client &amp; Project Profile'!$B$10)+7*7+6,$E198&gt;=IF('Client &amp; Project Profile'!$B$10="",TODAY(),'Client &amp; Project Profile'!$B$10)+7*7),"■",""))</f>
        <v/>
      </c>
      <c r="U198" s="12">
        <f>IF(OR($D198="",$E198=""),"",IF(AND($D198&lt;=IF('Client &amp; Project Profile'!$B$10="",TODAY(),'Client &amp; Project Profile'!$B$10)+8*7+6,$E198&gt;=IF('Client &amp; Project Profile'!$B$10="",TODAY(),'Client &amp; Project Profile'!$B$10)+8*7),"■",""))</f>
        <v/>
      </c>
      <c r="V198" s="12">
        <f>IF(OR($D198="",$E198=""),"",IF(AND($D198&lt;=IF('Client &amp; Project Profile'!$B$10="",TODAY(),'Client &amp; Project Profile'!$B$10)+9*7+6,$E198&gt;=IF('Client &amp; Project Profile'!$B$10="",TODAY(),'Client &amp; Project Profile'!$B$10)+9*7),"■",""))</f>
        <v/>
      </c>
      <c r="W198" s="12">
        <f>IF(OR($D198="",$E198=""),"",IF(AND($D198&lt;=IF('Client &amp; Project Profile'!$B$10="",TODAY(),'Client &amp; Project Profile'!$B$10)+10*7+6,$E198&gt;=IF('Client &amp; Project Profile'!$B$10="",TODAY(),'Client &amp; Project Profile'!$B$10)+10*7),"■",""))</f>
        <v/>
      </c>
      <c r="X198" s="12">
        <f>IF(OR($D198="",$E198=""),"",IF(AND($D198&lt;=IF('Client &amp; Project Profile'!$B$10="",TODAY(),'Client &amp; Project Profile'!$B$10)+11*7+6,$E198&gt;=IF('Client &amp; Project Profile'!$B$10="",TODAY(),'Client &amp; Project Profile'!$B$10)+11*7),"■",""))</f>
        <v/>
      </c>
    </row>
    <row r="199">
      <c r="D199" s="9" t="n"/>
      <c r="E199" s="9" t="n"/>
      <c r="F199" s="9" t="n"/>
      <c r="K199">
        <f>IF(OR($D199="",$E199=""),"",$E199-$D199+1)</f>
        <v/>
      </c>
      <c r="L199">
        <f>IF(AND($E199&lt;TODAY(),$G199&lt;&gt;"Complete"),TODAY()-$E199,0)</f>
        <v/>
      </c>
      <c r="M199">
        <f>IF(OR($D199="",$E199=""),"",IF(AND($D199&lt;=IF('Client &amp; Project Profile'!$B$10="",TODAY(),'Client &amp; Project Profile'!$B$10)+0*7+6,$E199&gt;=IF('Client &amp; Project Profile'!$B$10="",TODAY(),'Client &amp; Project Profile'!$B$10)+0*7),"■",""))</f>
        <v/>
      </c>
      <c r="N199">
        <f>IF(OR($D199="",$E199=""),"",IF(AND($D199&lt;=IF('Client &amp; Project Profile'!$B$10="",TODAY(),'Client &amp; Project Profile'!$B$10)+1*7+6,$E199&gt;=IF('Client &amp; Project Profile'!$B$10="",TODAY(),'Client &amp; Project Profile'!$B$10)+1*7),"■",""))</f>
        <v/>
      </c>
      <c r="O199">
        <f>IF(OR($D199="",$E199=""),"",IF(AND($D199&lt;=IF('Client &amp; Project Profile'!$B$10="",TODAY(),'Client &amp; Project Profile'!$B$10)+2*7+6,$E199&gt;=IF('Client &amp; Project Profile'!$B$10="",TODAY(),'Client &amp; Project Profile'!$B$10)+2*7),"■",""))</f>
        <v/>
      </c>
      <c r="P199">
        <f>IF(OR($D199="",$E199=""),"",IF(AND($D199&lt;=IF('Client &amp; Project Profile'!$B$10="",TODAY(),'Client &amp; Project Profile'!$B$10)+3*7+6,$E199&gt;=IF('Client &amp; Project Profile'!$B$10="",TODAY(),'Client &amp; Project Profile'!$B$10)+3*7),"■",""))</f>
        <v/>
      </c>
      <c r="Q199">
        <f>IF(OR($D199="",$E199=""),"",IF(AND($D199&lt;=IF('Client &amp; Project Profile'!$B$10="",TODAY(),'Client &amp; Project Profile'!$B$10)+4*7+6,$E199&gt;=IF('Client &amp; Project Profile'!$B$10="",TODAY(),'Client &amp; Project Profile'!$B$10)+4*7),"■",""))</f>
        <v/>
      </c>
      <c r="R199">
        <f>IF(OR($D199="",$E199=""),"",IF(AND($D199&lt;=IF('Client &amp; Project Profile'!$B$10="",TODAY(),'Client &amp; Project Profile'!$B$10)+5*7+6,$E199&gt;=IF('Client &amp; Project Profile'!$B$10="",TODAY(),'Client &amp; Project Profile'!$B$10)+5*7),"■",""))</f>
        <v/>
      </c>
      <c r="S199">
        <f>IF(OR($D199="",$E199=""),"",IF(AND($D199&lt;=IF('Client &amp; Project Profile'!$B$10="",TODAY(),'Client &amp; Project Profile'!$B$10)+6*7+6,$E199&gt;=IF('Client &amp; Project Profile'!$B$10="",TODAY(),'Client &amp; Project Profile'!$B$10)+6*7),"■",""))</f>
        <v/>
      </c>
      <c r="T199">
        <f>IF(OR($D199="",$E199=""),"",IF(AND($D199&lt;=IF('Client &amp; Project Profile'!$B$10="",TODAY(),'Client &amp; Project Profile'!$B$10)+7*7+6,$E199&gt;=IF('Client &amp; Project Profile'!$B$10="",TODAY(),'Client &amp; Project Profile'!$B$10)+7*7),"■",""))</f>
        <v/>
      </c>
      <c r="U199">
        <f>IF(OR($D199="",$E199=""),"",IF(AND($D199&lt;=IF('Client &amp; Project Profile'!$B$10="",TODAY(),'Client &amp; Project Profile'!$B$10)+8*7+6,$E199&gt;=IF('Client &amp; Project Profile'!$B$10="",TODAY(),'Client &amp; Project Profile'!$B$10)+8*7),"■",""))</f>
        <v/>
      </c>
      <c r="V199">
        <f>IF(OR($D199="",$E199=""),"",IF(AND($D199&lt;=IF('Client &amp; Project Profile'!$B$10="",TODAY(),'Client &amp; Project Profile'!$B$10)+9*7+6,$E199&gt;=IF('Client &amp; Project Profile'!$B$10="",TODAY(),'Client &amp; Project Profile'!$B$10)+9*7),"■",""))</f>
        <v/>
      </c>
      <c r="W199">
        <f>IF(OR($D199="",$E199=""),"",IF(AND($D199&lt;=IF('Client &amp; Project Profile'!$B$10="",TODAY(),'Client &amp; Project Profile'!$B$10)+10*7+6,$E199&gt;=IF('Client &amp; Project Profile'!$B$10="",TODAY(),'Client &amp; Project Profile'!$B$10)+10*7),"■",""))</f>
        <v/>
      </c>
      <c r="X199">
        <f>IF(OR($D199="",$E199=""),"",IF(AND($D199&lt;=IF('Client &amp; Project Profile'!$B$10="",TODAY(),'Client &amp; Project Profile'!$B$10)+11*7+6,$E199&gt;=IF('Client &amp; Project Profile'!$B$10="",TODAY(),'Client &amp; Project Profile'!$B$10)+11*7),"■",""))</f>
        <v/>
      </c>
    </row>
    <row r="200">
      <c r="A200" s="12" t="n"/>
      <c r="B200" s="12" t="n"/>
      <c r="C200" s="12" t="n"/>
      <c r="D200" s="14" t="n"/>
      <c r="E200" s="14" t="n"/>
      <c r="F200" s="14" t="n"/>
      <c r="G200" s="12" t="n"/>
      <c r="H200" s="12" t="n"/>
      <c r="I200" s="12" t="n"/>
      <c r="J200" s="12" t="n"/>
      <c r="K200" s="12">
        <f>IF(OR($D200="",$E200=""),"",$E200-$D200+1)</f>
        <v/>
      </c>
      <c r="L200" s="12">
        <f>IF(AND($E200&lt;TODAY(),$G200&lt;&gt;"Complete"),TODAY()-$E200,0)</f>
        <v/>
      </c>
      <c r="M200" s="12">
        <f>IF(OR($D200="",$E200=""),"",IF(AND($D200&lt;=IF('Client &amp; Project Profile'!$B$10="",TODAY(),'Client &amp; Project Profile'!$B$10)+0*7+6,$E200&gt;=IF('Client &amp; Project Profile'!$B$10="",TODAY(),'Client &amp; Project Profile'!$B$10)+0*7),"■",""))</f>
        <v/>
      </c>
      <c r="N200" s="12">
        <f>IF(OR($D200="",$E200=""),"",IF(AND($D200&lt;=IF('Client &amp; Project Profile'!$B$10="",TODAY(),'Client &amp; Project Profile'!$B$10)+1*7+6,$E200&gt;=IF('Client &amp; Project Profile'!$B$10="",TODAY(),'Client &amp; Project Profile'!$B$10)+1*7),"■",""))</f>
        <v/>
      </c>
      <c r="O200" s="12">
        <f>IF(OR($D200="",$E200=""),"",IF(AND($D200&lt;=IF('Client &amp; Project Profile'!$B$10="",TODAY(),'Client &amp; Project Profile'!$B$10)+2*7+6,$E200&gt;=IF('Client &amp; Project Profile'!$B$10="",TODAY(),'Client &amp; Project Profile'!$B$10)+2*7),"■",""))</f>
        <v/>
      </c>
      <c r="P200" s="12">
        <f>IF(OR($D200="",$E200=""),"",IF(AND($D200&lt;=IF('Client &amp; Project Profile'!$B$10="",TODAY(),'Client &amp; Project Profile'!$B$10)+3*7+6,$E200&gt;=IF('Client &amp; Project Profile'!$B$10="",TODAY(),'Client &amp; Project Profile'!$B$10)+3*7),"■",""))</f>
        <v/>
      </c>
      <c r="Q200" s="12">
        <f>IF(OR($D200="",$E200=""),"",IF(AND($D200&lt;=IF('Client &amp; Project Profile'!$B$10="",TODAY(),'Client &amp; Project Profile'!$B$10)+4*7+6,$E200&gt;=IF('Client &amp; Project Profile'!$B$10="",TODAY(),'Client &amp; Project Profile'!$B$10)+4*7),"■",""))</f>
        <v/>
      </c>
      <c r="R200" s="12">
        <f>IF(OR($D200="",$E200=""),"",IF(AND($D200&lt;=IF('Client &amp; Project Profile'!$B$10="",TODAY(),'Client &amp; Project Profile'!$B$10)+5*7+6,$E200&gt;=IF('Client &amp; Project Profile'!$B$10="",TODAY(),'Client &amp; Project Profile'!$B$10)+5*7),"■",""))</f>
        <v/>
      </c>
      <c r="S200" s="12">
        <f>IF(OR($D200="",$E200=""),"",IF(AND($D200&lt;=IF('Client &amp; Project Profile'!$B$10="",TODAY(),'Client &amp; Project Profile'!$B$10)+6*7+6,$E200&gt;=IF('Client &amp; Project Profile'!$B$10="",TODAY(),'Client &amp; Project Profile'!$B$10)+6*7),"■",""))</f>
        <v/>
      </c>
      <c r="T200" s="12">
        <f>IF(OR($D200="",$E200=""),"",IF(AND($D200&lt;=IF('Client &amp; Project Profile'!$B$10="",TODAY(),'Client &amp; Project Profile'!$B$10)+7*7+6,$E200&gt;=IF('Client &amp; Project Profile'!$B$10="",TODAY(),'Client &amp; Project Profile'!$B$10)+7*7),"■",""))</f>
        <v/>
      </c>
      <c r="U200" s="12">
        <f>IF(OR($D200="",$E200=""),"",IF(AND($D200&lt;=IF('Client &amp; Project Profile'!$B$10="",TODAY(),'Client &amp; Project Profile'!$B$10)+8*7+6,$E200&gt;=IF('Client &amp; Project Profile'!$B$10="",TODAY(),'Client &amp; Project Profile'!$B$10)+8*7),"■",""))</f>
        <v/>
      </c>
      <c r="V200" s="12">
        <f>IF(OR($D200="",$E200=""),"",IF(AND($D200&lt;=IF('Client &amp; Project Profile'!$B$10="",TODAY(),'Client &amp; Project Profile'!$B$10)+9*7+6,$E200&gt;=IF('Client &amp; Project Profile'!$B$10="",TODAY(),'Client &amp; Project Profile'!$B$10)+9*7),"■",""))</f>
        <v/>
      </c>
      <c r="W200" s="12">
        <f>IF(OR($D200="",$E200=""),"",IF(AND($D200&lt;=IF('Client &amp; Project Profile'!$B$10="",TODAY(),'Client &amp; Project Profile'!$B$10)+10*7+6,$E200&gt;=IF('Client &amp; Project Profile'!$B$10="",TODAY(),'Client &amp; Project Profile'!$B$10)+10*7),"■",""))</f>
        <v/>
      </c>
      <c r="X200" s="12">
        <f>IF(OR($D200="",$E200=""),"",IF(AND($D200&lt;=IF('Client &amp; Project Profile'!$B$10="",TODAY(),'Client &amp; Project Profile'!$B$10)+11*7+6,$E200&gt;=IF('Client &amp; Project Profile'!$B$10="",TODAY(),'Client &amp; Project Profile'!$B$10)+11*7),"■",""))</f>
        <v/>
      </c>
    </row>
    <row r="201">
      <c r="D201" s="9" t="n"/>
      <c r="E201" s="9" t="n"/>
      <c r="F201" s="9" t="n"/>
      <c r="K201">
        <f>IF(OR($D201="",$E201=""),"",$E201-$D201+1)</f>
        <v/>
      </c>
      <c r="L201">
        <f>IF(AND($E201&lt;TODAY(),$G201&lt;&gt;"Complete"),TODAY()-$E201,0)</f>
        <v/>
      </c>
      <c r="M201">
        <f>IF(OR($D201="",$E201=""),"",IF(AND($D201&lt;=IF('Client &amp; Project Profile'!$B$10="",TODAY(),'Client &amp; Project Profile'!$B$10)+0*7+6,$E201&gt;=IF('Client &amp; Project Profile'!$B$10="",TODAY(),'Client &amp; Project Profile'!$B$10)+0*7),"■",""))</f>
        <v/>
      </c>
      <c r="N201">
        <f>IF(OR($D201="",$E201=""),"",IF(AND($D201&lt;=IF('Client &amp; Project Profile'!$B$10="",TODAY(),'Client &amp; Project Profile'!$B$10)+1*7+6,$E201&gt;=IF('Client &amp; Project Profile'!$B$10="",TODAY(),'Client &amp; Project Profile'!$B$10)+1*7),"■",""))</f>
        <v/>
      </c>
      <c r="O201">
        <f>IF(OR($D201="",$E201=""),"",IF(AND($D201&lt;=IF('Client &amp; Project Profile'!$B$10="",TODAY(),'Client &amp; Project Profile'!$B$10)+2*7+6,$E201&gt;=IF('Client &amp; Project Profile'!$B$10="",TODAY(),'Client &amp; Project Profile'!$B$10)+2*7),"■",""))</f>
        <v/>
      </c>
      <c r="P201">
        <f>IF(OR($D201="",$E201=""),"",IF(AND($D201&lt;=IF('Client &amp; Project Profile'!$B$10="",TODAY(),'Client &amp; Project Profile'!$B$10)+3*7+6,$E201&gt;=IF('Client &amp; Project Profile'!$B$10="",TODAY(),'Client &amp; Project Profile'!$B$10)+3*7),"■",""))</f>
        <v/>
      </c>
      <c r="Q201">
        <f>IF(OR($D201="",$E201=""),"",IF(AND($D201&lt;=IF('Client &amp; Project Profile'!$B$10="",TODAY(),'Client &amp; Project Profile'!$B$10)+4*7+6,$E201&gt;=IF('Client &amp; Project Profile'!$B$10="",TODAY(),'Client &amp; Project Profile'!$B$10)+4*7),"■",""))</f>
        <v/>
      </c>
      <c r="R201">
        <f>IF(OR($D201="",$E201=""),"",IF(AND($D201&lt;=IF('Client &amp; Project Profile'!$B$10="",TODAY(),'Client &amp; Project Profile'!$B$10)+5*7+6,$E201&gt;=IF('Client &amp; Project Profile'!$B$10="",TODAY(),'Client &amp; Project Profile'!$B$10)+5*7),"■",""))</f>
        <v/>
      </c>
      <c r="S201">
        <f>IF(OR($D201="",$E201=""),"",IF(AND($D201&lt;=IF('Client &amp; Project Profile'!$B$10="",TODAY(),'Client &amp; Project Profile'!$B$10)+6*7+6,$E201&gt;=IF('Client &amp; Project Profile'!$B$10="",TODAY(),'Client &amp; Project Profile'!$B$10)+6*7),"■",""))</f>
        <v/>
      </c>
      <c r="T201">
        <f>IF(OR($D201="",$E201=""),"",IF(AND($D201&lt;=IF('Client &amp; Project Profile'!$B$10="",TODAY(),'Client &amp; Project Profile'!$B$10)+7*7+6,$E201&gt;=IF('Client &amp; Project Profile'!$B$10="",TODAY(),'Client &amp; Project Profile'!$B$10)+7*7),"■",""))</f>
        <v/>
      </c>
      <c r="U201">
        <f>IF(OR($D201="",$E201=""),"",IF(AND($D201&lt;=IF('Client &amp; Project Profile'!$B$10="",TODAY(),'Client &amp; Project Profile'!$B$10)+8*7+6,$E201&gt;=IF('Client &amp; Project Profile'!$B$10="",TODAY(),'Client &amp; Project Profile'!$B$10)+8*7),"■",""))</f>
        <v/>
      </c>
      <c r="V201">
        <f>IF(OR($D201="",$E201=""),"",IF(AND($D201&lt;=IF('Client &amp; Project Profile'!$B$10="",TODAY(),'Client &amp; Project Profile'!$B$10)+9*7+6,$E201&gt;=IF('Client &amp; Project Profile'!$B$10="",TODAY(),'Client &amp; Project Profile'!$B$10)+9*7),"■",""))</f>
        <v/>
      </c>
      <c r="W201">
        <f>IF(OR($D201="",$E201=""),"",IF(AND($D201&lt;=IF('Client &amp; Project Profile'!$B$10="",TODAY(),'Client &amp; Project Profile'!$B$10)+10*7+6,$E201&gt;=IF('Client &amp; Project Profile'!$B$10="",TODAY(),'Client &amp; Project Profile'!$B$10)+10*7),"■",""))</f>
        <v/>
      </c>
      <c r="X201">
        <f>IF(OR($D201="",$E201=""),"",IF(AND($D201&lt;=IF('Client &amp; Project Profile'!$B$10="",TODAY(),'Client &amp; Project Profile'!$B$10)+11*7+6,$E201&gt;=IF('Client &amp; Project Profile'!$B$10="",TODAY(),'Client &amp; Project Profile'!$B$10)+11*7),"■",""))</f>
        <v/>
      </c>
    </row>
    <row r="202">
      <c r="A202" s="12" t="n"/>
      <c r="B202" s="12" t="n"/>
      <c r="C202" s="12" t="n"/>
      <c r="D202" s="14" t="n"/>
      <c r="E202" s="14" t="n"/>
      <c r="F202" s="14" t="n"/>
      <c r="G202" s="12" t="n"/>
      <c r="H202" s="12" t="n"/>
      <c r="I202" s="12" t="n"/>
      <c r="J202" s="12" t="n"/>
      <c r="K202" s="12">
        <f>IF(OR($D202="",$E202=""),"",$E202-$D202+1)</f>
        <v/>
      </c>
      <c r="L202" s="12">
        <f>IF(AND($E202&lt;TODAY(),$G202&lt;&gt;"Complete"),TODAY()-$E202,0)</f>
        <v/>
      </c>
      <c r="M202" s="12">
        <f>IF(OR($D202="",$E202=""),"",IF(AND($D202&lt;=IF('Client &amp; Project Profile'!$B$10="",TODAY(),'Client &amp; Project Profile'!$B$10)+0*7+6,$E202&gt;=IF('Client &amp; Project Profile'!$B$10="",TODAY(),'Client &amp; Project Profile'!$B$10)+0*7),"■",""))</f>
        <v/>
      </c>
      <c r="N202" s="12">
        <f>IF(OR($D202="",$E202=""),"",IF(AND($D202&lt;=IF('Client &amp; Project Profile'!$B$10="",TODAY(),'Client &amp; Project Profile'!$B$10)+1*7+6,$E202&gt;=IF('Client &amp; Project Profile'!$B$10="",TODAY(),'Client &amp; Project Profile'!$B$10)+1*7),"■",""))</f>
        <v/>
      </c>
      <c r="O202" s="12">
        <f>IF(OR($D202="",$E202=""),"",IF(AND($D202&lt;=IF('Client &amp; Project Profile'!$B$10="",TODAY(),'Client &amp; Project Profile'!$B$10)+2*7+6,$E202&gt;=IF('Client &amp; Project Profile'!$B$10="",TODAY(),'Client &amp; Project Profile'!$B$10)+2*7),"■",""))</f>
        <v/>
      </c>
      <c r="P202" s="12">
        <f>IF(OR($D202="",$E202=""),"",IF(AND($D202&lt;=IF('Client &amp; Project Profile'!$B$10="",TODAY(),'Client &amp; Project Profile'!$B$10)+3*7+6,$E202&gt;=IF('Client &amp; Project Profile'!$B$10="",TODAY(),'Client &amp; Project Profile'!$B$10)+3*7),"■",""))</f>
        <v/>
      </c>
      <c r="Q202" s="12">
        <f>IF(OR($D202="",$E202=""),"",IF(AND($D202&lt;=IF('Client &amp; Project Profile'!$B$10="",TODAY(),'Client &amp; Project Profile'!$B$10)+4*7+6,$E202&gt;=IF('Client &amp; Project Profile'!$B$10="",TODAY(),'Client &amp; Project Profile'!$B$10)+4*7),"■",""))</f>
        <v/>
      </c>
      <c r="R202" s="12">
        <f>IF(OR($D202="",$E202=""),"",IF(AND($D202&lt;=IF('Client &amp; Project Profile'!$B$10="",TODAY(),'Client &amp; Project Profile'!$B$10)+5*7+6,$E202&gt;=IF('Client &amp; Project Profile'!$B$10="",TODAY(),'Client &amp; Project Profile'!$B$10)+5*7),"■",""))</f>
        <v/>
      </c>
      <c r="S202" s="12">
        <f>IF(OR($D202="",$E202=""),"",IF(AND($D202&lt;=IF('Client &amp; Project Profile'!$B$10="",TODAY(),'Client &amp; Project Profile'!$B$10)+6*7+6,$E202&gt;=IF('Client &amp; Project Profile'!$B$10="",TODAY(),'Client &amp; Project Profile'!$B$10)+6*7),"■",""))</f>
        <v/>
      </c>
      <c r="T202" s="12">
        <f>IF(OR($D202="",$E202=""),"",IF(AND($D202&lt;=IF('Client &amp; Project Profile'!$B$10="",TODAY(),'Client &amp; Project Profile'!$B$10)+7*7+6,$E202&gt;=IF('Client &amp; Project Profile'!$B$10="",TODAY(),'Client &amp; Project Profile'!$B$10)+7*7),"■",""))</f>
        <v/>
      </c>
      <c r="U202" s="12">
        <f>IF(OR($D202="",$E202=""),"",IF(AND($D202&lt;=IF('Client &amp; Project Profile'!$B$10="",TODAY(),'Client &amp; Project Profile'!$B$10)+8*7+6,$E202&gt;=IF('Client &amp; Project Profile'!$B$10="",TODAY(),'Client &amp; Project Profile'!$B$10)+8*7),"■",""))</f>
        <v/>
      </c>
      <c r="V202" s="12">
        <f>IF(OR($D202="",$E202=""),"",IF(AND($D202&lt;=IF('Client &amp; Project Profile'!$B$10="",TODAY(),'Client &amp; Project Profile'!$B$10)+9*7+6,$E202&gt;=IF('Client &amp; Project Profile'!$B$10="",TODAY(),'Client &amp; Project Profile'!$B$10)+9*7),"■",""))</f>
        <v/>
      </c>
      <c r="W202" s="12">
        <f>IF(OR($D202="",$E202=""),"",IF(AND($D202&lt;=IF('Client &amp; Project Profile'!$B$10="",TODAY(),'Client &amp; Project Profile'!$B$10)+10*7+6,$E202&gt;=IF('Client &amp; Project Profile'!$B$10="",TODAY(),'Client &amp; Project Profile'!$B$10)+10*7),"■",""))</f>
        <v/>
      </c>
      <c r="X202" s="12">
        <f>IF(OR($D202="",$E202=""),"",IF(AND($D202&lt;=IF('Client &amp; Project Profile'!$B$10="",TODAY(),'Client &amp; Project Profile'!$B$10)+11*7+6,$E202&gt;=IF('Client &amp; Project Profile'!$B$10="",TODAY(),'Client &amp; Project Profile'!$B$10)+11*7),"■",""))</f>
        <v/>
      </c>
    </row>
    <row r="203">
      <c r="D203" s="9" t="n"/>
      <c r="E203" s="9" t="n"/>
      <c r="F203" s="9" t="n"/>
      <c r="K203">
        <f>IF(OR($D203="",$E203=""),"",$E203-$D203+1)</f>
        <v/>
      </c>
      <c r="L203">
        <f>IF(AND($E203&lt;TODAY(),$G203&lt;&gt;"Complete"),TODAY()-$E203,0)</f>
        <v/>
      </c>
      <c r="M203">
        <f>IF(OR($D203="",$E203=""),"",IF(AND($D203&lt;=IF('Client &amp; Project Profile'!$B$10="",TODAY(),'Client &amp; Project Profile'!$B$10)+0*7+6,$E203&gt;=IF('Client &amp; Project Profile'!$B$10="",TODAY(),'Client &amp; Project Profile'!$B$10)+0*7),"■",""))</f>
        <v/>
      </c>
      <c r="N203">
        <f>IF(OR($D203="",$E203=""),"",IF(AND($D203&lt;=IF('Client &amp; Project Profile'!$B$10="",TODAY(),'Client &amp; Project Profile'!$B$10)+1*7+6,$E203&gt;=IF('Client &amp; Project Profile'!$B$10="",TODAY(),'Client &amp; Project Profile'!$B$10)+1*7),"■",""))</f>
        <v/>
      </c>
      <c r="O203">
        <f>IF(OR($D203="",$E203=""),"",IF(AND($D203&lt;=IF('Client &amp; Project Profile'!$B$10="",TODAY(),'Client &amp; Project Profile'!$B$10)+2*7+6,$E203&gt;=IF('Client &amp; Project Profile'!$B$10="",TODAY(),'Client &amp; Project Profile'!$B$10)+2*7),"■",""))</f>
        <v/>
      </c>
      <c r="P203">
        <f>IF(OR($D203="",$E203=""),"",IF(AND($D203&lt;=IF('Client &amp; Project Profile'!$B$10="",TODAY(),'Client &amp; Project Profile'!$B$10)+3*7+6,$E203&gt;=IF('Client &amp; Project Profile'!$B$10="",TODAY(),'Client &amp; Project Profile'!$B$10)+3*7),"■",""))</f>
        <v/>
      </c>
      <c r="Q203">
        <f>IF(OR($D203="",$E203=""),"",IF(AND($D203&lt;=IF('Client &amp; Project Profile'!$B$10="",TODAY(),'Client &amp; Project Profile'!$B$10)+4*7+6,$E203&gt;=IF('Client &amp; Project Profile'!$B$10="",TODAY(),'Client &amp; Project Profile'!$B$10)+4*7),"■",""))</f>
        <v/>
      </c>
      <c r="R203">
        <f>IF(OR($D203="",$E203=""),"",IF(AND($D203&lt;=IF('Client &amp; Project Profile'!$B$10="",TODAY(),'Client &amp; Project Profile'!$B$10)+5*7+6,$E203&gt;=IF('Client &amp; Project Profile'!$B$10="",TODAY(),'Client &amp; Project Profile'!$B$10)+5*7),"■",""))</f>
        <v/>
      </c>
      <c r="S203">
        <f>IF(OR($D203="",$E203=""),"",IF(AND($D203&lt;=IF('Client &amp; Project Profile'!$B$10="",TODAY(),'Client &amp; Project Profile'!$B$10)+6*7+6,$E203&gt;=IF('Client &amp; Project Profile'!$B$10="",TODAY(),'Client &amp; Project Profile'!$B$10)+6*7),"■",""))</f>
        <v/>
      </c>
      <c r="T203">
        <f>IF(OR($D203="",$E203=""),"",IF(AND($D203&lt;=IF('Client &amp; Project Profile'!$B$10="",TODAY(),'Client &amp; Project Profile'!$B$10)+7*7+6,$E203&gt;=IF('Client &amp; Project Profile'!$B$10="",TODAY(),'Client &amp; Project Profile'!$B$10)+7*7),"■",""))</f>
        <v/>
      </c>
      <c r="U203">
        <f>IF(OR($D203="",$E203=""),"",IF(AND($D203&lt;=IF('Client &amp; Project Profile'!$B$10="",TODAY(),'Client &amp; Project Profile'!$B$10)+8*7+6,$E203&gt;=IF('Client &amp; Project Profile'!$B$10="",TODAY(),'Client &amp; Project Profile'!$B$10)+8*7),"■",""))</f>
        <v/>
      </c>
      <c r="V203">
        <f>IF(OR($D203="",$E203=""),"",IF(AND($D203&lt;=IF('Client &amp; Project Profile'!$B$10="",TODAY(),'Client &amp; Project Profile'!$B$10)+9*7+6,$E203&gt;=IF('Client &amp; Project Profile'!$B$10="",TODAY(),'Client &amp; Project Profile'!$B$10)+9*7),"■",""))</f>
        <v/>
      </c>
      <c r="W203">
        <f>IF(OR($D203="",$E203=""),"",IF(AND($D203&lt;=IF('Client &amp; Project Profile'!$B$10="",TODAY(),'Client &amp; Project Profile'!$B$10)+10*7+6,$E203&gt;=IF('Client &amp; Project Profile'!$B$10="",TODAY(),'Client &amp; Project Profile'!$B$10)+10*7),"■",""))</f>
        <v/>
      </c>
      <c r="X203">
        <f>IF(OR($D203="",$E203=""),"",IF(AND($D203&lt;=IF('Client &amp; Project Profile'!$B$10="",TODAY(),'Client &amp; Project Profile'!$B$10)+11*7+6,$E203&gt;=IF('Client &amp; Project Profile'!$B$10="",TODAY(),'Client &amp; Project Profile'!$B$10)+11*7),"■",""))</f>
        <v/>
      </c>
    </row>
    <row r="204">
      <c r="A204" s="12" t="n"/>
      <c r="B204" s="12" t="n"/>
      <c r="C204" s="12" t="n"/>
      <c r="D204" s="14" t="n"/>
      <c r="E204" s="14" t="n"/>
      <c r="F204" s="14" t="n"/>
      <c r="G204" s="12" t="n"/>
      <c r="H204" s="12" t="n"/>
      <c r="I204" s="12" t="n"/>
      <c r="J204" s="12" t="n"/>
      <c r="K204" s="12">
        <f>IF(OR($D204="",$E204=""),"",$E204-$D204+1)</f>
        <v/>
      </c>
      <c r="L204" s="12">
        <f>IF(AND($E204&lt;TODAY(),$G204&lt;&gt;"Complete"),TODAY()-$E204,0)</f>
        <v/>
      </c>
      <c r="M204" s="12">
        <f>IF(OR($D204="",$E204=""),"",IF(AND($D204&lt;=IF('Client &amp; Project Profile'!$B$10="",TODAY(),'Client &amp; Project Profile'!$B$10)+0*7+6,$E204&gt;=IF('Client &amp; Project Profile'!$B$10="",TODAY(),'Client &amp; Project Profile'!$B$10)+0*7),"■",""))</f>
        <v/>
      </c>
      <c r="N204" s="12">
        <f>IF(OR($D204="",$E204=""),"",IF(AND($D204&lt;=IF('Client &amp; Project Profile'!$B$10="",TODAY(),'Client &amp; Project Profile'!$B$10)+1*7+6,$E204&gt;=IF('Client &amp; Project Profile'!$B$10="",TODAY(),'Client &amp; Project Profile'!$B$10)+1*7),"■",""))</f>
        <v/>
      </c>
      <c r="O204" s="12">
        <f>IF(OR($D204="",$E204=""),"",IF(AND($D204&lt;=IF('Client &amp; Project Profile'!$B$10="",TODAY(),'Client &amp; Project Profile'!$B$10)+2*7+6,$E204&gt;=IF('Client &amp; Project Profile'!$B$10="",TODAY(),'Client &amp; Project Profile'!$B$10)+2*7),"■",""))</f>
        <v/>
      </c>
      <c r="P204" s="12">
        <f>IF(OR($D204="",$E204=""),"",IF(AND($D204&lt;=IF('Client &amp; Project Profile'!$B$10="",TODAY(),'Client &amp; Project Profile'!$B$10)+3*7+6,$E204&gt;=IF('Client &amp; Project Profile'!$B$10="",TODAY(),'Client &amp; Project Profile'!$B$10)+3*7),"■",""))</f>
        <v/>
      </c>
      <c r="Q204" s="12">
        <f>IF(OR($D204="",$E204=""),"",IF(AND($D204&lt;=IF('Client &amp; Project Profile'!$B$10="",TODAY(),'Client &amp; Project Profile'!$B$10)+4*7+6,$E204&gt;=IF('Client &amp; Project Profile'!$B$10="",TODAY(),'Client &amp; Project Profile'!$B$10)+4*7),"■",""))</f>
        <v/>
      </c>
      <c r="R204" s="12">
        <f>IF(OR($D204="",$E204=""),"",IF(AND($D204&lt;=IF('Client &amp; Project Profile'!$B$10="",TODAY(),'Client &amp; Project Profile'!$B$10)+5*7+6,$E204&gt;=IF('Client &amp; Project Profile'!$B$10="",TODAY(),'Client &amp; Project Profile'!$B$10)+5*7),"■",""))</f>
        <v/>
      </c>
      <c r="S204" s="12">
        <f>IF(OR($D204="",$E204=""),"",IF(AND($D204&lt;=IF('Client &amp; Project Profile'!$B$10="",TODAY(),'Client &amp; Project Profile'!$B$10)+6*7+6,$E204&gt;=IF('Client &amp; Project Profile'!$B$10="",TODAY(),'Client &amp; Project Profile'!$B$10)+6*7),"■",""))</f>
        <v/>
      </c>
      <c r="T204" s="12">
        <f>IF(OR($D204="",$E204=""),"",IF(AND($D204&lt;=IF('Client &amp; Project Profile'!$B$10="",TODAY(),'Client &amp; Project Profile'!$B$10)+7*7+6,$E204&gt;=IF('Client &amp; Project Profile'!$B$10="",TODAY(),'Client &amp; Project Profile'!$B$10)+7*7),"■",""))</f>
        <v/>
      </c>
      <c r="U204" s="12">
        <f>IF(OR($D204="",$E204=""),"",IF(AND($D204&lt;=IF('Client &amp; Project Profile'!$B$10="",TODAY(),'Client &amp; Project Profile'!$B$10)+8*7+6,$E204&gt;=IF('Client &amp; Project Profile'!$B$10="",TODAY(),'Client &amp; Project Profile'!$B$10)+8*7),"■",""))</f>
        <v/>
      </c>
      <c r="V204" s="12">
        <f>IF(OR($D204="",$E204=""),"",IF(AND($D204&lt;=IF('Client &amp; Project Profile'!$B$10="",TODAY(),'Client &amp; Project Profile'!$B$10)+9*7+6,$E204&gt;=IF('Client &amp; Project Profile'!$B$10="",TODAY(),'Client &amp; Project Profile'!$B$10)+9*7),"■",""))</f>
        <v/>
      </c>
      <c r="W204" s="12">
        <f>IF(OR($D204="",$E204=""),"",IF(AND($D204&lt;=IF('Client &amp; Project Profile'!$B$10="",TODAY(),'Client &amp; Project Profile'!$B$10)+10*7+6,$E204&gt;=IF('Client &amp; Project Profile'!$B$10="",TODAY(),'Client &amp; Project Profile'!$B$10)+10*7),"■",""))</f>
        <v/>
      </c>
      <c r="X204" s="12">
        <f>IF(OR($D204="",$E204=""),"",IF(AND($D204&lt;=IF('Client &amp; Project Profile'!$B$10="",TODAY(),'Client &amp; Project Profile'!$B$10)+11*7+6,$E204&gt;=IF('Client &amp; Project Profile'!$B$10="",TODAY(),'Client &amp; Project Profile'!$B$10)+11*7),"■",""))</f>
        <v/>
      </c>
    </row>
    <row r="205">
      <c r="D205" s="9" t="n"/>
      <c r="E205" s="9" t="n"/>
      <c r="F205" s="9" t="n"/>
      <c r="K205">
        <f>IF(OR($D205="",$E205=""),"",$E205-$D205+1)</f>
        <v/>
      </c>
      <c r="L205">
        <f>IF(AND($E205&lt;TODAY(),$G205&lt;&gt;"Complete"),TODAY()-$E205,0)</f>
        <v/>
      </c>
      <c r="M205">
        <f>IF(OR($D205="",$E205=""),"",IF(AND($D205&lt;=IF('Client &amp; Project Profile'!$B$10="",TODAY(),'Client &amp; Project Profile'!$B$10)+0*7+6,$E205&gt;=IF('Client &amp; Project Profile'!$B$10="",TODAY(),'Client &amp; Project Profile'!$B$10)+0*7),"■",""))</f>
        <v/>
      </c>
      <c r="N205">
        <f>IF(OR($D205="",$E205=""),"",IF(AND($D205&lt;=IF('Client &amp; Project Profile'!$B$10="",TODAY(),'Client &amp; Project Profile'!$B$10)+1*7+6,$E205&gt;=IF('Client &amp; Project Profile'!$B$10="",TODAY(),'Client &amp; Project Profile'!$B$10)+1*7),"■",""))</f>
        <v/>
      </c>
      <c r="O205">
        <f>IF(OR($D205="",$E205=""),"",IF(AND($D205&lt;=IF('Client &amp; Project Profile'!$B$10="",TODAY(),'Client &amp; Project Profile'!$B$10)+2*7+6,$E205&gt;=IF('Client &amp; Project Profile'!$B$10="",TODAY(),'Client &amp; Project Profile'!$B$10)+2*7),"■",""))</f>
        <v/>
      </c>
      <c r="P205">
        <f>IF(OR($D205="",$E205=""),"",IF(AND($D205&lt;=IF('Client &amp; Project Profile'!$B$10="",TODAY(),'Client &amp; Project Profile'!$B$10)+3*7+6,$E205&gt;=IF('Client &amp; Project Profile'!$B$10="",TODAY(),'Client &amp; Project Profile'!$B$10)+3*7),"■",""))</f>
        <v/>
      </c>
      <c r="Q205">
        <f>IF(OR($D205="",$E205=""),"",IF(AND($D205&lt;=IF('Client &amp; Project Profile'!$B$10="",TODAY(),'Client &amp; Project Profile'!$B$10)+4*7+6,$E205&gt;=IF('Client &amp; Project Profile'!$B$10="",TODAY(),'Client &amp; Project Profile'!$B$10)+4*7),"■",""))</f>
        <v/>
      </c>
      <c r="R205">
        <f>IF(OR($D205="",$E205=""),"",IF(AND($D205&lt;=IF('Client &amp; Project Profile'!$B$10="",TODAY(),'Client &amp; Project Profile'!$B$10)+5*7+6,$E205&gt;=IF('Client &amp; Project Profile'!$B$10="",TODAY(),'Client &amp; Project Profile'!$B$10)+5*7),"■",""))</f>
        <v/>
      </c>
      <c r="S205">
        <f>IF(OR($D205="",$E205=""),"",IF(AND($D205&lt;=IF('Client &amp; Project Profile'!$B$10="",TODAY(),'Client &amp; Project Profile'!$B$10)+6*7+6,$E205&gt;=IF('Client &amp; Project Profile'!$B$10="",TODAY(),'Client &amp; Project Profile'!$B$10)+6*7),"■",""))</f>
        <v/>
      </c>
      <c r="T205">
        <f>IF(OR($D205="",$E205=""),"",IF(AND($D205&lt;=IF('Client &amp; Project Profile'!$B$10="",TODAY(),'Client &amp; Project Profile'!$B$10)+7*7+6,$E205&gt;=IF('Client &amp; Project Profile'!$B$10="",TODAY(),'Client &amp; Project Profile'!$B$10)+7*7),"■",""))</f>
        <v/>
      </c>
      <c r="U205">
        <f>IF(OR($D205="",$E205=""),"",IF(AND($D205&lt;=IF('Client &amp; Project Profile'!$B$10="",TODAY(),'Client &amp; Project Profile'!$B$10)+8*7+6,$E205&gt;=IF('Client &amp; Project Profile'!$B$10="",TODAY(),'Client &amp; Project Profile'!$B$10)+8*7),"■",""))</f>
        <v/>
      </c>
      <c r="V205">
        <f>IF(OR($D205="",$E205=""),"",IF(AND($D205&lt;=IF('Client &amp; Project Profile'!$B$10="",TODAY(),'Client &amp; Project Profile'!$B$10)+9*7+6,$E205&gt;=IF('Client &amp; Project Profile'!$B$10="",TODAY(),'Client &amp; Project Profile'!$B$10)+9*7),"■",""))</f>
        <v/>
      </c>
      <c r="W205">
        <f>IF(OR($D205="",$E205=""),"",IF(AND($D205&lt;=IF('Client &amp; Project Profile'!$B$10="",TODAY(),'Client &amp; Project Profile'!$B$10)+10*7+6,$E205&gt;=IF('Client &amp; Project Profile'!$B$10="",TODAY(),'Client &amp; Project Profile'!$B$10)+10*7),"■",""))</f>
        <v/>
      </c>
      <c r="X205">
        <f>IF(OR($D205="",$E205=""),"",IF(AND($D205&lt;=IF('Client &amp; Project Profile'!$B$10="",TODAY(),'Client &amp; Project Profile'!$B$10)+11*7+6,$E205&gt;=IF('Client &amp; Project Profile'!$B$10="",TODAY(),'Client &amp; Project Profile'!$B$10)+11*7),"■",""))</f>
        <v/>
      </c>
    </row>
    <row r="206">
      <c r="A206" s="12" t="n"/>
      <c r="B206" s="12" t="n"/>
      <c r="C206" s="12" t="n"/>
      <c r="D206" s="14" t="n"/>
      <c r="E206" s="14" t="n"/>
      <c r="F206" s="14" t="n"/>
      <c r="G206" s="12" t="n"/>
      <c r="H206" s="12" t="n"/>
      <c r="I206" s="12" t="n"/>
      <c r="J206" s="12" t="n"/>
      <c r="K206" s="12">
        <f>IF(OR($D206="",$E206=""),"",$E206-$D206+1)</f>
        <v/>
      </c>
      <c r="L206" s="12">
        <f>IF(AND($E206&lt;TODAY(),$G206&lt;&gt;"Complete"),TODAY()-$E206,0)</f>
        <v/>
      </c>
      <c r="M206" s="12">
        <f>IF(OR($D206="",$E206=""),"",IF(AND($D206&lt;=IF('Client &amp; Project Profile'!$B$10="",TODAY(),'Client &amp; Project Profile'!$B$10)+0*7+6,$E206&gt;=IF('Client &amp; Project Profile'!$B$10="",TODAY(),'Client &amp; Project Profile'!$B$10)+0*7),"■",""))</f>
        <v/>
      </c>
      <c r="N206" s="12">
        <f>IF(OR($D206="",$E206=""),"",IF(AND($D206&lt;=IF('Client &amp; Project Profile'!$B$10="",TODAY(),'Client &amp; Project Profile'!$B$10)+1*7+6,$E206&gt;=IF('Client &amp; Project Profile'!$B$10="",TODAY(),'Client &amp; Project Profile'!$B$10)+1*7),"■",""))</f>
        <v/>
      </c>
      <c r="O206" s="12">
        <f>IF(OR($D206="",$E206=""),"",IF(AND($D206&lt;=IF('Client &amp; Project Profile'!$B$10="",TODAY(),'Client &amp; Project Profile'!$B$10)+2*7+6,$E206&gt;=IF('Client &amp; Project Profile'!$B$10="",TODAY(),'Client &amp; Project Profile'!$B$10)+2*7),"■",""))</f>
        <v/>
      </c>
      <c r="P206" s="12">
        <f>IF(OR($D206="",$E206=""),"",IF(AND($D206&lt;=IF('Client &amp; Project Profile'!$B$10="",TODAY(),'Client &amp; Project Profile'!$B$10)+3*7+6,$E206&gt;=IF('Client &amp; Project Profile'!$B$10="",TODAY(),'Client &amp; Project Profile'!$B$10)+3*7),"■",""))</f>
        <v/>
      </c>
      <c r="Q206" s="12">
        <f>IF(OR($D206="",$E206=""),"",IF(AND($D206&lt;=IF('Client &amp; Project Profile'!$B$10="",TODAY(),'Client &amp; Project Profile'!$B$10)+4*7+6,$E206&gt;=IF('Client &amp; Project Profile'!$B$10="",TODAY(),'Client &amp; Project Profile'!$B$10)+4*7),"■",""))</f>
        <v/>
      </c>
      <c r="R206" s="12">
        <f>IF(OR($D206="",$E206=""),"",IF(AND($D206&lt;=IF('Client &amp; Project Profile'!$B$10="",TODAY(),'Client &amp; Project Profile'!$B$10)+5*7+6,$E206&gt;=IF('Client &amp; Project Profile'!$B$10="",TODAY(),'Client &amp; Project Profile'!$B$10)+5*7),"■",""))</f>
        <v/>
      </c>
      <c r="S206" s="12">
        <f>IF(OR($D206="",$E206=""),"",IF(AND($D206&lt;=IF('Client &amp; Project Profile'!$B$10="",TODAY(),'Client &amp; Project Profile'!$B$10)+6*7+6,$E206&gt;=IF('Client &amp; Project Profile'!$B$10="",TODAY(),'Client &amp; Project Profile'!$B$10)+6*7),"■",""))</f>
        <v/>
      </c>
      <c r="T206" s="12">
        <f>IF(OR($D206="",$E206=""),"",IF(AND($D206&lt;=IF('Client &amp; Project Profile'!$B$10="",TODAY(),'Client &amp; Project Profile'!$B$10)+7*7+6,$E206&gt;=IF('Client &amp; Project Profile'!$B$10="",TODAY(),'Client &amp; Project Profile'!$B$10)+7*7),"■",""))</f>
        <v/>
      </c>
      <c r="U206" s="12">
        <f>IF(OR($D206="",$E206=""),"",IF(AND($D206&lt;=IF('Client &amp; Project Profile'!$B$10="",TODAY(),'Client &amp; Project Profile'!$B$10)+8*7+6,$E206&gt;=IF('Client &amp; Project Profile'!$B$10="",TODAY(),'Client &amp; Project Profile'!$B$10)+8*7),"■",""))</f>
        <v/>
      </c>
      <c r="V206" s="12">
        <f>IF(OR($D206="",$E206=""),"",IF(AND($D206&lt;=IF('Client &amp; Project Profile'!$B$10="",TODAY(),'Client &amp; Project Profile'!$B$10)+9*7+6,$E206&gt;=IF('Client &amp; Project Profile'!$B$10="",TODAY(),'Client &amp; Project Profile'!$B$10)+9*7),"■",""))</f>
        <v/>
      </c>
      <c r="W206" s="12">
        <f>IF(OR($D206="",$E206=""),"",IF(AND($D206&lt;=IF('Client &amp; Project Profile'!$B$10="",TODAY(),'Client &amp; Project Profile'!$B$10)+10*7+6,$E206&gt;=IF('Client &amp; Project Profile'!$B$10="",TODAY(),'Client &amp; Project Profile'!$B$10)+10*7),"■",""))</f>
        <v/>
      </c>
      <c r="X206" s="12">
        <f>IF(OR($D206="",$E206=""),"",IF(AND($D206&lt;=IF('Client &amp; Project Profile'!$B$10="",TODAY(),'Client &amp; Project Profile'!$B$10)+11*7+6,$E206&gt;=IF('Client &amp; Project Profile'!$B$10="",TODAY(),'Client &amp; Project Profile'!$B$10)+11*7),"■",""))</f>
        <v/>
      </c>
    </row>
    <row r="207">
      <c r="D207" s="9" t="n"/>
      <c r="E207" s="9" t="n"/>
      <c r="F207" s="9" t="n"/>
      <c r="K207">
        <f>IF(OR($D207="",$E207=""),"",$E207-$D207+1)</f>
        <v/>
      </c>
      <c r="L207">
        <f>IF(AND($E207&lt;TODAY(),$G207&lt;&gt;"Complete"),TODAY()-$E207,0)</f>
        <v/>
      </c>
      <c r="M207">
        <f>IF(OR($D207="",$E207=""),"",IF(AND($D207&lt;=IF('Client &amp; Project Profile'!$B$10="",TODAY(),'Client &amp; Project Profile'!$B$10)+0*7+6,$E207&gt;=IF('Client &amp; Project Profile'!$B$10="",TODAY(),'Client &amp; Project Profile'!$B$10)+0*7),"■",""))</f>
        <v/>
      </c>
      <c r="N207">
        <f>IF(OR($D207="",$E207=""),"",IF(AND($D207&lt;=IF('Client &amp; Project Profile'!$B$10="",TODAY(),'Client &amp; Project Profile'!$B$10)+1*7+6,$E207&gt;=IF('Client &amp; Project Profile'!$B$10="",TODAY(),'Client &amp; Project Profile'!$B$10)+1*7),"■",""))</f>
        <v/>
      </c>
      <c r="O207">
        <f>IF(OR($D207="",$E207=""),"",IF(AND($D207&lt;=IF('Client &amp; Project Profile'!$B$10="",TODAY(),'Client &amp; Project Profile'!$B$10)+2*7+6,$E207&gt;=IF('Client &amp; Project Profile'!$B$10="",TODAY(),'Client &amp; Project Profile'!$B$10)+2*7),"■",""))</f>
        <v/>
      </c>
      <c r="P207">
        <f>IF(OR($D207="",$E207=""),"",IF(AND($D207&lt;=IF('Client &amp; Project Profile'!$B$10="",TODAY(),'Client &amp; Project Profile'!$B$10)+3*7+6,$E207&gt;=IF('Client &amp; Project Profile'!$B$10="",TODAY(),'Client &amp; Project Profile'!$B$10)+3*7),"■",""))</f>
        <v/>
      </c>
      <c r="Q207">
        <f>IF(OR($D207="",$E207=""),"",IF(AND($D207&lt;=IF('Client &amp; Project Profile'!$B$10="",TODAY(),'Client &amp; Project Profile'!$B$10)+4*7+6,$E207&gt;=IF('Client &amp; Project Profile'!$B$10="",TODAY(),'Client &amp; Project Profile'!$B$10)+4*7),"■",""))</f>
        <v/>
      </c>
      <c r="R207">
        <f>IF(OR($D207="",$E207=""),"",IF(AND($D207&lt;=IF('Client &amp; Project Profile'!$B$10="",TODAY(),'Client &amp; Project Profile'!$B$10)+5*7+6,$E207&gt;=IF('Client &amp; Project Profile'!$B$10="",TODAY(),'Client &amp; Project Profile'!$B$10)+5*7),"■",""))</f>
        <v/>
      </c>
      <c r="S207">
        <f>IF(OR($D207="",$E207=""),"",IF(AND($D207&lt;=IF('Client &amp; Project Profile'!$B$10="",TODAY(),'Client &amp; Project Profile'!$B$10)+6*7+6,$E207&gt;=IF('Client &amp; Project Profile'!$B$10="",TODAY(),'Client &amp; Project Profile'!$B$10)+6*7),"■",""))</f>
        <v/>
      </c>
      <c r="T207">
        <f>IF(OR($D207="",$E207=""),"",IF(AND($D207&lt;=IF('Client &amp; Project Profile'!$B$10="",TODAY(),'Client &amp; Project Profile'!$B$10)+7*7+6,$E207&gt;=IF('Client &amp; Project Profile'!$B$10="",TODAY(),'Client &amp; Project Profile'!$B$10)+7*7),"■",""))</f>
        <v/>
      </c>
      <c r="U207">
        <f>IF(OR($D207="",$E207=""),"",IF(AND($D207&lt;=IF('Client &amp; Project Profile'!$B$10="",TODAY(),'Client &amp; Project Profile'!$B$10)+8*7+6,$E207&gt;=IF('Client &amp; Project Profile'!$B$10="",TODAY(),'Client &amp; Project Profile'!$B$10)+8*7),"■",""))</f>
        <v/>
      </c>
      <c r="V207">
        <f>IF(OR($D207="",$E207=""),"",IF(AND($D207&lt;=IF('Client &amp; Project Profile'!$B$10="",TODAY(),'Client &amp; Project Profile'!$B$10)+9*7+6,$E207&gt;=IF('Client &amp; Project Profile'!$B$10="",TODAY(),'Client &amp; Project Profile'!$B$10)+9*7),"■",""))</f>
        <v/>
      </c>
      <c r="W207">
        <f>IF(OR($D207="",$E207=""),"",IF(AND($D207&lt;=IF('Client &amp; Project Profile'!$B$10="",TODAY(),'Client &amp; Project Profile'!$B$10)+10*7+6,$E207&gt;=IF('Client &amp; Project Profile'!$B$10="",TODAY(),'Client &amp; Project Profile'!$B$10)+10*7),"■",""))</f>
        <v/>
      </c>
      <c r="X207">
        <f>IF(OR($D207="",$E207=""),"",IF(AND($D207&lt;=IF('Client &amp; Project Profile'!$B$10="",TODAY(),'Client &amp; Project Profile'!$B$10)+11*7+6,$E207&gt;=IF('Client &amp; Project Profile'!$B$10="",TODAY(),'Client &amp; Project Profile'!$B$10)+11*7),"■",""))</f>
        <v/>
      </c>
    </row>
    <row r="208">
      <c r="A208" s="12" t="n"/>
      <c r="B208" s="12" t="n"/>
      <c r="C208" s="12" t="n"/>
      <c r="D208" s="14" t="n"/>
      <c r="E208" s="14" t="n"/>
      <c r="F208" s="14" t="n"/>
      <c r="G208" s="12" t="n"/>
      <c r="H208" s="12" t="n"/>
      <c r="I208" s="12" t="n"/>
      <c r="J208" s="12" t="n"/>
      <c r="K208" s="12">
        <f>IF(OR($D208="",$E208=""),"",$E208-$D208+1)</f>
        <v/>
      </c>
      <c r="L208" s="12">
        <f>IF(AND($E208&lt;TODAY(),$G208&lt;&gt;"Complete"),TODAY()-$E208,0)</f>
        <v/>
      </c>
      <c r="M208" s="12">
        <f>IF(OR($D208="",$E208=""),"",IF(AND($D208&lt;=IF('Client &amp; Project Profile'!$B$10="",TODAY(),'Client &amp; Project Profile'!$B$10)+0*7+6,$E208&gt;=IF('Client &amp; Project Profile'!$B$10="",TODAY(),'Client &amp; Project Profile'!$B$10)+0*7),"■",""))</f>
        <v/>
      </c>
      <c r="N208" s="12">
        <f>IF(OR($D208="",$E208=""),"",IF(AND($D208&lt;=IF('Client &amp; Project Profile'!$B$10="",TODAY(),'Client &amp; Project Profile'!$B$10)+1*7+6,$E208&gt;=IF('Client &amp; Project Profile'!$B$10="",TODAY(),'Client &amp; Project Profile'!$B$10)+1*7),"■",""))</f>
        <v/>
      </c>
      <c r="O208" s="12">
        <f>IF(OR($D208="",$E208=""),"",IF(AND($D208&lt;=IF('Client &amp; Project Profile'!$B$10="",TODAY(),'Client &amp; Project Profile'!$B$10)+2*7+6,$E208&gt;=IF('Client &amp; Project Profile'!$B$10="",TODAY(),'Client &amp; Project Profile'!$B$10)+2*7),"■",""))</f>
        <v/>
      </c>
      <c r="P208" s="12">
        <f>IF(OR($D208="",$E208=""),"",IF(AND($D208&lt;=IF('Client &amp; Project Profile'!$B$10="",TODAY(),'Client &amp; Project Profile'!$B$10)+3*7+6,$E208&gt;=IF('Client &amp; Project Profile'!$B$10="",TODAY(),'Client &amp; Project Profile'!$B$10)+3*7),"■",""))</f>
        <v/>
      </c>
      <c r="Q208" s="12">
        <f>IF(OR($D208="",$E208=""),"",IF(AND($D208&lt;=IF('Client &amp; Project Profile'!$B$10="",TODAY(),'Client &amp; Project Profile'!$B$10)+4*7+6,$E208&gt;=IF('Client &amp; Project Profile'!$B$10="",TODAY(),'Client &amp; Project Profile'!$B$10)+4*7),"■",""))</f>
        <v/>
      </c>
      <c r="R208" s="12">
        <f>IF(OR($D208="",$E208=""),"",IF(AND($D208&lt;=IF('Client &amp; Project Profile'!$B$10="",TODAY(),'Client &amp; Project Profile'!$B$10)+5*7+6,$E208&gt;=IF('Client &amp; Project Profile'!$B$10="",TODAY(),'Client &amp; Project Profile'!$B$10)+5*7),"■",""))</f>
        <v/>
      </c>
      <c r="S208" s="12">
        <f>IF(OR($D208="",$E208=""),"",IF(AND($D208&lt;=IF('Client &amp; Project Profile'!$B$10="",TODAY(),'Client &amp; Project Profile'!$B$10)+6*7+6,$E208&gt;=IF('Client &amp; Project Profile'!$B$10="",TODAY(),'Client &amp; Project Profile'!$B$10)+6*7),"■",""))</f>
        <v/>
      </c>
      <c r="T208" s="12">
        <f>IF(OR($D208="",$E208=""),"",IF(AND($D208&lt;=IF('Client &amp; Project Profile'!$B$10="",TODAY(),'Client &amp; Project Profile'!$B$10)+7*7+6,$E208&gt;=IF('Client &amp; Project Profile'!$B$10="",TODAY(),'Client &amp; Project Profile'!$B$10)+7*7),"■",""))</f>
        <v/>
      </c>
      <c r="U208" s="12">
        <f>IF(OR($D208="",$E208=""),"",IF(AND($D208&lt;=IF('Client &amp; Project Profile'!$B$10="",TODAY(),'Client &amp; Project Profile'!$B$10)+8*7+6,$E208&gt;=IF('Client &amp; Project Profile'!$B$10="",TODAY(),'Client &amp; Project Profile'!$B$10)+8*7),"■",""))</f>
        <v/>
      </c>
      <c r="V208" s="12">
        <f>IF(OR($D208="",$E208=""),"",IF(AND($D208&lt;=IF('Client &amp; Project Profile'!$B$10="",TODAY(),'Client &amp; Project Profile'!$B$10)+9*7+6,$E208&gt;=IF('Client &amp; Project Profile'!$B$10="",TODAY(),'Client &amp; Project Profile'!$B$10)+9*7),"■",""))</f>
        <v/>
      </c>
      <c r="W208" s="12">
        <f>IF(OR($D208="",$E208=""),"",IF(AND($D208&lt;=IF('Client &amp; Project Profile'!$B$10="",TODAY(),'Client &amp; Project Profile'!$B$10)+10*7+6,$E208&gt;=IF('Client &amp; Project Profile'!$B$10="",TODAY(),'Client &amp; Project Profile'!$B$10)+10*7),"■",""))</f>
        <v/>
      </c>
      <c r="X208" s="12">
        <f>IF(OR($D208="",$E208=""),"",IF(AND($D208&lt;=IF('Client &amp; Project Profile'!$B$10="",TODAY(),'Client &amp; Project Profile'!$B$10)+11*7+6,$E208&gt;=IF('Client &amp; Project Profile'!$B$10="",TODAY(),'Client &amp; Project Profile'!$B$10)+11*7),"■",""))</f>
        <v/>
      </c>
    </row>
    <row r="209">
      <c r="D209" s="9" t="n"/>
      <c r="E209" s="9" t="n"/>
      <c r="F209" s="9" t="n"/>
      <c r="K209">
        <f>IF(OR($D209="",$E209=""),"",$E209-$D209+1)</f>
        <v/>
      </c>
      <c r="L209">
        <f>IF(AND($E209&lt;TODAY(),$G209&lt;&gt;"Complete"),TODAY()-$E209,0)</f>
        <v/>
      </c>
      <c r="M209">
        <f>IF(OR($D209="",$E209=""),"",IF(AND($D209&lt;=IF('Client &amp; Project Profile'!$B$10="",TODAY(),'Client &amp; Project Profile'!$B$10)+0*7+6,$E209&gt;=IF('Client &amp; Project Profile'!$B$10="",TODAY(),'Client &amp; Project Profile'!$B$10)+0*7),"■",""))</f>
        <v/>
      </c>
      <c r="N209">
        <f>IF(OR($D209="",$E209=""),"",IF(AND($D209&lt;=IF('Client &amp; Project Profile'!$B$10="",TODAY(),'Client &amp; Project Profile'!$B$10)+1*7+6,$E209&gt;=IF('Client &amp; Project Profile'!$B$10="",TODAY(),'Client &amp; Project Profile'!$B$10)+1*7),"■",""))</f>
        <v/>
      </c>
      <c r="O209">
        <f>IF(OR($D209="",$E209=""),"",IF(AND($D209&lt;=IF('Client &amp; Project Profile'!$B$10="",TODAY(),'Client &amp; Project Profile'!$B$10)+2*7+6,$E209&gt;=IF('Client &amp; Project Profile'!$B$10="",TODAY(),'Client &amp; Project Profile'!$B$10)+2*7),"■",""))</f>
        <v/>
      </c>
      <c r="P209">
        <f>IF(OR($D209="",$E209=""),"",IF(AND($D209&lt;=IF('Client &amp; Project Profile'!$B$10="",TODAY(),'Client &amp; Project Profile'!$B$10)+3*7+6,$E209&gt;=IF('Client &amp; Project Profile'!$B$10="",TODAY(),'Client &amp; Project Profile'!$B$10)+3*7),"■",""))</f>
        <v/>
      </c>
      <c r="Q209">
        <f>IF(OR($D209="",$E209=""),"",IF(AND($D209&lt;=IF('Client &amp; Project Profile'!$B$10="",TODAY(),'Client &amp; Project Profile'!$B$10)+4*7+6,$E209&gt;=IF('Client &amp; Project Profile'!$B$10="",TODAY(),'Client &amp; Project Profile'!$B$10)+4*7),"■",""))</f>
        <v/>
      </c>
      <c r="R209">
        <f>IF(OR($D209="",$E209=""),"",IF(AND($D209&lt;=IF('Client &amp; Project Profile'!$B$10="",TODAY(),'Client &amp; Project Profile'!$B$10)+5*7+6,$E209&gt;=IF('Client &amp; Project Profile'!$B$10="",TODAY(),'Client &amp; Project Profile'!$B$10)+5*7),"■",""))</f>
        <v/>
      </c>
      <c r="S209">
        <f>IF(OR($D209="",$E209=""),"",IF(AND($D209&lt;=IF('Client &amp; Project Profile'!$B$10="",TODAY(),'Client &amp; Project Profile'!$B$10)+6*7+6,$E209&gt;=IF('Client &amp; Project Profile'!$B$10="",TODAY(),'Client &amp; Project Profile'!$B$10)+6*7),"■",""))</f>
        <v/>
      </c>
      <c r="T209">
        <f>IF(OR($D209="",$E209=""),"",IF(AND($D209&lt;=IF('Client &amp; Project Profile'!$B$10="",TODAY(),'Client &amp; Project Profile'!$B$10)+7*7+6,$E209&gt;=IF('Client &amp; Project Profile'!$B$10="",TODAY(),'Client &amp; Project Profile'!$B$10)+7*7),"■",""))</f>
        <v/>
      </c>
      <c r="U209">
        <f>IF(OR($D209="",$E209=""),"",IF(AND($D209&lt;=IF('Client &amp; Project Profile'!$B$10="",TODAY(),'Client &amp; Project Profile'!$B$10)+8*7+6,$E209&gt;=IF('Client &amp; Project Profile'!$B$10="",TODAY(),'Client &amp; Project Profile'!$B$10)+8*7),"■",""))</f>
        <v/>
      </c>
      <c r="V209">
        <f>IF(OR($D209="",$E209=""),"",IF(AND($D209&lt;=IF('Client &amp; Project Profile'!$B$10="",TODAY(),'Client &amp; Project Profile'!$B$10)+9*7+6,$E209&gt;=IF('Client &amp; Project Profile'!$B$10="",TODAY(),'Client &amp; Project Profile'!$B$10)+9*7),"■",""))</f>
        <v/>
      </c>
      <c r="W209">
        <f>IF(OR($D209="",$E209=""),"",IF(AND($D209&lt;=IF('Client &amp; Project Profile'!$B$10="",TODAY(),'Client &amp; Project Profile'!$B$10)+10*7+6,$E209&gt;=IF('Client &amp; Project Profile'!$B$10="",TODAY(),'Client &amp; Project Profile'!$B$10)+10*7),"■",""))</f>
        <v/>
      </c>
      <c r="X209">
        <f>IF(OR($D209="",$E209=""),"",IF(AND($D209&lt;=IF('Client &amp; Project Profile'!$B$10="",TODAY(),'Client &amp; Project Profile'!$B$10)+11*7+6,$E209&gt;=IF('Client &amp; Project Profile'!$B$10="",TODAY(),'Client &amp; Project Profile'!$B$10)+11*7),"■",""))</f>
        <v/>
      </c>
    </row>
    <row r="210">
      <c r="A210" s="12" t="n"/>
      <c r="B210" s="12" t="n"/>
      <c r="C210" s="12" t="n"/>
      <c r="D210" s="14" t="n"/>
      <c r="E210" s="14" t="n"/>
      <c r="F210" s="14" t="n"/>
      <c r="G210" s="12" t="n"/>
      <c r="H210" s="12" t="n"/>
      <c r="I210" s="12" t="n"/>
      <c r="J210" s="12" t="n"/>
      <c r="K210" s="12">
        <f>IF(OR($D210="",$E210=""),"",$E210-$D210+1)</f>
        <v/>
      </c>
      <c r="L210" s="12">
        <f>IF(AND($E210&lt;TODAY(),$G210&lt;&gt;"Complete"),TODAY()-$E210,0)</f>
        <v/>
      </c>
      <c r="M210" s="12">
        <f>IF(OR($D210="",$E210=""),"",IF(AND($D210&lt;=IF('Client &amp; Project Profile'!$B$10="",TODAY(),'Client &amp; Project Profile'!$B$10)+0*7+6,$E210&gt;=IF('Client &amp; Project Profile'!$B$10="",TODAY(),'Client &amp; Project Profile'!$B$10)+0*7),"■",""))</f>
        <v/>
      </c>
      <c r="N210" s="12">
        <f>IF(OR($D210="",$E210=""),"",IF(AND($D210&lt;=IF('Client &amp; Project Profile'!$B$10="",TODAY(),'Client &amp; Project Profile'!$B$10)+1*7+6,$E210&gt;=IF('Client &amp; Project Profile'!$B$10="",TODAY(),'Client &amp; Project Profile'!$B$10)+1*7),"■",""))</f>
        <v/>
      </c>
      <c r="O210" s="12">
        <f>IF(OR($D210="",$E210=""),"",IF(AND($D210&lt;=IF('Client &amp; Project Profile'!$B$10="",TODAY(),'Client &amp; Project Profile'!$B$10)+2*7+6,$E210&gt;=IF('Client &amp; Project Profile'!$B$10="",TODAY(),'Client &amp; Project Profile'!$B$10)+2*7),"■",""))</f>
        <v/>
      </c>
      <c r="P210" s="12">
        <f>IF(OR($D210="",$E210=""),"",IF(AND($D210&lt;=IF('Client &amp; Project Profile'!$B$10="",TODAY(),'Client &amp; Project Profile'!$B$10)+3*7+6,$E210&gt;=IF('Client &amp; Project Profile'!$B$10="",TODAY(),'Client &amp; Project Profile'!$B$10)+3*7),"■",""))</f>
        <v/>
      </c>
      <c r="Q210" s="12">
        <f>IF(OR($D210="",$E210=""),"",IF(AND($D210&lt;=IF('Client &amp; Project Profile'!$B$10="",TODAY(),'Client &amp; Project Profile'!$B$10)+4*7+6,$E210&gt;=IF('Client &amp; Project Profile'!$B$10="",TODAY(),'Client &amp; Project Profile'!$B$10)+4*7),"■",""))</f>
        <v/>
      </c>
      <c r="R210" s="12">
        <f>IF(OR($D210="",$E210=""),"",IF(AND($D210&lt;=IF('Client &amp; Project Profile'!$B$10="",TODAY(),'Client &amp; Project Profile'!$B$10)+5*7+6,$E210&gt;=IF('Client &amp; Project Profile'!$B$10="",TODAY(),'Client &amp; Project Profile'!$B$10)+5*7),"■",""))</f>
        <v/>
      </c>
      <c r="S210" s="12">
        <f>IF(OR($D210="",$E210=""),"",IF(AND($D210&lt;=IF('Client &amp; Project Profile'!$B$10="",TODAY(),'Client &amp; Project Profile'!$B$10)+6*7+6,$E210&gt;=IF('Client &amp; Project Profile'!$B$10="",TODAY(),'Client &amp; Project Profile'!$B$10)+6*7),"■",""))</f>
        <v/>
      </c>
      <c r="T210" s="12">
        <f>IF(OR($D210="",$E210=""),"",IF(AND($D210&lt;=IF('Client &amp; Project Profile'!$B$10="",TODAY(),'Client &amp; Project Profile'!$B$10)+7*7+6,$E210&gt;=IF('Client &amp; Project Profile'!$B$10="",TODAY(),'Client &amp; Project Profile'!$B$10)+7*7),"■",""))</f>
        <v/>
      </c>
      <c r="U210" s="12">
        <f>IF(OR($D210="",$E210=""),"",IF(AND($D210&lt;=IF('Client &amp; Project Profile'!$B$10="",TODAY(),'Client &amp; Project Profile'!$B$10)+8*7+6,$E210&gt;=IF('Client &amp; Project Profile'!$B$10="",TODAY(),'Client &amp; Project Profile'!$B$10)+8*7),"■",""))</f>
        <v/>
      </c>
      <c r="V210" s="12">
        <f>IF(OR($D210="",$E210=""),"",IF(AND($D210&lt;=IF('Client &amp; Project Profile'!$B$10="",TODAY(),'Client &amp; Project Profile'!$B$10)+9*7+6,$E210&gt;=IF('Client &amp; Project Profile'!$B$10="",TODAY(),'Client &amp; Project Profile'!$B$10)+9*7),"■",""))</f>
        <v/>
      </c>
      <c r="W210" s="12">
        <f>IF(OR($D210="",$E210=""),"",IF(AND($D210&lt;=IF('Client &amp; Project Profile'!$B$10="",TODAY(),'Client &amp; Project Profile'!$B$10)+10*7+6,$E210&gt;=IF('Client &amp; Project Profile'!$B$10="",TODAY(),'Client &amp; Project Profile'!$B$10)+10*7),"■",""))</f>
        <v/>
      </c>
      <c r="X210" s="12">
        <f>IF(OR($D210="",$E210=""),"",IF(AND($D210&lt;=IF('Client &amp; Project Profile'!$B$10="",TODAY(),'Client &amp; Project Profile'!$B$10)+11*7+6,$E210&gt;=IF('Client &amp; Project Profile'!$B$10="",TODAY(),'Client &amp; Project Profile'!$B$10)+11*7),"■",""))</f>
        <v/>
      </c>
    </row>
    <row r="211">
      <c r="D211" s="9" t="n"/>
      <c r="E211" s="9" t="n"/>
      <c r="F211" s="9" t="n"/>
      <c r="K211">
        <f>IF(OR($D211="",$E211=""),"",$E211-$D211+1)</f>
        <v/>
      </c>
      <c r="L211">
        <f>IF(AND($E211&lt;TODAY(),$G211&lt;&gt;"Complete"),TODAY()-$E211,0)</f>
        <v/>
      </c>
      <c r="M211">
        <f>IF(OR($D211="",$E211=""),"",IF(AND($D211&lt;=IF('Client &amp; Project Profile'!$B$10="",TODAY(),'Client &amp; Project Profile'!$B$10)+0*7+6,$E211&gt;=IF('Client &amp; Project Profile'!$B$10="",TODAY(),'Client &amp; Project Profile'!$B$10)+0*7),"■",""))</f>
        <v/>
      </c>
      <c r="N211">
        <f>IF(OR($D211="",$E211=""),"",IF(AND($D211&lt;=IF('Client &amp; Project Profile'!$B$10="",TODAY(),'Client &amp; Project Profile'!$B$10)+1*7+6,$E211&gt;=IF('Client &amp; Project Profile'!$B$10="",TODAY(),'Client &amp; Project Profile'!$B$10)+1*7),"■",""))</f>
        <v/>
      </c>
      <c r="O211">
        <f>IF(OR($D211="",$E211=""),"",IF(AND($D211&lt;=IF('Client &amp; Project Profile'!$B$10="",TODAY(),'Client &amp; Project Profile'!$B$10)+2*7+6,$E211&gt;=IF('Client &amp; Project Profile'!$B$10="",TODAY(),'Client &amp; Project Profile'!$B$10)+2*7),"■",""))</f>
        <v/>
      </c>
      <c r="P211">
        <f>IF(OR($D211="",$E211=""),"",IF(AND($D211&lt;=IF('Client &amp; Project Profile'!$B$10="",TODAY(),'Client &amp; Project Profile'!$B$10)+3*7+6,$E211&gt;=IF('Client &amp; Project Profile'!$B$10="",TODAY(),'Client &amp; Project Profile'!$B$10)+3*7),"■",""))</f>
        <v/>
      </c>
      <c r="Q211">
        <f>IF(OR($D211="",$E211=""),"",IF(AND($D211&lt;=IF('Client &amp; Project Profile'!$B$10="",TODAY(),'Client &amp; Project Profile'!$B$10)+4*7+6,$E211&gt;=IF('Client &amp; Project Profile'!$B$10="",TODAY(),'Client &amp; Project Profile'!$B$10)+4*7),"■",""))</f>
        <v/>
      </c>
      <c r="R211">
        <f>IF(OR($D211="",$E211=""),"",IF(AND($D211&lt;=IF('Client &amp; Project Profile'!$B$10="",TODAY(),'Client &amp; Project Profile'!$B$10)+5*7+6,$E211&gt;=IF('Client &amp; Project Profile'!$B$10="",TODAY(),'Client &amp; Project Profile'!$B$10)+5*7),"■",""))</f>
        <v/>
      </c>
      <c r="S211">
        <f>IF(OR($D211="",$E211=""),"",IF(AND($D211&lt;=IF('Client &amp; Project Profile'!$B$10="",TODAY(),'Client &amp; Project Profile'!$B$10)+6*7+6,$E211&gt;=IF('Client &amp; Project Profile'!$B$10="",TODAY(),'Client &amp; Project Profile'!$B$10)+6*7),"■",""))</f>
        <v/>
      </c>
      <c r="T211">
        <f>IF(OR($D211="",$E211=""),"",IF(AND($D211&lt;=IF('Client &amp; Project Profile'!$B$10="",TODAY(),'Client &amp; Project Profile'!$B$10)+7*7+6,$E211&gt;=IF('Client &amp; Project Profile'!$B$10="",TODAY(),'Client &amp; Project Profile'!$B$10)+7*7),"■",""))</f>
        <v/>
      </c>
      <c r="U211">
        <f>IF(OR($D211="",$E211=""),"",IF(AND($D211&lt;=IF('Client &amp; Project Profile'!$B$10="",TODAY(),'Client &amp; Project Profile'!$B$10)+8*7+6,$E211&gt;=IF('Client &amp; Project Profile'!$B$10="",TODAY(),'Client &amp; Project Profile'!$B$10)+8*7),"■",""))</f>
        <v/>
      </c>
      <c r="V211">
        <f>IF(OR($D211="",$E211=""),"",IF(AND($D211&lt;=IF('Client &amp; Project Profile'!$B$10="",TODAY(),'Client &amp; Project Profile'!$B$10)+9*7+6,$E211&gt;=IF('Client &amp; Project Profile'!$B$10="",TODAY(),'Client &amp; Project Profile'!$B$10)+9*7),"■",""))</f>
        <v/>
      </c>
      <c r="W211">
        <f>IF(OR($D211="",$E211=""),"",IF(AND($D211&lt;=IF('Client &amp; Project Profile'!$B$10="",TODAY(),'Client &amp; Project Profile'!$B$10)+10*7+6,$E211&gt;=IF('Client &amp; Project Profile'!$B$10="",TODAY(),'Client &amp; Project Profile'!$B$10)+10*7),"■",""))</f>
        <v/>
      </c>
      <c r="X211">
        <f>IF(OR($D211="",$E211=""),"",IF(AND($D211&lt;=IF('Client &amp; Project Profile'!$B$10="",TODAY(),'Client &amp; Project Profile'!$B$10)+11*7+6,$E211&gt;=IF('Client &amp; Project Profile'!$B$10="",TODAY(),'Client &amp; Project Profile'!$B$10)+11*7),"■",""))</f>
        <v/>
      </c>
    </row>
    <row r="212">
      <c r="A212" s="12" t="n"/>
      <c r="B212" s="12" t="n"/>
      <c r="C212" s="12" t="n"/>
      <c r="D212" s="14" t="n"/>
      <c r="E212" s="14" t="n"/>
      <c r="F212" s="14" t="n"/>
      <c r="G212" s="12" t="n"/>
      <c r="H212" s="12" t="n"/>
      <c r="I212" s="12" t="n"/>
      <c r="J212" s="12" t="n"/>
      <c r="K212" s="12">
        <f>IF(OR($D212="",$E212=""),"",$E212-$D212+1)</f>
        <v/>
      </c>
      <c r="L212" s="12">
        <f>IF(AND($E212&lt;TODAY(),$G212&lt;&gt;"Complete"),TODAY()-$E212,0)</f>
        <v/>
      </c>
      <c r="M212" s="12">
        <f>IF(OR($D212="",$E212=""),"",IF(AND($D212&lt;=IF('Client &amp; Project Profile'!$B$10="",TODAY(),'Client &amp; Project Profile'!$B$10)+0*7+6,$E212&gt;=IF('Client &amp; Project Profile'!$B$10="",TODAY(),'Client &amp; Project Profile'!$B$10)+0*7),"■",""))</f>
        <v/>
      </c>
      <c r="N212" s="12">
        <f>IF(OR($D212="",$E212=""),"",IF(AND($D212&lt;=IF('Client &amp; Project Profile'!$B$10="",TODAY(),'Client &amp; Project Profile'!$B$10)+1*7+6,$E212&gt;=IF('Client &amp; Project Profile'!$B$10="",TODAY(),'Client &amp; Project Profile'!$B$10)+1*7),"■",""))</f>
        <v/>
      </c>
      <c r="O212" s="12">
        <f>IF(OR($D212="",$E212=""),"",IF(AND($D212&lt;=IF('Client &amp; Project Profile'!$B$10="",TODAY(),'Client &amp; Project Profile'!$B$10)+2*7+6,$E212&gt;=IF('Client &amp; Project Profile'!$B$10="",TODAY(),'Client &amp; Project Profile'!$B$10)+2*7),"■",""))</f>
        <v/>
      </c>
      <c r="P212" s="12">
        <f>IF(OR($D212="",$E212=""),"",IF(AND($D212&lt;=IF('Client &amp; Project Profile'!$B$10="",TODAY(),'Client &amp; Project Profile'!$B$10)+3*7+6,$E212&gt;=IF('Client &amp; Project Profile'!$B$10="",TODAY(),'Client &amp; Project Profile'!$B$10)+3*7),"■",""))</f>
        <v/>
      </c>
      <c r="Q212" s="12">
        <f>IF(OR($D212="",$E212=""),"",IF(AND($D212&lt;=IF('Client &amp; Project Profile'!$B$10="",TODAY(),'Client &amp; Project Profile'!$B$10)+4*7+6,$E212&gt;=IF('Client &amp; Project Profile'!$B$10="",TODAY(),'Client &amp; Project Profile'!$B$10)+4*7),"■",""))</f>
        <v/>
      </c>
      <c r="R212" s="12">
        <f>IF(OR($D212="",$E212=""),"",IF(AND($D212&lt;=IF('Client &amp; Project Profile'!$B$10="",TODAY(),'Client &amp; Project Profile'!$B$10)+5*7+6,$E212&gt;=IF('Client &amp; Project Profile'!$B$10="",TODAY(),'Client &amp; Project Profile'!$B$10)+5*7),"■",""))</f>
        <v/>
      </c>
      <c r="S212" s="12">
        <f>IF(OR($D212="",$E212=""),"",IF(AND($D212&lt;=IF('Client &amp; Project Profile'!$B$10="",TODAY(),'Client &amp; Project Profile'!$B$10)+6*7+6,$E212&gt;=IF('Client &amp; Project Profile'!$B$10="",TODAY(),'Client &amp; Project Profile'!$B$10)+6*7),"■",""))</f>
        <v/>
      </c>
      <c r="T212" s="12">
        <f>IF(OR($D212="",$E212=""),"",IF(AND($D212&lt;=IF('Client &amp; Project Profile'!$B$10="",TODAY(),'Client &amp; Project Profile'!$B$10)+7*7+6,$E212&gt;=IF('Client &amp; Project Profile'!$B$10="",TODAY(),'Client &amp; Project Profile'!$B$10)+7*7),"■",""))</f>
        <v/>
      </c>
      <c r="U212" s="12">
        <f>IF(OR($D212="",$E212=""),"",IF(AND($D212&lt;=IF('Client &amp; Project Profile'!$B$10="",TODAY(),'Client &amp; Project Profile'!$B$10)+8*7+6,$E212&gt;=IF('Client &amp; Project Profile'!$B$10="",TODAY(),'Client &amp; Project Profile'!$B$10)+8*7),"■",""))</f>
        <v/>
      </c>
      <c r="V212" s="12">
        <f>IF(OR($D212="",$E212=""),"",IF(AND($D212&lt;=IF('Client &amp; Project Profile'!$B$10="",TODAY(),'Client &amp; Project Profile'!$B$10)+9*7+6,$E212&gt;=IF('Client &amp; Project Profile'!$B$10="",TODAY(),'Client &amp; Project Profile'!$B$10)+9*7),"■",""))</f>
        <v/>
      </c>
      <c r="W212" s="12">
        <f>IF(OR($D212="",$E212=""),"",IF(AND($D212&lt;=IF('Client &amp; Project Profile'!$B$10="",TODAY(),'Client &amp; Project Profile'!$B$10)+10*7+6,$E212&gt;=IF('Client &amp; Project Profile'!$B$10="",TODAY(),'Client &amp; Project Profile'!$B$10)+10*7),"■",""))</f>
        <v/>
      </c>
      <c r="X212" s="12">
        <f>IF(OR($D212="",$E212=""),"",IF(AND($D212&lt;=IF('Client &amp; Project Profile'!$B$10="",TODAY(),'Client &amp; Project Profile'!$B$10)+11*7+6,$E212&gt;=IF('Client &amp; Project Profile'!$B$10="",TODAY(),'Client &amp; Project Profile'!$B$10)+11*7),"■",""))</f>
        <v/>
      </c>
    </row>
    <row r="213">
      <c r="D213" s="9" t="n"/>
      <c r="E213" s="9" t="n"/>
      <c r="F213" s="9" t="n"/>
      <c r="K213">
        <f>IF(OR($D213="",$E213=""),"",$E213-$D213+1)</f>
        <v/>
      </c>
      <c r="L213">
        <f>IF(AND($E213&lt;TODAY(),$G213&lt;&gt;"Complete"),TODAY()-$E213,0)</f>
        <v/>
      </c>
      <c r="M213">
        <f>IF(OR($D213="",$E213=""),"",IF(AND($D213&lt;=IF('Client &amp; Project Profile'!$B$10="",TODAY(),'Client &amp; Project Profile'!$B$10)+0*7+6,$E213&gt;=IF('Client &amp; Project Profile'!$B$10="",TODAY(),'Client &amp; Project Profile'!$B$10)+0*7),"■",""))</f>
        <v/>
      </c>
      <c r="N213">
        <f>IF(OR($D213="",$E213=""),"",IF(AND($D213&lt;=IF('Client &amp; Project Profile'!$B$10="",TODAY(),'Client &amp; Project Profile'!$B$10)+1*7+6,$E213&gt;=IF('Client &amp; Project Profile'!$B$10="",TODAY(),'Client &amp; Project Profile'!$B$10)+1*7),"■",""))</f>
        <v/>
      </c>
      <c r="O213">
        <f>IF(OR($D213="",$E213=""),"",IF(AND($D213&lt;=IF('Client &amp; Project Profile'!$B$10="",TODAY(),'Client &amp; Project Profile'!$B$10)+2*7+6,$E213&gt;=IF('Client &amp; Project Profile'!$B$10="",TODAY(),'Client &amp; Project Profile'!$B$10)+2*7),"■",""))</f>
        <v/>
      </c>
      <c r="P213">
        <f>IF(OR($D213="",$E213=""),"",IF(AND($D213&lt;=IF('Client &amp; Project Profile'!$B$10="",TODAY(),'Client &amp; Project Profile'!$B$10)+3*7+6,$E213&gt;=IF('Client &amp; Project Profile'!$B$10="",TODAY(),'Client &amp; Project Profile'!$B$10)+3*7),"■",""))</f>
        <v/>
      </c>
      <c r="Q213">
        <f>IF(OR($D213="",$E213=""),"",IF(AND($D213&lt;=IF('Client &amp; Project Profile'!$B$10="",TODAY(),'Client &amp; Project Profile'!$B$10)+4*7+6,$E213&gt;=IF('Client &amp; Project Profile'!$B$10="",TODAY(),'Client &amp; Project Profile'!$B$10)+4*7),"■",""))</f>
        <v/>
      </c>
      <c r="R213">
        <f>IF(OR($D213="",$E213=""),"",IF(AND($D213&lt;=IF('Client &amp; Project Profile'!$B$10="",TODAY(),'Client &amp; Project Profile'!$B$10)+5*7+6,$E213&gt;=IF('Client &amp; Project Profile'!$B$10="",TODAY(),'Client &amp; Project Profile'!$B$10)+5*7),"■",""))</f>
        <v/>
      </c>
      <c r="S213">
        <f>IF(OR($D213="",$E213=""),"",IF(AND($D213&lt;=IF('Client &amp; Project Profile'!$B$10="",TODAY(),'Client &amp; Project Profile'!$B$10)+6*7+6,$E213&gt;=IF('Client &amp; Project Profile'!$B$10="",TODAY(),'Client &amp; Project Profile'!$B$10)+6*7),"■",""))</f>
        <v/>
      </c>
      <c r="T213">
        <f>IF(OR($D213="",$E213=""),"",IF(AND($D213&lt;=IF('Client &amp; Project Profile'!$B$10="",TODAY(),'Client &amp; Project Profile'!$B$10)+7*7+6,$E213&gt;=IF('Client &amp; Project Profile'!$B$10="",TODAY(),'Client &amp; Project Profile'!$B$10)+7*7),"■",""))</f>
        <v/>
      </c>
      <c r="U213">
        <f>IF(OR($D213="",$E213=""),"",IF(AND($D213&lt;=IF('Client &amp; Project Profile'!$B$10="",TODAY(),'Client &amp; Project Profile'!$B$10)+8*7+6,$E213&gt;=IF('Client &amp; Project Profile'!$B$10="",TODAY(),'Client &amp; Project Profile'!$B$10)+8*7),"■",""))</f>
        <v/>
      </c>
      <c r="V213">
        <f>IF(OR($D213="",$E213=""),"",IF(AND($D213&lt;=IF('Client &amp; Project Profile'!$B$10="",TODAY(),'Client &amp; Project Profile'!$B$10)+9*7+6,$E213&gt;=IF('Client &amp; Project Profile'!$B$10="",TODAY(),'Client &amp; Project Profile'!$B$10)+9*7),"■",""))</f>
        <v/>
      </c>
      <c r="W213">
        <f>IF(OR($D213="",$E213=""),"",IF(AND($D213&lt;=IF('Client &amp; Project Profile'!$B$10="",TODAY(),'Client &amp; Project Profile'!$B$10)+10*7+6,$E213&gt;=IF('Client &amp; Project Profile'!$B$10="",TODAY(),'Client &amp; Project Profile'!$B$10)+10*7),"■",""))</f>
        <v/>
      </c>
      <c r="X213">
        <f>IF(OR($D213="",$E213=""),"",IF(AND($D213&lt;=IF('Client &amp; Project Profile'!$B$10="",TODAY(),'Client &amp; Project Profile'!$B$10)+11*7+6,$E213&gt;=IF('Client &amp; Project Profile'!$B$10="",TODAY(),'Client &amp; Project Profile'!$B$10)+11*7),"■",""))</f>
        <v/>
      </c>
    </row>
    <row r="214">
      <c r="A214" s="12" t="n"/>
      <c r="B214" s="12" t="n"/>
      <c r="C214" s="12" t="n"/>
      <c r="D214" s="14" t="n"/>
      <c r="E214" s="14" t="n"/>
      <c r="F214" s="14" t="n"/>
      <c r="G214" s="12" t="n"/>
      <c r="H214" s="12" t="n"/>
      <c r="I214" s="12" t="n"/>
      <c r="J214" s="12" t="n"/>
      <c r="K214" s="12">
        <f>IF(OR($D214="",$E214=""),"",$E214-$D214+1)</f>
        <v/>
      </c>
      <c r="L214" s="12">
        <f>IF(AND($E214&lt;TODAY(),$G214&lt;&gt;"Complete"),TODAY()-$E214,0)</f>
        <v/>
      </c>
      <c r="M214" s="12">
        <f>IF(OR($D214="",$E214=""),"",IF(AND($D214&lt;=IF('Client &amp; Project Profile'!$B$10="",TODAY(),'Client &amp; Project Profile'!$B$10)+0*7+6,$E214&gt;=IF('Client &amp; Project Profile'!$B$10="",TODAY(),'Client &amp; Project Profile'!$B$10)+0*7),"■",""))</f>
        <v/>
      </c>
      <c r="N214" s="12">
        <f>IF(OR($D214="",$E214=""),"",IF(AND($D214&lt;=IF('Client &amp; Project Profile'!$B$10="",TODAY(),'Client &amp; Project Profile'!$B$10)+1*7+6,$E214&gt;=IF('Client &amp; Project Profile'!$B$10="",TODAY(),'Client &amp; Project Profile'!$B$10)+1*7),"■",""))</f>
        <v/>
      </c>
      <c r="O214" s="12">
        <f>IF(OR($D214="",$E214=""),"",IF(AND($D214&lt;=IF('Client &amp; Project Profile'!$B$10="",TODAY(),'Client &amp; Project Profile'!$B$10)+2*7+6,$E214&gt;=IF('Client &amp; Project Profile'!$B$10="",TODAY(),'Client &amp; Project Profile'!$B$10)+2*7),"■",""))</f>
        <v/>
      </c>
      <c r="P214" s="12">
        <f>IF(OR($D214="",$E214=""),"",IF(AND($D214&lt;=IF('Client &amp; Project Profile'!$B$10="",TODAY(),'Client &amp; Project Profile'!$B$10)+3*7+6,$E214&gt;=IF('Client &amp; Project Profile'!$B$10="",TODAY(),'Client &amp; Project Profile'!$B$10)+3*7),"■",""))</f>
        <v/>
      </c>
      <c r="Q214" s="12">
        <f>IF(OR($D214="",$E214=""),"",IF(AND($D214&lt;=IF('Client &amp; Project Profile'!$B$10="",TODAY(),'Client &amp; Project Profile'!$B$10)+4*7+6,$E214&gt;=IF('Client &amp; Project Profile'!$B$10="",TODAY(),'Client &amp; Project Profile'!$B$10)+4*7),"■",""))</f>
        <v/>
      </c>
      <c r="R214" s="12">
        <f>IF(OR($D214="",$E214=""),"",IF(AND($D214&lt;=IF('Client &amp; Project Profile'!$B$10="",TODAY(),'Client &amp; Project Profile'!$B$10)+5*7+6,$E214&gt;=IF('Client &amp; Project Profile'!$B$10="",TODAY(),'Client &amp; Project Profile'!$B$10)+5*7),"■",""))</f>
        <v/>
      </c>
      <c r="S214" s="12">
        <f>IF(OR($D214="",$E214=""),"",IF(AND($D214&lt;=IF('Client &amp; Project Profile'!$B$10="",TODAY(),'Client &amp; Project Profile'!$B$10)+6*7+6,$E214&gt;=IF('Client &amp; Project Profile'!$B$10="",TODAY(),'Client &amp; Project Profile'!$B$10)+6*7),"■",""))</f>
        <v/>
      </c>
      <c r="T214" s="12">
        <f>IF(OR($D214="",$E214=""),"",IF(AND($D214&lt;=IF('Client &amp; Project Profile'!$B$10="",TODAY(),'Client &amp; Project Profile'!$B$10)+7*7+6,$E214&gt;=IF('Client &amp; Project Profile'!$B$10="",TODAY(),'Client &amp; Project Profile'!$B$10)+7*7),"■",""))</f>
        <v/>
      </c>
      <c r="U214" s="12">
        <f>IF(OR($D214="",$E214=""),"",IF(AND($D214&lt;=IF('Client &amp; Project Profile'!$B$10="",TODAY(),'Client &amp; Project Profile'!$B$10)+8*7+6,$E214&gt;=IF('Client &amp; Project Profile'!$B$10="",TODAY(),'Client &amp; Project Profile'!$B$10)+8*7),"■",""))</f>
        <v/>
      </c>
      <c r="V214" s="12">
        <f>IF(OR($D214="",$E214=""),"",IF(AND($D214&lt;=IF('Client &amp; Project Profile'!$B$10="",TODAY(),'Client &amp; Project Profile'!$B$10)+9*7+6,$E214&gt;=IF('Client &amp; Project Profile'!$B$10="",TODAY(),'Client &amp; Project Profile'!$B$10)+9*7),"■",""))</f>
        <v/>
      </c>
      <c r="W214" s="12">
        <f>IF(OR($D214="",$E214=""),"",IF(AND($D214&lt;=IF('Client &amp; Project Profile'!$B$10="",TODAY(),'Client &amp; Project Profile'!$B$10)+10*7+6,$E214&gt;=IF('Client &amp; Project Profile'!$B$10="",TODAY(),'Client &amp; Project Profile'!$B$10)+10*7),"■",""))</f>
        <v/>
      </c>
      <c r="X214" s="12">
        <f>IF(OR($D214="",$E214=""),"",IF(AND($D214&lt;=IF('Client &amp; Project Profile'!$B$10="",TODAY(),'Client &amp; Project Profile'!$B$10)+11*7+6,$E214&gt;=IF('Client &amp; Project Profile'!$B$10="",TODAY(),'Client &amp; Project Profile'!$B$10)+11*7),"■",""))</f>
        <v/>
      </c>
    </row>
    <row r="215">
      <c r="D215" s="9" t="n"/>
      <c r="E215" s="9" t="n"/>
      <c r="F215" s="9" t="n"/>
      <c r="K215">
        <f>IF(OR($D215="",$E215=""),"",$E215-$D215+1)</f>
        <v/>
      </c>
      <c r="L215">
        <f>IF(AND($E215&lt;TODAY(),$G215&lt;&gt;"Complete"),TODAY()-$E215,0)</f>
        <v/>
      </c>
      <c r="M215">
        <f>IF(OR($D215="",$E215=""),"",IF(AND($D215&lt;=IF('Client &amp; Project Profile'!$B$10="",TODAY(),'Client &amp; Project Profile'!$B$10)+0*7+6,$E215&gt;=IF('Client &amp; Project Profile'!$B$10="",TODAY(),'Client &amp; Project Profile'!$B$10)+0*7),"■",""))</f>
        <v/>
      </c>
      <c r="N215">
        <f>IF(OR($D215="",$E215=""),"",IF(AND($D215&lt;=IF('Client &amp; Project Profile'!$B$10="",TODAY(),'Client &amp; Project Profile'!$B$10)+1*7+6,$E215&gt;=IF('Client &amp; Project Profile'!$B$10="",TODAY(),'Client &amp; Project Profile'!$B$10)+1*7),"■",""))</f>
        <v/>
      </c>
      <c r="O215">
        <f>IF(OR($D215="",$E215=""),"",IF(AND($D215&lt;=IF('Client &amp; Project Profile'!$B$10="",TODAY(),'Client &amp; Project Profile'!$B$10)+2*7+6,$E215&gt;=IF('Client &amp; Project Profile'!$B$10="",TODAY(),'Client &amp; Project Profile'!$B$10)+2*7),"■",""))</f>
        <v/>
      </c>
      <c r="P215">
        <f>IF(OR($D215="",$E215=""),"",IF(AND($D215&lt;=IF('Client &amp; Project Profile'!$B$10="",TODAY(),'Client &amp; Project Profile'!$B$10)+3*7+6,$E215&gt;=IF('Client &amp; Project Profile'!$B$10="",TODAY(),'Client &amp; Project Profile'!$B$10)+3*7),"■",""))</f>
        <v/>
      </c>
      <c r="Q215">
        <f>IF(OR($D215="",$E215=""),"",IF(AND($D215&lt;=IF('Client &amp; Project Profile'!$B$10="",TODAY(),'Client &amp; Project Profile'!$B$10)+4*7+6,$E215&gt;=IF('Client &amp; Project Profile'!$B$10="",TODAY(),'Client &amp; Project Profile'!$B$10)+4*7),"■",""))</f>
        <v/>
      </c>
      <c r="R215">
        <f>IF(OR($D215="",$E215=""),"",IF(AND($D215&lt;=IF('Client &amp; Project Profile'!$B$10="",TODAY(),'Client &amp; Project Profile'!$B$10)+5*7+6,$E215&gt;=IF('Client &amp; Project Profile'!$B$10="",TODAY(),'Client &amp; Project Profile'!$B$10)+5*7),"■",""))</f>
        <v/>
      </c>
      <c r="S215">
        <f>IF(OR($D215="",$E215=""),"",IF(AND($D215&lt;=IF('Client &amp; Project Profile'!$B$10="",TODAY(),'Client &amp; Project Profile'!$B$10)+6*7+6,$E215&gt;=IF('Client &amp; Project Profile'!$B$10="",TODAY(),'Client &amp; Project Profile'!$B$10)+6*7),"■",""))</f>
        <v/>
      </c>
      <c r="T215">
        <f>IF(OR($D215="",$E215=""),"",IF(AND($D215&lt;=IF('Client &amp; Project Profile'!$B$10="",TODAY(),'Client &amp; Project Profile'!$B$10)+7*7+6,$E215&gt;=IF('Client &amp; Project Profile'!$B$10="",TODAY(),'Client &amp; Project Profile'!$B$10)+7*7),"■",""))</f>
        <v/>
      </c>
      <c r="U215">
        <f>IF(OR($D215="",$E215=""),"",IF(AND($D215&lt;=IF('Client &amp; Project Profile'!$B$10="",TODAY(),'Client &amp; Project Profile'!$B$10)+8*7+6,$E215&gt;=IF('Client &amp; Project Profile'!$B$10="",TODAY(),'Client &amp; Project Profile'!$B$10)+8*7),"■",""))</f>
        <v/>
      </c>
      <c r="V215">
        <f>IF(OR($D215="",$E215=""),"",IF(AND($D215&lt;=IF('Client &amp; Project Profile'!$B$10="",TODAY(),'Client &amp; Project Profile'!$B$10)+9*7+6,$E215&gt;=IF('Client &amp; Project Profile'!$B$10="",TODAY(),'Client &amp; Project Profile'!$B$10)+9*7),"■",""))</f>
        <v/>
      </c>
      <c r="W215">
        <f>IF(OR($D215="",$E215=""),"",IF(AND($D215&lt;=IF('Client &amp; Project Profile'!$B$10="",TODAY(),'Client &amp; Project Profile'!$B$10)+10*7+6,$E215&gt;=IF('Client &amp; Project Profile'!$B$10="",TODAY(),'Client &amp; Project Profile'!$B$10)+10*7),"■",""))</f>
        <v/>
      </c>
      <c r="X215">
        <f>IF(OR($D215="",$E215=""),"",IF(AND($D215&lt;=IF('Client &amp; Project Profile'!$B$10="",TODAY(),'Client &amp; Project Profile'!$B$10)+11*7+6,$E215&gt;=IF('Client &amp; Project Profile'!$B$10="",TODAY(),'Client &amp; Project Profile'!$B$10)+11*7),"■",""))</f>
        <v/>
      </c>
    </row>
    <row r="216">
      <c r="A216" s="12" t="n"/>
      <c r="B216" s="12" t="n"/>
      <c r="C216" s="12" t="n"/>
      <c r="D216" s="14" t="n"/>
      <c r="E216" s="14" t="n"/>
      <c r="F216" s="14" t="n"/>
      <c r="G216" s="12" t="n"/>
      <c r="H216" s="12" t="n"/>
      <c r="I216" s="12" t="n"/>
      <c r="J216" s="12" t="n"/>
      <c r="K216" s="12">
        <f>IF(OR($D216="",$E216=""),"",$E216-$D216+1)</f>
        <v/>
      </c>
      <c r="L216" s="12">
        <f>IF(AND($E216&lt;TODAY(),$G216&lt;&gt;"Complete"),TODAY()-$E216,0)</f>
        <v/>
      </c>
      <c r="M216" s="12">
        <f>IF(OR($D216="",$E216=""),"",IF(AND($D216&lt;=IF('Client &amp; Project Profile'!$B$10="",TODAY(),'Client &amp; Project Profile'!$B$10)+0*7+6,$E216&gt;=IF('Client &amp; Project Profile'!$B$10="",TODAY(),'Client &amp; Project Profile'!$B$10)+0*7),"■",""))</f>
        <v/>
      </c>
      <c r="N216" s="12">
        <f>IF(OR($D216="",$E216=""),"",IF(AND($D216&lt;=IF('Client &amp; Project Profile'!$B$10="",TODAY(),'Client &amp; Project Profile'!$B$10)+1*7+6,$E216&gt;=IF('Client &amp; Project Profile'!$B$10="",TODAY(),'Client &amp; Project Profile'!$B$10)+1*7),"■",""))</f>
        <v/>
      </c>
      <c r="O216" s="12">
        <f>IF(OR($D216="",$E216=""),"",IF(AND($D216&lt;=IF('Client &amp; Project Profile'!$B$10="",TODAY(),'Client &amp; Project Profile'!$B$10)+2*7+6,$E216&gt;=IF('Client &amp; Project Profile'!$B$10="",TODAY(),'Client &amp; Project Profile'!$B$10)+2*7),"■",""))</f>
        <v/>
      </c>
      <c r="P216" s="12">
        <f>IF(OR($D216="",$E216=""),"",IF(AND($D216&lt;=IF('Client &amp; Project Profile'!$B$10="",TODAY(),'Client &amp; Project Profile'!$B$10)+3*7+6,$E216&gt;=IF('Client &amp; Project Profile'!$B$10="",TODAY(),'Client &amp; Project Profile'!$B$10)+3*7),"■",""))</f>
        <v/>
      </c>
      <c r="Q216" s="12">
        <f>IF(OR($D216="",$E216=""),"",IF(AND($D216&lt;=IF('Client &amp; Project Profile'!$B$10="",TODAY(),'Client &amp; Project Profile'!$B$10)+4*7+6,$E216&gt;=IF('Client &amp; Project Profile'!$B$10="",TODAY(),'Client &amp; Project Profile'!$B$10)+4*7),"■",""))</f>
        <v/>
      </c>
      <c r="R216" s="12">
        <f>IF(OR($D216="",$E216=""),"",IF(AND($D216&lt;=IF('Client &amp; Project Profile'!$B$10="",TODAY(),'Client &amp; Project Profile'!$B$10)+5*7+6,$E216&gt;=IF('Client &amp; Project Profile'!$B$10="",TODAY(),'Client &amp; Project Profile'!$B$10)+5*7),"■",""))</f>
        <v/>
      </c>
      <c r="S216" s="12">
        <f>IF(OR($D216="",$E216=""),"",IF(AND($D216&lt;=IF('Client &amp; Project Profile'!$B$10="",TODAY(),'Client &amp; Project Profile'!$B$10)+6*7+6,$E216&gt;=IF('Client &amp; Project Profile'!$B$10="",TODAY(),'Client &amp; Project Profile'!$B$10)+6*7),"■",""))</f>
        <v/>
      </c>
      <c r="T216" s="12">
        <f>IF(OR($D216="",$E216=""),"",IF(AND($D216&lt;=IF('Client &amp; Project Profile'!$B$10="",TODAY(),'Client &amp; Project Profile'!$B$10)+7*7+6,$E216&gt;=IF('Client &amp; Project Profile'!$B$10="",TODAY(),'Client &amp; Project Profile'!$B$10)+7*7),"■",""))</f>
        <v/>
      </c>
      <c r="U216" s="12">
        <f>IF(OR($D216="",$E216=""),"",IF(AND($D216&lt;=IF('Client &amp; Project Profile'!$B$10="",TODAY(),'Client &amp; Project Profile'!$B$10)+8*7+6,$E216&gt;=IF('Client &amp; Project Profile'!$B$10="",TODAY(),'Client &amp; Project Profile'!$B$10)+8*7),"■",""))</f>
        <v/>
      </c>
      <c r="V216" s="12">
        <f>IF(OR($D216="",$E216=""),"",IF(AND($D216&lt;=IF('Client &amp; Project Profile'!$B$10="",TODAY(),'Client &amp; Project Profile'!$B$10)+9*7+6,$E216&gt;=IF('Client &amp; Project Profile'!$B$10="",TODAY(),'Client &amp; Project Profile'!$B$10)+9*7),"■",""))</f>
        <v/>
      </c>
      <c r="W216" s="12">
        <f>IF(OR($D216="",$E216=""),"",IF(AND($D216&lt;=IF('Client &amp; Project Profile'!$B$10="",TODAY(),'Client &amp; Project Profile'!$B$10)+10*7+6,$E216&gt;=IF('Client &amp; Project Profile'!$B$10="",TODAY(),'Client &amp; Project Profile'!$B$10)+10*7),"■",""))</f>
        <v/>
      </c>
      <c r="X216" s="12">
        <f>IF(OR($D216="",$E216=""),"",IF(AND($D216&lt;=IF('Client &amp; Project Profile'!$B$10="",TODAY(),'Client &amp; Project Profile'!$B$10)+11*7+6,$E216&gt;=IF('Client &amp; Project Profile'!$B$10="",TODAY(),'Client &amp; Project Profile'!$B$10)+11*7),"■",""))</f>
        <v/>
      </c>
    </row>
    <row r="217">
      <c r="D217" s="9" t="n"/>
      <c r="E217" s="9" t="n"/>
      <c r="F217" s="9" t="n"/>
      <c r="K217">
        <f>IF(OR($D217="",$E217=""),"",$E217-$D217+1)</f>
        <v/>
      </c>
      <c r="L217">
        <f>IF(AND($E217&lt;TODAY(),$G217&lt;&gt;"Complete"),TODAY()-$E217,0)</f>
        <v/>
      </c>
      <c r="M217">
        <f>IF(OR($D217="",$E217=""),"",IF(AND($D217&lt;=IF('Client &amp; Project Profile'!$B$10="",TODAY(),'Client &amp; Project Profile'!$B$10)+0*7+6,$E217&gt;=IF('Client &amp; Project Profile'!$B$10="",TODAY(),'Client &amp; Project Profile'!$B$10)+0*7),"■",""))</f>
        <v/>
      </c>
      <c r="N217">
        <f>IF(OR($D217="",$E217=""),"",IF(AND($D217&lt;=IF('Client &amp; Project Profile'!$B$10="",TODAY(),'Client &amp; Project Profile'!$B$10)+1*7+6,$E217&gt;=IF('Client &amp; Project Profile'!$B$10="",TODAY(),'Client &amp; Project Profile'!$B$10)+1*7),"■",""))</f>
        <v/>
      </c>
      <c r="O217">
        <f>IF(OR($D217="",$E217=""),"",IF(AND($D217&lt;=IF('Client &amp; Project Profile'!$B$10="",TODAY(),'Client &amp; Project Profile'!$B$10)+2*7+6,$E217&gt;=IF('Client &amp; Project Profile'!$B$10="",TODAY(),'Client &amp; Project Profile'!$B$10)+2*7),"■",""))</f>
        <v/>
      </c>
      <c r="P217">
        <f>IF(OR($D217="",$E217=""),"",IF(AND($D217&lt;=IF('Client &amp; Project Profile'!$B$10="",TODAY(),'Client &amp; Project Profile'!$B$10)+3*7+6,$E217&gt;=IF('Client &amp; Project Profile'!$B$10="",TODAY(),'Client &amp; Project Profile'!$B$10)+3*7),"■",""))</f>
        <v/>
      </c>
      <c r="Q217">
        <f>IF(OR($D217="",$E217=""),"",IF(AND($D217&lt;=IF('Client &amp; Project Profile'!$B$10="",TODAY(),'Client &amp; Project Profile'!$B$10)+4*7+6,$E217&gt;=IF('Client &amp; Project Profile'!$B$10="",TODAY(),'Client &amp; Project Profile'!$B$10)+4*7),"■",""))</f>
        <v/>
      </c>
      <c r="R217">
        <f>IF(OR($D217="",$E217=""),"",IF(AND($D217&lt;=IF('Client &amp; Project Profile'!$B$10="",TODAY(),'Client &amp; Project Profile'!$B$10)+5*7+6,$E217&gt;=IF('Client &amp; Project Profile'!$B$10="",TODAY(),'Client &amp; Project Profile'!$B$10)+5*7),"■",""))</f>
        <v/>
      </c>
      <c r="S217">
        <f>IF(OR($D217="",$E217=""),"",IF(AND($D217&lt;=IF('Client &amp; Project Profile'!$B$10="",TODAY(),'Client &amp; Project Profile'!$B$10)+6*7+6,$E217&gt;=IF('Client &amp; Project Profile'!$B$10="",TODAY(),'Client &amp; Project Profile'!$B$10)+6*7),"■",""))</f>
        <v/>
      </c>
      <c r="T217">
        <f>IF(OR($D217="",$E217=""),"",IF(AND($D217&lt;=IF('Client &amp; Project Profile'!$B$10="",TODAY(),'Client &amp; Project Profile'!$B$10)+7*7+6,$E217&gt;=IF('Client &amp; Project Profile'!$B$10="",TODAY(),'Client &amp; Project Profile'!$B$10)+7*7),"■",""))</f>
        <v/>
      </c>
      <c r="U217">
        <f>IF(OR($D217="",$E217=""),"",IF(AND($D217&lt;=IF('Client &amp; Project Profile'!$B$10="",TODAY(),'Client &amp; Project Profile'!$B$10)+8*7+6,$E217&gt;=IF('Client &amp; Project Profile'!$B$10="",TODAY(),'Client &amp; Project Profile'!$B$10)+8*7),"■",""))</f>
        <v/>
      </c>
      <c r="V217">
        <f>IF(OR($D217="",$E217=""),"",IF(AND($D217&lt;=IF('Client &amp; Project Profile'!$B$10="",TODAY(),'Client &amp; Project Profile'!$B$10)+9*7+6,$E217&gt;=IF('Client &amp; Project Profile'!$B$10="",TODAY(),'Client &amp; Project Profile'!$B$10)+9*7),"■",""))</f>
        <v/>
      </c>
      <c r="W217">
        <f>IF(OR($D217="",$E217=""),"",IF(AND($D217&lt;=IF('Client &amp; Project Profile'!$B$10="",TODAY(),'Client &amp; Project Profile'!$B$10)+10*7+6,$E217&gt;=IF('Client &amp; Project Profile'!$B$10="",TODAY(),'Client &amp; Project Profile'!$B$10)+10*7),"■",""))</f>
        <v/>
      </c>
      <c r="X217">
        <f>IF(OR($D217="",$E217=""),"",IF(AND($D217&lt;=IF('Client &amp; Project Profile'!$B$10="",TODAY(),'Client &amp; Project Profile'!$B$10)+11*7+6,$E217&gt;=IF('Client &amp; Project Profile'!$B$10="",TODAY(),'Client &amp; Project Profile'!$B$10)+11*7),"■",""))</f>
        <v/>
      </c>
    </row>
    <row r="218">
      <c r="A218" s="12" t="n"/>
      <c r="B218" s="12" t="n"/>
      <c r="C218" s="12" t="n"/>
      <c r="D218" s="14" t="n"/>
      <c r="E218" s="14" t="n"/>
      <c r="F218" s="14" t="n"/>
      <c r="G218" s="12" t="n"/>
      <c r="H218" s="12" t="n"/>
      <c r="I218" s="12" t="n"/>
      <c r="J218" s="12" t="n"/>
      <c r="K218" s="12">
        <f>IF(OR($D218="",$E218=""),"",$E218-$D218+1)</f>
        <v/>
      </c>
      <c r="L218" s="12">
        <f>IF(AND($E218&lt;TODAY(),$G218&lt;&gt;"Complete"),TODAY()-$E218,0)</f>
        <v/>
      </c>
      <c r="M218" s="12">
        <f>IF(OR($D218="",$E218=""),"",IF(AND($D218&lt;=IF('Client &amp; Project Profile'!$B$10="",TODAY(),'Client &amp; Project Profile'!$B$10)+0*7+6,$E218&gt;=IF('Client &amp; Project Profile'!$B$10="",TODAY(),'Client &amp; Project Profile'!$B$10)+0*7),"■",""))</f>
        <v/>
      </c>
      <c r="N218" s="12">
        <f>IF(OR($D218="",$E218=""),"",IF(AND($D218&lt;=IF('Client &amp; Project Profile'!$B$10="",TODAY(),'Client &amp; Project Profile'!$B$10)+1*7+6,$E218&gt;=IF('Client &amp; Project Profile'!$B$10="",TODAY(),'Client &amp; Project Profile'!$B$10)+1*7),"■",""))</f>
        <v/>
      </c>
      <c r="O218" s="12">
        <f>IF(OR($D218="",$E218=""),"",IF(AND($D218&lt;=IF('Client &amp; Project Profile'!$B$10="",TODAY(),'Client &amp; Project Profile'!$B$10)+2*7+6,$E218&gt;=IF('Client &amp; Project Profile'!$B$10="",TODAY(),'Client &amp; Project Profile'!$B$10)+2*7),"■",""))</f>
        <v/>
      </c>
      <c r="P218" s="12">
        <f>IF(OR($D218="",$E218=""),"",IF(AND($D218&lt;=IF('Client &amp; Project Profile'!$B$10="",TODAY(),'Client &amp; Project Profile'!$B$10)+3*7+6,$E218&gt;=IF('Client &amp; Project Profile'!$B$10="",TODAY(),'Client &amp; Project Profile'!$B$10)+3*7),"■",""))</f>
        <v/>
      </c>
      <c r="Q218" s="12">
        <f>IF(OR($D218="",$E218=""),"",IF(AND($D218&lt;=IF('Client &amp; Project Profile'!$B$10="",TODAY(),'Client &amp; Project Profile'!$B$10)+4*7+6,$E218&gt;=IF('Client &amp; Project Profile'!$B$10="",TODAY(),'Client &amp; Project Profile'!$B$10)+4*7),"■",""))</f>
        <v/>
      </c>
      <c r="R218" s="12">
        <f>IF(OR($D218="",$E218=""),"",IF(AND($D218&lt;=IF('Client &amp; Project Profile'!$B$10="",TODAY(),'Client &amp; Project Profile'!$B$10)+5*7+6,$E218&gt;=IF('Client &amp; Project Profile'!$B$10="",TODAY(),'Client &amp; Project Profile'!$B$10)+5*7),"■",""))</f>
        <v/>
      </c>
      <c r="S218" s="12">
        <f>IF(OR($D218="",$E218=""),"",IF(AND($D218&lt;=IF('Client &amp; Project Profile'!$B$10="",TODAY(),'Client &amp; Project Profile'!$B$10)+6*7+6,$E218&gt;=IF('Client &amp; Project Profile'!$B$10="",TODAY(),'Client &amp; Project Profile'!$B$10)+6*7),"■",""))</f>
        <v/>
      </c>
      <c r="T218" s="12">
        <f>IF(OR($D218="",$E218=""),"",IF(AND($D218&lt;=IF('Client &amp; Project Profile'!$B$10="",TODAY(),'Client &amp; Project Profile'!$B$10)+7*7+6,$E218&gt;=IF('Client &amp; Project Profile'!$B$10="",TODAY(),'Client &amp; Project Profile'!$B$10)+7*7),"■",""))</f>
        <v/>
      </c>
      <c r="U218" s="12">
        <f>IF(OR($D218="",$E218=""),"",IF(AND($D218&lt;=IF('Client &amp; Project Profile'!$B$10="",TODAY(),'Client &amp; Project Profile'!$B$10)+8*7+6,$E218&gt;=IF('Client &amp; Project Profile'!$B$10="",TODAY(),'Client &amp; Project Profile'!$B$10)+8*7),"■",""))</f>
        <v/>
      </c>
      <c r="V218" s="12">
        <f>IF(OR($D218="",$E218=""),"",IF(AND($D218&lt;=IF('Client &amp; Project Profile'!$B$10="",TODAY(),'Client &amp; Project Profile'!$B$10)+9*7+6,$E218&gt;=IF('Client &amp; Project Profile'!$B$10="",TODAY(),'Client &amp; Project Profile'!$B$10)+9*7),"■",""))</f>
        <v/>
      </c>
      <c r="W218" s="12">
        <f>IF(OR($D218="",$E218=""),"",IF(AND($D218&lt;=IF('Client &amp; Project Profile'!$B$10="",TODAY(),'Client &amp; Project Profile'!$B$10)+10*7+6,$E218&gt;=IF('Client &amp; Project Profile'!$B$10="",TODAY(),'Client &amp; Project Profile'!$B$10)+10*7),"■",""))</f>
        <v/>
      </c>
      <c r="X218" s="12">
        <f>IF(OR($D218="",$E218=""),"",IF(AND($D218&lt;=IF('Client &amp; Project Profile'!$B$10="",TODAY(),'Client &amp; Project Profile'!$B$10)+11*7+6,$E218&gt;=IF('Client &amp; Project Profile'!$B$10="",TODAY(),'Client &amp; Project Profile'!$B$10)+11*7),"■",""))</f>
        <v/>
      </c>
    </row>
    <row r="219">
      <c r="D219" s="9" t="n"/>
      <c r="E219" s="9" t="n"/>
      <c r="F219" s="9" t="n"/>
      <c r="K219">
        <f>IF(OR($D219="",$E219=""),"",$E219-$D219+1)</f>
        <v/>
      </c>
      <c r="L219">
        <f>IF(AND($E219&lt;TODAY(),$G219&lt;&gt;"Complete"),TODAY()-$E219,0)</f>
        <v/>
      </c>
      <c r="M219">
        <f>IF(OR($D219="",$E219=""),"",IF(AND($D219&lt;=IF('Client &amp; Project Profile'!$B$10="",TODAY(),'Client &amp; Project Profile'!$B$10)+0*7+6,$E219&gt;=IF('Client &amp; Project Profile'!$B$10="",TODAY(),'Client &amp; Project Profile'!$B$10)+0*7),"■",""))</f>
        <v/>
      </c>
      <c r="N219">
        <f>IF(OR($D219="",$E219=""),"",IF(AND($D219&lt;=IF('Client &amp; Project Profile'!$B$10="",TODAY(),'Client &amp; Project Profile'!$B$10)+1*7+6,$E219&gt;=IF('Client &amp; Project Profile'!$B$10="",TODAY(),'Client &amp; Project Profile'!$B$10)+1*7),"■",""))</f>
        <v/>
      </c>
      <c r="O219">
        <f>IF(OR($D219="",$E219=""),"",IF(AND($D219&lt;=IF('Client &amp; Project Profile'!$B$10="",TODAY(),'Client &amp; Project Profile'!$B$10)+2*7+6,$E219&gt;=IF('Client &amp; Project Profile'!$B$10="",TODAY(),'Client &amp; Project Profile'!$B$10)+2*7),"■",""))</f>
        <v/>
      </c>
      <c r="P219">
        <f>IF(OR($D219="",$E219=""),"",IF(AND($D219&lt;=IF('Client &amp; Project Profile'!$B$10="",TODAY(),'Client &amp; Project Profile'!$B$10)+3*7+6,$E219&gt;=IF('Client &amp; Project Profile'!$B$10="",TODAY(),'Client &amp; Project Profile'!$B$10)+3*7),"■",""))</f>
        <v/>
      </c>
      <c r="Q219">
        <f>IF(OR($D219="",$E219=""),"",IF(AND($D219&lt;=IF('Client &amp; Project Profile'!$B$10="",TODAY(),'Client &amp; Project Profile'!$B$10)+4*7+6,$E219&gt;=IF('Client &amp; Project Profile'!$B$10="",TODAY(),'Client &amp; Project Profile'!$B$10)+4*7),"■",""))</f>
        <v/>
      </c>
      <c r="R219">
        <f>IF(OR($D219="",$E219=""),"",IF(AND($D219&lt;=IF('Client &amp; Project Profile'!$B$10="",TODAY(),'Client &amp; Project Profile'!$B$10)+5*7+6,$E219&gt;=IF('Client &amp; Project Profile'!$B$10="",TODAY(),'Client &amp; Project Profile'!$B$10)+5*7),"■",""))</f>
        <v/>
      </c>
      <c r="S219">
        <f>IF(OR($D219="",$E219=""),"",IF(AND($D219&lt;=IF('Client &amp; Project Profile'!$B$10="",TODAY(),'Client &amp; Project Profile'!$B$10)+6*7+6,$E219&gt;=IF('Client &amp; Project Profile'!$B$10="",TODAY(),'Client &amp; Project Profile'!$B$10)+6*7),"■",""))</f>
        <v/>
      </c>
      <c r="T219">
        <f>IF(OR($D219="",$E219=""),"",IF(AND($D219&lt;=IF('Client &amp; Project Profile'!$B$10="",TODAY(),'Client &amp; Project Profile'!$B$10)+7*7+6,$E219&gt;=IF('Client &amp; Project Profile'!$B$10="",TODAY(),'Client &amp; Project Profile'!$B$10)+7*7),"■",""))</f>
        <v/>
      </c>
      <c r="U219">
        <f>IF(OR($D219="",$E219=""),"",IF(AND($D219&lt;=IF('Client &amp; Project Profile'!$B$10="",TODAY(),'Client &amp; Project Profile'!$B$10)+8*7+6,$E219&gt;=IF('Client &amp; Project Profile'!$B$10="",TODAY(),'Client &amp; Project Profile'!$B$10)+8*7),"■",""))</f>
        <v/>
      </c>
      <c r="V219">
        <f>IF(OR($D219="",$E219=""),"",IF(AND($D219&lt;=IF('Client &amp; Project Profile'!$B$10="",TODAY(),'Client &amp; Project Profile'!$B$10)+9*7+6,$E219&gt;=IF('Client &amp; Project Profile'!$B$10="",TODAY(),'Client &amp; Project Profile'!$B$10)+9*7),"■",""))</f>
        <v/>
      </c>
      <c r="W219">
        <f>IF(OR($D219="",$E219=""),"",IF(AND($D219&lt;=IF('Client &amp; Project Profile'!$B$10="",TODAY(),'Client &amp; Project Profile'!$B$10)+10*7+6,$E219&gt;=IF('Client &amp; Project Profile'!$B$10="",TODAY(),'Client &amp; Project Profile'!$B$10)+10*7),"■",""))</f>
        <v/>
      </c>
      <c r="X219">
        <f>IF(OR($D219="",$E219=""),"",IF(AND($D219&lt;=IF('Client &amp; Project Profile'!$B$10="",TODAY(),'Client &amp; Project Profile'!$B$10)+11*7+6,$E219&gt;=IF('Client &amp; Project Profile'!$B$10="",TODAY(),'Client &amp; Project Profile'!$B$10)+11*7),"■",""))</f>
        <v/>
      </c>
    </row>
    <row r="220">
      <c r="A220" s="12" t="n"/>
      <c r="B220" s="12" t="n"/>
      <c r="C220" s="12" t="n"/>
      <c r="D220" s="14" t="n"/>
      <c r="E220" s="14" t="n"/>
      <c r="F220" s="14" t="n"/>
      <c r="G220" s="12" t="n"/>
      <c r="H220" s="12" t="n"/>
      <c r="I220" s="12" t="n"/>
      <c r="J220" s="12" t="n"/>
      <c r="K220" s="12">
        <f>IF(OR($D220="",$E220=""),"",$E220-$D220+1)</f>
        <v/>
      </c>
      <c r="L220" s="12">
        <f>IF(AND($E220&lt;TODAY(),$G220&lt;&gt;"Complete"),TODAY()-$E220,0)</f>
        <v/>
      </c>
      <c r="M220" s="12">
        <f>IF(OR($D220="",$E220=""),"",IF(AND($D220&lt;=IF('Client &amp; Project Profile'!$B$10="",TODAY(),'Client &amp; Project Profile'!$B$10)+0*7+6,$E220&gt;=IF('Client &amp; Project Profile'!$B$10="",TODAY(),'Client &amp; Project Profile'!$B$10)+0*7),"■",""))</f>
        <v/>
      </c>
      <c r="N220" s="12">
        <f>IF(OR($D220="",$E220=""),"",IF(AND($D220&lt;=IF('Client &amp; Project Profile'!$B$10="",TODAY(),'Client &amp; Project Profile'!$B$10)+1*7+6,$E220&gt;=IF('Client &amp; Project Profile'!$B$10="",TODAY(),'Client &amp; Project Profile'!$B$10)+1*7),"■",""))</f>
        <v/>
      </c>
      <c r="O220" s="12">
        <f>IF(OR($D220="",$E220=""),"",IF(AND($D220&lt;=IF('Client &amp; Project Profile'!$B$10="",TODAY(),'Client &amp; Project Profile'!$B$10)+2*7+6,$E220&gt;=IF('Client &amp; Project Profile'!$B$10="",TODAY(),'Client &amp; Project Profile'!$B$10)+2*7),"■",""))</f>
        <v/>
      </c>
      <c r="P220" s="12">
        <f>IF(OR($D220="",$E220=""),"",IF(AND($D220&lt;=IF('Client &amp; Project Profile'!$B$10="",TODAY(),'Client &amp; Project Profile'!$B$10)+3*7+6,$E220&gt;=IF('Client &amp; Project Profile'!$B$10="",TODAY(),'Client &amp; Project Profile'!$B$10)+3*7),"■",""))</f>
        <v/>
      </c>
      <c r="Q220" s="12">
        <f>IF(OR($D220="",$E220=""),"",IF(AND($D220&lt;=IF('Client &amp; Project Profile'!$B$10="",TODAY(),'Client &amp; Project Profile'!$B$10)+4*7+6,$E220&gt;=IF('Client &amp; Project Profile'!$B$10="",TODAY(),'Client &amp; Project Profile'!$B$10)+4*7),"■",""))</f>
        <v/>
      </c>
      <c r="R220" s="12">
        <f>IF(OR($D220="",$E220=""),"",IF(AND($D220&lt;=IF('Client &amp; Project Profile'!$B$10="",TODAY(),'Client &amp; Project Profile'!$B$10)+5*7+6,$E220&gt;=IF('Client &amp; Project Profile'!$B$10="",TODAY(),'Client &amp; Project Profile'!$B$10)+5*7),"■",""))</f>
        <v/>
      </c>
      <c r="S220" s="12">
        <f>IF(OR($D220="",$E220=""),"",IF(AND($D220&lt;=IF('Client &amp; Project Profile'!$B$10="",TODAY(),'Client &amp; Project Profile'!$B$10)+6*7+6,$E220&gt;=IF('Client &amp; Project Profile'!$B$10="",TODAY(),'Client &amp; Project Profile'!$B$10)+6*7),"■",""))</f>
        <v/>
      </c>
      <c r="T220" s="12">
        <f>IF(OR($D220="",$E220=""),"",IF(AND($D220&lt;=IF('Client &amp; Project Profile'!$B$10="",TODAY(),'Client &amp; Project Profile'!$B$10)+7*7+6,$E220&gt;=IF('Client &amp; Project Profile'!$B$10="",TODAY(),'Client &amp; Project Profile'!$B$10)+7*7),"■",""))</f>
        <v/>
      </c>
      <c r="U220" s="12">
        <f>IF(OR($D220="",$E220=""),"",IF(AND($D220&lt;=IF('Client &amp; Project Profile'!$B$10="",TODAY(),'Client &amp; Project Profile'!$B$10)+8*7+6,$E220&gt;=IF('Client &amp; Project Profile'!$B$10="",TODAY(),'Client &amp; Project Profile'!$B$10)+8*7),"■",""))</f>
        <v/>
      </c>
      <c r="V220" s="12">
        <f>IF(OR($D220="",$E220=""),"",IF(AND($D220&lt;=IF('Client &amp; Project Profile'!$B$10="",TODAY(),'Client &amp; Project Profile'!$B$10)+9*7+6,$E220&gt;=IF('Client &amp; Project Profile'!$B$10="",TODAY(),'Client &amp; Project Profile'!$B$10)+9*7),"■",""))</f>
        <v/>
      </c>
      <c r="W220" s="12">
        <f>IF(OR($D220="",$E220=""),"",IF(AND($D220&lt;=IF('Client &amp; Project Profile'!$B$10="",TODAY(),'Client &amp; Project Profile'!$B$10)+10*7+6,$E220&gt;=IF('Client &amp; Project Profile'!$B$10="",TODAY(),'Client &amp; Project Profile'!$B$10)+10*7),"■",""))</f>
        <v/>
      </c>
      <c r="X220" s="12">
        <f>IF(OR($D220="",$E220=""),"",IF(AND($D220&lt;=IF('Client &amp; Project Profile'!$B$10="",TODAY(),'Client &amp; Project Profile'!$B$10)+11*7+6,$E220&gt;=IF('Client &amp; Project Profile'!$B$10="",TODAY(),'Client &amp; Project Profile'!$B$10)+11*7),"■",""))</f>
        <v/>
      </c>
    </row>
    <row r="221">
      <c r="D221" s="9" t="n"/>
      <c r="E221" s="9" t="n"/>
      <c r="F221" s="9" t="n"/>
      <c r="K221">
        <f>IF(OR($D221="",$E221=""),"",$E221-$D221+1)</f>
        <v/>
      </c>
      <c r="L221">
        <f>IF(AND($E221&lt;TODAY(),$G221&lt;&gt;"Complete"),TODAY()-$E221,0)</f>
        <v/>
      </c>
      <c r="M221">
        <f>IF(OR($D221="",$E221=""),"",IF(AND($D221&lt;=IF('Client &amp; Project Profile'!$B$10="",TODAY(),'Client &amp; Project Profile'!$B$10)+0*7+6,$E221&gt;=IF('Client &amp; Project Profile'!$B$10="",TODAY(),'Client &amp; Project Profile'!$B$10)+0*7),"■",""))</f>
        <v/>
      </c>
      <c r="N221">
        <f>IF(OR($D221="",$E221=""),"",IF(AND($D221&lt;=IF('Client &amp; Project Profile'!$B$10="",TODAY(),'Client &amp; Project Profile'!$B$10)+1*7+6,$E221&gt;=IF('Client &amp; Project Profile'!$B$10="",TODAY(),'Client &amp; Project Profile'!$B$10)+1*7),"■",""))</f>
        <v/>
      </c>
      <c r="O221">
        <f>IF(OR($D221="",$E221=""),"",IF(AND($D221&lt;=IF('Client &amp; Project Profile'!$B$10="",TODAY(),'Client &amp; Project Profile'!$B$10)+2*7+6,$E221&gt;=IF('Client &amp; Project Profile'!$B$10="",TODAY(),'Client &amp; Project Profile'!$B$10)+2*7),"■",""))</f>
        <v/>
      </c>
      <c r="P221">
        <f>IF(OR($D221="",$E221=""),"",IF(AND($D221&lt;=IF('Client &amp; Project Profile'!$B$10="",TODAY(),'Client &amp; Project Profile'!$B$10)+3*7+6,$E221&gt;=IF('Client &amp; Project Profile'!$B$10="",TODAY(),'Client &amp; Project Profile'!$B$10)+3*7),"■",""))</f>
        <v/>
      </c>
      <c r="Q221">
        <f>IF(OR($D221="",$E221=""),"",IF(AND($D221&lt;=IF('Client &amp; Project Profile'!$B$10="",TODAY(),'Client &amp; Project Profile'!$B$10)+4*7+6,$E221&gt;=IF('Client &amp; Project Profile'!$B$10="",TODAY(),'Client &amp; Project Profile'!$B$10)+4*7),"■",""))</f>
        <v/>
      </c>
      <c r="R221">
        <f>IF(OR($D221="",$E221=""),"",IF(AND($D221&lt;=IF('Client &amp; Project Profile'!$B$10="",TODAY(),'Client &amp; Project Profile'!$B$10)+5*7+6,$E221&gt;=IF('Client &amp; Project Profile'!$B$10="",TODAY(),'Client &amp; Project Profile'!$B$10)+5*7),"■",""))</f>
        <v/>
      </c>
      <c r="S221">
        <f>IF(OR($D221="",$E221=""),"",IF(AND($D221&lt;=IF('Client &amp; Project Profile'!$B$10="",TODAY(),'Client &amp; Project Profile'!$B$10)+6*7+6,$E221&gt;=IF('Client &amp; Project Profile'!$B$10="",TODAY(),'Client &amp; Project Profile'!$B$10)+6*7),"■",""))</f>
        <v/>
      </c>
      <c r="T221">
        <f>IF(OR($D221="",$E221=""),"",IF(AND($D221&lt;=IF('Client &amp; Project Profile'!$B$10="",TODAY(),'Client &amp; Project Profile'!$B$10)+7*7+6,$E221&gt;=IF('Client &amp; Project Profile'!$B$10="",TODAY(),'Client &amp; Project Profile'!$B$10)+7*7),"■",""))</f>
        <v/>
      </c>
      <c r="U221">
        <f>IF(OR($D221="",$E221=""),"",IF(AND($D221&lt;=IF('Client &amp; Project Profile'!$B$10="",TODAY(),'Client &amp; Project Profile'!$B$10)+8*7+6,$E221&gt;=IF('Client &amp; Project Profile'!$B$10="",TODAY(),'Client &amp; Project Profile'!$B$10)+8*7),"■",""))</f>
        <v/>
      </c>
      <c r="V221">
        <f>IF(OR($D221="",$E221=""),"",IF(AND($D221&lt;=IF('Client &amp; Project Profile'!$B$10="",TODAY(),'Client &amp; Project Profile'!$B$10)+9*7+6,$E221&gt;=IF('Client &amp; Project Profile'!$B$10="",TODAY(),'Client &amp; Project Profile'!$B$10)+9*7),"■",""))</f>
        <v/>
      </c>
      <c r="W221">
        <f>IF(OR($D221="",$E221=""),"",IF(AND($D221&lt;=IF('Client &amp; Project Profile'!$B$10="",TODAY(),'Client &amp; Project Profile'!$B$10)+10*7+6,$E221&gt;=IF('Client &amp; Project Profile'!$B$10="",TODAY(),'Client &amp; Project Profile'!$B$10)+10*7),"■",""))</f>
        <v/>
      </c>
      <c r="X221">
        <f>IF(OR($D221="",$E221=""),"",IF(AND($D221&lt;=IF('Client &amp; Project Profile'!$B$10="",TODAY(),'Client &amp; Project Profile'!$B$10)+11*7+6,$E221&gt;=IF('Client &amp; Project Profile'!$B$10="",TODAY(),'Client &amp; Project Profile'!$B$10)+11*7),"■",""))</f>
        <v/>
      </c>
    </row>
    <row r="222">
      <c r="A222" s="12" t="n"/>
      <c r="B222" s="12" t="n"/>
      <c r="C222" s="12" t="n"/>
      <c r="D222" s="14" t="n"/>
      <c r="E222" s="14" t="n"/>
      <c r="F222" s="14" t="n"/>
      <c r="G222" s="12" t="n"/>
      <c r="H222" s="12" t="n"/>
      <c r="I222" s="12" t="n"/>
      <c r="J222" s="12" t="n"/>
      <c r="K222" s="12">
        <f>IF(OR($D222="",$E222=""),"",$E222-$D222+1)</f>
        <v/>
      </c>
      <c r="L222" s="12">
        <f>IF(AND($E222&lt;TODAY(),$G222&lt;&gt;"Complete"),TODAY()-$E222,0)</f>
        <v/>
      </c>
      <c r="M222" s="12">
        <f>IF(OR($D222="",$E222=""),"",IF(AND($D222&lt;=IF('Client &amp; Project Profile'!$B$10="",TODAY(),'Client &amp; Project Profile'!$B$10)+0*7+6,$E222&gt;=IF('Client &amp; Project Profile'!$B$10="",TODAY(),'Client &amp; Project Profile'!$B$10)+0*7),"■",""))</f>
        <v/>
      </c>
      <c r="N222" s="12">
        <f>IF(OR($D222="",$E222=""),"",IF(AND($D222&lt;=IF('Client &amp; Project Profile'!$B$10="",TODAY(),'Client &amp; Project Profile'!$B$10)+1*7+6,$E222&gt;=IF('Client &amp; Project Profile'!$B$10="",TODAY(),'Client &amp; Project Profile'!$B$10)+1*7),"■",""))</f>
        <v/>
      </c>
      <c r="O222" s="12">
        <f>IF(OR($D222="",$E222=""),"",IF(AND($D222&lt;=IF('Client &amp; Project Profile'!$B$10="",TODAY(),'Client &amp; Project Profile'!$B$10)+2*7+6,$E222&gt;=IF('Client &amp; Project Profile'!$B$10="",TODAY(),'Client &amp; Project Profile'!$B$10)+2*7),"■",""))</f>
        <v/>
      </c>
      <c r="P222" s="12">
        <f>IF(OR($D222="",$E222=""),"",IF(AND($D222&lt;=IF('Client &amp; Project Profile'!$B$10="",TODAY(),'Client &amp; Project Profile'!$B$10)+3*7+6,$E222&gt;=IF('Client &amp; Project Profile'!$B$10="",TODAY(),'Client &amp; Project Profile'!$B$10)+3*7),"■",""))</f>
        <v/>
      </c>
      <c r="Q222" s="12">
        <f>IF(OR($D222="",$E222=""),"",IF(AND($D222&lt;=IF('Client &amp; Project Profile'!$B$10="",TODAY(),'Client &amp; Project Profile'!$B$10)+4*7+6,$E222&gt;=IF('Client &amp; Project Profile'!$B$10="",TODAY(),'Client &amp; Project Profile'!$B$10)+4*7),"■",""))</f>
        <v/>
      </c>
      <c r="R222" s="12">
        <f>IF(OR($D222="",$E222=""),"",IF(AND($D222&lt;=IF('Client &amp; Project Profile'!$B$10="",TODAY(),'Client &amp; Project Profile'!$B$10)+5*7+6,$E222&gt;=IF('Client &amp; Project Profile'!$B$10="",TODAY(),'Client &amp; Project Profile'!$B$10)+5*7),"■",""))</f>
        <v/>
      </c>
      <c r="S222" s="12">
        <f>IF(OR($D222="",$E222=""),"",IF(AND($D222&lt;=IF('Client &amp; Project Profile'!$B$10="",TODAY(),'Client &amp; Project Profile'!$B$10)+6*7+6,$E222&gt;=IF('Client &amp; Project Profile'!$B$10="",TODAY(),'Client &amp; Project Profile'!$B$10)+6*7),"■",""))</f>
        <v/>
      </c>
      <c r="T222" s="12">
        <f>IF(OR($D222="",$E222=""),"",IF(AND($D222&lt;=IF('Client &amp; Project Profile'!$B$10="",TODAY(),'Client &amp; Project Profile'!$B$10)+7*7+6,$E222&gt;=IF('Client &amp; Project Profile'!$B$10="",TODAY(),'Client &amp; Project Profile'!$B$10)+7*7),"■",""))</f>
        <v/>
      </c>
      <c r="U222" s="12">
        <f>IF(OR($D222="",$E222=""),"",IF(AND($D222&lt;=IF('Client &amp; Project Profile'!$B$10="",TODAY(),'Client &amp; Project Profile'!$B$10)+8*7+6,$E222&gt;=IF('Client &amp; Project Profile'!$B$10="",TODAY(),'Client &amp; Project Profile'!$B$10)+8*7),"■",""))</f>
        <v/>
      </c>
      <c r="V222" s="12">
        <f>IF(OR($D222="",$E222=""),"",IF(AND($D222&lt;=IF('Client &amp; Project Profile'!$B$10="",TODAY(),'Client &amp; Project Profile'!$B$10)+9*7+6,$E222&gt;=IF('Client &amp; Project Profile'!$B$10="",TODAY(),'Client &amp; Project Profile'!$B$10)+9*7),"■",""))</f>
        <v/>
      </c>
      <c r="W222" s="12">
        <f>IF(OR($D222="",$E222=""),"",IF(AND($D222&lt;=IF('Client &amp; Project Profile'!$B$10="",TODAY(),'Client &amp; Project Profile'!$B$10)+10*7+6,$E222&gt;=IF('Client &amp; Project Profile'!$B$10="",TODAY(),'Client &amp; Project Profile'!$B$10)+10*7),"■",""))</f>
        <v/>
      </c>
      <c r="X222" s="12">
        <f>IF(OR($D222="",$E222=""),"",IF(AND($D222&lt;=IF('Client &amp; Project Profile'!$B$10="",TODAY(),'Client &amp; Project Profile'!$B$10)+11*7+6,$E222&gt;=IF('Client &amp; Project Profile'!$B$10="",TODAY(),'Client &amp; Project Profile'!$B$10)+11*7),"■",""))</f>
        <v/>
      </c>
    </row>
    <row r="223">
      <c r="D223" s="9" t="n"/>
      <c r="E223" s="9" t="n"/>
      <c r="F223" s="9" t="n"/>
      <c r="K223">
        <f>IF(OR($D223="",$E223=""),"",$E223-$D223+1)</f>
        <v/>
      </c>
      <c r="L223">
        <f>IF(AND($E223&lt;TODAY(),$G223&lt;&gt;"Complete"),TODAY()-$E223,0)</f>
        <v/>
      </c>
      <c r="M223">
        <f>IF(OR($D223="",$E223=""),"",IF(AND($D223&lt;=IF('Client &amp; Project Profile'!$B$10="",TODAY(),'Client &amp; Project Profile'!$B$10)+0*7+6,$E223&gt;=IF('Client &amp; Project Profile'!$B$10="",TODAY(),'Client &amp; Project Profile'!$B$10)+0*7),"■",""))</f>
        <v/>
      </c>
      <c r="N223">
        <f>IF(OR($D223="",$E223=""),"",IF(AND($D223&lt;=IF('Client &amp; Project Profile'!$B$10="",TODAY(),'Client &amp; Project Profile'!$B$10)+1*7+6,$E223&gt;=IF('Client &amp; Project Profile'!$B$10="",TODAY(),'Client &amp; Project Profile'!$B$10)+1*7),"■",""))</f>
        <v/>
      </c>
      <c r="O223">
        <f>IF(OR($D223="",$E223=""),"",IF(AND($D223&lt;=IF('Client &amp; Project Profile'!$B$10="",TODAY(),'Client &amp; Project Profile'!$B$10)+2*7+6,$E223&gt;=IF('Client &amp; Project Profile'!$B$10="",TODAY(),'Client &amp; Project Profile'!$B$10)+2*7),"■",""))</f>
        <v/>
      </c>
      <c r="P223">
        <f>IF(OR($D223="",$E223=""),"",IF(AND($D223&lt;=IF('Client &amp; Project Profile'!$B$10="",TODAY(),'Client &amp; Project Profile'!$B$10)+3*7+6,$E223&gt;=IF('Client &amp; Project Profile'!$B$10="",TODAY(),'Client &amp; Project Profile'!$B$10)+3*7),"■",""))</f>
        <v/>
      </c>
      <c r="Q223">
        <f>IF(OR($D223="",$E223=""),"",IF(AND($D223&lt;=IF('Client &amp; Project Profile'!$B$10="",TODAY(),'Client &amp; Project Profile'!$B$10)+4*7+6,$E223&gt;=IF('Client &amp; Project Profile'!$B$10="",TODAY(),'Client &amp; Project Profile'!$B$10)+4*7),"■",""))</f>
        <v/>
      </c>
      <c r="R223">
        <f>IF(OR($D223="",$E223=""),"",IF(AND($D223&lt;=IF('Client &amp; Project Profile'!$B$10="",TODAY(),'Client &amp; Project Profile'!$B$10)+5*7+6,$E223&gt;=IF('Client &amp; Project Profile'!$B$10="",TODAY(),'Client &amp; Project Profile'!$B$10)+5*7),"■",""))</f>
        <v/>
      </c>
      <c r="S223">
        <f>IF(OR($D223="",$E223=""),"",IF(AND($D223&lt;=IF('Client &amp; Project Profile'!$B$10="",TODAY(),'Client &amp; Project Profile'!$B$10)+6*7+6,$E223&gt;=IF('Client &amp; Project Profile'!$B$10="",TODAY(),'Client &amp; Project Profile'!$B$10)+6*7),"■",""))</f>
        <v/>
      </c>
      <c r="T223">
        <f>IF(OR($D223="",$E223=""),"",IF(AND($D223&lt;=IF('Client &amp; Project Profile'!$B$10="",TODAY(),'Client &amp; Project Profile'!$B$10)+7*7+6,$E223&gt;=IF('Client &amp; Project Profile'!$B$10="",TODAY(),'Client &amp; Project Profile'!$B$10)+7*7),"■",""))</f>
        <v/>
      </c>
      <c r="U223">
        <f>IF(OR($D223="",$E223=""),"",IF(AND($D223&lt;=IF('Client &amp; Project Profile'!$B$10="",TODAY(),'Client &amp; Project Profile'!$B$10)+8*7+6,$E223&gt;=IF('Client &amp; Project Profile'!$B$10="",TODAY(),'Client &amp; Project Profile'!$B$10)+8*7),"■",""))</f>
        <v/>
      </c>
      <c r="V223">
        <f>IF(OR($D223="",$E223=""),"",IF(AND($D223&lt;=IF('Client &amp; Project Profile'!$B$10="",TODAY(),'Client &amp; Project Profile'!$B$10)+9*7+6,$E223&gt;=IF('Client &amp; Project Profile'!$B$10="",TODAY(),'Client &amp; Project Profile'!$B$10)+9*7),"■",""))</f>
        <v/>
      </c>
      <c r="W223">
        <f>IF(OR($D223="",$E223=""),"",IF(AND($D223&lt;=IF('Client &amp; Project Profile'!$B$10="",TODAY(),'Client &amp; Project Profile'!$B$10)+10*7+6,$E223&gt;=IF('Client &amp; Project Profile'!$B$10="",TODAY(),'Client &amp; Project Profile'!$B$10)+10*7),"■",""))</f>
        <v/>
      </c>
      <c r="X223">
        <f>IF(OR($D223="",$E223=""),"",IF(AND($D223&lt;=IF('Client &amp; Project Profile'!$B$10="",TODAY(),'Client &amp; Project Profile'!$B$10)+11*7+6,$E223&gt;=IF('Client &amp; Project Profile'!$B$10="",TODAY(),'Client &amp; Project Profile'!$B$10)+11*7),"■",""))</f>
        <v/>
      </c>
    </row>
    <row r="224">
      <c r="A224" s="12" t="n"/>
      <c r="B224" s="12" t="n"/>
      <c r="C224" s="12" t="n"/>
      <c r="D224" s="14" t="n"/>
      <c r="E224" s="14" t="n"/>
      <c r="F224" s="14" t="n"/>
      <c r="G224" s="12" t="n"/>
      <c r="H224" s="12" t="n"/>
      <c r="I224" s="12" t="n"/>
      <c r="J224" s="12" t="n"/>
      <c r="K224" s="12">
        <f>IF(OR($D224="",$E224=""),"",$E224-$D224+1)</f>
        <v/>
      </c>
      <c r="L224" s="12">
        <f>IF(AND($E224&lt;TODAY(),$G224&lt;&gt;"Complete"),TODAY()-$E224,0)</f>
        <v/>
      </c>
      <c r="M224" s="12">
        <f>IF(OR($D224="",$E224=""),"",IF(AND($D224&lt;=IF('Client &amp; Project Profile'!$B$10="",TODAY(),'Client &amp; Project Profile'!$B$10)+0*7+6,$E224&gt;=IF('Client &amp; Project Profile'!$B$10="",TODAY(),'Client &amp; Project Profile'!$B$10)+0*7),"■",""))</f>
        <v/>
      </c>
      <c r="N224" s="12">
        <f>IF(OR($D224="",$E224=""),"",IF(AND($D224&lt;=IF('Client &amp; Project Profile'!$B$10="",TODAY(),'Client &amp; Project Profile'!$B$10)+1*7+6,$E224&gt;=IF('Client &amp; Project Profile'!$B$10="",TODAY(),'Client &amp; Project Profile'!$B$10)+1*7),"■",""))</f>
        <v/>
      </c>
      <c r="O224" s="12">
        <f>IF(OR($D224="",$E224=""),"",IF(AND($D224&lt;=IF('Client &amp; Project Profile'!$B$10="",TODAY(),'Client &amp; Project Profile'!$B$10)+2*7+6,$E224&gt;=IF('Client &amp; Project Profile'!$B$10="",TODAY(),'Client &amp; Project Profile'!$B$10)+2*7),"■",""))</f>
        <v/>
      </c>
      <c r="P224" s="12">
        <f>IF(OR($D224="",$E224=""),"",IF(AND($D224&lt;=IF('Client &amp; Project Profile'!$B$10="",TODAY(),'Client &amp; Project Profile'!$B$10)+3*7+6,$E224&gt;=IF('Client &amp; Project Profile'!$B$10="",TODAY(),'Client &amp; Project Profile'!$B$10)+3*7),"■",""))</f>
        <v/>
      </c>
      <c r="Q224" s="12">
        <f>IF(OR($D224="",$E224=""),"",IF(AND($D224&lt;=IF('Client &amp; Project Profile'!$B$10="",TODAY(),'Client &amp; Project Profile'!$B$10)+4*7+6,$E224&gt;=IF('Client &amp; Project Profile'!$B$10="",TODAY(),'Client &amp; Project Profile'!$B$10)+4*7),"■",""))</f>
        <v/>
      </c>
      <c r="R224" s="12">
        <f>IF(OR($D224="",$E224=""),"",IF(AND($D224&lt;=IF('Client &amp; Project Profile'!$B$10="",TODAY(),'Client &amp; Project Profile'!$B$10)+5*7+6,$E224&gt;=IF('Client &amp; Project Profile'!$B$10="",TODAY(),'Client &amp; Project Profile'!$B$10)+5*7),"■",""))</f>
        <v/>
      </c>
      <c r="S224" s="12">
        <f>IF(OR($D224="",$E224=""),"",IF(AND($D224&lt;=IF('Client &amp; Project Profile'!$B$10="",TODAY(),'Client &amp; Project Profile'!$B$10)+6*7+6,$E224&gt;=IF('Client &amp; Project Profile'!$B$10="",TODAY(),'Client &amp; Project Profile'!$B$10)+6*7),"■",""))</f>
        <v/>
      </c>
      <c r="T224" s="12">
        <f>IF(OR($D224="",$E224=""),"",IF(AND($D224&lt;=IF('Client &amp; Project Profile'!$B$10="",TODAY(),'Client &amp; Project Profile'!$B$10)+7*7+6,$E224&gt;=IF('Client &amp; Project Profile'!$B$10="",TODAY(),'Client &amp; Project Profile'!$B$10)+7*7),"■",""))</f>
        <v/>
      </c>
      <c r="U224" s="12">
        <f>IF(OR($D224="",$E224=""),"",IF(AND($D224&lt;=IF('Client &amp; Project Profile'!$B$10="",TODAY(),'Client &amp; Project Profile'!$B$10)+8*7+6,$E224&gt;=IF('Client &amp; Project Profile'!$B$10="",TODAY(),'Client &amp; Project Profile'!$B$10)+8*7),"■",""))</f>
        <v/>
      </c>
      <c r="V224" s="12">
        <f>IF(OR($D224="",$E224=""),"",IF(AND($D224&lt;=IF('Client &amp; Project Profile'!$B$10="",TODAY(),'Client &amp; Project Profile'!$B$10)+9*7+6,$E224&gt;=IF('Client &amp; Project Profile'!$B$10="",TODAY(),'Client &amp; Project Profile'!$B$10)+9*7),"■",""))</f>
        <v/>
      </c>
      <c r="W224" s="12">
        <f>IF(OR($D224="",$E224=""),"",IF(AND($D224&lt;=IF('Client &amp; Project Profile'!$B$10="",TODAY(),'Client &amp; Project Profile'!$B$10)+10*7+6,$E224&gt;=IF('Client &amp; Project Profile'!$B$10="",TODAY(),'Client &amp; Project Profile'!$B$10)+10*7),"■",""))</f>
        <v/>
      </c>
      <c r="X224" s="12">
        <f>IF(OR($D224="",$E224=""),"",IF(AND($D224&lt;=IF('Client &amp; Project Profile'!$B$10="",TODAY(),'Client &amp; Project Profile'!$B$10)+11*7+6,$E224&gt;=IF('Client &amp; Project Profile'!$B$10="",TODAY(),'Client &amp; Project Profile'!$B$10)+11*7),"■",""))</f>
        <v/>
      </c>
    </row>
    <row r="225">
      <c r="D225" s="9" t="n"/>
      <c r="E225" s="9" t="n"/>
      <c r="F225" s="9" t="n"/>
      <c r="K225">
        <f>IF(OR($D225="",$E225=""),"",$E225-$D225+1)</f>
        <v/>
      </c>
      <c r="L225">
        <f>IF(AND($E225&lt;TODAY(),$G225&lt;&gt;"Complete"),TODAY()-$E225,0)</f>
        <v/>
      </c>
      <c r="M225">
        <f>IF(OR($D225="",$E225=""),"",IF(AND($D225&lt;=IF('Client &amp; Project Profile'!$B$10="",TODAY(),'Client &amp; Project Profile'!$B$10)+0*7+6,$E225&gt;=IF('Client &amp; Project Profile'!$B$10="",TODAY(),'Client &amp; Project Profile'!$B$10)+0*7),"■",""))</f>
        <v/>
      </c>
      <c r="N225">
        <f>IF(OR($D225="",$E225=""),"",IF(AND($D225&lt;=IF('Client &amp; Project Profile'!$B$10="",TODAY(),'Client &amp; Project Profile'!$B$10)+1*7+6,$E225&gt;=IF('Client &amp; Project Profile'!$B$10="",TODAY(),'Client &amp; Project Profile'!$B$10)+1*7),"■",""))</f>
        <v/>
      </c>
      <c r="O225">
        <f>IF(OR($D225="",$E225=""),"",IF(AND($D225&lt;=IF('Client &amp; Project Profile'!$B$10="",TODAY(),'Client &amp; Project Profile'!$B$10)+2*7+6,$E225&gt;=IF('Client &amp; Project Profile'!$B$10="",TODAY(),'Client &amp; Project Profile'!$B$10)+2*7),"■",""))</f>
        <v/>
      </c>
      <c r="P225">
        <f>IF(OR($D225="",$E225=""),"",IF(AND($D225&lt;=IF('Client &amp; Project Profile'!$B$10="",TODAY(),'Client &amp; Project Profile'!$B$10)+3*7+6,$E225&gt;=IF('Client &amp; Project Profile'!$B$10="",TODAY(),'Client &amp; Project Profile'!$B$10)+3*7),"■",""))</f>
        <v/>
      </c>
      <c r="Q225">
        <f>IF(OR($D225="",$E225=""),"",IF(AND($D225&lt;=IF('Client &amp; Project Profile'!$B$10="",TODAY(),'Client &amp; Project Profile'!$B$10)+4*7+6,$E225&gt;=IF('Client &amp; Project Profile'!$B$10="",TODAY(),'Client &amp; Project Profile'!$B$10)+4*7),"■",""))</f>
        <v/>
      </c>
      <c r="R225">
        <f>IF(OR($D225="",$E225=""),"",IF(AND($D225&lt;=IF('Client &amp; Project Profile'!$B$10="",TODAY(),'Client &amp; Project Profile'!$B$10)+5*7+6,$E225&gt;=IF('Client &amp; Project Profile'!$B$10="",TODAY(),'Client &amp; Project Profile'!$B$10)+5*7),"■",""))</f>
        <v/>
      </c>
      <c r="S225">
        <f>IF(OR($D225="",$E225=""),"",IF(AND($D225&lt;=IF('Client &amp; Project Profile'!$B$10="",TODAY(),'Client &amp; Project Profile'!$B$10)+6*7+6,$E225&gt;=IF('Client &amp; Project Profile'!$B$10="",TODAY(),'Client &amp; Project Profile'!$B$10)+6*7),"■",""))</f>
        <v/>
      </c>
      <c r="T225">
        <f>IF(OR($D225="",$E225=""),"",IF(AND($D225&lt;=IF('Client &amp; Project Profile'!$B$10="",TODAY(),'Client &amp; Project Profile'!$B$10)+7*7+6,$E225&gt;=IF('Client &amp; Project Profile'!$B$10="",TODAY(),'Client &amp; Project Profile'!$B$10)+7*7),"■",""))</f>
        <v/>
      </c>
      <c r="U225">
        <f>IF(OR($D225="",$E225=""),"",IF(AND($D225&lt;=IF('Client &amp; Project Profile'!$B$10="",TODAY(),'Client &amp; Project Profile'!$B$10)+8*7+6,$E225&gt;=IF('Client &amp; Project Profile'!$B$10="",TODAY(),'Client &amp; Project Profile'!$B$10)+8*7),"■",""))</f>
        <v/>
      </c>
      <c r="V225">
        <f>IF(OR($D225="",$E225=""),"",IF(AND($D225&lt;=IF('Client &amp; Project Profile'!$B$10="",TODAY(),'Client &amp; Project Profile'!$B$10)+9*7+6,$E225&gt;=IF('Client &amp; Project Profile'!$B$10="",TODAY(),'Client &amp; Project Profile'!$B$10)+9*7),"■",""))</f>
        <v/>
      </c>
      <c r="W225">
        <f>IF(OR($D225="",$E225=""),"",IF(AND($D225&lt;=IF('Client &amp; Project Profile'!$B$10="",TODAY(),'Client &amp; Project Profile'!$B$10)+10*7+6,$E225&gt;=IF('Client &amp; Project Profile'!$B$10="",TODAY(),'Client &amp; Project Profile'!$B$10)+10*7),"■",""))</f>
        <v/>
      </c>
      <c r="X225">
        <f>IF(OR($D225="",$E225=""),"",IF(AND($D225&lt;=IF('Client &amp; Project Profile'!$B$10="",TODAY(),'Client &amp; Project Profile'!$B$10)+11*7+6,$E225&gt;=IF('Client &amp; Project Profile'!$B$10="",TODAY(),'Client &amp; Project Profile'!$B$10)+11*7),"■",""))</f>
        <v/>
      </c>
    </row>
    <row r="226">
      <c r="A226" s="12" t="n"/>
      <c r="B226" s="12" t="n"/>
      <c r="C226" s="12" t="n"/>
      <c r="D226" s="14" t="n"/>
      <c r="E226" s="14" t="n"/>
      <c r="F226" s="14" t="n"/>
      <c r="G226" s="12" t="n"/>
      <c r="H226" s="12" t="n"/>
      <c r="I226" s="12" t="n"/>
      <c r="J226" s="12" t="n"/>
      <c r="K226" s="12">
        <f>IF(OR($D226="",$E226=""),"",$E226-$D226+1)</f>
        <v/>
      </c>
      <c r="L226" s="12">
        <f>IF(AND($E226&lt;TODAY(),$G226&lt;&gt;"Complete"),TODAY()-$E226,0)</f>
        <v/>
      </c>
      <c r="M226" s="12">
        <f>IF(OR($D226="",$E226=""),"",IF(AND($D226&lt;=IF('Client &amp; Project Profile'!$B$10="",TODAY(),'Client &amp; Project Profile'!$B$10)+0*7+6,$E226&gt;=IF('Client &amp; Project Profile'!$B$10="",TODAY(),'Client &amp; Project Profile'!$B$10)+0*7),"■",""))</f>
        <v/>
      </c>
      <c r="N226" s="12">
        <f>IF(OR($D226="",$E226=""),"",IF(AND($D226&lt;=IF('Client &amp; Project Profile'!$B$10="",TODAY(),'Client &amp; Project Profile'!$B$10)+1*7+6,$E226&gt;=IF('Client &amp; Project Profile'!$B$10="",TODAY(),'Client &amp; Project Profile'!$B$10)+1*7),"■",""))</f>
        <v/>
      </c>
      <c r="O226" s="12">
        <f>IF(OR($D226="",$E226=""),"",IF(AND($D226&lt;=IF('Client &amp; Project Profile'!$B$10="",TODAY(),'Client &amp; Project Profile'!$B$10)+2*7+6,$E226&gt;=IF('Client &amp; Project Profile'!$B$10="",TODAY(),'Client &amp; Project Profile'!$B$10)+2*7),"■",""))</f>
        <v/>
      </c>
      <c r="P226" s="12">
        <f>IF(OR($D226="",$E226=""),"",IF(AND($D226&lt;=IF('Client &amp; Project Profile'!$B$10="",TODAY(),'Client &amp; Project Profile'!$B$10)+3*7+6,$E226&gt;=IF('Client &amp; Project Profile'!$B$10="",TODAY(),'Client &amp; Project Profile'!$B$10)+3*7),"■",""))</f>
        <v/>
      </c>
      <c r="Q226" s="12">
        <f>IF(OR($D226="",$E226=""),"",IF(AND($D226&lt;=IF('Client &amp; Project Profile'!$B$10="",TODAY(),'Client &amp; Project Profile'!$B$10)+4*7+6,$E226&gt;=IF('Client &amp; Project Profile'!$B$10="",TODAY(),'Client &amp; Project Profile'!$B$10)+4*7),"■",""))</f>
        <v/>
      </c>
      <c r="R226" s="12">
        <f>IF(OR($D226="",$E226=""),"",IF(AND($D226&lt;=IF('Client &amp; Project Profile'!$B$10="",TODAY(),'Client &amp; Project Profile'!$B$10)+5*7+6,$E226&gt;=IF('Client &amp; Project Profile'!$B$10="",TODAY(),'Client &amp; Project Profile'!$B$10)+5*7),"■",""))</f>
        <v/>
      </c>
      <c r="S226" s="12">
        <f>IF(OR($D226="",$E226=""),"",IF(AND($D226&lt;=IF('Client &amp; Project Profile'!$B$10="",TODAY(),'Client &amp; Project Profile'!$B$10)+6*7+6,$E226&gt;=IF('Client &amp; Project Profile'!$B$10="",TODAY(),'Client &amp; Project Profile'!$B$10)+6*7),"■",""))</f>
        <v/>
      </c>
      <c r="T226" s="12">
        <f>IF(OR($D226="",$E226=""),"",IF(AND($D226&lt;=IF('Client &amp; Project Profile'!$B$10="",TODAY(),'Client &amp; Project Profile'!$B$10)+7*7+6,$E226&gt;=IF('Client &amp; Project Profile'!$B$10="",TODAY(),'Client &amp; Project Profile'!$B$10)+7*7),"■",""))</f>
        <v/>
      </c>
      <c r="U226" s="12">
        <f>IF(OR($D226="",$E226=""),"",IF(AND($D226&lt;=IF('Client &amp; Project Profile'!$B$10="",TODAY(),'Client &amp; Project Profile'!$B$10)+8*7+6,$E226&gt;=IF('Client &amp; Project Profile'!$B$10="",TODAY(),'Client &amp; Project Profile'!$B$10)+8*7),"■",""))</f>
        <v/>
      </c>
      <c r="V226" s="12">
        <f>IF(OR($D226="",$E226=""),"",IF(AND($D226&lt;=IF('Client &amp; Project Profile'!$B$10="",TODAY(),'Client &amp; Project Profile'!$B$10)+9*7+6,$E226&gt;=IF('Client &amp; Project Profile'!$B$10="",TODAY(),'Client &amp; Project Profile'!$B$10)+9*7),"■",""))</f>
        <v/>
      </c>
      <c r="W226" s="12">
        <f>IF(OR($D226="",$E226=""),"",IF(AND($D226&lt;=IF('Client &amp; Project Profile'!$B$10="",TODAY(),'Client &amp; Project Profile'!$B$10)+10*7+6,$E226&gt;=IF('Client &amp; Project Profile'!$B$10="",TODAY(),'Client &amp; Project Profile'!$B$10)+10*7),"■",""))</f>
        <v/>
      </c>
      <c r="X226" s="12">
        <f>IF(OR($D226="",$E226=""),"",IF(AND($D226&lt;=IF('Client &amp; Project Profile'!$B$10="",TODAY(),'Client &amp; Project Profile'!$B$10)+11*7+6,$E226&gt;=IF('Client &amp; Project Profile'!$B$10="",TODAY(),'Client &amp; Project Profile'!$B$10)+11*7),"■",""))</f>
        <v/>
      </c>
    </row>
    <row r="227">
      <c r="D227" s="9" t="n"/>
      <c r="E227" s="9" t="n"/>
      <c r="F227" s="9" t="n"/>
      <c r="K227">
        <f>IF(OR($D227="",$E227=""),"",$E227-$D227+1)</f>
        <v/>
      </c>
      <c r="L227">
        <f>IF(AND($E227&lt;TODAY(),$G227&lt;&gt;"Complete"),TODAY()-$E227,0)</f>
        <v/>
      </c>
      <c r="M227">
        <f>IF(OR($D227="",$E227=""),"",IF(AND($D227&lt;=IF('Client &amp; Project Profile'!$B$10="",TODAY(),'Client &amp; Project Profile'!$B$10)+0*7+6,$E227&gt;=IF('Client &amp; Project Profile'!$B$10="",TODAY(),'Client &amp; Project Profile'!$B$10)+0*7),"■",""))</f>
        <v/>
      </c>
      <c r="N227">
        <f>IF(OR($D227="",$E227=""),"",IF(AND($D227&lt;=IF('Client &amp; Project Profile'!$B$10="",TODAY(),'Client &amp; Project Profile'!$B$10)+1*7+6,$E227&gt;=IF('Client &amp; Project Profile'!$B$10="",TODAY(),'Client &amp; Project Profile'!$B$10)+1*7),"■",""))</f>
        <v/>
      </c>
      <c r="O227">
        <f>IF(OR($D227="",$E227=""),"",IF(AND($D227&lt;=IF('Client &amp; Project Profile'!$B$10="",TODAY(),'Client &amp; Project Profile'!$B$10)+2*7+6,$E227&gt;=IF('Client &amp; Project Profile'!$B$10="",TODAY(),'Client &amp; Project Profile'!$B$10)+2*7),"■",""))</f>
        <v/>
      </c>
      <c r="P227">
        <f>IF(OR($D227="",$E227=""),"",IF(AND($D227&lt;=IF('Client &amp; Project Profile'!$B$10="",TODAY(),'Client &amp; Project Profile'!$B$10)+3*7+6,$E227&gt;=IF('Client &amp; Project Profile'!$B$10="",TODAY(),'Client &amp; Project Profile'!$B$10)+3*7),"■",""))</f>
        <v/>
      </c>
      <c r="Q227">
        <f>IF(OR($D227="",$E227=""),"",IF(AND($D227&lt;=IF('Client &amp; Project Profile'!$B$10="",TODAY(),'Client &amp; Project Profile'!$B$10)+4*7+6,$E227&gt;=IF('Client &amp; Project Profile'!$B$10="",TODAY(),'Client &amp; Project Profile'!$B$10)+4*7),"■",""))</f>
        <v/>
      </c>
      <c r="R227">
        <f>IF(OR($D227="",$E227=""),"",IF(AND($D227&lt;=IF('Client &amp; Project Profile'!$B$10="",TODAY(),'Client &amp; Project Profile'!$B$10)+5*7+6,$E227&gt;=IF('Client &amp; Project Profile'!$B$10="",TODAY(),'Client &amp; Project Profile'!$B$10)+5*7),"■",""))</f>
        <v/>
      </c>
      <c r="S227">
        <f>IF(OR($D227="",$E227=""),"",IF(AND($D227&lt;=IF('Client &amp; Project Profile'!$B$10="",TODAY(),'Client &amp; Project Profile'!$B$10)+6*7+6,$E227&gt;=IF('Client &amp; Project Profile'!$B$10="",TODAY(),'Client &amp; Project Profile'!$B$10)+6*7),"■",""))</f>
        <v/>
      </c>
      <c r="T227">
        <f>IF(OR($D227="",$E227=""),"",IF(AND($D227&lt;=IF('Client &amp; Project Profile'!$B$10="",TODAY(),'Client &amp; Project Profile'!$B$10)+7*7+6,$E227&gt;=IF('Client &amp; Project Profile'!$B$10="",TODAY(),'Client &amp; Project Profile'!$B$10)+7*7),"■",""))</f>
        <v/>
      </c>
      <c r="U227">
        <f>IF(OR($D227="",$E227=""),"",IF(AND($D227&lt;=IF('Client &amp; Project Profile'!$B$10="",TODAY(),'Client &amp; Project Profile'!$B$10)+8*7+6,$E227&gt;=IF('Client &amp; Project Profile'!$B$10="",TODAY(),'Client &amp; Project Profile'!$B$10)+8*7),"■",""))</f>
        <v/>
      </c>
      <c r="V227">
        <f>IF(OR($D227="",$E227=""),"",IF(AND($D227&lt;=IF('Client &amp; Project Profile'!$B$10="",TODAY(),'Client &amp; Project Profile'!$B$10)+9*7+6,$E227&gt;=IF('Client &amp; Project Profile'!$B$10="",TODAY(),'Client &amp; Project Profile'!$B$10)+9*7),"■",""))</f>
        <v/>
      </c>
      <c r="W227">
        <f>IF(OR($D227="",$E227=""),"",IF(AND($D227&lt;=IF('Client &amp; Project Profile'!$B$10="",TODAY(),'Client &amp; Project Profile'!$B$10)+10*7+6,$E227&gt;=IF('Client &amp; Project Profile'!$B$10="",TODAY(),'Client &amp; Project Profile'!$B$10)+10*7),"■",""))</f>
        <v/>
      </c>
      <c r="X227">
        <f>IF(OR($D227="",$E227=""),"",IF(AND($D227&lt;=IF('Client &amp; Project Profile'!$B$10="",TODAY(),'Client &amp; Project Profile'!$B$10)+11*7+6,$E227&gt;=IF('Client &amp; Project Profile'!$B$10="",TODAY(),'Client &amp; Project Profile'!$B$10)+11*7),"■",""))</f>
        <v/>
      </c>
    </row>
    <row r="228">
      <c r="A228" s="12" t="n"/>
      <c r="B228" s="12" t="n"/>
      <c r="C228" s="12" t="n"/>
      <c r="D228" s="14" t="n"/>
      <c r="E228" s="14" t="n"/>
      <c r="F228" s="14" t="n"/>
      <c r="G228" s="12" t="n"/>
      <c r="H228" s="12" t="n"/>
      <c r="I228" s="12" t="n"/>
      <c r="J228" s="12" t="n"/>
      <c r="K228" s="12">
        <f>IF(OR($D228="",$E228=""),"",$E228-$D228+1)</f>
        <v/>
      </c>
      <c r="L228" s="12">
        <f>IF(AND($E228&lt;TODAY(),$G228&lt;&gt;"Complete"),TODAY()-$E228,0)</f>
        <v/>
      </c>
      <c r="M228" s="12">
        <f>IF(OR($D228="",$E228=""),"",IF(AND($D228&lt;=IF('Client &amp; Project Profile'!$B$10="",TODAY(),'Client &amp; Project Profile'!$B$10)+0*7+6,$E228&gt;=IF('Client &amp; Project Profile'!$B$10="",TODAY(),'Client &amp; Project Profile'!$B$10)+0*7),"■",""))</f>
        <v/>
      </c>
      <c r="N228" s="12">
        <f>IF(OR($D228="",$E228=""),"",IF(AND($D228&lt;=IF('Client &amp; Project Profile'!$B$10="",TODAY(),'Client &amp; Project Profile'!$B$10)+1*7+6,$E228&gt;=IF('Client &amp; Project Profile'!$B$10="",TODAY(),'Client &amp; Project Profile'!$B$10)+1*7),"■",""))</f>
        <v/>
      </c>
      <c r="O228" s="12">
        <f>IF(OR($D228="",$E228=""),"",IF(AND($D228&lt;=IF('Client &amp; Project Profile'!$B$10="",TODAY(),'Client &amp; Project Profile'!$B$10)+2*7+6,$E228&gt;=IF('Client &amp; Project Profile'!$B$10="",TODAY(),'Client &amp; Project Profile'!$B$10)+2*7),"■",""))</f>
        <v/>
      </c>
      <c r="P228" s="12">
        <f>IF(OR($D228="",$E228=""),"",IF(AND($D228&lt;=IF('Client &amp; Project Profile'!$B$10="",TODAY(),'Client &amp; Project Profile'!$B$10)+3*7+6,$E228&gt;=IF('Client &amp; Project Profile'!$B$10="",TODAY(),'Client &amp; Project Profile'!$B$10)+3*7),"■",""))</f>
        <v/>
      </c>
      <c r="Q228" s="12">
        <f>IF(OR($D228="",$E228=""),"",IF(AND($D228&lt;=IF('Client &amp; Project Profile'!$B$10="",TODAY(),'Client &amp; Project Profile'!$B$10)+4*7+6,$E228&gt;=IF('Client &amp; Project Profile'!$B$10="",TODAY(),'Client &amp; Project Profile'!$B$10)+4*7),"■",""))</f>
        <v/>
      </c>
      <c r="R228" s="12">
        <f>IF(OR($D228="",$E228=""),"",IF(AND($D228&lt;=IF('Client &amp; Project Profile'!$B$10="",TODAY(),'Client &amp; Project Profile'!$B$10)+5*7+6,$E228&gt;=IF('Client &amp; Project Profile'!$B$10="",TODAY(),'Client &amp; Project Profile'!$B$10)+5*7),"■",""))</f>
        <v/>
      </c>
      <c r="S228" s="12">
        <f>IF(OR($D228="",$E228=""),"",IF(AND($D228&lt;=IF('Client &amp; Project Profile'!$B$10="",TODAY(),'Client &amp; Project Profile'!$B$10)+6*7+6,$E228&gt;=IF('Client &amp; Project Profile'!$B$10="",TODAY(),'Client &amp; Project Profile'!$B$10)+6*7),"■",""))</f>
        <v/>
      </c>
      <c r="T228" s="12">
        <f>IF(OR($D228="",$E228=""),"",IF(AND($D228&lt;=IF('Client &amp; Project Profile'!$B$10="",TODAY(),'Client &amp; Project Profile'!$B$10)+7*7+6,$E228&gt;=IF('Client &amp; Project Profile'!$B$10="",TODAY(),'Client &amp; Project Profile'!$B$10)+7*7),"■",""))</f>
        <v/>
      </c>
      <c r="U228" s="12">
        <f>IF(OR($D228="",$E228=""),"",IF(AND($D228&lt;=IF('Client &amp; Project Profile'!$B$10="",TODAY(),'Client &amp; Project Profile'!$B$10)+8*7+6,$E228&gt;=IF('Client &amp; Project Profile'!$B$10="",TODAY(),'Client &amp; Project Profile'!$B$10)+8*7),"■",""))</f>
        <v/>
      </c>
      <c r="V228" s="12">
        <f>IF(OR($D228="",$E228=""),"",IF(AND($D228&lt;=IF('Client &amp; Project Profile'!$B$10="",TODAY(),'Client &amp; Project Profile'!$B$10)+9*7+6,$E228&gt;=IF('Client &amp; Project Profile'!$B$10="",TODAY(),'Client &amp; Project Profile'!$B$10)+9*7),"■",""))</f>
        <v/>
      </c>
      <c r="W228" s="12">
        <f>IF(OR($D228="",$E228=""),"",IF(AND($D228&lt;=IF('Client &amp; Project Profile'!$B$10="",TODAY(),'Client &amp; Project Profile'!$B$10)+10*7+6,$E228&gt;=IF('Client &amp; Project Profile'!$B$10="",TODAY(),'Client &amp; Project Profile'!$B$10)+10*7),"■",""))</f>
        <v/>
      </c>
      <c r="X228" s="12">
        <f>IF(OR($D228="",$E228=""),"",IF(AND($D228&lt;=IF('Client &amp; Project Profile'!$B$10="",TODAY(),'Client &amp; Project Profile'!$B$10)+11*7+6,$E228&gt;=IF('Client &amp; Project Profile'!$B$10="",TODAY(),'Client &amp; Project Profile'!$B$10)+11*7),"■",""))</f>
        <v/>
      </c>
    </row>
    <row r="229">
      <c r="D229" s="9" t="n"/>
      <c r="E229" s="9" t="n"/>
      <c r="F229" s="9" t="n"/>
      <c r="K229">
        <f>IF(OR($D229="",$E229=""),"",$E229-$D229+1)</f>
        <v/>
      </c>
      <c r="L229">
        <f>IF(AND($E229&lt;TODAY(),$G229&lt;&gt;"Complete"),TODAY()-$E229,0)</f>
        <v/>
      </c>
      <c r="M229">
        <f>IF(OR($D229="",$E229=""),"",IF(AND($D229&lt;=IF('Client &amp; Project Profile'!$B$10="",TODAY(),'Client &amp; Project Profile'!$B$10)+0*7+6,$E229&gt;=IF('Client &amp; Project Profile'!$B$10="",TODAY(),'Client &amp; Project Profile'!$B$10)+0*7),"■",""))</f>
        <v/>
      </c>
      <c r="N229">
        <f>IF(OR($D229="",$E229=""),"",IF(AND($D229&lt;=IF('Client &amp; Project Profile'!$B$10="",TODAY(),'Client &amp; Project Profile'!$B$10)+1*7+6,$E229&gt;=IF('Client &amp; Project Profile'!$B$10="",TODAY(),'Client &amp; Project Profile'!$B$10)+1*7),"■",""))</f>
        <v/>
      </c>
      <c r="O229">
        <f>IF(OR($D229="",$E229=""),"",IF(AND($D229&lt;=IF('Client &amp; Project Profile'!$B$10="",TODAY(),'Client &amp; Project Profile'!$B$10)+2*7+6,$E229&gt;=IF('Client &amp; Project Profile'!$B$10="",TODAY(),'Client &amp; Project Profile'!$B$10)+2*7),"■",""))</f>
        <v/>
      </c>
      <c r="P229">
        <f>IF(OR($D229="",$E229=""),"",IF(AND($D229&lt;=IF('Client &amp; Project Profile'!$B$10="",TODAY(),'Client &amp; Project Profile'!$B$10)+3*7+6,$E229&gt;=IF('Client &amp; Project Profile'!$B$10="",TODAY(),'Client &amp; Project Profile'!$B$10)+3*7),"■",""))</f>
        <v/>
      </c>
      <c r="Q229">
        <f>IF(OR($D229="",$E229=""),"",IF(AND($D229&lt;=IF('Client &amp; Project Profile'!$B$10="",TODAY(),'Client &amp; Project Profile'!$B$10)+4*7+6,$E229&gt;=IF('Client &amp; Project Profile'!$B$10="",TODAY(),'Client &amp; Project Profile'!$B$10)+4*7),"■",""))</f>
        <v/>
      </c>
      <c r="R229">
        <f>IF(OR($D229="",$E229=""),"",IF(AND($D229&lt;=IF('Client &amp; Project Profile'!$B$10="",TODAY(),'Client &amp; Project Profile'!$B$10)+5*7+6,$E229&gt;=IF('Client &amp; Project Profile'!$B$10="",TODAY(),'Client &amp; Project Profile'!$B$10)+5*7),"■",""))</f>
        <v/>
      </c>
      <c r="S229">
        <f>IF(OR($D229="",$E229=""),"",IF(AND($D229&lt;=IF('Client &amp; Project Profile'!$B$10="",TODAY(),'Client &amp; Project Profile'!$B$10)+6*7+6,$E229&gt;=IF('Client &amp; Project Profile'!$B$10="",TODAY(),'Client &amp; Project Profile'!$B$10)+6*7),"■",""))</f>
        <v/>
      </c>
      <c r="T229">
        <f>IF(OR($D229="",$E229=""),"",IF(AND($D229&lt;=IF('Client &amp; Project Profile'!$B$10="",TODAY(),'Client &amp; Project Profile'!$B$10)+7*7+6,$E229&gt;=IF('Client &amp; Project Profile'!$B$10="",TODAY(),'Client &amp; Project Profile'!$B$10)+7*7),"■",""))</f>
        <v/>
      </c>
      <c r="U229">
        <f>IF(OR($D229="",$E229=""),"",IF(AND($D229&lt;=IF('Client &amp; Project Profile'!$B$10="",TODAY(),'Client &amp; Project Profile'!$B$10)+8*7+6,$E229&gt;=IF('Client &amp; Project Profile'!$B$10="",TODAY(),'Client &amp; Project Profile'!$B$10)+8*7),"■",""))</f>
        <v/>
      </c>
      <c r="V229">
        <f>IF(OR($D229="",$E229=""),"",IF(AND($D229&lt;=IF('Client &amp; Project Profile'!$B$10="",TODAY(),'Client &amp; Project Profile'!$B$10)+9*7+6,$E229&gt;=IF('Client &amp; Project Profile'!$B$10="",TODAY(),'Client &amp; Project Profile'!$B$10)+9*7),"■",""))</f>
        <v/>
      </c>
      <c r="W229">
        <f>IF(OR($D229="",$E229=""),"",IF(AND($D229&lt;=IF('Client &amp; Project Profile'!$B$10="",TODAY(),'Client &amp; Project Profile'!$B$10)+10*7+6,$E229&gt;=IF('Client &amp; Project Profile'!$B$10="",TODAY(),'Client &amp; Project Profile'!$B$10)+10*7),"■",""))</f>
        <v/>
      </c>
      <c r="X229">
        <f>IF(OR($D229="",$E229=""),"",IF(AND($D229&lt;=IF('Client &amp; Project Profile'!$B$10="",TODAY(),'Client &amp; Project Profile'!$B$10)+11*7+6,$E229&gt;=IF('Client &amp; Project Profile'!$B$10="",TODAY(),'Client &amp; Project Profile'!$B$10)+11*7),"■",""))</f>
        <v/>
      </c>
    </row>
    <row r="230">
      <c r="A230" s="12" t="n"/>
      <c r="B230" s="12" t="n"/>
      <c r="C230" s="12" t="n"/>
      <c r="D230" s="14" t="n"/>
      <c r="E230" s="14" t="n"/>
      <c r="F230" s="14" t="n"/>
      <c r="G230" s="12" t="n"/>
      <c r="H230" s="12" t="n"/>
      <c r="I230" s="12" t="n"/>
      <c r="J230" s="12" t="n"/>
      <c r="K230" s="12">
        <f>IF(OR($D230="",$E230=""),"",$E230-$D230+1)</f>
        <v/>
      </c>
      <c r="L230" s="12">
        <f>IF(AND($E230&lt;TODAY(),$G230&lt;&gt;"Complete"),TODAY()-$E230,0)</f>
        <v/>
      </c>
      <c r="M230" s="12">
        <f>IF(OR($D230="",$E230=""),"",IF(AND($D230&lt;=IF('Client &amp; Project Profile'!$B$10="",TODAY(),'Client &amp; Project Profile'!$B$10)+0*7+6,$E230&gt;=IF('Client &amp; Project Profile'!$B$10="",TODAY(),'Client &amp; Project Profile'!$B$10)+0*7),"■",""))</f>
        <v/>
      </c>
      <c r="N230" s="12">
        <f>IF(OR($D230="",$E230=""),"",IF(AND($D230&lt;=IF('Client &amp; Project Profile'!$B$10="",TODAY(),'Client &amp; Project Profile'!$B$10)+1*7+6,$E230&gt;=IF('Client &amp; Project Profile'!$B$10="",TODAY(),'Client &amp; Project Profile'!$B$10)+1*7),"■",""))</f>
        <v/>
      </c>
      <c r="O230" s="12">
        <f>IF(OR($D230="",$E230=""),"",IF(AND($D230&lt;=IF('Client &amp; Project Profile'!$B$10="",TODAY(),'Client &amp; Project Profile'!$B$10)+2*7+6,$E230&gt;=IF('Client &amp; Project Profile'!$B$10="",TODAY(),'Client &amp; Project Profile'!$B$10)+2*7),"■",""))</f>
        <v/>
      </c>
      <c r="P230" s="12">
        <f>IF(OR($D230="",$E230=""),"",IF(AND($D230&lt;=IF('Client &amp; Project Profile'!$B$10="",TODAY(),'Client &amp; Project Profile'!$B$10)+3*7+6,$E230&gt;=IF('Client &amp; Project Profile'!$B$10="",TODAY(),'Client &amp; Project Profile'!$B$10)+3*7),"■",""))</f>
        <v/>
      </c>
      <c r="Q230" s="12">
        <f>IF(OR($D230="",$E230=""),"",IF(AND($D230&lt;=IF('Client &amp; Project Profile'!$B$10="",TODAY(),'Client &amp; Project Profile'!$B$10)+4*7+6,$E230&gt;=IF('Client &amp; Project Profile'!$B$10="",TODAY(),'Client &amp; Project Profile'!$B$10)+4*7),"■",""))</f>
        <v/>
      </c>
      <c r="R230" s="12">
        <f>IF(OR($D230="",$E230=""),"",IF(AND($D230&lt;=IF('Client &amp; Project Profile'!$B$10="",TODAY(),'Client &amp; Project Profile'!$B$10)+5*7+6,$E230&gt;=IF('Client &amp; Project Profile'!$B$10="",TODAY(),'Client &amp; Project Profile'!$B$10)+5*7),"■",""))</f>
        <v/>
      </c>
      <c r="S230" s="12">
        <f>IF(OR($D230="",$E230=""),"",IF(AND($D230&lt;=IF('Client &amp; Project Profile'!$B$10="",TODAY(),'Client &amp; Project Profile'!$B$10)+6*7+6,$E230&gt;=IF('Client &amp; Project Profile'!$B$10="",TODAY(),'Client &amp; Project Profile'!$B$10)+6*7),"■",""))</f>
        <v/>
      </c>
      <c r="T230" s="12">
        <f>IF(OR($D230="",$E230=""),"",IF(AND($D230&lt;=IF('Client &amp; Project Profile'!$B$10="",TODAY(),'Client &amp; Project Profile'!$B$10)+7*7+6,$E230&gt;=IF('Client &amp; Project Profile'!$B$10="",TODAY(),'Client &amp; Project Profile'!$B$10)+7*7),"■",""))</f>
        <v/>
      </c>
      <c r="U230" s="12">
        <f>IF(OR($D230="",$E230=""),"",IF(AND($D230&lt;=IF('Client &amp; Project Profile'!$B$10="",TODAY(),'Client &amp; Project Profile'!$B$10)+8*7+6,$E230&gt;=IF('Client &amp; Project Profile'!$B$10="",TODAY(),'Client &amp; Project Profile'!$B$10)+8*7),"■",""))</f>
        <v/>
      </c>
      <c r="V230" s="12">
        <f>IF(OR($D230="",$E230=""),"",IF(AND($D230&lt;=IF('Client &amp; Project Profile'!$B$10="",TODAY(),'Client &amp; Project Profile'!$B$10)+9*7+6,$E230&gt;=IF('Client &amp; Project Profile'!$B$10="",TODAY(),'Client &amp; Project Profile'!$B$10)+9*7),"■",""))</f>
        <v/>
      </c>
      <c r="W230" s="12">
        <f>IF(OR($D230="",$E230=""),"",IF(AND($D230&lt;=IF('Client &amp; Project Profile'!$B$10="",TODAY(),'Client &amp; Project Profile'!$B$10)+10*7+6,$E230&gt;=IF('Client &amp; Project Profile'!$B$10="",TODAY(),'Client &amp; Project Profile'!$B$10)+10*7),"■",""))</f>
        <v/>
      </c>
      <c r="X230" s="12">
        <f>IF(OR($D230="",$E230=""),"",IF(AND($D230&lt;=IF('Client &amp; Project Profile'!$B$10="",TODAY(),'Client &amp; Project Profile'!$B$10)+11*7+6,$E230&gt;=IF('Client &amp; Project Profile'!$B$10="",TODAY(),'Client &amp; Project Profile'!$B$10)+11*7),"■",""))</f>
        <v/>
      </c>
    </row>
    <row r="231">
      <c r="D231" s="9" t="n"/>
      <c r="E231" s="9" t="n"/>
      <c r="F231" s="9" t="n"/>
      <c r="K231">
        <f>IF(OR($D231="",$E231=""),"",$E231-$D231+1)</f>
        <v/>
      </c>
      <c r="L231">
        <f>IF(AND($E231&lt;TODAY(),$G231&lt;&gt;"Complete"),TODAY()-$E231,0)</f>
        <v/>
      </c>
      <c r="M231">
        <f>IF(OR($D231="",$E231=""),"",IF(AND($D231&lt;=IF('Client &amp; Project Profile'!$B$10="",TODAY(),'Client &amp; Project Profile'!$B$10)+0*7+6,$E231&gt;=IF('Client &amp; Project Profile'!$B$10="",TODAY(),'Client &amp; Project Profile'!$B$10)+0*7),"■",""))</f>
        <v/>
      </c>
      <c r="N231">
        <f>IF(OR($D231="",$E231=""),"",IF(AND($D231&lt;=IF('Client &amp; Project Profile'!$B$10="",TODAY(),'Client &amp; Project Profile'!$B$10)+1*7+6,$E231&gt;=IF('Client &amp; Project Profile'!$B$10="",TODAY(),'Client &amp; Project Profile'!$B$10)+1*7),"■",""))</f>
        <v/>
      </c>
      <c r="O231">
        <f>IF(OR($D231="",$E231=""),"",IF(AND($D231&lt;=IF('Client &amp; Project Profile'!$B$10="",TODAY(),'Client &amp; Project Profile'!$B$10)+2*7+6,$E231&gt;=IF('Client &amp; Project Profile'!$B$10="",TODAY(),'Client &amp; Project Profile'!$B$10)+2*7),"■",""))</f>
        <v/>
      </c>
      <c r="P231">
        <f>IF(OR($D231="",$E231=""),"",IF(AND($D231&lt;=IF('Client &amp; Project Profile'!$B$10="",TODAY(),'Client &amp; Project Profile'!$B$10)+3*7+6,$E231&gt;=IF('Client &amp; Project Profile'!$B$10="",TODAY(),'Client &amp; Project Profile'!$B$10)+3*7),"■",""))</f>
        <v/>
      </c>
      <c r="Q231">
        <f>IF(OR($D231="",$E231=""),"",IF(AND($D231&lt;=IF('Client &amp; Project Profile'!$B$10="",TODAY(),'Client &amp; Project Profile'!$B$10)+4*7+6,$E231&gt;=IF('Client &amp; Project Profile'!$B$10="",TODAY(),'Client &amp; Project Profile'!$B$10)+4*7),"■",""))</f>
        <v/>
      </c>
      <c r="R231">
        <f>IF(OR($D231="",$E231=""),"",IF(AND($D231&lt;=IF('Client &amp; Project Profile'!$B$10="",TODAY(),'Client &amp; Project Profile'!$B$10)+5*7+6,$E231&gt;=IF('Client &amp; Project Profile'!$B$10="",TODAY(),'Client &amp; Project Profile'!$B$10)+5*7),"■",""))</f>
        <v/>
      </c>
      <c r="S231">
        <f>IF(OR($D231="",$E231=""),"",IF(AND($D231&lt;=IF('Client &amp; Project Profile'!$B$10="",TODAY(),'Client &amp; Project Profile'!$B$10)+6*7+6,$E231&gt;=IF('Client &amp; Project Profile'!$B$10="",TODAY(),'Client &amp; Project Profile'!$B$10)+6*7),"■",""))</f>
        <v/>
      </c>
      <c r="T231">
        <f>IF(OR($D231="",$E231=""),"",IF(AND($D231&lt;=IF('Client &amp; Project Profile'!$B$10="",TODAY(),'Client &amp; Project Profile'!$B$10)+7*7+6,$E231&gt;=IF('Client &amp; Project Profile'!$B$10="",TODAY(),'Client &amp; Project Profile'!$B$10)+7*7),"■",""))</f>
        <v/>
      </c>
      <c r="U231">
        <f>IF(OR($D231="",$E231=""),"",IF(AND($D231&lt;=IF('Client &amp; Project Profile'!$B$10="",TODAY(),'Client &amp; Project Profile'!$B$10)+8*7+6,$E231&gt;=IF('Client &amp; Project Profile'!$B$10="",TODAY(),'Client &amp; Project Profile'!$B$10)+8*7),"■",""))</f>
        <v/>
      </c>
      <c r="V231">
        <f>IF(OR($D231="",$E231=""),"",IF(AND($D231&lt;=IF('Client &amp; Project Profile'!$B$10="",TODAY(),'Client &amp; Project Profile'!$B$10)+9*7+6,$E231&gt;=IF('Client &amp; Project Profile'!$B$10="",TODAY(),'Client &amp; Project Profile'!$B$10)+9*7),"■",""))</f>
        <v/>
      </c>
      <c r="W231">
        <f>IF(OR($D231="",$E231=""),"",IF(AND($D231&lt;=IF('Client &amp; Project Profile'!$B$10="",TODAY(),'Client &amp; Project Profile'!$B$10)+10*7+6,$E231&gt;=IF('Client &amp; Project Profile'!$B$10="",TODAY(),'Client &amp; Project Profile'!$B$10)+10*7),"■",""))</f>
        <v/>
      </c>
      <c r="X231">
        <f>IF(OR($D231="",$E231=""),"",IF(AND($D231&lt;=IF('Client &amp; Project Profile'!$B$10="",TODAY(),'Client &amp; Project Profile'!$B$10)+11*7+6,$E231&gt;=IF('Client &amp; Project Profile'!$B$10="",TODAY(),'Client &amp; Project Profile'!$B$10)+11*7),"■",""))</f>
        <v/>
      </c>
    </row>
    <row r="232">
      <c r="A232" s="12" t="n"/>
      <c r="B232" s="12" t="n"/>
      <c r="C232" s="12" t="n"/>
      <c r="D232" s="14" t="n"/>
      <c r="E232" s="14" t="n"/>
      <c r="F232" s="14" t="n"/>
      <c r="G232" s="12" t="n"/>
      <c r="H232" s="12" t="n"/>
      <c r="I232" s="12" t="n"/>
      <c r="J232" s="12" t="n"/>
      <c r="K232" s="12">
        <f>IF(OR($D232="",$E232=""),"",$E232-$D232+1)</f>
        <v/>
      </c>
      <c r="L232" s="12">
        <f>IF(AND($E232&lt;TODAY(),$G232&lt;&gt;"Complete"),TODAY()-$E232,0)</f>
        <v/>
      </c>
      <c r="M232" s="12">
        <f>IF(OR($D232="",$E232=""),"",IF(AND($D232&lt;=IF('Client &amp; Project Profile'!$B$10="",TODAY(),'Client &amp; Project Profile'!$B$10)+0*7+6,$E232&gt;=IF('Client &amp; Project Profile'!$B$10="",TODAY(),'Client &amp; Project Profile'!$B$10)+0*7),"■",""))</f>
        <v/>
      </c>
      <c r="N232" s="12">
        <f>IF(OR($D232="",$E232=""),"",IF(AND($D232&lt;=IF('Client &amp; Project Profile'!$B$10="",TODAY(),'Client &amp; Project Profile'!$B$10)+1*7+6,$E232&gt;=IF('Client &amp; Project Profile'!$B$10="",TODAY(),'Client &amp; Project Profile'!$B$10)+1*7),"■",""))</f>
        <v/>
      </c>
      <c r="O232" s="12">
        <f>IF(OR($D232="",$E232=""),"",IF(AND($D232&lt;=IF('Client &amp; Project Profile'!$B$10="",TODAY(),'Client &amp; Project Profile'!$B$10)+2*7+6,$E232&gt;=IF('Client &amp; Project Profile'!$B$10="",TODAY(),'Client &amp; Project Profile'!$B$10)+2*7),"■",""))</f>
        <v/>
      </c>
      <c r="P232" s="12">
        <f>IF(OR($D232="",$E232=""),"",IF(AND($D232&lt;=IF('Client &amp; Project Profile'!$B$10="",TODAY(),'Client &amp; Project Profile'!$B$10)+3*7+6,$E232&gt;=IF('Client &amp; Project Profile'!$B$10="",TODAY(),'Client &amp; Project Profile'!$B$10)+3*7),"■",""))</f>
        <v/>
      </c>
      <c r="Q232" s="12">
        <f>IF(OR($D232="",$E232=""),"",IF(AND($D232&lt;=IF('Client &amp; Project Profile'!$B$10="",TODAY(),'Client &amp; Project Profile'!$B$10)+4*7+6,$E232&gt;=IF('Client &amp; Project Profile'!$B$10="",TODAY(),'Client &amp; Project Profile'!$B$10)+4*7),"■",""))</f>
        <v/>
      </c>
      <c r="R232" s="12">
        <f>IF(OR($D232="",$E232=""),"",IF(AND($D232&lt;=IF('Client &amp; Project Profile'!$B$10="",TODAY(),'Client &amp; Project Profile'!$B$10)+5*7+6,$E232&gt;=IF('Client &amp; Project Profile'!$B$10="",TODAY(),'Client &amp; Project Profile'!$B$10)+5*7),"■",""))</f>
        <v/>
      </c>
      <c r="S232" s="12">
        <f>IF(OR($D232="",$E232=""),"",IF(AND($D232&lt;=IF('Client &amp; Project Profile'!$B$10="",TODAY(),'Client &amp; Project Profile'!$B$10)+6*7+6,$E232&gt;=IF('Client &amp; Project Profile'!$B$10="",TODAY(),'Client &amp; Project Profile'!$B$10)+6*7),"■",""))</f>
        <v/>
      </c>
      <c r="T232" s="12">
        <f>IF(OR($D232="",$E232=""),"",IF(AND($D232&lt;=IF('Client &amp; Project Profile'!$B$10="",TODAY(),'Client &amp; Project Profile'!$B$10)+7*7+6,$E232&gt;=IF('Client &amp; Project Profile'!$B$10="",TODAY(),'Client &amp; Project Profile'!$B$10)+7*7),"■",""))</f>
        <v/>
      </c>
      <c r="U232" s="12">
        <f>IF(OR($D232="",$E232=""),"",IF(AND($D232&lt;=IF('Client &amp; Project Profile'!$B$10="",TODAY(),'Client &amp; Project Profile'!$B$10)+8*7+6,$E232&gt;=IF('Client &amp; Project Profile'!$B$10="",TODAY(),'Client &amp; Project Profile'!$B$10)+8*7),"■",""))</f>
        <v/>
      </c>
      <c r="V232" s="12">
        <f>IF(OR($D232="",$E232=""),"",IF(AND($D232&lt;=IF('Client &amp; Project Profile'!$B$10="",TODAY(),'Client &amp; Project Profile'!$B$10)+9*7+6,$E232&gt;=IF('Client &amp; Project Profile'!$B$10="",TODAY(),'Client &amp; Project Profile'!$B$10)+9*7),"■",""))</f>
        <v/>
      </c>
      <c r="W232" s="12">
        <f>IF(OR($D232="",$E232=""),"",IF(AND($D232&lt;=IF('Client &amp; Project Profile'!$B$10="",TODAY(),'Client &amp; Project Profile'!$B$10)+10*7+6,$E232&gt;=IF('Client &amp; Project Profile'!$B$10="",TODAY(),'Client &amp; Project Profile'!$B$10)+10*7),"■",""))</f>
        <v/>
      </c>
      <c r="X232" s="12">
        <f>IF(OR($D232="",$E232=""),"",IF(AND($D232&lt;=IF('Client &amp; Project Profile'!$B$10="",TODAY(),'Client &amp; Project Profile'!$B$10)+11*7+6,$E232&gt;=IF('Client &amp; Project Profile'!$B$10="",TODAY(),'Client &amp; Project Profile'!$B$10)+11*7),"■",""))</f>
        <v/>
      </c>
    </row>
    <row r="233">
      <c r="D233" s="9" t="n"/>
      <c r="E233" s="9" t="n"/>
      <c r="F233" s="9" t="n"/>
      <c r="K233">
        <f>IF(OR($D233="",$E233=""),"",$E233-$D233+1)</f>
        <v/>
      </c>
      <c r="L233">
        <f>IF(AND($E233&lt;TODAY(),$G233&lt;&gt;"Complete"),TODAY()-$E233,0)</f>
        <v/>
      </c>
      <c r="M233">
        <f>IF(OR($D233="",$E233=""),"",IF(AND($D233&lt;=IF('Client &amp; Project Profile'!$B$10="",TODAY(),'Client &amp; Project Profile'!$B$10)+0*7+6,$E233&gt;=IF('Client &amp; Project Profile'!$B$10="",TODAY(),'Client &amp; Project Profile'!$B$10)+0*7),"■",""))</f>
        <v/>
      </c>
      <c r="N233">
        <f>IF(OR($D233="",$E233=""),"",IF(AND($D233&lt;=IF('Client &amp; Project Profile'!$B$10="",TODAY(),'Client &amp; Project Profile'!$B$10)+1*7+6,$E233&gt;=IF('Client &amp; Project Profile'!$B$10="",TODAY(),'Client &amp; Project Profile'!$B$10)+1*7),"■",""))</f>
        <v/>
      </c>
      <c r="O233">
        <f>IF(OR($D233="",$E233=""),"",IF(AND($D233&lt;=IF('Client &amp; Project Profile'!$B$10="",TODAY(),'Client &amp; Project Profile'!$B$10)+2*7+6,$E233&gt;=IF('Client &amp; Project Profile'!$B$10="",TODAY(),'Client &amp; Project Profile'!$B$10)+2*7),"■",""))</f>
        <v/>
      </c>
      <c r="P233">
        <f>IF(OR($D233="",$E233=""),"",IF(AND($D233&lt;=IF('Client &amp; Project Profile'!$B$10="",TODAY(),'Client &amp; Project Profile'!$B$10)+3*7+6,$E233&gt;=IF('Client &amp; Project Profile'!$B$10="",TODAY(),'Client &amp; Project Profile'!$B$10)+3*7),"■",""))</f>
        <v/>
      </c>
      <c r="Q233">
        <f>IF(OR($D233="",$E233=""),"",IF(AND($D233&lt;=IF('Client &amp; Project Profile'!$B$10="",TODAY(),'Client &amp; Project Profile'!$B$10)+4*7+6,$E233&gt;=IF('Client &amp; Project Profile'!$B$10="",TODAY(),'Client &amp; Project Profile'!$B$10)+4*7),"■",""))</f>
        <v/>
      </c>
      <c r="R233">
        <f>IF(OR($D233="",$E233=""),"",IF(AND($D233&lt;=IF('Client &amp; Project Profile'!$B$10="",TODAY(),'Client &amp; Project Profile'!$B$10)+5*7+6,$E233&gt;=IF('Client &amp; Project Profile'!$B$10="",TODAY(),'Client &amp; Project Profile'!$B$10)+5*7),"■",""))</f>
        <v/>
      </c>
      <c r="S233">
        <f>IF(OR($D233="",$E233=""),"",IF(AND($D233&lt;=IF('Client &amp; Project Profile'!$B$10="",TODAY(),'Client &amp; Project Profile'!$B$10)+6*7+6,$E233&gt;=IF('Client &amp; Project Profile'!$B$10="",TODAY(),'Client &amp; Project Profile'!$B$10)+6*7),"■",""))</f>
        <v/>
      </c>
      <c r="T233">
        <f>IF(OR($D233="",$E233=""),"",IF(AND($D233&lt;=IF('Client &amp; Project Profile'!$B$10="",TODAY(),'Client &amp; Project Profile'!$B$10)+7*7+6,$E233&gt;=IF('Client &amp; Project Profile'!$B$10="",TODAY(),'Client &amp; Project Profile'!$B$10)+7*7),"■",""))</f>
        <v/>
      </c>
      <c r="U233">
        <f>IF(OR($D233="",$E233=""),"",IF(AND($D233&lt;=IF('Client &amp; Project Profile'!$B$10="",TODAY(),'Client &amp; Project Profile'!$B$10)+8*7+6,$E233&gt;=IF('Client &amp; Project Profile'!$B$10="",TODAY(),'Client &amp; Project Profile'!$B$10)+8*7),"■",""))</f>
        <v/>
      </c>
      <c r="V233">
        <f>IF(OR($D233="",$E233=""),"",IF(AND($D233&lt;=IF('Client &amp; Project Profile'!$B$10="",TODAY(),'Client &amp; Project Profile'!$B$10)+9*7+6,$E233&gt;=IF('Client &amp; Project Profile'!$B$10="",TODAY(),'Client &amp; Project Profile'!$B$10)+9*7),"■",""))</f>
        <v/>
      </c>
      <c r="W233">
        <f>IF(OR($D233="",$E233=""),"",IF(AND($D233&lt;=IF('Client &amp; Project Profile'!$B$10="",TODAY(),'Client &amp; Project Profile'!$B$10)+10*7+6,$E233&gt;=IF('Client &amp; Project Profile'!$B$10="",TODAY(),'Client &amp; Project Profile'!$B$10)+10*7),"■",""))</f>
        <v/>
      </c>
      <c r="X233">
        <f>IF(OR($D233="",$E233=""),"",IF(AND($D233&lt;=IF('Client &amp; Project Profile'!$B$10="",TODAY(),'Client &amp; Project Profile'!$B$10)+11*7+6,$E233&gt;=IF('Client &amp; Project Profile'!$B$10="",TODAY(),'Client &amp; Project Profile'!$B$10)+11*7),"■",""))</f>
        <v/>
      </c>
    </row>
    <row r="234">
      <c r="A234" s="12" t="n"/>
      <c r="B234" s="12" t="n"/>
      <c r="C234" s="12" t="n"/>
      <c r="D234" s="14" t="n"/>
      <c r="E234" s="14" t="n"/>
      <c r="F234" s="14" t="n"/>
      <c r="G234" s="12" t="n"/>
      <c r="H234" s="12" t="n"/>
      <c r="I234" s="12" t="n"/>
      <c r="J234" s="12" t="n"/>
      <c r="K234" s="12">
        <f>IF(OR($D234="",$E234=""),"",$E234-$D234+1)</f>
        <v/>
      </c>
      <c r="L234" s="12">
        <f>IF(AND($E234&lt;TODAY(),$G234&lt;&gt;"Complete"),TODAY()-$E234,0)</f>
        <v/>
      </c>
      <c r="M234" s="12">
        <f>IF(OR($D234="",$E234=""),"",IF(AND($D234&lt;=IF('Client &amp; Project Profile'!$B$10="",TODAY(),'Client &amp; Project Profile'!$B$10)+0*7+6,$E234&gt;=IF('Client &amp; Project Profile'!$B$10="",TODAY(),'Client &amp; Project Profile'!$B$10)+0*7),"■",""))</f>
        <v/>
      </c>
      <c r="N234" s="12">
        <f>IF(OR($D234="",$E234=""),"",IF(AND($D234&lt;=IF('Client &amp; Project Profile'!$B$10="",TODAY(),'Client &amp; Project Profile'!$B$10)+1*7+6,$E234&gt;=IF('Client &amp; Project Profile'!$B$10="",TODAY(),'Client &amp; Project Profile'!$B$10)+1*7),"■",""))</f>
        <v/>
      </c>
      <c r="O234" s="12">
        <f>IF(OR($D234="",$E234=""),"",IF(AND($D234&lt;=IF('Client &amp; Project Profile'!$B$10="",TODAY(),'Client &amp; Project Profile'!$B$10)+2*7+6,$E234&gt;=IF('Client &amp; Project Profile'!$B$10="",TODAY(),'Client &amp; Project Profile'!$B$10)+2*7),"■",""))</f>
        <v/>
      </c>
      <c r="P234" s="12">
        <f>IF(OR($D234="",$E234=""),"",IF(AND($D234&lt;=IF('Client &amp; Project Profile'!$B$10="",TODAY(),'Client &amp; Project Profile'!$B$10)+3*7+6,$E234&gt;=IF('Client &amp; Project Profile'!$B$10="",TODAY(),'Client &amp; Project Profile'!$B$10)+3*7),"■",""))</f>
        <v/>
      </c>
      <c r="Q234" s="12">
        <f>IF(OR($D234="",$E234=""),"",IF(AND($D234&lt;=IF('Client &amp; Project Profile'!$B$10="",TODAY(),'Client &amp; Project Profile'!$B$10)+4*7+6,$E234&gt;=IF('Client &amp; Project Profile'!$B$10="",TODAY(),'Client &amp; Project Profile'!$B$10)+4*7),"■",""))</f>
        <v/>
      </c>
      <c r="R234" s="12">
        <f>IF(OR($D234="",$E234=""),"",IF(AND($D234&lt;=IF('Client &amp; Project Profile'!$B$10="",TODAY(),'Client &amp; Project Profile'!$B$10)+5*7+6,$E234&gt;=IF('Client &amp; Project Profile'!$B$10="",TODAY(),'Client &amp; Project Profile'!$B$10)+5*7),"■",""))</f>
        <v/>
      </c>
      <c r="S234" s="12">
        <f>IF(OR($D234="",$E234=""),"",IF(AND($D234&lt;=IF('Client &amp; Project Profile'!$B$10="",TODAY(),'Client &amp; Project Profile'!$B$10)+6*7+6,$E234&gt;=IF('Client &amp; Project Profile'!$B$10="",TODAY(),'Client &amp; Project Profile'!$B$10)+6*7),"■",""))</f>
        <v/>
      </c>
      <c r="T234" s="12">
        <f>IF(OR($D234="",$E234=""),"",IF(AND($D234&lt;=IF('Client &amp; Project Profile'!$B$10="",TODAY(),'Client &amp; Project Profile'!$B$10)+7*7+6,$E234&gt;=IF('Client &amp; Project Profile'!$B$10="",TODAY(),'Client &amp; Project Profile'!$B$10)+7*7),"■",""))</f>
        <v/>
      </c>
      <c r="U234" s="12">
        <f>IF(OR($D234="",$E234=""),"",IF(AND($D234&lt;=IF('Client &amp; Project Profile'!$B$10="",TODAY(),'Client &amp; Project Profile'!$B$10)+8*7+6,$E234&gt;=IF('Client &amp; Project Profile'!$B$10="",TODAY(),'Client &amp; Project Profile'!$B$10)+8*7),"■",""))</f>
        <v/>
      </c>
      <c r="V234" s="12">
        <f>IF(OR($D234="",$E234=""),"",IF(AND($D234&lt;=IF('Client &amp; Project Profile'!$B$10="",TODAY(),'Client &amp; Project Profile'!$B$10)+9*7+6,$E234&gt;=IF('Client &amp; Project Profile'!$B$10="",TODAY(),'Client &amp; Project Profile'!$B$10)+9*7),"■",""))</f>
        <v/>
      </c>
      <c r="W234" s="12">
        <f>IF(OR($D234="",$E234=""),"",IF(AND($D234&lt;=IF('Client &amp; Project Profile'!$B$10="",TODAY(),'Client &amp; Project Profile'!$B$10)+10*7+6,$E234&gt;=IF('Client &amp; Project Profile'!$B$10="",TODAY(),'Client &amp; Project Profile'!$B$10)+10*7),"■",""))</f>
        <v/>
      </c>
      <c r="X234" s="12">
        <f>IF(OR($D234="",$E234=""),"",IF(AND($D234&lt;=IF('Client &amp; Project Profile'!$B$10="",TODAY(),'Client &amp; Project Profile'!$B$10)+11*7+6,$E234&gt;=IF('Client &amp; Project Profile'!$B$10="",TODAY(),'Client &amp; Project Profile'!$B$10)+11*7),"■",""))</f>
        <v/>
      </c>
    </row>
    <row r="235">
      <c r="D235" s="9" t="n"/>
      <c r="E235" s="9" t="n"/>
      <c r="F235" s="9" t="n"/>
      <c r="K235">
        <f>IF(OR($D235="",$E235=""),"",$E235-$D235+1)</f>
        <v/>
      </c>
      <c r="L235">
        <f>IF(AND($E235&lt;TODAY(),$G235&lt;&gt;"Complete"),TODAY()-$E235,0)</f>
        <v/>
      </c>
      <c r="M235">
        <f>IF(OR($D235="",$E235=""),"",IF(AND($D235&lt;=IF('Client &amp; Project Profile'!$B$10="",TODAY(),'Client &amp; Project Profile'!$B$10)+0*7+6,$E235&gt;=IF('Client &amp; Project Profile'!$B$10="",TODAY(),'Client &amp; Project Profile'!$B$10)+0*7),"■",""))</f>
        <v/>
      </c>
      <c r="N235">
        <f>IF(OR($D235="",$E235=""),"",IF(AND($D235&lt;=IF('Client &amp; Project Profile'!$B$10="",TODAY(),'Client &amp; Project Profile'!$B$10)+1*7+6,$E235&gt;=IF('Client &amp; Project Profile'!$B$10="",TODAY(),'Client &amp; Project Profile'!$B$10)+1*7),"■",""))</f>
        <v/>
      </c>
      <c r="O235">
        <f>IF(OR($D235="",$E235=""),"",IF(AND($D235&lt;=IF('Client &amp; Project Profile'!$B$10="",TODAY(),'Client &amp; Project Profile'!$B$10)+2*7+6,$E235&gt;=IF('Client &amp; Project Profile'!$B$10="",TODAY(),'Client &amp; Project Profile'!$B$10)+2*7),"■",""))</f>
        <v/>
      </c>
      <c r="P235">
        <f>IF(OR($D235="",$E235=""),"",IF(AND($D235&lt;=IF('Client &amp; Project Profile'!$B$10="",TODAY(),'Client &amp; Project Profile'!$B$10)+3*7+6,$E235&gt;=IF('Client &amp; Project Profile'!$B$10="",TODAY(),'Client &amp; Project Profile'!$B$10)+3*7),"■",""))</f>
        <v/>
      </c>
      <c r="Q235">
        <f>IF(OR($D235="",$E235=""),"",IF(AND($D235&lt;=IF('Client &amp; Project Profile'!$B$10="",TODAY(),'Client &amp; Project Profile'!$B$10)+4*7+6,$E235&gt;=IF('Client &amp; Project Profile'!$B$10="",TODAY(),'Client &amp; Project Profile'!$B$10)+4*7),"■",""))</f>
        <v/>
      </c>
      <c r="R235">
        <f>IF(OR($D235="",$E235=""),"",IF(AND($D235&lt;=IF('Client &amp; Project Profile'!$B$10="",TODAY(),'Client &amp; Project Profile'!$B$10)+5*7+6,$E235&gt;=IF('Client &amp; Project Profile'!$B$10="",TODAY(),'Client &amp; Project Profile'!$B$10)+5*7),"■",""))</f>
        <v/>
      </c>
      <c r="S235">
        <f>IF(OR($D235="",$E235=""),"",IF(AND($D235&lt;=IF('Client &amp; Project Profile'!$B$10="",TODAY(),'Client &amp; Project Profile'!$B$10)+6*7+6,$E235&gt;=IF('Client &amp; Project Profile'!$B$10="",TODAY(),'Client &amp; Project Profile'!$B$10)+6*7),"■",""))</f>
        <v/>
      </c>
      <c r="T235">
        <f>IF(OR($D235="",$E235=""),"",IF(AND($D235&lt;=IF('Client &amp; Project Profile'!$B$10="",TODAY(),'Client &amp; Project Profile'!$B$10)+7*7+6,$E235&gt;=IF('Client &amp; Project Profile'!$B$10="",TODAY(),'Client &amp; Project Profile'!$B$10)+7*7),"■",""))</f>
        <v/>
      </c>
      <c r="U235">
        <f>IF(OR($D235="",$E235=""),"",IF(AND($D235&lt;=IF('Client &amp; Project Profile'!$B$10="",TODAY(),'Client &amp; Project Profile'!$B$10)+8*7+6,$E235&gt;=IF('Client &amp; Project Profile'!$B$10="",TODAY(),'Client &amp; Project Profile'!$B$10)+8*7),"■",""))</f>
        <v/>
      </c>
      <c r="V235">
        <f>IF(OR($D235="",$E235=""),"",IF(AND($D235&lt;=IF('Client &amp; Project Profile'!$B$10="",TODAY(),'Client &amp; Project Profile'!$B$10)+9*7+6,$E235&gt;=IF('Client &amp; Project Profile'!$B$10="",TODAY(),'Client &amp; Project Profile'!$B$10)+9*7),"■",""))</f>
        <v/>
      </c>
      <c r="W235">
        <f>IF(OR($D235="",$E235=""),"",IF(AND($D235&lt;=IF('Client &amp; Project Profile'!$B$10="",TODAY(),'Client &amp; Project Profile'!$B$10)+10*7+6,$E235&gt;=IF('Client &amp; Project Profile'!$B$10="",TODAY(),'Client &amp; Project Profile'!$B$10)+10*7),"■",""))</f>
        <v/>
      </c>
      <c r="X235">
        <f>IF(OR($D235="",$E235=""),"",IF(AND($D235&lt;=IF('Client &amp; Project Profile'!$B$10="",TODAY(),'Client &amp; Project Profile'!$B$10)+11*7+6,$E235&gt;=IF('Client &amp; Project Profile'!$B$10="",TODAY(),'Client &amp; Project Profile'!$B$10)+11*7),"■",""))</f>
        <v/>
      </c>
    </row>
    <row r="236">
      <c r="A236" s="12" t="n"/>
      <c r="B236" s="12" t="n"/>
      <c r="C236" s="12" t="n"/>
      <c r="D236" s="14" t="n"/>
      <c r="E236" s="14" t="n"/>
      <c r="F236" s="14" t="n"/>
      <c r="G236" s="12" t="n"/>
      <c r="H236" s="12" t="n"/>
      <c r="I236" s="12" t="n"/>
      <c r="J236" s="12" t="n"/>
      <c r="K236" s="12">
        <f>IF(OR($D236="",$E236=""),"",$E236-$D236+1)</f>
        <v/>
      </c>
      <c r="L236" s="12">
        <f>IF(AND($E236&lt;TODAY(),$G236&lt;&gt;"Complete"),TODAY()-$E236,0)</f>
        <v/>
      </c>
      <c r="M236" s="12">
        <f>IF(OR($D236="",$E236=""),"",IF(AND($D236&lt;=IF('Client &amp; Project Profile'!$B$10="",TODAY(),'Client &amp; Project Profile'!$B$10)+0*7+6,$E236&gt;=IF('Client &amp; Project Profile'!$B$10="",TODAY(),'Client &amp; Project Profile'!$B$10)+0*7),"■",""))</f>
        <v/>
      </c>
      <c r="N236" s="12">
        <f>IF(OR($D236="",$E236=""),"",IF(AND($D236&lt;=IF('Client &amp; Project Profile'!$B$10="",TODAY(),'Client &amp; Project Profile'!$B$10)+1*7+6,$E236&gt;=IF('Client &amp; Project Profile'!$B$10="",TODAY(),'Client &amp; Project Profile'!$B$10)+1*7),"■",""))</f>
        <v/>
      </c>
      <c r="O236" s="12">
        <f>IF(OR($D236="",$E236=""),"",IF(AND($D236&lt;=IF('Client &amp; Project Profile'!$B$10="",TODAY(),'Client &amp; Project Profile'!$B$10)+2*7+6,$E236&gt;=IF('Client &amp; Project Profile'!$B$10="",TODAY(),'Client &amp; Project Profile'!$B$10)+2*7),"■",""))</f>
        <v/>
      </c>
      <c r="P236" s="12">
        <f>IF(OR($D236="",$E236=""),"",IF(AND($D236&lt;=IF('Client &amp; Project Profile'!$B$10="",TODAY(),'Client &amp; Project Profile'!$B$10)+3*7+6,$E236&gt;=IF('Client &amp; Project Profile'!$B$10="",TODAY(),'Client &amp; Project Profile'!$B$10)+3*7),"■",""))</f>
        <v/>
      </c>
      <c r="Q236" s="12">
        <f>IF(OR($D236="",$E236=""),"",IF(AND($D236&lt;=IF('Client &amp; Project Profile'!$B$10="",TODAY(),'Client &amp; Project Profile'!$B$10)+4*7+6,$E236&gt;=IF('Client &amp; Project Profile'!$B$10="",TODAY(),'Client &amp; Project Profile'!$B$10)+4*7),"■",""))</f>
        <v/>
      </c>
      <c r="R236" s="12">
        <f>IF(OR($D236="",$E236=""),"",IF(AND($D236&lt;=IF('Client &amp; Project Profile'!$B$10="",TODAY(),'Client &amp; Project Profile'!$B$10)+5*7+6,$E236&gt;=IF('Client &amp; Project Profile'!$B$10="",TODAY(),'Client &amp; Project Profile'!$B$10)+5*7),"■",""))</f>
        <v/>
      </c>
      <c r="S236" s="12">
        <f>IF(OR($D236="",$E236=""),"",IF(AND($D236&lt;=IF('Client &amp; Project Profile'!$B$10="",TODAY(),'Client &amp; Project Profile'!$B$10)+6*7+6,$E236&gt;=IF('Client &amp; Project Profile'!$B$10="",TODAY(),'Client &amp; Project Profile'!$B$10)+6*7),"■",""))</f>
        <v/>
      </c>
      <c r="T236" s="12">
        <f>IF(OR($D236="",$E236=""),"",IF(AND($D236&lt;=IF('Client &amp; Project Profile'!$B$10="",TODAY(),'Client &amp; Project Profile'!$B$10)+7*7+6,$E236&gt;=IF('Client &amp; Project Profile'!$B$10="",TODAY(),'Client &amp; Project Profile'!$B$10)+7*7),"■",""))</f>
        <v/>
      </c>
      <c r="U236" s="12">
        <f>IF(OR($D236="",$E236=""),"",IF(AND($D236&lt;=IF('Client &amp; Project Profile'!$B$10="",TODAY(),'Client &amp; Project Profile'!$B$10)+8*7+6,$E236&gt;=IF('Client &amp; Project Profile'!$B$10="",TODAY(),'Client &amp; Project Profile'!$B$10)+8*7),"■",""))</f>
        <v/>
      </c>
      <c r="V236" s="12">
        <f>IF(OR($D236="",$E236=""),"",IF(AND($D236&lt;=IF('Client &amp; Project Profile'!$B$10="",TODAY(),'Client &amp; Project Profile'!$B$10)+9*7+6,$E236&gt;=IF('Client &amp; Project Profile'!$B$10="",TODAY(),'Client &amp; Project Profile'!$B$10)+9*7),"■",""))</f>
        <v/>
      </c>
      <c r="W236" s="12">
        <f>IF(OR($D236="",$E236=""),"",IF(AND($D236&lt;=IF('Client &amp; Project Profile'!$B$10="",TODAY(),'Client &amp; Project Profile'!$B$10)+10*7+6,$E236&gt;=IF('Client &amp; Project Profile'!$B$10="",TODAY(),'Client &amp; Project Profile'!$B$10)+10*7),"■",""))</f>
        <v/>
      </c>
      <c r="X236" s="12">
        <f>IF(OR($D236="",$E236=""),"",IF(AND($D236&lt;=IF('Client &amp; Project Profile'!$B$10="",TODAY(),'Client &amp; Project Profile'!$B$10)+11*7+6,$E236&gt;=IF('Client &amp; Project Profile'!$B$10="",TODAY(),'Client &amp; Project Profile'!$B$10)+11*7),"■",""))</f>
        <v/>
      </c>
    </row>
    <row r="237">
      <c r="D237" s="9" t="n"/>
      <c r="E237" s="9" t="n"/>
      <c r="F237" s="9" t="n"/>
      <c r="K237">
        <f>IF(OR($D237="",$E237=""),"",$E237-$D237+1)</f>
        <v/>
      </c>
      <c r="L237">
        <f>IF(AND($E237&lt;TODAY(),$G237&lt;&gt;"Complete"),TODAY()-$E237,0)</f>
        <v/>
      </c>
      <c r="M237">
        <f>IF(OR($D237="",$E237=""),"",IF(AND($D237&lt;=IF('Client &amp; Project Profile'!$B$10="",TODAY(),'Client &amp; Project Profile'!$B$10)+0*7+6,$E237&gt;=IF('Client &amp; Project Profile'!$B$10="",TODAY(),'Client &amp; Project Profile'!$B$10)+0*7),"■",""))</f>
        <v/>
      </c>
      <c r="N237">
        <f>IF(OR($D237="",$E237=""),"",IF(AND($D237&lt;=IF('Client &amp; Project Profile'!$B$10="",TODAY(),'Client &amp; Project Profile'!$B$10)+1*7+6,$E237&gt;=IF('Client &amp; Project Profile'!$B$10="",TODAY(),'Client &amp; Project Profile'!$B$10)+1*7),"■",""))</f>
        <v/>
      </c>
      <c r="O237">
        <f>IF(OR($D237="",$E237=""),"",IF(AND($D237&lt;=IF('Client &amp; Project Profile'!$B$10="",TODAY(),'Client &amp; Project Profile'!$B$10)+2*7+6,$E237&gt;=IF('Client &amp; Project Profile'!$B$10="",TODAY(),'Client &amp; Project Profile'!$B$10)+2*7),"■",""))</f>
        <v/>
      </c>
      <c r="P237">
        <f>IF(OR($D237="",$E237=""),"",IF(AND($D237&lt;=IF('Client &amp; Project Profile'!$B$10="",TODAY(),'Client &amp; Project Profile'!$B$10)+3*7+6,$E237&gt;=IF('Client &amp; Project Profile'!$B$10="",TODAY(),'Client &amp; Project Profile'!$B$10)+3*7),"■",""))</f>
        <v/>
      </c>
      <c r="Q237">
        <f>IF(OR($D237="",$E237=""),"",IF(AND($D237&lt;=IF('Client &amp; Project Profile'!$B$10="",TODAY(),'Client &amp; Project Profile'!$B$10)+4*7+6,$E237&gt;=IF('Client &amp; Project Profile'!$B$10="",TODAY(),'Client &amp; Project Profile'!$B$10)+4*7),"■",""))</f>
        <v/>
      </c>
      <c r="R237">
        <f>IF(OR($D237="",$E237=""),"",IF(AND($D237&lt;=IF('Client &amp; Project Profile'!$B$10="",TODAY(),'Client &amp; Project Profile'!$B$10)+5*7+6,$E237&gt;=IF('Client &amp; Project Profile'!$B$10="",TODAY(),'Client &amp; Project Profile'!$B$10)+5*7),"■",""))</f>
        <v/>
      </c>
      <c r="S237">
        <f>IF(OR($D237="",$E237=""),"",IF(AND($D237&lt;=IF('Client &amp; Project Profile'!$B$10="",TODAY(),'Client &amp; Project Profile'!$B$10)+6*7+6,$E237&gt;=IF('Client &amp; Project Profile'!$B$10="",TODAY(),'Client &amp; Project Profile'!$B$10)+6*7),"■",""))</f>
        <v/>
      </c>
      <c r="T237">
        <f>IF(OR($D237="",$E237=""),"",IF(AND($D237&lt;=IF('Client &amp; Project Profile'!$B$10="",TODAY(),'Client &amp; Project Profile'!$B$10)+7*7+6,$E237&gt;=IF('Client &amp; Project Profile'!$B$10="",TODAY(),'Client &amp; Project Profile'!$B$10)+7*7),"■",""))</f>
        <v/>
      </c>
      <c r="U237">
        <f>IF(OR($D237="",$E237=""),"",IF(AND($D237&lt;=IF('Client &amp; Project Profile'!$B$10="",TODAY(),'Client &amp; Project Profile'!$B$10)+8*7+6,$E237&gt;=IF('Client &amp; Project Profile'!$B$10="",TODAY(),'Client &amp; Project Profile'!$B$10)+8*7),"■",""))</f>
        <v/>
      </c>
      <c r="V237">
        <f>IF(OR($D237="",$E237=""),"",IF(AND($D237&lt;=IF('Client &amp; Project Profile'!$B$10="",TODAY(),'Client &amp; Project Profile'!$B$10)+9*7+6,$E237&gt;=IF('Client &amp; Project Profile'!$B$10="",TODAY(),'Client &amp; Project Profile'!$B$10)+9*7),"■",""))</f>
        <v/>
      </c>
      <c r="W237">
        <f>IF(OR($D237="",$E237=""),"",IF(AND($D237&lt;=IF('Client &amp; Project Profile'!$B$10="",TODAY(),'Client &amp; Project Profile'!$B$10)+10*7+6,$E237&gt;=IF('Client &amp; Project Profile'!$B$10="",TODAY(),'Client &amp; Project Profile'!$B$10)+10*7),"■",""))</f>
        <v/>
      </c>
      <c r="X237">
        <f>IF(OR($D237="",$E237=""),"",IF(AND($D237&lt;=IF('Client &amp; Project Profile'!$B$10="",TODAY(),'Client &amp; Project Profile'!$B$10)+11*7+6,$E237&gt;=IF('Client &amp; Project Profile'!$B$10="",TODAY(),'Client &amp; Project Profile'!$B$10)+11*7),"■",""))</f>
        <v/>
      </c>
    </row>
    <row r="238">
      <c r="A238" s="12" t="n"/>
      <c r="B238" s="12" t="n"/>
      <c r="C238" s="12" t="n"/>
      <c r="D238" s="14" t="n"/>
      <c r="E238" s="14" t="n"/>
      <c r="F238" s="14" t="n"/>
      <c r="G238" s="12" t="n"/>
      <c r="H238" s="12" t="n"/>
      <c r="I238" s="12" t="n"/>
      <c r="J238" s="12" t="n"/>
      <c r="K238" s="12">
        <f>IF(OR($D238="",$E238=""),"",$E238-$D238+1)</f>
        <v/>
      </c>
      <c r="L238" s="12">
        <f>IF(AND($E238&lt;TODAY(),$G238&lt;&gt;"Complete"),TODAY()-$E238,0)</f>
        <v/>
      </c>
      <c r="M238" s="12">
        <f>IF(OR($D238="",$E238=""),"",IF(AND($D238&lt;=IF('Client &amp; Project Profile'!$B$10="",TODAY(),'Client &amp; Project Profile'!$B$10)+0*7+6,$E238&gt;=IF('Client &amp; Project Profile'!$B$10="",TODAY(),'Client &amp; Project Profile'!$B$10)+0*7),"■",""))</f>
        <v/>
      </c>
      <c r="N238" s="12">
        <f>IF(OR($D238="",$E238=""),"",IF(AND($D238&lt;=IF('Client &amp; Project Profile'!$B$10="",TODAY(),'Client &amp; Project Profile'!$B$10)+1*7+6,$E238&gt;=IF('Client &amp; Project Profile'!$B$10="",TODAY(),'Client &amp; Project Profile'!$B$10)+1*7),"■",""))</f>
        <v/>
      </c>
      <c r="O238" s="12">
        <f>IF(OR($D238="",$E238=""),"",IF(AND($D238&lt;=IF('Client &amp; Project Profile'!$B$10="",TODAY(),'Client &amp; Project Profile'!$B$10)+2*7+6,$E238&gt;=IF('Client &amp; Project Profile'!$B$10="",TODAY(),'Client &amp; Project Profile'!$B$10)+2*7),"■",""))</f>
        <v/>
      </c>
      <c r="P238" s="12">
        <f>IF(OR($D238="",$E238=""),"",IF(AND($D238&lt;=IF('Client &amp; Project Profile'!$B$10="",TODAY(),'Client &amp; Project Profile'!$B$10)+3*7+6,$E238&gt;=IF('Client &amp; Project Profile'!$B$10="",TODAY(),'Client &amp; Project Profile'!$B$10)+3*7),"■",""))</f>
        <v/>
      </c>
      <c r="Q238" s="12">
        <f>IF(OR($D238="",$E238=""),"",IF(AND($D238&lt;=IF('Client &amp; Project Profile'!$B$10="",TODAY(),'Client &amp; Project Profile'!$B$10)+4*7+6,$E238&gt;=IF('Client &amp; Project Profile'!$B$10="",TODAY(),'Client &amp; Project Profile'!$B$10)+4*7),"■",""))</f>
        <v/>
      </c>
      <c r="R238" s="12">
        <f>IF(OR($D238="",$E238=""),"",IF(AND($D238&lt;=IF('Client &amp; Project Profile'!$B$10="",TODAY(),'Client &amp; Project Profile'!$B$10)+5*7+6,$E238&gt;=IF('Client &amp; Project Profile'!$B$10="",TODAY(),'Client &amp; Project Profile'!$B$10)+5*7),"■",""))</f>
        <v/>
      </c>
      <c r="S238" s="12">
        <f>IF(OR($D238="",$E238=""),"",IF(AND($D238&lt;=IF('Client &amp; Project Profile'!$B$10="",TODAY(),'Client &amp; Project Profile'!$B$10)+6*7+6,$E238&gt;=IF('Client &amp; Project Profile'!$B$10="",TODAY(),'Client &amp; Project Profile'!$B$10)+6*7),"■",""))</f>
        <v/>
      </c>
      <c r="T238" s="12">
        <f>IF(OR($D238="",$E238=""),"",IF(AND($D238&lt;=IF('Client &amp; Project Profile'!$B$10="",TODAY(),'Client &amp; Project Profile'!$B$10)+7*7+6,$E238&gt;=IF('Client &amp; Project Profile'!$B$10="",TODAY(),'Client &amp; Project Profile'!$B$10)+7*7),"■",""))</f>
        <v/>
      </c>
      <c r="U238" s="12">
        <f>IF(OR($D238="",$E238=""),"",IF(AND($D238&lt;=IF('Client &amp; Project Profile'!$B$10="",TODAY(),'Client &amp; Project Profile'!$B$10)+8*7+6,$E238&gt;=IF('Client &amp; Project Profile'!$B$10="",TODAY(),'Client &amp; Project Profile'!$B$10)+8*7),"■",""))</f>
        <v/>
      </c>
      <c r="V238" s="12">
        <f>IF(OR($D238="",$E238=""),"",IF(AND($D238&lt;=IF('Client &amp; Project Profile'!$B$10="",TODAY(),'Client &amp; Project Profile'!$B$10)+9*7+6,$E238&gt;=IF('Client &amp; Project Profile'!$B$10="",TODAY(),'Client &amp; Project Profile'!$B$10)+9*7),"■",""))</f>
        <v/>
      </c>
      <c r="W238" s="12">
        <f>IF(OR($D238="",$E238=""),"",IF(AND($D238&lt;=IF('Client &amp; Project Profile'!$B$10="",TODAY(),'Client &amp; Project Profile'!$B$10)+10*7+6,$E238&gt;=IF('Client &amp; Project Profile'!$B$10="",TODAY(),'Client &amp; Project Profile'!$B$10)+10*7),"■",""))</f>
        <v/>
      </c>
      <c r="X238" s="12">
        <f>IF(OR($D238="",$E238=""),"",IF(AND($D238&lt;=IF('Client &amp; Project Profile'!$B$10="",TODAY(),'Client &amp; Project Profile'!$B$10)+11*7+6,$E238&gt;=IF('Client &amp; Project Profile'!$B$10="",TODAY(),'Client &amp; Project Profile'!$B$10)+11*7),"■",""))</f>
        <v/>
      </c>
    </row>
    <row r="239">
      <c r="D239" s="9" t="n"/>
      <c r="E239" s="9" t="n"/>
      <c r="F239" s="9" t="n"/>
      <c r="K239">
        <f>IF(OR($D239="",$E239=""),"",$E239-$D239+1)</f>
        <v/>
      </c>
      <c r="L239">
        <f>IF(AND($E239&lt;TODAY(),$G239&lt;&gt;"Complete"),TODAY()-$E239,0)</f>
        <v/>
      </c>
      <c r="M239">
        <f>IF(OR($D239="",$E239=""),"",IF(AND($D239&lt;=IF('Client &amp; Project Profile'!$B$10="",TODAY(),'Client &amp; Project Profile'!$B$10)+0*7+6,$E239&gt;=IF('Client &amp; Project Profile'!$B$10="",TODAY(),'Client &amp; Project Profile'!$B$10)+0*7),"■",""))</f>
        <v/>
      </c>
      <c r="N239">
        <f>IF(OR($D239="",$E239=""),"",IF(AND($D239&lt;=IF('Client &amp; Project Profile'!$B$10="",TODAY(),'Client &amp; Project Profile'!$B$10)+1*7+6,$E239&gt;=IF('Client &amp; Project Profile'!$B$10="",TODAY(),'Client &amp; Project Profile'!$B$10)+1*7),"■",""))</f>
        <v/>
      </c>
      <c r="O239">
        <f>IF(OR($D239="",$E239=""),"",IF(AND($D239&lt;=IF('Client &amp; Project Profile'!$B$10="",TODAY(),'Client &amp; Project Profile'!$B$10)+2*7+6,$E239&gt;=IF('Client &amp; Project Profile'!$B$10="",TODAY(),'Client &amp; Project Profile'!$B$10)+2*7),"■",""))</f>
        <v/>
      </c>
      <c r="P239">
        <f>IF(OR($D239="",$E239=""),"",IF(AND($D239&lt;=IF('Client &amp; Project Profile'!$B$10="",TODAY(),'Client &amp; Project Profile'!$B$10)+3*7+6,$E239&gt;=IF('Client &amp; Project Profile'!$B$10="",TODAY(),'Client &amp; Project Profile'!$B$10)+3*7),"■",""))</f>
        <v/>
      </c>
      <c r="Q239">
        <f>IF(OR($D239="",$E239=""),"",IF(AND($D239&lt;=IF('Client &amp; Project Profile'!$B$10="",TODAY(),'Client &amp; Project Profile'!$B$10)+4*7+6,$E239&gt;=IF('Client &amp; Project Profile'!$B$10="",TODAY(),'Client &amp; Project Profile'!$B$10)+4*7),"■",""))</f>
        <v/>
      </c>
      <c r="R239">
        <f>IF(OR($D239="",$E239=""),"",IF(AND($D239&lt;=IF('Client &amp; Project Profile'!$B$10="",TODAY(),'Client &amp; Project Profile'!$B$10)+5*7+6,$E239&gt;=IF('Client &amp; Project Profile'!$B$10="",TODAY(),'Client &amp; Project Profile'!$B$10)+5*7),"■",""))</f>
        <v/>
      </c>
      <c r="S239">
        <f>IF(OR($D239="",$E239=""),"",IF(AND($D239&lt;=IF('Client &amp; Project Profile'!$B$10="",TODAY(),'Client &amp; Project Profile'!$B$10)+6*7+6,$E239&gt;=IF('Client &amp; Project Profile'!$B$10="",TODAY(),'Client &amp; Project Profile'!$B$10)+6*7),"■",""))</f>
        <v/>
      </c>
      <c r="T239">
        <f>IF(OR($D239="",$E239=""),"",IF(AND($D239&lt;=IF('Client &amp; Project Profile'!$B$10="",TODAY(),'Client &amp; Project Profile'!$B$10)+7*7+6,$E239&gt;=IF('Client &amp; Project Profile'!$B$10="",TODAY(),'Client &amp; Project Profile'!$B$10)+7*7),"■",""))</f>
        <v/>
      </c>
      <c r="U239">
        <f>IF(OR($D239="",$E239=""),"",IF(AND($D239&lt;=IF('Client &amp; Project Profile'!$B$10="",TODAY(),'Client &amp; Project Profile'!$B$10)+8*7+6,$E239&gt;=IF('Client &amp; Project Profile'!$B$10="",TODAY(),'Client &amp; Project Profile'!$B$10)+8*7),"■",""))</f>
        <v/>
      </c>
      <c r="V239">
        <f>IF(OR($D239="",$E239=""),"",IF(AND($D239&lt;=IF('Client &amp; Project Profile'!$B$10="",TODAY(),'Client &amp; Project Profile'!$B$10)+9*7+6,$E239&gt;=IF('Client &amp; Project Profile'!$B$10="",TODAY(),'Client &amp; Project Profile'!$B$10)+9*7),"■",""))</f>
        <v/>
      </c>
      <c r="W239">
        <f>IF(OR($D239="",$E239=""),"",IF(AND($D239&lt;=IF('Client &amp; Project Profile'!$B$10="",TODAY(),'Client &amp; Project Profile'!$B$10)+10*7+6,$E239&gt;=IF('Client &amp; Project Profile'!$B$10="",TODAY(),'Client &amp; Project Profile'!$B$10)+10*7),"■",""))</f>
        <v/>
      </c>
      <c r="X239">
        <f>IF(OR($D239="",$E239=""),"",IF(AND($D239&lt;=IF('Client &amp; Project Profile'!$B$10="",TODAY(),'Client &amp; Project Profile'!$B$10)+11*7+6,$E239&gt;=IF('Client &amp; Project Profile'!$B$10="",TODAY(),'Client &amp; Project Profile'!$B$10)+11*7),"■",""))</f>
        <v/>
      </c>
    </row>
    <row r="240">
      <c r="A240" s="12" t="n"/>
      <c r="B240" s="12" t="n"/>
      <c r="C240" s="12" t="n"/>
      <c r="D240" s="14" t="n"/>
      <c r="E240" s="14" t="n"/>
      <c r="F240" s="14" t="n"/>
      <c r="G240" s="12" t="n"/>
      <c r="H240" s="12" t="n"/>
      <c r="I240" s="12" t="n"/>
      <c r="J240" s="12" t="n"/>
      <c r="K240" s="12">
        <f>IF(OR($D240="",$E240=""),"",$E240-$D240+1)</f>
        <v/>
      </c>
      <c r="L240" s="12">
        <f>IF(AND($E240&lt;TODAY(),$G240&lt;&gt;"Complete"),TODAY()-$E240,0)</f>
        <v/>
      </c>
      <c r="M240" s="12">
        <f>IF(OR($D240="",$E240=""),"",IF(AND($D240&lt;=IF('Client &amp; Project Profile'!$B$10="",TODAY(),'Client &amp; Project Profile'!$B$10)+0*7+6,$E240&gt;=IF('Client &amp; Project Profile'!$B$10="",TODAY(),'Client &amp; Project Profile'!$B$10)+0*7),"■",""))</f>
        <v/>
      </c>
      <c r="N240" s="12">
        <f>IF(OR($D240="",$E240=""),"",IF(AND($D240&lt;=IF('Client &amp; Project Profile'!$B$10="",TODAY(),'Client &amp; Project Profile'!$B$10)+1*7+6,$E240&gt;=IF('Client &amp; Project Profile'!$B$10="",TODAY(),'Client &amp; Project Profile'!$B$10)+1*7),"■",""))</f>
        <v/>
      </c>
      <c r="O240" s="12">
        <f>IF(OR($D240="",$E240=""),"",IF(AND($D240&lt;=IF('Client &amp; Project Profile'!$B$10="",TODAY(),'Client &amp; Project Profile'!$B$10)+2*7+6,$E240&gt;=IF('Client &amp; Project Profile'!$B$10="",TODAY(),'Client &amp; Project Profile'!$B$10)+2*7),"■",""))</f>
        <v/>
      </c>
      <c r="P240" s="12">
        <f>IF(OR($D240="",$E240=""),"",IF(AND($D240&lt;=IF('Client &amp; Project Profile'!$B$10="",TODAY(),'Client &amp; Project Profile'!$B$10)+3*7+6,$E240&gt;=IF('Client &amp; Project Profile'!$B$10="",TODAY(),'Client &amp; Project Profile'!$B$10)+3*7),"■",""))</f>
        <v/>
      </c>
      <c r="Q240" s="12">
        <f>IF(OR($D240="",$E240=""),"",IF(AND($D240&lt;=IF('Client &amp; Project Profile'!$B$10="",TODAY(),'Client &amp; Project Profile'!$B$10)+4*7+6,$E240&gt;=IF('Client &amp; Project Profile'!$B$10="",TODAY(),'Client &amp; Project Profile'!$B$10)+4*7),"■",""))</f>
        <v/>
      </c>
      <c r="R240" s="12">
        <f>IF(OR($D240="",$E240=""),"",IF(AND($D240&lt;=IF('Client &amp; Project Profile'!$B$10="",TODAY(),'Client &amp; Project Profile'!$B$10)+5*7+6,$E240&gt;=IF('Client &amp; Project Profile'!$B$10="",TODAY(),'Client &amp; Project Profile'!$B$10)+5*7),"■",""))</f>
        <v/>
      </c>
      <c r="S240" s="12">
        <f>IF(OR($D240="",$E240=""),"",IF(AND($D240&lt;=IF('Client &amp; Project Profile'!$B$10="",TODAY(),'Client &amp; Project Profile'!$B$10)+6*7+6,$E240&gt;=IF('Client &amp; Project Profile'!$B$10="",TODAY(),'Client &amp; Project Profile'!$B$10)+6*7),"■",""))</f>
        <v/>
      </c>
      <c r="T240" s="12">
        <f>IF(OR($D240="",$E240=""),"",IF(AND($D240&lt;=IF('Client &amp; Project Profile'!$B$10="",TODAY(),'Client &amp; Project Profile'!$B$10)+7*7+6,$E240&gt;=IF('Client &amp; Project Profile'!$B$10="",TODAY(),'Client &amp; Project Profile'!$B$10)+7*7),"■",""))</f>
        <v/>
      </c>
      <c r="U240" s="12">
        <f>IF(OR($D240="",$E240=""),"",IF(AND($D240&lt;=IF('Client &amp; Project Profile'!$B$10="",TODAY(),'Client &amp; Project Profile'!$B$10)+8*7+6,$E240&gt;=IF('Client &amp; Project Profile'!$B$10="",TODAY(),'Client &amp; Project Profile'!$B$10)+8*7),"■",""))</f>
        <v/>
      </c>
      <c r="V240" s="12">
        <f>IF(OR($D240="",$E240=""),"",IF(AND($D240&lt;=IF('Client &amp; Project Profile'!$B$10="",TODAY(),'Client &amp; Project Profile'!$B$10)+9*7+6,$E240&gt;=IF('Client &amp; Project Profile'!$B$10="",TODAY(),'Client &amp; Project Profile'!$B$10)+9*7),"■",""))</f>
        <v/>
      </c>
      <c r="W240" s="12">
        <f>IF(OR($D240="",$E240=""),"",IF(AND($D240&lt;=IF('Client &amp; Project Profile'!$B$10="",TODAY(),'Client &amp; Project Profile'!$B$10)+10*7+6,$E240&gt;=IF('Client &amp; Project Profile'!$B$10="",TODAY(),'Client &amp; Project Profile'!$B$10)+10*7),"■",""))</f>
        <v/>
      </c>
      <c r="X240" s="12">
        <f>IF(OR($D240="",$E240=""),"",IF(AND($D240&lt;=IF('Client &amp; Project Profile'!$B$10="",TODAY(),'Client &amp; Project Profile'!$B$10)+11*7+6,$E240&gt;=IF('Client &amp; Project Profile'!$B$10="",TODAY(),'Client &amp; Project Profile'!$B$10)+11*7),"■",""))</f>
        <v/>
      </c>
    </row>
    <row r="241">
      <c r="D241" s="9" t="n"/>
      <c r="E241" s="9" t="n"/>
      <c r="F241" s="9" t="n"/>
      <c r="K241">
        <f>IF(OR($D241="",$E241=""),"",$E241-$D241+1)</f>
        <v/>
      </c>
      <c r="L241">
        <f>IF(AND($E241&lt;TODAY(),$G241&lt;&gt;"Complete"),TODAY()-$E241,0)</f>
        <v/>
      </c>
      <c r="M241">
        <f>IF(OR($D241="",$E241=""),"",IF(AND($D241&lt;=IF('Client &amp; Project Profile'!$B$10="",TODAY(),'Client &amp; Project Profile'!$B$10)+0*7+6,$E241&gt;=IF('Client &amp; Project Profile'!$B$10="",TODAY(),'Client &amp; Project Profile'!$B$10)+0*7),"■",""))</f>
        <v/>
      </c>
      <c r="N241">
        <f>IF(OR($D241="",$E241=""),"",IF(AND($D241&lt;=IF('Client &amp; Project Profile'!$B$10="",TODAY(),'Client &amp; Project Profile'!$B$10)+1*7+6,$E241&gt;=IF('Client &amp; Project Profile'!$B$10="",TODAY(),'Client &amp; Project Profile'!$B$10)+1*7),"■",""))</f>
        <v/>
      </c>
      <c r="O241">
        <f>IF(OR($D241="",$E241=""),"",IF(AND($D241&lt;=IF('Client &amp; Project Profile'!$B$10="",TODAY(),'Client &amp; Project Profile'!$B$10)+2*7+6,$E241&gt;=IF('Client &amp; Project Profile'!$B$10="",TODAY(),'Client &amp; Project Profile'!$B$10)+2*7),"■",""))</f>
        <v/>
      </c>
      <c r="P241">
        <f>IF(OR($D241="",$E241=""),"",IF(AND($D241&lt;=IF('Client &amp; Project Profile'!$B$10="",TODAY(),'Client &amp; Project Profile'!$B$10)+3*7+6,$E241&gt;=IF('Client &amp; Project Profile'!$B$10="",TODAY(),'Client &amp; Project Profile'!$B$10)+3*7),"■",""))</f>
        <v/>
      </c>
      <c r="Q241">
        <f>IF(OR($D241="",$E241=""),"",IF(AND($D241&lt;=IF('Client &amp; Project Profile'!$B$10="",TODAY(),'Client &amp; Project Profile'!$B$10)+4*7+6,$E241&gt;=IF('Client &amp; Project Profile'!$B$10="",TODAY(),'Client &amp; Project Profile'!$B$10)+4*7),"■",""))</f>
        <v/>
      </c>
      <c r="R241">
        <f>IF(OR($D241="",$E241=""),"",IF(AND($D241&lt;=IF('Client &amp; Project Profile'!$B$10="",TODAY(),'Client &amp; Project Profile'!$B$10)+5*7+6,$E241&gt;=IF('Client &amp; Project Profile'!$B$10="",TODAY(),'Client &amp; Project Profile'!$B$10)+5*7),"■",""))</f>
        <v/>
      </c>
      <c r="S241">
        <f>IF(OR($D241="",$E241=""),"",IF(AND($D241&lt;=IF('Client &amp; Project Profile'!$B$10="",TODAY(),'Client &amp; Project Profile'!$B$10)+6*7+6,$E241&gt;=IF('Client &amp; Project Profile'!$B$10="",TODAY(),'Client &amp; Project Profile'!$B$10)+6*7),"■",""))</f>
        <v/>
      </c>
      <c r="T241">
        <f>IF(OR($D241="",$E241=""),"",IF(AND($D241&lt;=IF('Client &amp; Project Profile'!$B$10="",TODAY(),'Client &amp; Project Profile'!$B$10)+7*7+6,$E241&gt;=IF('Client &amp; Project Profile'!$B$10="",TODAY(),'Client &amp; Project Profile'!$B$10)+7*7),"■",""))</f>
        <v/>
      </c>
      <c r="U241">
        <f>IF(OR($D241="",$E241=""),"",IF(AND($D241&lt;=IF('Client &amp; Project Profile'!$B$10="",TODAY(),'Client &amp; Project Profile'!$B$10)+8*7+6,$E241&gt;=IF('Client &amp; Project Profile'!$B$10="",TODAY(),'Client &amp; Project Profile'!$B$10)+8*7),"■",""))</f>
        <v/>
      </c>
      <c r="V241">
        <f>IF(OR($D241="",$E241=""),"",IF(AND($D241&lt;=IF('Client &amp; Project Profile'!$B$10="",TODAY(),'Client &amp; Project Profile'!$B$10)+9*7+6,$E241&gt;=IF('Client &amp; Project Profile'!$B$10="",TODAY(),'Client &amp; Project Profile'!$B$10)+9*7),"■",""))</f>
        <v/>
      </c>
      <c r="W241">
        <f>IF(OR($D241="",$E241=""),"",IF(AND($D241&lt;=IF('Client &amp; Project Profile'!$B$10="",TODAY(),'Client &amp; Project Profile'!$B$10)+10*7+6,$E241&gt;=IF('Client &amp; Project Profile'!$B$10="",TODAY(),'Client &amp; Project Profile'!$B$10)+10*7),"■",""))</f>
        <v/>
      </c>
      <c r="X241">
        <f>IF(OR($D241="",$E241=""),"",IF(AND($D241&lt;=IF('Client &amp; Project Profile'!$B$10="",TODAY(),'Client &amp; Project Profile'!$B$10)+11*7+6,$E241&gt;=IF('Client &amp; Project Profile'!$B$10="",TODAY(),'Client &amp; Project Profile'!$B$10)+11*7),"■",""))</f>
        <v/>
      </c>
    </row>
    <row r="242">
      <c r="A242" s="12" t="n"/>
      <c r="B242" s="12" t="n"/>
      <c r="C242" s="12" t="n"/>
      <c r="D242" s="14" t="n"/>
      <c r="E242" s="14" t="n"/>
      <c r="F242" s="14" t="n"/>
      <c r="G242" s="12" t="n"/>
      <c r="H242" s="12" t="n"/>
      <c r="I242" s="12" t="n"/>
      <c r="J242" s="12" t="n"/>
      <c r="K242" s="12">
        <f>IF(OR($D242="",$E242=""),"",$E242-$D242+1)</f>
        <v/>
      </c>
      <c r="L242" s="12">
        <f>IF(AND($E242&lt;TODAY(),$G242&lt;&gt;"Complete"),TODAY()-$E242,0)</f>
        <v/>
      </c>
      <c r="M242" s="12">
        <f>IF(OR($D242="",$E242=""),"",IF(AND($D242&lt;=IF('Client &amp; Project Profile'!$B$10="",TODAY(),'Client &amp; Project Profile'!$B$10)+0*7+6,$E242&gt;=IF('Client &amp; Project Profile'!$B$10="",TODAY(),'Client &amp; Project Profile'!$B$10)+0*7),"■",""))</f>
        <v/>
      </c>
      <c r="N242" s="12">
        <f>IF(OR($D242="",$E242=""),"",IF(AND($D242&lt;=IF('Client &amp; Project Profile'!$B$10="",TODAY(),'Client &amp; Project Profile'!$B$10)+1*7+6,$E242&gt;=IF('Client &amp; Project Profile'!$B$10="",TODAY(),'Client &amp; Project Profile'!$B$10)+1*7),"■",""))</f>
        <v/>
      </c>
      <c r="O242" s="12">
        <f>IF(OR($D242="",$E242=""),"",IF(AND($D242&lt;=IF('Client &amp; Project Profile'!$B$10="",TODAY(),'Client &amp; Project Profile'!$B$10)+2*7+6,$E242&gt;=IF('Client &amp; Project Profile'!$B$10="",TODAY(),'Client &amp; Project Profile'!$B$10)+2*7),"■",""))</f>
        <v/>
      </c>
      <c r="P242" s="12">
        <f>IF(OR($D242="",$E242=""),"",IF(AND($D242&lt;=IF('Client &amp; Project Profile'!$B$10="",TODAY(),'Client &amp; Project Profile'!$B$10)+3*7+6,$E242&gt;=IF('Client &amp; Project Profile'!$B$10="",TODAY(),'Client &amp; Project Profile'!$B$10)+3*7),"■",""))</f>
        <v/>
      </c>
      <c r="Q242" s="12">
        <f>IF(OR($D242="",$E242=""),"",IF(AND($D242&lt;=IF('Client &amp; Project Profile'!$B$10="",TODAY(),'Client &amp; Project Profile'!$B$10)+4*7+6,$E242&gt;=IF('Client &amp; Project Profile'!$B$10="",TODAY(),'Client &amp; Project Profile'!$B$10)+4*7),"■",""))</f>
        <v/>
      </c>
      <c r="R242" s="12">
        <f>IF(OR($D242="",$E242=""),"",IF(AND($D242&lt;=IF('Client &amp; Project Profile'!$B$10="",TODAY(),'Client &amp; Project Profile'!$B$10)+5*7+6,$E242&gt;=IF('Client &amp; Project Profile'!$B$10="",TODAY(),'Client &amp; Project Profile'!$B$10)+5*7),"■",""))</f>
        <v/>
      </c>
      <c r="S242" s="12">
        <f>IF(OR($D242="",$E242=""),"",IF(AND($D242&lt;=IF('Client &amp; Project Profile'!$B$10="",TODAY(),'Client &amp; Project Profile'!$B$10)+6*7+6,$E242&gt;=IF('Client &amp; Project Profile'!$B$10="",TODAY(),'Client &amp; Project Profile'!$B$10)+6*7),"■",""))</f>
        <v/>
      </c>
      <c r="T242" s="12">
        <f>IF(OR($D242="",$E242=""),"",IF(AND($D242&lt;=IF('Client &amp; Project Profile'!$B$10="",TODAY(),'Client &amp; Project Profile'!$B$10)+7*7+6,$E242&gt;=IF('Client &amp; Project Profile'!$B$10="",TODAY(),'Client &amp; Project Profile'!$B$10)+7*7),"■",""))</f>
        <v/>
      </c>
      <c r="U242" s="12">
        <f>IF(OR($D242="",$E242=""),"",IF(AND($D242&lt;=IF('Client &amp; Project Profile'!$B$10="",TODAY(),'Client &amp; Project Profile'!$B$10)+8*7+6,$E242&gt;=IF('Client &amp; Project Profile'!$B$10="",TODAY(),'Client &amp; Project Profile'!$B$10)+8*7),"■",""))</f>
        <v/>
      </c>
      <c r="V242" s="12">
        <f>IF(OR($D242="",$E242=""),"",IF(AND($D242&lt;=IF('Client &amp; Project Profile'!$B$10="",TODAY(),'Client &amp; Project Profile'!$B$10)+9*7+6,$E242&gt;=IF('Client &amp; Project Profile'!$B$10="",TODAY(),'Client &amp; Project Profile'!$B$10)+9*7),"■",""))</f>
        <v/>
      </c>
      <c r="W242" s="12">
        <f>IF(OR($D242="",$E242=""),"",IF(AND($D242&lt;=IF('Client &amp; Project Profile'!$B$10="",TODAY(),'Client &amp; Project Profile'!$B$10)+10*7+6,$E242&gt;=IF('Client &amp; Project Profile'!$B$10="",TODAY(),'Client &amp; Project Profile'!$B$10)+10*7),"■",""))</f>
        <v/>
      </c>
      <c r="X242" s="12">
        <f>IF(OR($D242="",$E242=""),"",IF(AND($D242&lt;=IF('Client &amp; Project Profile'!$B$10="",TODAY(),'Client &amp; Project Profile'!$B$10)+11*7+6,$E242&gt;=IF('Client &amp; Project Profile'!$B$10="",TODAY(),'Client &amp; Project Profile'!$B$10)+11*7),"■",""))</f>
        <v/>
      </c>
    </row>
    <row r="243">
      <c r="D243" s="9" t="n"/>
      <c r="E243" s="9" t="n"/>
      <c r="F243" s="9" t="n"/>
      <c r="K243">
        <f>IF(OR($D243="",$E243=""),"",$E243-$D243+1)</f>
        <v/>
      </c>
      <c r="L243">
        <f>IF(AND($E243&lt;TODAY(),$G243&lt;&gt;"Complete"),TODAY()-$E243,0)</f>
        <v/>
      </c>
      <c r="M243">
        <f>IF(OR($D243="",$E243=""),"",IF(AND($D243&lt;=IF('Client &amp; Project Profile'!$B$10="",TODAY(),'Client &amp; Project Profile'!$B$10)+0*7+6,$E243&gt;=IF('Client &amp; Project Profile'!$B$10="",TODAY(),'Client &amp; Project Profile'!$B$10)+0*7),"■",""))</f>
        <v/>
      </c>
      <c r="N243">
        <f>IF(OR($D243="",$E243=""),"",IF(AND($D243&lt;=IF('Client &amp; Project Profile'!$B$10="",TODAY(),'Client &amp; Project Profile'!$B$10)+1*7+6,$E243&gt;=IF('Client &amp; Project Profile'!$B$10="",TODAY(),'Client &amp; Project Profile'!$B$10)+1*7),"■",""))</f>
        <v/>
      </c>
      <c r="O243">
        <f>IF(OR($D243="",$E243=""),"",IF(AND($D243&lt;=IF('Client &amp; Project Profile'!$B$10="",TODAY(),'Client &amp; Project Profile'!$B$10)+2*7+6,$E243&gt;=IF('Client &amp; Project Profile'!$B$10="",TODAY(),'Client &amp; Project Profile'!$B$10)+2*7),"■",""))</f>
        <v/>
      </c>
      <c r="P243">
        <f>IF(OR($D243="",$E243=""),"",IF(AND($D243&lt;=IF('Client &amp; Project Profile'!$B$10="",TODAY(),'Client &amp; Project Profile'!$B$10)+3*7+6,$E243&gt;=IF('Client &amp; Project Profile'!$B$10="",TODAY(),'Client &amp; Project Profile'!$B$10)+3*7),"■",""))</f>
        <v/>
      </c>
      <c r="Q243">
        <f>IF(OR($D243="",$E243=""),"",IF(AND($D243&lt;=IF('Client &amp; Project Profile'!$B$10="",TODAY(),'Client &amp; Project Profile'!$B$10)+4*7+6,$E243&gt;=IF('Client &amp; Project Profile'!$B$10="",TODAY(),'Client &amp; Project Profile'!$B$10)+4*7),"■",""))</f>
        <v/>
      </c>
      <c r="R243">
        <f>IF(OR($D243="",$E243=""),"",IF(AND($D243&lt;=IF('Client &amp; Project Profile'!$B$10="",TODAY(),'Client &amp; Project Profile'!$B$10)+5*7+6,$E243&gt;=IF('Client &amp; Project Profile'!$B$10="",TODAY(),'Client &amp; Project Profile'!$B$10)+5*7),"■",""))</f>
        <v/>
      </c>
      <c r="S243">
        <f>IF(OR($D243="",$E243=""),"",IF(AND($D243&lt;=IF('Client &amp; Project Profile'!$B$10="",TODAY(),'Client &amp; Project Profile'!$B$10)+6*7+6,$E243&gt;=IF('Client &amp; Project Profile'!$B$10="",TODAY(),'Client &amp; Project Profile'!$B$10)+6*7),"■",""))</f>
        <v/>
      </c>
      <c r="T243">
        <f>IF(OR($D243="",$E243=""),"",IF(AND($D243&lt;=IF('Client &amp; Project Profile'!$B$10="",TODAY(),'Client &amp; Project Profile'!$B$10)+7*7+6,$E243&gt;=IF('Client &amp; Project Profile'!$B$10="",TODAY(),'Client &amp; Project Profile'!$B$10)+7*7),"■",""))</f>
        <v/>
      </c>
      <c r="U243">
        <f>IF(OR($D243="",$E243=""),"",IF(AND($D243&lt;=IF('Client &amp; Project Profile'!$B$10="",TODAY(),'Client &amp; Project Profile'!$B$10)+8*7+6,$E243&gt;=IF('Client &amp; Project Profile'!$B$10="",TODAY(),'Client &amp; Project Profile'!$B$10)+8*7),"■",""))</f>
        <v/>
      </c>
      <c r="V243">
        <f>IF(OR($D243="",$E243=""),"",IF(AND($D243&lt;=IF('Client &amp; Project Profile'!$B$10="",TODAY(),'Client &amp; Project Profile'!$B$10)+9*7+6,$E243&gt;=IF('Client &amp; Project Profile'!$B$10="",TODAY(),'Client &amp; Project Profile'!$B$10)+9*7),"■",""))</f>
        <v/>
      </c>
      <c r="W243">
        <f>IF(OR($D243="",$E243=""),"",IF(AND($D243&lt;=IF('Client &amp; Project Profile'!$B$10="",TODAY(),'Client &amp; Project Profile'!$B$10)+10*7+6,$E243&gt;=IF('Client &amp; Project Profile'!$B$10="",TODAY(),'Client &amp; Project Profile'!$B$10)+10*7),"■",""))</f>
        <v/>
      </c>
      <c r="X243">
        <f>IF(OR($D243="",$E243=""),"",IF(AND($D243&lt;=IF('Client &amp; Project Profile'!$B$10="",TODAY(),'Client &amp; Project Profile'!$B$10)+11*7+6,$E243&gt;=IF('Client &amp; Project Profile'!$B$10="",TODAY(),'Client &amp; Project Profile'!$B$10)+11*7),"■",""))</f>
        <v/>
      </c>
    </row>
    <row r="244">
      <c r="A244" s="12" t="n"/>
      <c r="B244" s="12" t="n"/>
      <c r="C244" s="12" t="n"/>
      <c r="D244" s="14" t="n"/>
      <c r="E244" s="14" t="n"/>
      <c r="F244" s="14" t="n"/>
      <c r="G244" s="12" t="n"/>
      <c r="H244" s="12" t="n"/>
      <c r="I244" s="12" t="n"/>
      <c r="J244" s="12" t="n"/>
      <c r="K244" s="12">
        <f>IF(OR($D244="",$E244=""),"",$E244-$D244+1)</f>
        <v/>
      </c>
      <c r="L244" s="12">
        <f>IF(AND($E244&lt;TODAY(),$G244&lt;&gt;"Complete"),TODAY()-$E244,0)</f>
        <v/>
      </c>
      <c r="M244" s="12">
        <f>IF(OR($D244="",$E244=""),"",IF(AND($D244&lt;=IF('Client &amp; Project Profile'!$B$10="",TODAY(),'Client &amp; Project Profile'!$B$10)+0*7+6,$E244&gt;=IF('Client &amp; Project Profile'!$B$10="",TODAY(),'Client &amp; Project Profile'!$B$10)+0*7),"■",""))</f>
        <v/>
      </c>
      <c r="N244" s="12">
        <f>IF(OR($D244="",$E244=""),"",IF(AND($D244&lt;=IF('Client &amp; Project Profile'!$B$10="",TODAY(),'Client &amp; Project Profile'!$B$10)+1*7+6,$E244&gt;=IF('Client &amp; Project Profile'!$B$10="",TODAY(),'Client &amp; Project Profile'!$B$10)+1*7),"■",""))</f>
        <v/>
      </c>
      <c r="O244" s="12">
        <f>IF(OR($D244="",$E244=""),"",IF(AND($D244&lt;=IF('Client &amp; Project Profile'!$B$10="",TODAY(),'Client &amp; Project Profile'!$B$10)+2*7+6,$E244&gt;=IF('Client &amp; Project Profile'!$B$10="",TODAY(),'Client &amp; Project Profile'!$B$10)+2*7),"■",""))</f>
        <v/>
      </c>
      <c r="P244" s="12">
        <f>IF(OR($D244="",$E244=""),"",IF(AND($D244&lt;=IF('Client &amp; Project Profile'!$B$10="",TODAY(),'Client &amp; Project Profile'!$B$10)+3*7+6,$E244&gt;=IF('Client &amp; Project Profile'!$B$10="",TODAY(),'Client &amp; Project Profile'!$B$10)+3*7),"■",""))</f>
        <v/>
      </c>
      <c r="Q244" s="12">
        <f>IF(OR($D244="",$E244=""),"",IF(AND($D244&lt;=IF('Client &amp; Project Profile'!$B$10="",TODAY(),'Client &amp; Project Profile'!$B$10)+4*7+6,$E244&gt;=IF('Client &amp; Project Profile'!$B$10="",TODAY(),'Client &amp; Project Profile'!$B$10)+4*7),"■",""))</f>
        <v/>
      </c>
      <c r="R244" s="12">
        <f>IF(OR($D244="",$E244=""),"",IF(AND($D244&lt;=IF('Client &amp; Project Profile'!$B$10="",TODAY(),'Client &amp; Project Profile'!$B$10)+5*7+6,$E244&gt;=IF('Client &amp; Project Profile'!$B$10="",TODAY(),'Client &amp; Project Profile'!$B$10)+5*7),"■",""))</f>
        <v/>
      </c>
      <c r="S244" s="12">
        <f>IF(OR($D244="",$E244=""),"",IF(AND($D244&lt;=IF('Client &amp; Project Profile'!$B$10="",TODAY(),'Client &amp; Project Profile'!$B$10)+6*7+6,$E244&gt;=IF('Client &amp; Project Profile'!$B$10="",TODAY(),'Client &amp; Project Profile'!$B$10)+6*7),"■",""))</f>
        <v/>
      </c>
      <c r="T244" s="12">
        <f>IF(OR($D244="",$E244=""),"",IF(AND($D244&lt;=IF('Client &amp; Project Profile'!$B$10="",TODAY(),'Client &amp; Project Profile'!$B$10)+7*7+6,$E244&gt;=IF('Client &amp; Project Profile'!$B$10="",TODAY(),'Client &amp; Project Profile'!$B$10)+7*7),"■",""))</f>
        <v/>
      </c>
      <c r="U244" s="12">
        <f>IF(OR($D244="",$E244=""),"",IF(AND($D244&lt;=IF('Client &amp; Project Profile'!$B$10="",TODAY(),'Client &amp; Project Profile'!$B$10)+8*7+6,$E244&gt;=IF('Client &amp; Project Profile'!$B$10="",TODAY(),'Client &amp; Project Profile'!$B$10)+8*7),"■",""))</f>
        <v/>
      </c>
      <c r="V244" s="12">
        <f>IF(OR($D244="",$E244=""),"",IF(AND($D244&lt;=IF('Client &amp; Project Profile'!$B$10="",TODAY(),'Client &amp; Project Profile'!$B$10)+9*7+6,$E244&gt;=IF('Client &amp; Project Profile'!$B$10="",TODAY(),'Client &amp; Project Profile'!$B$10)+9*7),"■",""))</f>
        <v/>
      </c>
      <c r="W244" s="12">
        <f>IF(OR($D244="",$E244=""),"",IF(AND($D244&lt;=IF('Client &amp; Project Profile'!$B$10="",TODAY(),'Client &amp; Project Profile'!$B$10)+10*7+6,$E244&gt;=IF('Client &amp; Project Profile'!$B$10="",TODAY(),'Client &amp; Project Profile'!$B$10)+10*7),"■",""))</f>
        <v/>
      </c>
      <c r="X244" s="12">
        <f>IF(OR($D244="",$E244=""),"",IF(AND($D244&lt;=IF('Client &amp; Project Profile'!$B$10="",TODAY(),'Client &amp; Project Profile'!$B$10)+11*7+6,$E244&gt;=IF('Client &amp; Project Profile'!$B$10="",TODAY(),'Client &amp; Project Profile'!$B$10)+11*7),"■",""))</f>
        <v/>
      </c>
    </row>
    <row r="245">
      <c r="D245" s="9" t="n"/>
      <c r="E245" s="9" t="n"/>
      <c r="F245" s="9" t="n"/>
      <c r="K245">
        <f>IF(OR($D245="",$E245=""),"",$E245-$D245+1)</f>
        <v/>
      </c>
      <c r="L245">
        <f>IF(AND($E245&lt;TODAY(),$G245&lt;&gt;"Complete"),TODAY()-$E245,0)</f>
        <v/>
      </c>
      <c r="M245">
        <f>IF(OR($D245="",$E245=""),"",IF(AND($D245&lt;=IF('Client &amp; Project Profile'!$B$10="",TODAY(),'Client &amp; Project Profile'!$B$10)+0*7+6,$E245&gt;=IF('Client &amp; Project Profile'!$B$10="",TODAY(),'Client &amp; Project Profile'!$B$10)+0*7),"■",""))</f>
        <v/>
      </c>
      <c r="N245">
        <f>IF(OR($D245="",$E245=""),"",IF(AND($D245&lt;=IF('Client &amp; Project Profile'!$B$10="",TODAY(),'Client &amp; Project Profile'!$B$10)+1*7+6,$E245&gt;=IF('Client &amp; Project Profile'!$B$10="",TODAY(),'Client &amp; Project Profile'!$B$10)+1*7),"■",""))</f>
        <v/>
      </c>
      <c r="O245">
        <f>IF(OR($D245="",$E245=""),"",IF(AND($D245&lt;=IF('Client &amp; Project Profile'!$B$10="",TODAY(),'Client &amp; Project Profile'!$B$10)+2*7+6,$E245&gt;=IF('Client &amp; Project Profile'!$B$10="",TODAY(),'Client &amp; Project Profile'!$B$10)+2*7),"■",""))</f>
        <v/>
      </c>
      <c r="P245">
        <f>IF(OR($D245="",$E245=""),"",IF(AND($D245&lt;=IF('Client &amp; Project Profile'!$B$10="",TODAY(),'Client &amp; Project Profile'!$B$10)+3*7+6,$E245&gt;=IF('Client &amp; Project Profile'!$B$10="",TODAY(),'Client &amp; Project Profile'!$B$10)+3*7),"■",""))</f>
        <v/>
      </c>
      <c r="Q245">
        <f>IF(OR($D245="",$E245=""),"",IF(AND($D245&lt;=IF('Client &amp; Project Profile'!$B$10="",TODAY(),'Client &amp; Project Profile'!$B$10)+4*7+6,$E245&gt;=IF('Client &amp; Project Profile'!$B$10="",TODAY(),'Client &amp; Project Profile'!$B$10)+4*7),"■",""))</f>
        <v/>
      </c>
      <c r="R245">
        <f>IF(OR($D245="",$E245=""),"",IF(AND($D245&lt;=IF('Client &amp; Project Profile'!$B$10="",TODAY(),'Client &amp; Project Profile'!$B$10)+5*7+6,$E245&gt;=IF('Client &amp; Project Profile'!$B$10="",TODAY(),'Client &amp; Project Profile'!$B$10)+5*7),"■",""))</f>
        <v/>
      </c>
      <c r="S245">
        <f>IF(OR($D245="",$E245=""),"",IF(AND($D245&lt;=IF('Client &amp; Project Profile'!$B$10="",TODAY(),'Client &amp; Project Profile'!$B$10)+6*7+6,$E245&gt;=IF('Client &amp; Project Profile'!$B$10="",TODAY(),'Client &amp; Project Profile'!$B$10)+6*7),"■",""))</f>
        <v/>
      </c>
      <c r="T245">
        <f>IF(OR($D245="",$E245=""),"",IF(AND($D245&lt;=IF('Client &amp; Project Profile'!$B$10="",TODAY(),'Client &amp; Project Profile'!$B$10)+7*7+6,$E245&gt;=IF('Client &amp; Project Profile'!$B$10="",TODAY(),'Client &amp; Project Profile'!$B$10)+7*7),"■",""))</f>
        <v/>
      </c>
      <c r="U245">
        <f>IF(OR($D245="",$E245=""),"",IF(AND($D245&lt;=IF('Client &amp; Project Profile'!$B$10="",TODAY(),'Client &amp; Project Profile'!$B$10)+8*7+6,$E245&gt;=IF('Client &amp; Project Profile'!$B$10="",TODAY(),'Client &amp; Project Profile'!$B$10)+8*7),"■",""))</f>
        <v/>
      </c>
      <c r="V245">
        <f>IF(OR($D245="",$E245=""),"",IF(AND($D245&lt;=IF('Client &amp; Project Profile'!$B$10="",TODAY(),'Client &amp; Project Profile'!$B$10)+9*7+6,$E245&gt;=IF('Client &amp; Project Profile'!$B$10="",TODAY(),'Client &amp; Project Profile'!$B$10)+9*7),"■",""))</f>
        <v/>
      </c>
      <c r="W245">
        <f>IF(OR($D245="",$E245=""),"",IF(AND($D245&lt;=IF('Client &amp; Project Profile'!$B$10="",TODAY(),'Client &amp; Project Profile'!$B$10)+10*7+6,$E245&gt;=IF('Client &amp; Project Profile'!$B$10="",TODAY(),'Client &amp; Project Profile'!$B$10)+10*7),"■",""))</f>
        <v/>
      </c>
      <c r="X245">
        <f>IF(OR($D245="",$E245=""),"",IF(AND($D245&lt;=IF('Client &amp; Project Profile'!$B$10="",TODAY(),'Client &amp; Project Profile'!$B$10)+11*7+6,$E245&gt;=IF('Client &amp; Project Profile'!$B$10="",TODAY(),'Client &amp; Project Profile'!$B$10)+11*7),"■",""))</f>
        <v/>
      </c>
    </row>
    <row r="246">
      <c r="A246" s="12" t="n"/>
      <c r="B246" s="12" t="n"/>
      <c r="C246" s="12" t="n"/>
      <c r="D246" s="14" t="n"/>
      <c r="E246" s="14" t="n"/>
      <c r="F246" s="14" t="n"/>
      <c r="G246" s="12" t="n"/>
      <c r="H246" s="12" t="n"/>
      <c r="I246" s="12" t="n"/>
      <c r="J246" s="12" t="n"/>
      <c r="K246" s="12">
        <f>IF(OR($D246="",$E246=""),"",$E246-$D246+1)</f>
        <v/>
      </c>
      <c r="L246" s="12">
        <f>IF(AND($E246&lt;TODAY(),$G246&lt;&gt;"Complete"),TODAY()-$E246,0)</f>
        <v/>
      </c>
      <c r="M246" s="12">
        <f>IF(OR($D246="",$E246=""),"",IF(AND($D246&lt;=IF('Client &amp; Project Profile'!$B$10="",TODAY(),'Client &amp; Project Profile'!$B$10)+0*7+6,$E246&gt;=IF('Client &amp; Project Profile'!$B$10="",TODAY(),'Client &amp; Project Profile'!$B$10)+0*7),"■",""))</f>
        <v/>
      </c>
      <c r="N246" s="12">
        <f>IF(OR($D246="",$E246=""),"",IF(AND($D246&lt;=IF('Client &amp; Project Profile'!$B$10="",TODAY(),'Client &amp; Project Profile'!$B$10)+1*7+6,$E246&gt;=IF('Client &amp; Project Profile'!$B$10="",TODAY(),'Client &amp; Project Profile'!$B$10)+1*7),"■",""))</f>
        <v/>
      </c>
      <c r="O246" s="12">
        <f>IF(OR($D246="",$E246=""),"",IF(AND($D246&lt;=IF('Client &amp; Project Profile'!$B$10="",TODAY(),'Client &amp; Project Profile'!$B$10)+2*7+6,$E246&gt;=IF('Client &amp; Project Profile'!$B$10="",TODAY(),'Client &amp; Project Profile'!$B$10)+2*7),"■",""))</f>
        <v/>
      </c>
      <c r="P246" s="12">
        <f>IF(OR($D246="",$E246=""),"",IF(AND($D246&lt;=IF('Client &amp; Project Profile'!$B$10="",TODAY(),'Client &amp; Project Profile'!$B$10)+3*7+6,$E246&gt;=IF('Client &amp; Project Profile'!$B$10="",TODAY(),'Client &amp; Project Profile'!$B$10)+3*7),"■",""))</f>
        <v/>
      </c>
      <c r="Q246" s="12">
        <f>IF(OR($D246="",$E246=""),"",IF(AND($D246&lt;=IF('Client &amp; Project Profile'!$B$10="",TODAY(),'Client &amp; Project Profile'!$B$10)+4*7+6,$E246&gt;=IF('Client &amp; Project Profile'!$B$10="",TODAY(),'Client &amp; Project Profile'!$B$10)+4*7),"■",""))</f>
        <v/>
      </c>
      <c r="R246" s="12">
        <f>IF(OR($D246="",$E246=""),"",IF(AND($D246&lt;=IF('Client &amp; Project Profile'!$B$10="",TODAY(),'Client &amp; Project Profile'!$B$10)+5*7+6,$E246&gt;=IF('Client &amp; Project Profile'!$B$10="",TODAY(),'Client &amp; Project Profile'!$B$10)+5*7),"■",""))</f>
        <v/>
      </c>
      <c r="S246" s="12">
        <f>IF(OR($D246="",$E246=""),"",IF(AND($D246&lt;=IF('Client &amp; Project Profile'!$B$10="",TODAY(),'Client &amp; Project Profile'!$B$10)+6*7+6,$E246&gt;=IF('Client &amp; Project Profile'!$B$10="",TODAY(),'Client &amp; Project Profile'!$B$10)+6*7),"■",""))</f>
        <v/>
      </c>
      <c r="T246" s="12">
        <f>IF(OR($D246="",$E246=""),"",IF(AND($D246&lt;=IF('Client &amp; Project Profile'!$B$10="",TODAY(),'Client &amp; Project Profile'!$B$10)+7*7+6,$E246&gt;=IF('Client &amp; Project Profile'!$B$10="",TODAY(),'Client &amp; Project Profile'!$B$10)+7*7),"■",""))</f>
        <v/>
      </c>
      <c r="U246" s="12">
        <f>IF(OR($D246="",$E246=""),"",IF(AND($D246&lt;=IF('Client &amp; Project Profile'!$B$10="",TODAY(),'Client &amp; Project Profile'!$B$10)+8*7+6,$E246&gt;=IF('Client &amp; Project Profile'!$B$10="",TODAY(),'Client &amp; Project Profile'!$B$10)+8*7),"■",""))</f>
        <v/>
      </c>
      <c r="V246" s="12">
        <f>IF(OR($D246="",$E246=""),"",IF(AND($D246&lt;=IF('Client &amp; Project Profile'!$B$10="",TODAY(),'Client &amp; Project Profile'!$B$10)+9*7+6,$E246&gt;=IF('Client &amp; Project Profile'!$B$10="",TODAY(),'Client &amp; Project Profile'!$B$10)+9*7),"■",""))</f>
        <v/>
      </c>
      <c r="W246" s="12">
        <f>IF(OR($D246="",$E246=""),"",IF(AND($D246&lt;=IF('Client &amp; Project Profile'!$B$10="",TODAY(),'Client &amp; Project Profile'!$B$10)+10*7+6,$E246&gt;=IF('Client &amp; Project Profile'!$B$10="",TODAY(),'Client &amp; Project Profile'!$B$10)+10*7),"■",""))</f>
        <v/>
      </c>
      <c r="X246" s="12">
        <f>IF(OR($D246="",$E246=""),"",IF(AND($D246&lt;=IF('Client &amp; Project Profile'!$B$10="",TODAY(),'Client &amp; Project Profile'!$B$10)+11*7+6,$E246&gt;=IF('Client &amp; Project Profile'!$B$10="",TODAY(),'Client &amp; Project Profile'!$B$10)+11*7),"■",""))</f>
        <v/>
      </c>
    </row>
    <row r="247">
      <c r="D247" s="9" t="n"/>
      <c r="E247" s="9" t="n"/>
      <c r="F247" s="9" t="n"/>
      <c r="K247">
        <f>IF(OR($D247="",$E247=""),"",$E247-$D247+1)</f>
        <v/>
      </c>
      <c r="L247">
        <f>IF(AND($E247&lt;TODAY(),$G247&lt;&gt;"Complete"),TODAY()-$E247,0)</f>
        <v/>
      </c>
      <c r="M247">
        <f>IF(OR($D247="",$E247=""),"",IF(AND($D247&lt;=IF('Client &amp; Project Profile'!$B$10="",TODAY(),'Client &amp; Project Profile'!$B$10)+0*7+6,$E247&gt;=IF('Client &amp; Project Profile'!$B$10="",TODAY(),'Client &amp; Project Profile'!$B$10)+0*7),"■",""))</f>
        <v/>
      </c>
      <c r="N247">
        <f>IF(OR($D247="",$E247=""),"",IF(AND($D247&lt;=IF('Client &amp; Project Profile'!$B$10="",TODAY(),'Client &amp; Project Profile'!$B$10)+1*7+6,$E247&gt;=IF('Client &amp; Project Profile'!$B$10="",TODAY(),'Client &amp; Project Profile'!$B$10)+1*7),"■",""))</f>
        <v/>
      </c>
      <c r="O247">
        <f>IF(OR($D247="",$E247=""),"",IF(AND($D247&lt;=IF('Client &amp; Project Profile'!$B$10="",TODAY(),'Client &amp; Project Profile'!$B$10)+2*7+6,$E247&gt;=IF('Client &amp; Project Profile'!$B$10="",TODAY(),'Client &amp; Project Profile'!$B$10)+2*7),"■",""))</f>
        <v/>
      </c>
      <c r="P247">
        <f>IF(OR($D247="",$E247=""),"",IF(AND($D247&lt;=IF('Client &amp; Project Profile'!$B$10="",TODAY(),'Client &amp; Project Profile'!$B$10)+3*7+6,$E247&gt;=IF('Client &amp; Project Profile'!$B$10="",TODAY(),'Client &amp; Project Profile'!$B$10)+3*7),"■",""))</f>
        <v/>
      </c>
      <c r="Q247">
        <f>IF(OR($D247="",$E247=""),"",IF(AND($D247&lt;=IF('Client &amp; Project Profile'!$B$10="",TODAY(),'Client &amp; Project Profile'!$B$10)+4*7+6,$E247&gt;=IF('Client &amp; Project Profile'!$B$10="",TODAY(),'Client &amp; Project Profile'!$B$10)+4*7),"■",""))</f>
        <v/>
      </c>
      <c r="R247">
        <f>IF(OR($D247="",$E247=""),"",IF(AND($D247&lt;=IF('Client &amp; Project Profile'!$B$10="",TODAY(),'Client &amp; Project Profile'!$B$10)+5*7+6,$E247&gt;=IF('Client &amp; Project Profile'!$B$10="",TODAY(),'Client &amp; Project Profile'!$B$10)+5*7),"■",""))</f>
        <v/>
      </c>
      <c r="S247">
        <f>IF(OR($D247="",$E247=""),"",IF(AND($D247&lt;=IF('Client &amp; Project Profile'!$B$10="",TODAY(),'Client &amp; Project Profile'!$B$10)+6*7+6,$E247&gt;=IF('Client &amp; Project Profile'!$B$10="",TODAY(),'Client &amp; Project Profile'!$B$10)+6*7),"■",""))</f>
        <v/>
      </c>
      <c r="T247">
        <f>IF(OR($D247="",$E247=""),"",IF(AND($D247&lt;=IF('Client &amp; Project Profile'!$B$10="",TODAY(),'Client &amp; Project Profile'!$B$10)+7*7+6,$E247&gt;=IF('Client &amp; Project Profile'!$B$10="",TODAY(),'Client &amp; Project Profile'!$B$10)+7*7),"■",""))</f>
        <v/>
      </c>
      <c r="U247">
        <f>IF(OR($D247="",$E247=""),"",IF(AND($D247&lt;=IF('Client &amp; Project Profile'!$B$10="",TODAY(),'Client &amp; Project Profile'!$B$10)+8*7+6,$E247&gt;=IF('Client &amp; Project Profile'!$B$10="",TODAY(),'Client &amp; Project Profile'!$B$10)+8*7),"■",""))</f>
        <v/>
      </c>
      <c r="V247">
        <f>IF(OR($D247="",$E247=""),"",IF(AND($D247&lt;=IF('Client &amp; Project Profile'!$B$10="",TODAY(),'Client &amp; Project Profile'!$B$10)+9*7+6,$E247&gt;=IF('Client &amp; Project Profile'!$B$10="",TODAY(),'Client &amp; Project Profile'!$B$10)+9*7),"■",""))</f>
        <v/>
      </c>
      <c r="W247">
        <f>IF(OR($D247="",$E247=""),"",IF(AND($D247&lt;=IF('Client &amp; Project Profile'!$B$10="",TODAY(),'Client &amp; Project Profile'!$B$10)+10*7+6,$E247&gt;=IF('Client &amp; Project Profile'!$B$10="",TODAY(),'Client &amp; Project Profile'!$B$10)+10*7),"■",""))</f>
        <v/>
      </c>
      <c r="X247">
        <f>IF(OR($D247="",$E247=""),"",IF(AND($D247&lt;=IF('Client &amp; Project Profile'!$B$10="",TODAY(),'Client &amp; Project Profile'!$B$10)+11*7+6,$E247&gt;=IF('Client &amp; Project Profile'!$B$10="",TODAY(),'Client &amp; Project Profile'!$B$10)+11*7),"■",""))</f>
        <v/>
      </c>
    </row>
    <row r="248">
      <c r="A248" s="12" t="n"/>
      <c r="B248" s="12" t="n"/>
      <c r="C248" s="12" t="n"/>
      <c r="D248" s="14" t="n"/>
      <c r="E248" s="14" t="n"/>
      <c r="F248" s="14" t="n"/>
      <c r="G248" s="12" t="n"/>
      <c r="H248" s="12" t="n"/>
      <c r="I248" s="12" t="n"/>
      <c r="J248" s="12" t="n"/>
      <c r="K248" s="12">
        <f>IF(OR($D248="",$E248=""),"",$E248-$D248+1)</f>
        <v/>
      </c>
      <c r="L248" s="12">
        <f>IF(AND($E248&lt;TODAY(),$G248&lt;&gt;"Complete"),TODAY()-$E248,0)</f>
        <v/>
      </c>
      <c r="M248" s="12">
        <f>IF(OR($D248="",$E248=""),"",IF(AND($D248&lt;=IF('Client &amp; Project Profile'!$B$10="",TODAY(),'Client &amp; Project Profile'!$B$10)+0*7+6,$E248&gt;=IF('Client &amp; Project Profile'!$B$10="",TODAY(),'Client &amp; Project Profile'!$B$10)+0*7),"■",""))</f>
        <v/>
      </c>
      <c r="N248" s="12">
        <f>IF(OR($D248="",$E248=""),"",IF(AND($D248&lt;=IF('Client &amp; Project Profile'!$B$10="",TODAY(),'Client &amp; Project Profile'!$B$10)+1*7+6,$E248&gt;=IF('Client &amp; Project Profile'!$B$10="",TODAY(),'Client &amp; Project Profile'!$B$10)+1*7),"■",""))</f>
        <v/>
      </c>
      <c r="O248" s="12">
        <f>IF(OR($D248="",$E248=""),"",IF(AND($D248&lt;=IF('Client &amp; Project Profile'!$B$10="",TODAY(),'Client &amp; Project Profile'!$B$10)+2*7+6,$E248&gt;=IF('Client &amp; Project Profile'!$B$10="",TODAY(),'Client &amp; Project Profile'!$B$10)+2*7),"■",""))</f>
        <v/>
      </c>
      <c r="P248" s="12">
        <f>IF(OR($D248="",$E248=""),"",IF(AND($D248&lt;=IF('Client &amp; Project Profile'!$B$10="",TODAY(),'Client &amp; Project Profile'!$B$10)+3*7+6,$E248&gt;=IF('Client &amp; Project Profile'!$B$10="",TODAY(),'Client &amp; Project Profile'!$B$10)+3*7),"■",""))</f>
        <v/>
      </c>
      <c r="Q248" s="12">
        <f>IF(OR($D248="",$E248=""),"",IF(AND($D248&lt;=IF('Client &amp; Project Profile'!$B$10="",TODAY(),'Client &amp; Project Profile'!$B$10)+4*7+6,$E248&gt;=IF('Client &amp; Project Profile'!$B$10="",TODAY(),'Client &amp; Project Profile'!$B$10)+4*7),"■",""))</f>
        <v/>
      </c>
      <c r="R248" s="12">
        <f>IF(OR($D248="",$E248=""),"",IF(AND($D248&lt;=IF('Client &amp; Project Profile'!$B$10="",TODAY(),'Client &amp; Project Profile'!$B$10)+5*7+6,$E248&gt;=IF('Client &amp; Project Profile'!$B$10="",TODAY(),'Client &amp; Project Profile'!$B$10)+5*7),"■",""))</f>
        <v/>
      </c>
      <c r="S248" s="12">
        <f>IF(OR($D248="",$E248=""),"",IF(AND($D248&lt;=IF('Client &amp; Project Profile'!$B$10="",TODAY(),'Client &amp; Project Profile'!$B$10)+6*7+6,$E248&gt;=IF('Client &amp; Project Profile'!$B$10="",TODAY(),'Client &amp; Project Profile'!$B$10)+6*7),"■",""))</f>
        <v/>
      </c>
      <c r="T248" s="12">
        <f>IF(OR($D248="",$E248=""),"",IF(AND($D248&lt;=IF('Client &amp; Project Profile'!$B$10="",TODAY(),'Client &amp; Project Profile'!$B$10)+7*7+6,$E248&gt;=IF('Client &amp; Project Profile'!$B$10="",TODAY(),'Client &amp; Project Profile'!$B$10)+7*7),"■",""))</f>
        <v/>
      </c>
      <c r="U248" s="12">
        <f>IF(OR($D248="",$E248=""),"",IF(AND($D248&lt;=IF('Client &amp; Project Profile'!$B$10="",TODAY(),'Client &amp; Project Profile'!$B$10)+8*7+6,$E248&gt;=IF('Client &amp; Project Profile'!$B$10="",TODAY(),'Client &amp; Project Profile'!$B$10)+8*7),"■",""))</f>
        <v/>
      </c>
      <c r="V248" s="12">
        <f>IF(OR($D248="",$E248=""),"",IF(AND($D248&lt;=IF('Client &amp; Project Profile'!$B$10="",TODAY(),'Client &amp; Project Profile'!$B$10)+9*7+6,$E248&gt;=IF('Client &amp; Project Profile'!$B$10="",TODAY(),'Client &amp; Project Profile'!$B$10)+9*7),"■",""))</f>
        <v/>
      </c>
      <c r="W248" s="12">
        <f>IF(OR($D248="",$E248=""),"",IF(AND($D248&lt;=IF('Client &amp; Project Profile'!$B$10="",TODAY(),'Client &amp; Project Profile'!$B$10)+10*7+6,$E248&gt;=IF('Client &amp; Project Profile'!$B$10="",TODAY(),'Client &amp; Project Profile'!$B$10)+10*7),"■",""))</f>
        <v/>
      </c>
      <c r="X248" s="12">
        <f>IF(OR($D248="",$E248=""),"",IF(AND($D248&lt;=IF('Client &amp; Project Profile'!$B$10="",TODAY(),'Client &amp; Project Profile'!$B$10)+11*7+6,$E248&gt;=IF('Client &amp; Project Profile'!$B$10="",TODAY(),'Client &amp; Project Profile'!$B$10)+11*7),"■",""))</f>
        <v/>
      </c>
    </row>
    <row r="249">
      <c r="D249" s="9" t="n"/>
      <c r="E249" s="9" t="n"/>
      <c r="F249" s="9" t="n"/>
      <c r="K249">
        <f>IF(OR($D249="",$E249=""),"",$E249-$D249+1)</f>
        <v/>
      </c>
      <c r="L249">
        <f>IF(AND($E249&lt;TODAY(),$G249&lt;&gt;"Complete"),TODAY()-$E249,0)</f>
        <v/>
      </c>
      <c r="M249">
        <f>IF(OR($D249="",$E249=""),"",IF(AND($D249&lt;=IF('Client &amp; Project Profile'!$B$10="",TODAY(),'Client &amp; Project Profile'!$B$10)+0*7+6,$E249&gt;=IF('Client &amp; Project Profile'!$B$10="",TODAY(),'Client &amp; Project Profile'!$B$10)+0*7),"■",""))</f>
        <v/>
      </c>
      <c r="N249">
        <f>IF(OR($D249="",$E249=""),"",IF(AND($D249&lt;=IF('Client &amp; Project Profile'!$B$10="",TODAY(),'Client &amp; Project Profile'!$B$10)+1*7+6,$E249&gt;=IF('Client &amp; Project Profile'!$B$10="",TODAY(),'Client &amp; Project Profile'!$B$10)+1*7),"■",""))</f>
        <v/>
      </c>
      <c r="O249">
        <f>IF(OR($D249="",$E249=""),"",IF(AND($D249&lt;=IF('Client &amp; Project Profile'!$B$10="",TODAY(),'Client &amp; Project Profile'!$B$10)+2*7+6,$E249&gt;=IF('Client &amp; Project Profile'!$B$10="",TODAY(),'Client &amp; Project Profile'!$B$10)+2*7),"■",""))</f>
        <v/>
      </c>
      <c r="P249">
        <f>IF(OR($D249="",$E249=""),"",IF(AND($D249&lt;=IF('Client &amp; Project Profile'!$B$10="",TODAY(),'Client &amp; Project Profile'!$B$10)+3*7+6,$E249&gt;=IF('Client &amp; Project Profile'!$B$10="",TODAY(),'Client &amp; Project Profile'!$B$10)+3*7),"■",""))</f>
        <v/>
      </c>
      <c r="Q249">
        <f>IF(OR($D249="",$E249=""),"",IF(AND($D249&lt;=IF('Client &amp; Project Profile'!$B$10="",TODAY(),'Client &amp; Project Profile'!$B$10)+4*7+6,$E249&gt;=IF('Client &amp; Project Profile'!$B$10="",TODAY(),'Client &amp; Project Profile'!$B$10)+4*7),"■",""))</f>
        <v/>
      </c>
      <c r="R249">
        <f>IF(OR($D249="",$E249=""),"",IF(AND($D249&lt;=IF('Client &amp; Project Profile'!$B$10="",TODAY(),'Client &amp; Project Profile'!$B$10)+5*7+6,$E249&gt;=IF('Client &amp; Project Profile'!$B$10="",TODAY(),'Client &amp; Project Profile'!$B$10)+5*7),"■",""))</f>
        <v/>
      </c>
      <c r="S249">
        <f>IF(OR($D249="",$E249=""),"",IF(AND($D249&lt;=IF('Client &amp; Project Profile'!$B$10="",TODAY(),'Client &amp; Project Profile'!$B$10)+6*7+6,$E249&gt;=IF('Client &amp; Project Profile'!$B$10="",TODAY(),'Client &amp; Project Profile'!$B$10)+6*7),"■",""))</f>
        <v/>
      </c>
      <c r="T249">
        <f>IF(OR($D249="",$E249=""),"",IF(AND($D249&lt;=IF('Client &amp; Project Profile'!$B$10="",TODAY(),'Client &amp; Project Profile'!$B$10)+7*7+6,$E249&gt;=IF('Client &amp; Project Profile'!$B$10="",TODAY(),'Client &amp; Project Profile'!$B$10)+7*7),"■",""))</f>
        <v/>
      </c>
      <c r="U249">
        <f>IF(OR($D249="",$E249=""),"",IF(AND($D249&lt;=IF('Client &amp; Project Profile'!$B$10="",TODAY(),'Client &amp; Project Profile'!$B$10)+8*7+6,$E249&gt;=IF('Client &amp; Project Profile'!$B$10="",TODAY(),'Client &amp; Project Profile'!$B$10)+8*7),"■",""))</f>
        <v/>
      </c>
      <c r="V249">
        <f>IF(OR($D249="",$E249=""),"",IF(AND($D249&lt;=IF('Client &amp; Project Profile'!$B$10="",TODAY(),'Client &amp; Project Profile'!$B$10)+9*7+6,$E249&gt;=IF('Client &amp; Project Profile'!$B$10="",TODAY(),'Client &amp; Project Profile'!$B$10)+9*7),"■",""))</f>
        <v/>
      </c>
      <c r="W249">
        <f>IF(OR($D249="",$E249=""),"",IF(AND($D249&lt;=IF('Client &amp; Project Profile'!$B$10="",TODAY(),'Client &amp; Project Profile'!$B$10)+10*7+6,$E249&gt;=IF('Client &amp; Project Profile'!$B$10="",TODAY(),'Client &amp; Project Profile'!$B$10)+10*7),"■",""))</f>
        <v/>
      </c>
      <c r="X249">
        <f>IF(OR($D249="",$E249=""),"",IF(AND($D249&lt;=IF('Client &amp; Project Profile'!$B$10="",TODAY(),'Client &amp; Project Profile'!$B$10)+11*7+6,$E249&gt;=IF('Client &amp; Project Profile'!$B$10="",TODAY(),'Client &amp; Project Profile'!$B$10)+11*7),"■",""))</f>
        <v/>
      </c>
    </row>
    <row r="250">
      <c r="A250" s="12" t="n"/>
      <c r="B250" s="12" t="n"/>
      <c r="C250" s="12" t="n"/>
      <c r="D250" s="14" t="n"/>
      <c r="E250" s="14" t="n"/>
      <c r="F250" s="14" t="n"/>
      <c r="G250" s="12" t="n"/>
      <c r="H250" s="12" t="n"/>
      <c r="I250" s="12" t="n"/>
      <c r="J250" s="12" t="n"/>
      <c r="K250" s="12">
        <f>IF(OR($D250="",$E250=""),"",$E250-$D250+1)</f>
        <v/>
      </c>
      <c r="L250" s="12">
        <f>IF(AND($E250&lt;TODAY(),$G250&lt;&gt;"Complete"),TODAY()-$E250,0)</f>
        <v/>
      </c>
      <c r="M250" s="12">
        <f>IF(OR($D250="",$E250=""),"",IF(AND($D250&lt;=IF('Client &amp; Project Profile'!$B$10="",TODAY(),'Client &amp; Project Profile'!$B$10)+0*7+6,$E250&gt;=IF('Client &amp; Project Profile'!$B$10="",TODAY(),'Client &amp; Project Profile'!$B$10)+0*7),"■",""))</f>
        <v/>
      </c>
      <c r="N250" s="12">
        <f>IF(OR($D250="",$E250=""),"",IF(AND($D250&lt;=IF('Client &amp; Project Profile'!$B$10="",TODAY(),'Client &amp; Project Profile'!$B$10)+1*7+6,$E250&gt;=IF('Client &amp; Project Profile'!$B$10="",TODAY(),'Client &amp; Project Profile'!$B$10)+1*7),"■",""))</f>
        <v/>
      </c>
      <c r="O250" s="12">
        <f>IF(OR($D250="",$E250=""),"",IF(AND($D250&lt;=IF('Client &amp; Project Profile'!$B$10="",TODAY(),'Client &amp; Project Profile'!$B$10)+2*7+6,$E250&gt;=IF('Client &amp; Project Profile'!$B$10="",TODAY(),'Client &amp; Project Profile'!$B$10)+2*7),"■",""))</f>
        <v/>
      </c>
      <c r="P250" s="12">
        <f>IF(OR($D250="",$E250=""),"",IF(AND($D250&lt;=IF('Client &amp; Project Profile'!$B$10="",TODAY(),'Client &amp; Project Profile'!$B$10)+3*7+6,$E250&gt;=IF('Client &amp; Project Profile'!$B$10="",TODAY(),'Client &amp; Project Profile'!$B$10)+3*7),"■",""))</f>
        <v/>
      </c>
      <c r="Q250" s="12">
        <f>IF(OR($D250="",$E250=""),"",IF(AND($D250&lt;=IF('Client &amp; Project Profile'!$B$10="",TODAY(),'Client &amp; Project Profile'!$B$10)+4*7+6,$E250&gt;=IF('Client &amp; Project Profile'!$B$10="",TODAY(),'Client &amp; Project Profile'!$B$10)+4*7),"■",""))</f>
        <v/>
      </c>
      <c r="R250" s="12">
        <f>IF(OR($D250="",$E250=""),"",IF(AND($D250&lt;=IF('Client &amp; Project Profile'!$B$10="",TODAY(),'Client &amp; Project Profile'!$B$10)+5*7+6,$E250&gt;=IF('Client &amp; Project Profile'!$B$10="",TODAY(),'Client &amp; Project Profile'!$B$10)+5*7),"■",""))</f>
        <v/>
      </c>
      <c r="S250" s="12">
        <f>IF(OR($D250="",$E250=""),"",IF(AND($D250&lt;=IF('Client &amp; Project Profile'!$B$10="",TODAY(),'Client &amp; Project Profile'!$B$10)+6*7+6,$E250&gt;=IF('Client &amp; Project Profile'!$B$10="",TODAY(),'Client &amp; Project Profile'!$B$10)+6*7),"■",""))</f>
        <v/>
      </c>
      <c r="T250" s="12">
        <f>IF(OR($D250="",$E250=""),"",IF(AND($D250&lt;=IF('Client &amp; Project Profile'!$B$10="",TODAY(),'Client &amp; Project Profile'!$B$10)+7*7+6,$E250&gt;=IF('Client &amp; Project Profile'!$B$10="",TODAY(),'Client &amp; Project Profile'!$B$10)+7*7),"■",""))</f>
        <v/>
      </c>
      <c r="U250" s="12">
        <f>IF(OR($D250="",$E250=""),"",IF(AND($D250&lt;=IF('Client &amp; Project Profile'!$B$10="",TODAY(),'Client &amp; Project Profile'!$B$10)+8*7+6,$E250&gt;=IF('Client &amp; Project Profile'!$B$10="",TODAY(),'Client &amp; Project Profile'!$B$10)+8*7),"■",""))</f>
        <v/>
      </c>
      <c r="V250" s="12">
        <f>IF(OR($D250="",$E250=""),"",IF(AND($D250&lt;=IF('Client &amp; Project Profile'!$B$10="",TODAY(),'Client &amp; Project Profile'!$B$10)+9*7+6,$E250&gt;=IF('Client &amp; Project Profile'!$B$10="",TODAY(),'Client &amp; Project Profile'!$B$10)+9*7),"■",""))</f>
        <v/>
      </c>
      <c r="W250" s="12">
        <f>IF(OR($D250="",$E250=""),"",IF(AND($D250&lt;=IF('Client &amp; Project Profile'!$B$10="",TODAY(),'Client &amp; Project Profile'!$B$10)+10*7+6,$E250&gt;=IF('Client &amp; Project Profile'!$B$10="",TODAY(),'Client &amp; Project Profile'!$B$10)+10*7),"■",""))</f>
        <v/>
      </c>
      <c r="X250" s="12">
        <f>IF(OR($D250="",$E250=""),"",IF(AND($D250&lt;=IF('Client &amp; Project Profile'!$B$10="",TODAY(),'Client &amp; Project Profile'!$B$10)+11*7+6,$E250&gt;=IF('Client &amp; Project Profile'!$B$10="",TODAY(),'Client &amp; Project Profile'!$B$10)+11*7),"■",""))</f>
        <v/>
      </c>
    </row>
    <row r="251">
      <c r="D251" s="9" t="n"/>
      <c r="E251" s="9" t="n"/>
      <c r="F251" s="9" t="n"/>
      <c r="K251">
        <f>IF(OR($D251="",$E251=""),"",$E251-$D251+1)</f>
        <v/>
      </c>
      <c r="L251">
        <f>IF(AND($E251&lt;TODAY(),$G251&lt;&gt;"Complete"),TODAY()-$E251,0)</f>
        <v/>
      </c>
      <c r="M251">
        <f>IF(OR($D251="",$E251=""),"",IF(AND($D251&lt;=IF('Client &amp; Project Profile'!$B$10="",TODAY(),'Client &amp; Project Profile'!$B$10)+0*7+6,$E251&gt;=IF('Client &amp; Project Profile'!$B$10="",TODAY(),'Client &amp; Project Profile'!$B$10)+0*7),"■",""))</f>
        <v/>
      </c>
      <c r="N251">
        <f>IF(OR($D251="",$E251=""),"",IF(AND($D251&lt;=IF('Client &amp; Project Profile'!$B$10="",TODAY(),'Client &amp; Project Profile'!$B$10)+1*7+6,$E251&gt;=IF('Client &amp; Project Profile'!$B$10="",TODAY(),'Client &amp; Project Profile'!$B$10)+1*7),"■",""))</f>
        <v/>
      </c>
      <c r="O251">
        <f>IF(OR($D251="",$E251=""),"",IF(AND($D251&lt;=IF('Client &amp; Project Profile'!$B$10="",TODAY(),'Client &amp; Project Profile'!$B$10)+2*7+6,$E251&gt;=IF('Client &amp; Project Profile'!$B$10="",TODAY(),'Client &amp; Project Profile'!$B$10)+2*7),"■",""))</f>
        <v/>
      </c>
      <c r="P251">
        <f>IF(OR($D251="",$E251=""),"",IF(AND($D251&lt;=IF('Client &amp; Project Profile'!$B$10="",TODAY(),'Client &amp; Project Profile'!$B$10)+3*7+6,$E251&gt;=IF('Client &amp; Project Profile'!$B$10="",TODAY(),'Client &amp; Project Profile'!$B$10)+3*7),"■",""))</f>
        <v/>
      </c>
      <c r="Q251">
        <f>IF(OR($D251="",$E251=""),"",IF(AND($D251&lt;=IF('Client &amp; Project Profile'!$B$10="",TODAY(),'Client &amp; Project Profile'!$B$10)+4*7+6,$E251&gt;=IF('Client &amp; Project Profile'!$B$10="",TODAY(),'Client &amp; Project Profile'!$B$10)+4*7),"■",""))</f>
        <v/>
      </c>
      <c r="R251">
        <f>IF(OR($D251="",$E251=""),"",IF(AND($D251&lt;=IF('Client &amp; Project Profile'!$B$10="",TODAY(),'Client &amp; Project Profile'!$B$10)+5*7+6,$E251&gt;=IF('Client &amp; Project Profile'!$B$10="",TODAY(),'Client &amp; Project Profile'!$B$10)+5*7),"■",""))</f>
        <v/>
      </c>
      <c r="S251">
        <f>IF(OR($D251="",$E251=""),"",IF(AND($D251&lt;=IF('Client &amp; Project Profile'!$B$10="",TODAY(),'Client &amp; Project Profile'!$B$10)+6*7+6,$E251&gt;=IF('Client &amp; Project Profile'!$B$10="",TODAY(),'Client &amp; Project Profile'!$B$10)+6*7),"■",""))</f>
        <v/>
      </c>
      <c r="T251">
        <f>IF(OR($D251="",$E251=""),"",IF(AND($D251&lt;=IF('Client &amp; Project Profile'!$B$10="",TODAY(),'Client &amp; Project Profile'!$B$10)+7*7+6,$E251&gt;=IF('Client &amp; Project Profile'!$B$10="",TODAY(),'Client &amp; Project Profile'!$B$10)+7*7),"■",""))</f>
        <v/>
      </c>
      <c r="U251">
        <f>IF(OR($D251="",$E251=""),"",IF(AND($D251&lt;=IF('Client &amp; Project Profile'!$B$10="",TODAY(),'Client &amp; Project Profile'!$B$10)+8*7+6,$E251&gt;=IF('Client &amp; Project Profile'!$B$10="",TODAY(),'Client &amp; Project Profile'!$B$10)+8*7),"■",""))</f>
        <v/>
      </c>
      <c r="V251">
        <f>IF(OR($D251="",$E251=""),"",IF(AND($D251&lt;=IF('Client &amp; Project Profile'!$B$10="",TODAY(),'Client &amp; Project Profile'!$B$10)+9*7+6,$E251&gt;=IF('Client &amp; Project Profile'!$B$10="",TODAY(),'Client &amp; Project Profile'!$B$10)+9*7),"■",""))</f>
        <v/>
      </c>
      <c r="W251">
        <f>IF(OR($D251="",$E251=""),"",IF(AND($D251&lt;=IF('Client &amp; Project Profile'!$B$10="",TODAY(),'Client &amp; Project Profile'!$B$10)+10*7+6,$E251&gt;=IF('Client &amp; Project Profile'!$B$10="",TODAY(),'Client &amp; Project Profile'!$B$10)+10*7),"■",""))</f>
        <v/>
      </c>
      <c r="X251">
        <f>IF(OR($D251="",$E251=""),"",IF(AND($D251&lt;=IF('Client &amp; Project Profile'!$B$10="",TODAY(),'Client &amp; Project Profile'!$B$10)+11*7+6,$E251&gt;=IF('Client &amp; Project Profile'!$B$10="",TODAY(),'Client &amp; Project Profile'!$B$10)+11*7),"■",""))</f>
        <v/>
      </c>
    </row>
  </sheetData>
  <autoFilter ref="A1:X251"/>
  <conditionalFormatting sqref="A2:X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3">
    <dataValidation sqref="A2:A251" showDropDown="0" showInputMessage="0" showErrorMessage="0" allowBlank="1" type="list">
      <formula1>='Lists'!$U$2:$U$13</formula1>
    </dataValidation>
    <dataValidation sqref="G2:G251" showDropDown="0" showInputMessage="0" showErrorMessage="0" allowBlank="1" type="list">
      <formula1>='Lists'!$V$2:$V$7</formula1>
    </dataValidation>
    <dataValidation sqref="H2:H251" showDropDown="0" showInputMessage="0" showErrorMessage="0" allowBlank="1" type="list">
      <formula1>='Lists'!$F$2:$F$5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2" customHeight="1">
      <c r="A1" s="11" t="inlineStr">
        <is>
          <t>Task</t>
        </is>
      </c>
      <c r="B1" s="11" t="inlineStr">
        <is>
          <t>Room</t>
        </is>
      </c>
      <c r="C1" s="11" t="inlineStr">
        <is>
          <t>Category</t>
        </is>
      </c>
      <c r="D1" s="11" t="inlineStr">
        <is>
          <t>Assigned to</t>
        </is>
      </c>
      <c r="E1" s="11" t="inlineStr">
        <is>
          <t>Priority</t>
        </is>
      </c>
      <c r="F1" s="11" t="inlineStr">
        <is>
          <t>Due date</t>
        </is>
      </c>
      <c r="G1" s="11" t="inlineStr">
        <is>
          <t>Status</t>
        </is>
      </c>
      <c r="H1" s="11" t="inlineStr">
        <is>
          <t>Notes</t>
        </is>
      </c>
      <c r="I1" s="11" t="inlineStr">
        <is>
          <t>Days overdue</t>
        </is>
      </c>
    </row>
    <row r="2">
      <c r="A2" s="12" t="n"/>
      <c r="B2" s="12" t="n"/>
      <c r="C2" s="12" t="n"/>
      <c r="D2" s="12" t="n"/>
      <c r="E2" s="12" t="n"/>
      <c r="F2" s="14" t="n"/>
      <c r="G2" s="12" t="n"/>
      <c r="H2" s="12" t="n"/>
      <c r="I2" s="12">
        <f>IF(AND($F2&lt;TODAY(),$G2&lt;&gt;"Complete"),TODAY()-$F2,0)</f>
        <v/>
      </c>
    </row>
    <row r="3">
      <c r="F3" s="9" t="n"/>
      <c r="I3">
        <f>IF(AND($F3&lt;TODAY(),$G3&lt;&gt;"Complete"),TODAY()-$F3,0)</f>
        <v/>
      </c>
    </row>
    <row r="4">
      <c r="A4" s="12" t="n"/>
      <c r="B4" s="12" t="n"/>
      <c r="C4" s="12" t="n"/>
      <c r="D4" s="12" t="n"/>
      <c r="E4" s="12" t="n"/>
      <c r="F4" s="14" t="n"/>
      <c r="G4" s="12" t="n"/>
      <c r="H4" s="12" t="n"/>
      <c r="I4" s="12">
        <f>IF(AND($F4&lt;TODAY(),$G4&lt;&gt;"Complete"),TODAY()-$F4,0)</f>
        <v/>
      </c>
    </row>
    <row r="5">
      <c r="F5" s="9" t="n"/>
      <c r="I5">
        <f>IF(AND($F5&lt;TODAY(),$G5&lt;&gt;"Complete"),TODAY()-$F5,0)</f>
        <v/>
      </c>
    </row>
    <row r="6">
      <c r="A6" s="12" t="n"/>
      <c r="B6" s="12" t="n"/>
      <c r="C6" s="12" t="n"/>
      <c r="D6" s="12" t="n"/>
      <c r="E6" s="12" t="n"/>
      <c r="F6" s="14" t="n"/>
      <c r="G6" s="12" t="n"/>
      <c r="H6" s="12" t="n"/>
      <c r="I6" s="12">
        <f>IF(AND($F6&lt;TODAY(),$G6&lt;&gt;"Complete"),TODAY()-$F6,0)</f>
        <v/>
      </c>
    </row>
    <row r="7">
      <c r="F7" s="9" t="n"/>
      <c r="I7">
        <f>IF(AND($F7&lt;TODAY(),$G7&lt;&gt;"Complete"),TODAY()-$F7,0)</f>
        <v/>
      </c>
    </row>
    <row r="8">
      <c r="A8" s="12" t="n"/>
      <c r="B8" s="12" t="n"/>
      <c r="C8" s="12" t="n"/>
      <c r="D8" s="12" t="n"/>
      <c r="E8" s="12" t="n"/>
      <c r="F8" s="14" t="n"/>
      <c r="G8" s="12" t="n"/>
      <c r="H8" s="12" t="n"/>
      <c r="I8" s="12">
        <f>IF(AND($F8&lt;TODAY(),$G8&lt;&gt;"Complete"),TODAY()-$F8,0)</f>
        <v/>
      </c>
    </row>
    <row r="9">
      <c r="F9" s="9" t="n"/>
      <c r="I9">
        <f>IF(AND($F9&lt;TODAY(),$G9&lt;&gt;"Complete"),TODAY()-$F9,0)</f>
        <v/>
      </c>
    </row>
    <row r="10">
      <c r="A10" s="12" t="n"/>
      <c r="B10" s="12" t="n"/>
      <c r="C10" s="12" t="n"/>
      <c r="D10" s="12" t="n"/>
      <c r="E10" s="12" t="n"/>
      <c r="F10" s="14" t="n"/>
      <c r="G10" s="12" t="n"/>
      <c r="H10" s="12" t="n"/>
      <c r="I10" s="12">
        <f>IF(AND($F10&lt;TODAY(),$G10&lt;&gt;"Complete"),TODAY()-$F10,0)</f>
        <v/>
      </c>
    </row>
    <row r="11">
      <c r="F11" s="9" t="n"/>
      <c r="I11">
        <f>IF(AND($F11&lt;TODAY(),$G11&lt;&gt;"Complete"),TODAY()-$F11,0)</f>
        <v/>
      </c>
    </row>
    <row r="12">
      <c r="A12" s="12" t="n"/>
      <c r="B12" s="12" t="n"/>
      <c r="C12" s="12" t="n"/>
      <c r="D12" s="12" t="n"/>
      <c r="E12" s="12" t="n"/>
      <c r="F12" s="14" t="n"/>
      <c r="G12" s="12" t="n"/>
      <c r="H12" s="12" t="n"/>
      <c r="I12" s="12">
        <f>IF(AND($F12&lt;TODAY(),$G12&lt;&gt;"Complete"),TODAY()-$F12,0)</f>
        <v/>
      </c>
    </row>
    <row r="13">
      <c r="F13" s="9" t="n"/>
      <c r="I13">
        <f>IF(AND($F13&lt;TODAY(),$G13&lt;&gt;"Complete"),TODAY()-$F13,0)</f>
        <v/>
      </c>
    </row>
    <row r="14">
      <c r="A14" s="12" t="n"/>
      <c r="B14" s="12" t="n"/>
      <c r="C14" s="12" t="n"/>
      <c r="D14" s="12" t="n"/>
      <c r="E14" s="12" t="n"/>
      <c r="F14" s="14" t="n"/>
      <c r="G14" s="12" t="n"/>
      <c r="H14" s="12" t="n"/>
      <c r="I14" s="12">
        <f>IF(AND($F14&lt;TODAY(),$G14&lt;&gt;"Complete"),TODAY()-$F14,0)</f>
        <v/>
      </c>
    </row>
    <row r="15">
      <c r="F15" s="9" t="n"/>
      <c r="I15">
        <f>IF(AND($F15&lt;TODAY(),$G15&lt;&gt;"Complete"),TODAY()-$F15,0)</f>
        <v/>
      </c>
    </row>
    <row r="16">
      <c r="A16" s="12" t="n"/>
      <c r="B16" s="12" t="n"/>
      <c r="C16" s="12" t="n"/>
      <c r="D16" s="12" t="n"/>
      <c r="E16" s="12" t="n"/>
      <c r="F16" s="14" t="n"/>
      <c r="G16" s="12" t="n"/>
      <c r="H16" s="12" t="n"/>
      <c r="I16" s="12">
        <f>IF(AND($F16&lt;TODAY(),$G16&lt;&gt;"Complete"),TODAY()-$F16,0)</f>
        <v/>
      </c>
    </row>
    <row r="17">
      <c r="F17" s="9" t="n"/>
      <c r="I17">
        <f>IF(AND($F17&lt;TODAY(),$G17&lt;&gt;"Complete"),TODAY()-$F17,0)</f>
        <v/>
      </c>
    </row>
    <row r="18">
      <c r="A18" s="12" t="n"/>
      <c r="B18" s="12" t="n"/>
      <c r="C18" s="12" t="n"/>
      <c r="D18" s="12" t="n"/>
      <c r="E18" s="12" t="n"/>
      <c r="F18" s="14" t="n"/>
      <c r="G18" s="12" t="n"/>
      <c r="H18" s="12" t="n"/>
      <c r="I18" s="12">
        <f>IF(AND($F18&lt;TODAY(),$G18&lt;&gt;"Complete"),TODAY()-$F18,0)</f>
        <v/>
      </c>
    </row>
    <row r="19">
      <c r="F19" s="9" t="n"/>
      <c r="I19">
        <f>IF(AND($F19&lt;TODAY(),$G19&lt;&gt;"Complete"),TODAY()-$F19,0)</f>
        <v/>
      </c>
    </row>
    <row r="20">
      <c r="A20" s="12" t="n"/>
      <c r="B20" s="12" t="n"/>
      <c r="C20" s="12" t="n"/>
      <c r="D20" s="12" t="n"/>
      <c r="E20" s="12" t="n"/>
      <c r="F20" s="14" t="n"/>
      <c r="G20" s="12" t="n"/>
      <c r="H20" s="12" t="n"/>
      <c r="I20" s="12">
        <f>IF(AND($F20&lt;TODAY(),$G20&lt;&gt;"Complete"),TODAY()-$F20,0)</f>
        <v/>
      </c>
    </row>
    <row r="21">
      <c r="F21" s="9" t="n"/>
      <c r="I21">
        <f>IF(AND($F21&lt;TODAY(),$G21&lt;&gt;"Complete"),TODAY()-$F21,0)</f>
        <v/>
      </c>
    </row>
    <row r="22">
      <c r="A22" s="12" t="n"/>
      <c r="B22" s="12" t="n"/>
      <c r="C22" s="12" t="n"/>
      <c r="D22" s="12" t="n"/>
      <c r="E22" s="12" t="n"/>
      <c r="F22" s="14" t="n"/>
      <c r="G22" s="12" t="n"/>
      <c r="H22" s="12" t="n"/>
      <c r="I22" s="12">
        <f>IF(AND($F22&lt;TODAY(),$G22&lt;&gt;"Complete"),TODAY()-$F22,0)</f>
        <v/>
      </c>
    </row>
    <row r="23">
      <c r="F23" s="9" t="n"/>
      <c r="I23">
        <f>IF(AND($F23&lt;TODAY(),$G23&lt;&gt;"Complete"),TODAY()-$F23,0)</f>
        <v/>
      </c>
    </row>
    <row r="24">
      <c r="A24" s="12" t="n"/>
      <c r="B24" s="12" t="n"/>
      <c r="C24" s="12" t="n"/>
      <c r="D24" s="12" t="n"/>
      <c r="E24" s="12" t="n"/>
      <c r="F24" s="14" t="n"/>
      <c r="G24" s="12" t="n"/>
      <c r="H24" s="12" t="n"/>
      <c r="I24" s="12">
        <f>IF(AND($F24&lt;TODAY(),$G24&lt;&gt;"Complete"),TODAY()-$F24,0)</f>
        <v/>
      </c>
    </row>
    <row r="25">
      <c r="F25" s="9" t="n"/>
      <c r="I25">
        <f>IF(AND($F25&lt;TODAY(),$G25&lt;&gt;"Complete"),TODAY()-$F25,0)</f>
        <v/>
      </c>
    </row>
    <row r="26">
      <c r="A26" s="12" t="n"/>
      <c r="B26" s="12" t="n"/>
      <c r="C26" s="12" t="n"/>
      <c r="D26" s="12" t="n"/>
      <c r="E26" s="12" t="n"/>
      <c r="F26" s="14" t="n"/>
      <c r="G26" s="12" t="n"/>
      <c r="H26" s="12" t="n"/>
      <c r="I26" s="12">
        <f>IF(AND($F26&lt;TODAY(),$G26&lt;&gt;"Complete"),TODAY()-$F26,0)</f>
        <v/>
      </c>
    </row>
    <row r="27">
      <c r="F27" s="9" t="n"/>
      <c r="I27">
        <f>IF(AND($F27&lt;TODAY(),$G27&lt;&gt;"Complete"),TODAY()-$F27,0)</f>
        <v/>
      </c>
    </row>
    <row r="28">
      <c r="A28" s="12" t="n"/>
      <c r="B28" s="12" t="n"/>
      <c r="C28" s="12" t="n"/>
      <c r="D28" s="12" t="n"/>
      <c r="E28" s="12" t="n"/>
      <c r="F28" s="14" t="n"/>
      <c r="G28" s="12" t="n"/>
      <c r="H28" s="12" t="n"/>
      <c r="I28" s="12">
        <f>IF(AND($F28&lt;TODAY(),$G28&lt;&gt;"Complete"),TODAY()-$F28,0)</f>
        <v/>
      </c>
    </row>
    <row r="29">
      <c r="F29" s="9" t="n"/>
      <c r="I29">
        <f>IF(AND($F29&lt;TODAY(),$G29&lt;&gt;"Complete"),TODAY()-$F29,0)</f>
        <v/>
      </c>
    </row>
    <row r="30">
      <c r="A30" s="12" t="n"/>
      <c r="B30" s="12" t="n"/>
      <c r="C30" s="12" t="n"/>
      <c r="D30" s="12" t="n"/>
      <c r="E30" s="12" t="n"/>
      <c r="F30" s="14" t="n"/>
      <c r="G30" s="12" t="n"/>
      <c r="H30" s="12" t="n"/>
      <c r="I30" s="12">
        <f>IF(AND($F30&lt;TODAY(),$G30&lt;&gt;"Complete"),TODAY()-$F30,0)</f>
        <v/>
      </c>
    </row>
    <row r="31">
      <c r="F31" s="9" t="n"/>
      <c r="I31">
        <f>IF(AND($F31&lt;TODAY(),$G31&lt;&gt;"Complete"),TODAY()-$F31,0)</f>
        <v/>
      </c>
    </row>
    <row r="32">
      <c r="A32" s="12" t="n"/>
      <c r="B32" s="12" t="n"/>
      <c r="C32" s="12" t="n"/>
      <c r="D32" s="12" t="n"/>
      <c r="E32" s="12" t="n"/>
      <c r="F32" s="14" t="n"/>
      <c r="G32" s="12" t="n"/>
      <c r="H32" s="12" t="n"/>
      <c r="I32" s="12">
        <f>IF(AND($F32&lt;TODAY(),$G32&lt;&gt;"Complete"),TODAY()-$F32,0)</f>
        <v/>
      </c>
    </row>
    <row r="33">
      <c r="F33" s="9" t="n"/>
      <c r="I33">
        <f>IF(AND($F33&lt;TODAY(),$G33&lt;&gt;"Complete"),TODAY()-$F33,0)</f>
        <v/>
      </c>
    </row>
    <row r="34">
      <c r="A34" s="12" t="n"/>
      <c r="B34" s="12" t="n"/>
      <c r="C34" s="12" t="n"/>
      <c r="D34" s="12" t="n"/>
      <c r="E34" s="12" t="n"/>
      <c r="F34" s="14" t="n"/>
      <c r="G34" s="12" t="n"/>
      <c r="H34" s="12" t="n"/>
      <c r="I34" s="12">
        <f>IF(AND($F34&lt;TODAY(),$G34&lt;&gt;"Complete"),TODAY()-$F34,0)</f>
        <v/>
      </c>
    </row>
    <row r="35">
      <c r="F35" s="9" t="n"/>
      <c r="I35">
        <f>IF(AND($F35&lt;TODAY(),$G35&lt;&gt;"Complete"),TODAY()-$F35,0)</f>
        <v/>
      </c>
    </row>
    <row r="36">
      <c r="A36" s="12" t="n"/>
      <c r="B36" s="12" t="n"/>
      <c r="C36" s="12" t="n"/>
      <c r="D36" s="12" t="n"/>
      <c r="E36" s="12" t="n"/>
      <c r="F36" s="14" t="n"/>
      <c r="G36" s="12" t="n"/>
      <c r="H36" s="12" t="n"/>
      <c r="I36" s="12">
        <f>IF(AND($F36&lt;TODAY(),$G36&lt;&gt;"Complete"),TODAY()-$F36,0)</f>
        <v/>
      </c>
    </row>
    <row r="37">
      <c r="F37" s="9" t="n"/>
      <c r="I37">
        <f>IF(AND($F37&lt;TODAY(),$G37&lt;&gt;"Complete"),TODAY()-$F37,0)</f>
        <v/>
      </c>
    </row>
    <row r="38">
      <c r="A38" s="12" t="n"/>
      <c r="B38" s="12" t="n"/>
      <c r="C38" s="12" t="n"/>
      <c r="D38" s="12" t="n"/>
      <c r="E38" s="12" t="n"/>
      <c r="F38" s="14" t="n"/>
      <c r="G38" s="12" t="n"/>
      <c r="H38" s="12" t="n"/>
      <c r="I38" s="12">
        <f>IF(AND($F38&lt;TODAY(),$G38&lt;&gt;"Complete"),TODAY()-$F38,0)</f>
        <v/>
      </c>
    </row>
    <row r="39">
      <c r="F39" s="9" t="n"/>
      <c r="I39">
        <f>IF(AND($F39&lt;TODAY(),$G39&lt;&gt;"Complete"),TODAY()-$F39,0)</f>
        <v/>
      </c>
    </row>
    <row r="40">
      <c r="A40" s="12" t="n"/>
      <c r="B40" s="12" t="n"/>
      <c r="C40" s="12" t="n"/>
      <c r="D40" s="12" t="n"/>
      <c r="E40" s="12" t="n"/>
      <c r="F40" s="14" t="n"/>
      <c r="G40" s="12" t="n"/>
      <c r="H40" s="12" t="n"/>
      <c r="I40" s="12">
        <f>IF(AND($F40&lt;TODAY(),$G40&lt;&gt;"Complete"),TODAY()-$F40,0)</f>
        <v/>
      </c>
    </row>
    <row r="41">
      <c r="F41" s="9" t="n"/>
      <c r="I41">
        <f>IF(AND($F41&lt;TODAY(),$G41&lt;&gt;"Complete"),TODAY()-$F41,0)</f>
        <v/>
      </c>
    </row>
    <row r="42">
      <c r="A42" s="12" t="n"/>
      <c r="B42" s="12" t="n"/>
      <c r="C42" s="12" t="n"/>
      <c r="D42" s="12" t="n"/>
      <c r="E42" s="12" t="n"/>
      <c r="F42" s="14" t="n"/>
      <c r="G42" s="12" t="n"/>
      <c r="H42" s="12" t="n"/>
      <c r="I42" s="12">
        <f>IF(AND($F42&lt;TODAY(),$G42&lt;&gt;"Complete"),TODAY()-$F42,0)</f>
        <v/>
      </c>
    </row>
    <row r="43">
      <c r="F43" s="9" t="n"/>
      <c r="I43">
        <f>IF(AND($F43&lt;TODAY(),$G43&lt;&gt;"Complete"),TODAY()-$F43,0)</f>
        <v/>
      </c>
    </row>
    <row r="44">
      <c r="A44" s="12" t="n"/>
      <c r="B44" s="12" t="n"/>
      <c r="C44" s="12" t="n"/>
      <c r="D44" s="12" t="n"/>
      <c r="E44" s="12" t="n"/>
      <c r="F44" s="14" t="n"/>
      <c r="G44" s="12" t="n"/>
      <c r="H44" s="12" t="n"/>
      <c r="I44" s="12">
        <f>IF(AND($F44&lt;TODAY(),$G44&lt;&gt;"Complete"),TODAY()-$F44,0)</f>
        <v/>
      </c>
    </row>
    <row r="45">
      <c r="F45" s="9" t="n"/>
      <c r="I45">
        <f>IF(AND($F45&lt;TODAY(),$G45&lt;&gt;"Complete"),TODAY()-$F45,0)</f>
        <v/>
      </c>
    </row>
    <row r="46">
      <c r="A46" s="12" t="n"/>
      <c r="B46" s="12" t="n"/>
      <c r="C46" s="12" t="n"/>
      <c r="D46" s="12" t="n"/>
      <c r="E46" s="12" t="n"/>
      <c r="F46" s="14" t="n"/>
      <c r="G46" s="12" t="n"/>
      <c r="H46" s="12" t="n"/>
      <c r="I46" s="12">
        <f>IF(AND($F46&lt;TODAY(),$G46&lt;&gt;"Complete"),TODAY()-$F46,0)</f>
        <v/>
      </c>
    </row>
    <row r="47">
      <c r="F47" s="9" t="n"/>
      <c r="I47">
        <f>IF(AND($F47&lt;TODAY(),$G47&lt;&gt;"Complete"),TODAY()-$F47,0)</f>
        <v/>
      </c>
    </row>
    <row r="48">
      <c r="A48" s="12" t="n"/>
      <c r="B48" s="12" t="n"/>
      <c r="C48" s="12" t="n"/>
      <c r="D48" s="12" t="n"/>
      <c r="E48" s="12" t="n"/>
      <c r="F48" s="14" t="n"/>
      <c r="G48" s="12" t="n"/>
      <c r="H48" s="12" t="n"/>
      <c r="I48" s="12">
        <f>IF(AND($F48&lt;TODAY(),$G48&lt;&gt;"Complete"),TODAY()-$F48,0)</f>
        <v/>
      </c>
    </row>
    <row r="49">
      <c r="F49" s="9" t="n"/>
      <c r="I49">
        <f>IF(AND($F49&lt;TODAY(),$G49&lt;&gt;"Complete"),TODAY()-$F49,0)</f>
        <v/>
      </c>
    </row>
    <row r="50">
      <c r="A50" s="12" t="n"/>
      <c r="B50" s="12" t="n"/>
      <c r="C50" s="12" t="n"/>
      <c r="D50" s="12" t="n"/>
      <c r="E50" s="12" t="n"/>
      <c r="F50" s="14" t="n"/>
      <c r="G50" s="12" t="n"/>
      <c r="H50" s="12" t="n"/>
      <c r="I50" s="12">
        <f>IF(AND($F50&lt;TODAY(),$G50&lt;&gt;"Complete"),TODAY()-$F50,0)</f>
        <v/>
      </c>
    </row>
    <row r="51">
      <c r="F51" s="9" t="n"/>
      <c r="I51">
        <f>IF(AND($F51&lt;TODAY(),$G51&lt;&gt;"Complete"),TODAY()-$F51,0)</f>
        <v/>
      </c>
    </row>
    <row r="52">
      <c r="A52" s="12" t="n"/>
      <c r="B52" s="12" t="n"/>
      <c r="C52" s="12" t="n"/>
      <c r="D52" s="12" t="n"/>
      <c r="E52" s="12" t="n"/>
      <c r="F52" s="14" t="n"/>
      <c r="G52" s="12" t="n"/>
      <c r="H52" s="12" t="n"/>
      <c r="I52" s="12">
        <f>IF(AND($F52&lt;TODAY(),$G52&lt;&gt;"Complete"),TODAY()-$F52,0)</f>
        <v/>
      </c>
    </row>
    <row r="53">
      <c r="F53" s="9" t="n"/>
      <c r="I53">
        <f>IF(AND($F53&lt;TODAY(),$G53&lt;&gt;"Complete"),TODAY()-$F53,0)</f>
        <v/>
      </c>
    </row>
    <row r="54">
      <c r="A54" s="12" t="n"/>
      <c r="B54" s="12" t="n"/>
      <c r="C54" s="12" t="n"/>
      <c r="D54" s="12" t="n"/>
      <c r="E54" s="12" t="n"/>
      <c r="F54" s="14" t="n"/>
      <c r="G54" s="12" t="n"/>
      <c r="H54" s="12" t="n"/>
      <c r="I54" s="12">
        <f>IF(AND($F54&lt;TODAY(),$G54&lt;&gt;"Complete"),TODAY()-$F54,0)</f>
        <v/>
      </c>
    </row>
    <row r="55">
      <c r="F55" s="9" t="n"/>
      <c r="I55">
        <f>IF(AND($F55&lt;TODAY(),$G55&lt;&gt;"Complete"),TODAY()-$F55,0)</f>
        <v/>
      </c>
    </row>
    <row r="56">
      <c r="A56" s="12" t="n"/>
      <c r="B56" s="12" t="n"/>
      <c r="C56" s="12" t="n"/>
      <c r="D56" s="12" t="n"/>
      <c r="E56" s="12" t="n"/>
      <c r="F56" s="14" t="n"/>
      <c r="G56" s="12" t="n"/>
      <c r="H56" s="12" t="n"/>
      <c r="I56" s="12">
        <f>IF(AND($F56&lt;TODAY(),$G56&lt;&gt;"Complete"),TODAY()-$F56,0)</f>
        <v/>
      </c>
    </row>
    <row r="57">
      <c r="F57" s="9" t="n"/>
      <c r="I57">
        <f>IF(AND($F57&lt;TODAY(),$G57&lt;&gt;"Complete"),TODAY()-$F57,0)</f>
        <v/>
      </c>
    </row>
    <row r="58">
      <c r="A58" s="12" t="n"/>
      <c r="B58" s="12" t="n"/>
      <c r="C58" s="12" t="n"/>
      <c r="D58" s="12" t="n"/>
      <c r="E58" s="12" t="n"/>
      <c r="F58" s="14" t="n"/>
      <c r="G58" s="12" t="n"/>
      <c r="H58" s="12" t="n"/>
      <c r="I58" s="12">
        <f>IF(AND($F58&lt;TODAY(),$G58&lt;&gt;"Complete"),TODAY()-$F58,0)</f>
        <v/>
      </c>
    </row>
    <row r="59">
      <c r="F59" s="9" t="n"/>
      <c r="I59">
        <f>IF(AND($F59&lt;TODAY(),$G59&lt;&gt;"Complete"),TODAY()-$F59,0)</f>
        <v/>
      </c>
    </row>
    <row r="60">
      <c r="A60" s="12" t="n"/>
      <c r="B60" s="12" t="n"/>
      <c r="C60" s="12" t="n"/>
      <c r="D60" s="12" t="n"/>
      <c r="E60" s="12" t="n"/>
      <c r="F60" s="14" t="n"/>
      <c r="G60" s="12" t="n"/>
      <c r="H60" s="12" t="n"/>
      <c r="I60" s="12">
        <f>IF(AND($F60&lt;TODAY(),$G60&lt;&gt;"Complete"),TODAY()-$F60,0)</f>
        <v/>
      </c>
    </row>
    <row r="61">
      <c r="F61" s="9" t="n"/>
      <c r="I61">
        <f>IF(AND($F61&lt;TODAY(),$G61&lt;&gt;"Complete"),TODAY()-$F61,0)</f>
        <v/>
      </c>
    </row>
    <row r="62">
      <c r="A62" s="12" t="n"/>
      <c r="B62" s="12" t="n"/>
      <c r="C62" s="12" t="n"/>
      <c r="D62" s="12" t="n"/>
      <c r="E62" s="12" t="n"/>
      <c r="F62" s="14" t="n"/>
      <c r="G62" s="12" t="n"/>
      <c r="H62" s="12" t="n"/>
      <c r="I62" s="12">
        <f>IF(AND($F62&lt;TODAY(),$G62&lt;&gt;"Complete"),TODAY()-$F62,0)</f>
        <v/>
      </c>
    </row>
    <row r="63">
      <c r="F63" s="9" t="n"/>
      <c r="I63">
        <f>IF(AND($F63&lt;TODAY(),$G63&lt;&gt;"Complete"),TODAY()-$F63,0)</f>
        <v/>
      </c>
    </row>
    <row r="64">
      <c r="A64" s="12" t="n"/>
      <c r="B64" s="12" t="n"/>
      <c r="C64" s="12" t="n"/>
      <c r="D64" s="12" t="n"/>
      <c r="E64" s="12" t="n"/>
      <c r="F64" s="14" t="n"/>
      <c r="G64" s="12" t="n"/>
      <c r="H64" s="12" t="n"/>
      <c r="I64" s="12">
        <f>IF(AND($F64&lt;TODAY(),$G64&lt;&gt;"Complete"),TODAY()-$F64,0)</f>
        <v/>
      </c>
    </row>
    <row r="65">
      <c r="F65" s="9" t="n"/>
      <c r="I65">
        <f>IF(AND($F65&lt;TODAY(),$G65&lt;&gt;"Complete"),TODAY()-$F65,0)</f>
        <v/>
      </c>
    </row>
    <row r="66">
      <c r="A66" s="12" t="n"/>
      <c r="B66" s="12" t="n"/>
      <c r="C66" s="12" t="n"/>
      <c r="D66" s="12" t="n"/>
      <c r="E66" s="12" t="n"/>
      <c r="F66" s="14" t="n"/>
      <c r="G66" s="12" t="n"/>
      <c r="H66" s="12" t="n"/>
      <c r="I66" s="12">
        <f>IF(AND($F66&lt;TODAY(),$G66&lt;&gt;"Complete"),TODAY()-$F66,0)</f>
        <v/>
      </c>
    </row>
    <row r="67">
      <c r="F67" s="9" t="n"/>
      <c r="I67">
        <f>IF(AND($F67&lt;TODAY(),$G67&lt;&gt;"Complete"),TODAY()-$F67,0)</f>
        <v/>
      </c>
    </row>
    <row r="68">
      <c r="A68" s="12" t="n"/>
      <c r="B68" s="12" t="n"/>
      <c r="C68" s="12" t="n"/>
      <c r="D68" s="12" t="n"/>
      <c r="E68" s="12" t="n"/>
      <c r="F68" s="14" t="n"/>
      <c r="G68" s="12" t="n"/>
      <c r="H68" s="12" t="n"/>
      <c r="I68" s="12">
        <f>IF(AND($F68&lt;TODAY(),$G68&lt;&gt;"Complete"),TODAY()-$F68,0)</f>
        <v/>
      </c>
    </row>
    <row r="69">
      <c r="F69" s="9" t="n"/>
      <c r="I69">
        <f>IF(AND($F69&lt;TODAY(),$G69&lt;&gt;"Complete"),TODAY()-$F69,0)</f>
        <v/>
      </c>
    </row>
    <row r="70">
      <c r="A70" s="12" t="n"/>
      <c r="B70" s="12" t="n"/>
      <c r="C70" s="12" t="n"/>
      <c r="D70" s="12" t="n"/>
      <c r="E70" s="12" t="n"/>
      <c r="F70" s="14" t="n"/>
      <c r="G70" s="12" t="n"/>
      <c r="H70" s="12" t="n"/>
      <c r="I70" s="12">
        <f>IF(AND($F70&lt;TODAY(),$G70&lt;&gt;"Complete"),TODAY()-$F70,0)</f>
        <v/>
      </c>
    </row>
    <row r="71">
      <c r="F71" s="9" t="n"/>
      <c r="I71">
        <f>IF(AND($F71&lt;TODAY(),$G71&lt;&gt;"Complete"),TODAY()-$F71,0)</f>
        <v/>
      </c>
    </row>
    <row r="72">
      <c r="A72" s="12" t="n"/>
      <c r="B72" s="12" t="n"/>
      <c r="C72" s="12" t="n"/>
      <c r="D72" s="12" t="n"/>
      <c r="E72" s="12" t="n"/>
      <c r="F72" s="14" t="n"/>
      <c r="G72" s="12" t="n"/>
      <c r="H72" s="12" t="n"/>
      <c r="I72" s="12">
        <f>IF(AND($F72&lt;TODAY(),$G72&lt;&gt;"Complete"),TODAY()-$F72,0)</f>
        <v/>
      </c>
    </row>
    <row r="73">
      <c r="F73" s="9" t="n"/>
      <c r="I73">
        <f>IF(AND($F73&lt;TODAY(),$G73&lt;&gt;"Complete"),TODAY()-$F73,0)</f>
        <v/>
      </c>
    </row>
    <row r="74">
      <c r="A74" s="12" t="n"/>
      <c r="B74" s="12" t="n"/>
      <c r="C74" s="12" t="n"/>
      <c r="D74" s="12" t="n"/>
      <c r="E74" s="12" t="n"/>
      <c r="F74" s="14" t="n"/>
      <c r="G74" s="12" t="n"/>
      <c r="H74" s="12" t="n"/>
      <c r="I74" s="12">
        <f>IF(AND($F74&lt;TODAY(),$G74&lt;&gt;"Complete"),TODAY()-$F74,0)</f>
        <v/>
      </c>
    </row>
    <row r="75">
      <c r="F75" s="9" t="n"/>
      <c r="I75">
        <f>IF(AND($F75&lt;TODAY(),$G75&lt;&gt;"Complete"),TODAY()-$F75,0)</f>
        <v/>
      </c>
    </row>
    <row r="76">
      <c r="A76" s="12" t="n"/>
      <c r="B76" s="12" t="n"/>
      <c r="C76" s="12" t="n"/>
      <c r="D76" s="12" t="n"/>
      <c r="E76" s="12" t="n"/>
      <c r="F76" s="14" t="n"/>
      <c r="G76" s="12" t="n"/>
      <c r="H76" s="12" t="n"/>
      <c r="I76" s="12">
        <f>IF(AND($F76&lt;TODAY(),$G76&lt;&gt;"Complete"),TODAY()-$F76,0)</f>
        <v/>
      </c>
    </row>
    <row r="77">
      <c r="F77" s="9" t="n"/>
      <c r="I77">
        <f>IF(AND($F77&lt;TODAY(),$G77&lt;&gt;"Complete"),TODAY()-$F77,0)</f>
        <v/>
      </c>
    </row>
    <row r="78">
      <c r="A78" s="12" t="n"/>
      <c r="B78" s="12" t="n"/>
      <c r="C78" s="12" t="n"/>
      <c r="D78" s="12" t="n"/>
      <c r="E78" s="12" t="n"/>
      <c r="F78" s="14" t="n"/>
      <c r="G78" s="12" t="n"/>
      <c r="H78" s="12" t="n"/>
      <c r="I78" s="12">
        <f>IF(AND($F78&lt;TODAY(),$G78&lt;&gt;"Complete"),TODAY()-$F78,0)</f>
        <v/>
      </c>
    </row>
    <row r="79">
      <c r="F79" s="9" t="n"/>
      <c r="I79">
        <f>IF(AND($F79&lt;TODAY(),$G79&lt;&gt;"Complete"),TODAY()-$F79,0)</f>
        <v/>
      </c>
    </row>
    <row r="80">
      <c r="A80" s="12" t="n"/>
      <c r="B80" s="12" t="n"/>
      <c r="C80" s="12" t="n"/>
      <c r="D80" s="12" t="n"/>
      <c r="E80" s="12" t="n"/>
      <c r="F80" s="14" t="n"/>
      <c r="G80" s="12" t="n"/>
      <c r="H80" s="12" t="n"/>
      <c r="I80" s="12">
        <f>IF(AND($F80&lt;TODAY(),$G80&lt;&gt;"Complete"),TODAY()-$F80,0)</f>
        <v/>
      </c>
    </row>
    <row r="81">
      <c r="F81" s="9" t="n"/>
      <c r="I81">
        <f>IF(AND($F81&lt;TODAY(),$G81&lt;&gt;"Complete"),TODAY()-$F81,0)</f>
        <v/>
      </c>
    </row>
    <row r="82">
      <c r="A82" s="12" t="n"/>
      <c r="B82" s="12" t="n"/>
      <c r="C82" s="12" t="n"/>
      <c r="D82" s="12" t="n"/>
      <c r="E82" s="12" t="n"/>
      <c r="F82" s="14" t="n"/>
      <c r="G82" s="12" t="n"/>
      <c r="H82" s="12" t="n"/>
      <c r="I82" s="12">
        <f>IF(AND($F82&lt;TODAY(),$G82&lt;&gt;"Complete"),TODAY()-$F82,0)</f>
        <v/>
      </c>
    </row>
    <row r="83">
      <c r="F83" s="9" t="n"/>
      <c r="I83">
        <f>IF(AND($F83&lt;TODAY(),$G83&lt;&gt;"Complete"),TODAY()-$F83,0)</f>
        <v/>
      </c>
    </row>
    <row r="84">
      <c r="A84" s="12" t="n"/>
      <c r="B84" s="12" t="n"/>
      <c r="C84" s="12" t="n"/>
      <c r="D84" s="12" t="n"/>
      <c r="E84" s="12" t="n"/>
      <c r="F84" s="14" t="n"/>
      <c r="G84" s="12" t="n"/>
      <c r="H84" s="12" t="n"/>
      <c r="I84" s="12">
        <f>IF(AND($F84&lt;TODAY(),$G84&lt;&gt;"Complete"),TODAY()-$F84,0)</f>
        <v/>
      </c>
    </row>
    <row r="85">
      <c r="F85" s="9" t="n"/>
      <c r="I85">
        <f>IF(AND($F85&lt;TODAY(),$G85&lt;&gt;"Complete"),TODAY()-$F85,0)</f>
        <v/>
      </c>
    </row>
    <row r="86">
      <c r="A86" s="12" t="n"/>
      <c r="B86" s="12" t="n"/>
      <c r="C86" s="12" t="n"/>
      <c r="D86" s="12" t="n"/>
      <c r="E86" s="12" t="n"/>
      <c r="F86" s="14" t="n"/>
      <c r="G86" s="12" t="n"/>
      <c r="H86" s="12" t="n"/>
      <c r="I86" s="12">
        <f>IF(AND($F86&lt;TODAY(),$G86&lt;&gt;"Complete"),TODAY()-$F86,0)</f>
        <v/>
      </c>
    </row>
    <row r="87">
      <c r="F87" s="9" t="n"/>
      <c r="I87">
        <f>IF(AND($F87&lt;TODAY(),$G87&lt;&gt;"Complete"),TODAY()-$F87,0)</f>
        <v/>
      </c>
    </row>
    <row r="88">
      <c r="A88" s="12" t="n"/>
      <c r="B88" s="12" t="n"/>
      <c r="C88" s="12" t="n"/>
      <c r="D88" s="12" t="n"/>
      <c r="E88" s="12" t="n"/>
      <c r="F88" s="14" t="n"/>
      <c r="G88" s="12" t="n"/>
      <c r="H88" s="12" t="n"/>
      <c r="I88" s="12">
        <f>IF(AND($F88&lt;TODAY(),$G88&lt;&gt;"Complete"),TODAY()-$F88,0)</f>
        <v/>
      </c>
    </row>
    <row r="89">
      <c r="F89" s="9" t="n"/>
      <c r="I89">
        <f>IF(AND($F89&lt;TODAY(),$G89&lt;&gt;"Complete"),TODAY()-$F89,0)</f>
        <v/>
      </c>
    </row>
    <row r="90">
      <c r="A90" s="12" t="n"/>
      <c r="B90" s="12" t="n"/>
      <c r="C90" s="12" t="n"/>
      <c r="D90" s="12" t="n"/>
      <c r="E90" s="12" t="n"/>
      <c r="F90" s="14" t="n"/>
      <c r="G90" s="12" t="n"/>
      <c r="H90" s="12" t="n"/>
      <c r="I90" s="12">
        <f>IF(AND($F90&lt;TODAY(),$G90&lt;&gt;"Complete"),TODAY()-$F90,0)</f>
        <v/>
      </c>
    </row>
    <row r="91">
      <c r="F91" s="9" t="n"/>
      <c r="I91">
        <f>IF(AND($F91&lt;TODAY(),$G91&lt;&gt;"Complete"),TODAY()-$F91,0)</f>
        <v/>
      </c>
    </row>
    <row r="92">
      <c r="A92" s="12" t="n"/>
      <c r="B92" s="12" t="n"/>
      <c r="C92" s="12" t="n"/>
      <c r="D92" s="12" t="n"/>
      <c r="E92" s="12" t="n"/>
      <c r="F92" s="14" t="n"/>
      <c r="G92" s="12" t="n"/>
      <c r="H92" s="12" t="n"/>
      <c r="I92" s="12">
        <f>IF(AND($F92&lt;TODAY(),$G92&lt;&gt;"Complete"),TODAY()-$F92,0)</f>
        <v/>
      </c>
    </row>
    <row r="93">
      <c r="F93" s="9" t="n"/>
      <c r="I93">
        <f>IF(AND($F93&lt;TODAY(),$G93&lt;&gt;"Complete"),TODAY()-$F93,0)</f>
        <v/>
      </c>
    </row>
    <row r="94">
      <c r="A94" s="12" t="n"/>
      <c r="B94" s="12" t="n"/>
      <c r="C94" s="12" t="n"/>
      <c r="D94" s="12" t="n"/>
      <c r="E94" s="12" t="n"/>
      <c r="F94" s="14" t="n"/>
      <c r="G94" s="12" t="n"/>
      <c r="H94" s="12" t="n"/>
      <c r="I94" s="12">
        <f>IF(AND($F94&lt;TODAY(),$G94&lt;&gt;"Complete"),TODAY()-$F94,0)</f>
        <v/>
      </c>
    </row>
    <row r="95">
      <c r="F95" s="9" t="n"/>
      <c r="I95">
        <f>IF(AND($F95&lt;TODAY(),$G95&lt;&gt;"Complete"),TODAY()-$F95,0)</f>
        <v/>
      </c>
    </row>
    <row r="96">
      <c r="A96" s="12" t="n"/>
      <c r="B96" s="12" t="n"/>
      <c r="C96" s="12" t="n"/>
      <c r="D96" s="12" t="n"/>
      <c r="E96" s="12" t="n"/>
      <c r="F96" s="14" t="n"/>
      <c r="G96" s="12" t="n"/>
      <c r="H96" s="12" t="n"/>
      <c r="I96" s="12">
        <f>IF(AND($F96&lt;TODAY(),$G96&lt;&gt;"Complete"),TODAY()-$F96,0)</f>
        <v/>
      </c>
    </row>
    <row r="97">
      <c r="F97" s="9" t="n"/>
      <c r="I97">
        <f>IF(AND($F97&lt;TODAY(),$G97&lt;&gt;"Complete"),TODAY()-$F97,0)</f>
        <v/>
      </c>
    </row>
    <row r="98">
      <c r="A98" s="12" t="n"/>
      <c r="B98" s="12" t="n"/>
      <c r="C98" s="12" t="n"/>
      <c r="D98" s="12" t="n"/>
      <c r="E98" s="12" t="n"/>
      <c r="F98" s="14" t="n"/>
      <c r="G98" s="12" t="n"/>
      <c r="H98" s="12" t="n"/>
      <c r="I98" s="12">
        <f>IF(AND($F98&lt;TODAY(),$G98&lt;&gt;"Complete"),TODAY()-$F98,0)</f>
        <v/>
      </c>
    </row>
    <row r="99">
      <c r="F99" s="9" t="n"/>
      <c r="I99">
        <f>IF(AND($F99&lt;TODAY(),$G99&lt;&gt;"Complete"),TODAY()-$F99,0)</f>
        <v/>
      </c>
    </row>
    <row r="100">
      <c r="A100" s="12" t="n"/>
      <c r="B100" s="12" t="n"/>
      <c r="C100" s="12" t="n"/>
      <c r="D100" s="12" t="n"/>
      <c r="E100" s="12" t="n"/>
      <c r="F100" s="14" t="n"/>
      <c r="G100" s="12" t="n"/>
      <c r="H100" s="12" t="n"/>
      <c r="I100" s="12">
        <f>IF(AND($F100&lt;TODAY(),$G100&lt;&gt;"Complete"),TODAY()-$F100,0)</f>
        <v/>
      </c>
    </row>
    <row r="101">
      <c r="F101" s="9" t="n"/>
      <c r="I101">
        <f>IF(AND($F101&lt;TODAY(),$G101&lt;&gt;"Complete"),TODAY()-$F101,0)</f>
        <v/>
      </c>
    </row>
    <row r="102">
      <c r="A102" s="12" t="n"/>
      <c r="B102" s="12" t="n"/>
      <c r="C102" s="12" t="n"/>
      <c r="D102" s="12" t="n"/>
      <c r="E102" s="12" t="n"/>
      <c r="F102" s="14" t="n"/>
      <c r="G102" s="12" t="n"/>
      <c r="H102" s="12" t="n"/>
      <c r="I102" s="12">
        <f>IF(AND($F102&lt;TODAY(),$G102&lt;&gt;"Complete"),TODAY()-$F102,0)</f>
        <v/>
      </c>
    </row>
    <row r="103">
      <c r="F103" s="9" t="n"/>
      <c r="I103">
        <f>IF(AND($F103&lt;TODAY(),$G103&lt;&gt;"Complete"),TODAY()-$F103,0)</f>
        <v/>
      </c>
    </row>
    <row r="104">
      <c r="A104" s="12" t="n"/>
      <c r="B104" s="12" t="n"/>
      <c r="C104" s="12" t="n"/>
      <c r="D104" s="12" t="n"/>
      <c r="E104" s="12" t="n"/>
      <c r="F104" s="14" t="n"/>
      <c r="G104" s="12" t="n"/>
      <c r="H104" s="12" t="n"/>
      <c r="I104" s="12">
        <f>IF(AND($F104&lt;TODAY(),$G104&lt;&gt;"Complete"),TODAY()-$F104,0)</f>
        <v/>
      </c>
    </row>
    <row r="105">
      <c r="F105" s="9" t="n"/>
      <c r="I105">
        <f>IF(AND($F105&lt;TODAY(),$G105&lt;&gt;"Complete"),TODAY()-$F105,0)</f>
        <v/>
      </c>
    </row>
    <row r="106">
      <c r="A106" s="12" t="n"/>
      <c r="B106" s="12" t="n"/>
      <c r="C106" s="12" t="n"/>
      <c r="D106" s="12" t="n"/>
      <c r="E106" s="12" t="n"/>
      <c r="F106" s="14" t="n"/>
      <c r="G106" s="12" t="n"/>
      <c r="H106" s="12" t="n"/>
      <c r="I106" s="12">
        <f>IF(AND($F106&lt;TODAY(),$G106&lt;&gt;"Complete"),TODAY()-$F106,0)</f>
        <v/>
      </c>
    </row>
    <row r="107">
      <c r="F107" s="9" t="n"/>
      <c r="I107">
        <f>IF(AND($F107&lt;TODAY(),$G107&lt;&gt;"Complete"),TODAY()-$F107,0)</f>
        <v/>
      </c>
    </row>
    <row r="108">
      <c r="A108" s="12" t="n"/>
      <c r="B108" s="12" t="n"/>
      <c r="C108" s="12" t="n"/>
      <c r="D108" s="12" t="n"/>
      <c r="E108" s="12" t="n"/>
      <c r="F108" s="14" t="n"/>
      <c r="G108" s="12" t="n"/>
      <c r="H108" s="12" t="n"/>
      <c r="I108" s="12">
        <f>IF(AND($F108&lt;TODAY(),$G108&lt;&gt;"Complete"),TODAY()-$F108,0)</f>
        <v/>
      </c>
    </row>
    <row r="109">
      <c r="F109" s="9" t="n"/>
      <c r="I109">
        <f>IF(AND($F109&lt;TODAY(),$G109&lt;&gt;"Complete"),TODAY()-$F109,0)</f>
        <v/>
      </c>
    </row>
    <row r="110">
      <c r="A110" s="12" t="n"/>
      <c r="B110" s="12" t="n"/>
      <c r="C110" s="12" t="n"/>
      <c r="D110" s="12" t="n"/>
      <c r="E110" s="12" t="n"/>
      <c r="F110" s="14" t="n"/>
      <c r="G110" s="12" t="n"/>
      <c r="H110" s="12" t="n"/>
      <c r="I110" s="12">
        <f>IF(AND($F110&lt;TODAY(),$G110&lt;&gt;"Complete"),TODAY()-$F110,0)</f>
        <v/>
      </c>
    </row>
    <row r="111">
      <c r="F111" s="9" t="n"/>
      <c r="I111">
        <f>IF(AND($F111&lt;TODAY(),$G111&lt;&gt;"Complete"),TODAY()-$F111,0)</f>
        <v/>
      </c>
    </row>
    <row r="112">
      <c r="A112" s="12" t="n"/>
      <c r="B112" s="12" t="n"/>
      <c r="C112" s="12" t="n"/>
      <c r="D112" s="12" t="n"/>
      <c r="E112" s="12" t="n"/>
      <c r="F112" s="14" t="n"/>
      <c r="G112" s="12" t="n"/>
      <c r="H112" s="12" t="n"/>
      <c r="I112" s="12">
        <f>IF(AND($F112&lt;TODAY(),$G112&lt;&gt;"Complete"),TODAY()-$F112,0)</f>
        <v/>
      </c>
    </row>
    <row r="113">
      <c r="F113" s="9" t="n"/>
      <c r="I113">
        <f>IF(AND($F113&lt;TODAY(),$G113&lt;&gt;"Complete"),TODAY()-$F113,0)</f>
        <v/>
      </c>
    </row>
    <row r="114">
      <c r="A114" s="12" t="n"/>
      <c r="B114" s="12" t="n"/>
      <c r="C114" s="12" t="n"/>
      <c r="D114" s="12" t="n"/>
      <c r="E114" s="12" t="n"/>
      <c r="F114" s="14" t="n"/>
      <c r="G114" s="12" t="n"/>
      <c r="H114" s="12" t="n"/>
      <c r="I114" s="12">
        <f>IF(AND($F114&lt;TODAY(),$G114&lt;&gt;"Complete"),TODAY()-$F114,0)</f>
        <v/>
      </c>
    </row>
    <row r="115">
      <c r="F115" s="9" t="n"/>
      <c r="I115">
        <f>IF(AND($F115&lt;TODAY(),$G115&lt;&gt;"Complete"),TODAY()-$F115,0)</f>
        <v/>
      </c>
    </row>
    <row r="116">
      <c r="A116" s="12" t="n"/>
      <c r="B116" s="12" t="n"/>
      <c r="C116" s="12" t="n"/>
      <c r="D116" s="12" t="n"/>
      <c r="E116" s="12" t="n"/>
      <c r="F116" s="14" t="n"/>
      <c r="G116" s="12" t="n"/>
      <c r="H116" s="12" t="n"/>
      <c r="I116" s="12">
        <f>IF(AND($F116&lt;TODAY(),$G116&lt;&gt;"Complete"),TODAY()-$F116,0)</f>
        <v/>
      </c>
    </row>
    <row r="117">
      <c r="F117" s="9" t="n"/>
      <c r="I117">
        <f>IF(AND($F117&lt;TODAY(),$G117&lt;&gt;"Complete"),TODAY()-$F117,0)</f>
        <v/>
      </c>
    </row>
    <row r="118">
      <c r="A118" s="12" t="n"/>
      <c r="B118" s="12" t="n"/>
      <c r="C118" s="12" t="n"/>
      <c r="D118" s="12" t="n"/>
      <c r="E118" s="12" t="n"/>
      <c r="F118" s="14" t="n"/>
      <c r="G118" s="12" t="n"/>
      <c r="H118" s="12" t="n"/>
      <c r="I118" s="12">
        <f>IF(AND($F118&lt;TODAY(),$G118&lt;&gt;"Complete"),TODAY()-$F118,0)</f>
        <v/>
      </c>
    </row>
    <row r="119">
      <c r="F119" s="9" t="n"/>
      <c r="I119">
        <f>IF(AND($F119&lt;TODAY(),$G119&lt;&gt;"Complete"),TODAY()-$F119,0)</f>
        <v/>
      </c>
    </row>
    <row r="120">
      <c r="A120" s="12" t="n"/>
      <c r="B120" s="12" t="n"/>
      <c r="C120" s="12" t="n"/>
      <c r="D120" s="12" t="n"/>
      <c r="E120" s="12" t="n"/>
      <c r="F120" s="14" t="n"/>
      <c r="G120" s="12" t="n"/>
      <c r="H120" s="12" t="n"/>
      <c r="I120" s="12">
        <f>IF(AND($F120&lt;TODAY(),$G120&lt;&gt;"Complete"),TODAY()-$F120,0)</f>
        <v/>
      </c>
    </row>
    <row r="121">
      <c r="F121" s="9" t="n"/>
      <c r="I121">
        <f>IF(AND($F121&lt;TODAY(),$G121&lt;&gt;"Complete"),TODAY()-$F121,0)</f>
        <v/>
      </c>
    </row>
    <row r="122">
      <c r="A122" s="12" t="n"/>
      <c r="B122" s="12" t="n"/>
      <c r="C122" s="12" t="n"/>
      <c r="D122" s="12" t="n"/>
      <c r="E122" s="12" t="n"/>
      <c r="F122" s="14" t="n"/>
      <c r="G122" s="12" t="n"/>
      <c r="H122" s="12" t="n"/>
      <c r="I122" s="12">
        <f>IF(AND($F122&lt;TODAY(),$G122&lt;&gt;"Complete"),TODAY()-$F122,0)</f>
        <v/>
      </c>
    </row>
    <row r="123">
      <c r="F123" s="9" t="n"/>
      <c r="I123">
        <f>IF(AND($F123&lt;TODAY(),$G123&lt;&gt;"Complete"),TODAY()-$F123,0)</f>
        <v/>
      </c>
    </row>
    <row r="124">
      <c r="A124" s="12" t="n"/>
      <c r="B124" s="12" t="n"/>
      <c r="C124" s="12" t="n"/>
      <c r="D124" s="12" t="n"/>
      <c r="E124" s="12" t="n"/>
      <c r="F124" s="14" t="n"/>
      <c r="G124" s="12" t="n"/>
      <c r="H124" s="12" t="n"/>
      <c r="I124" s="12">
        <f>IF(AND($F124&lt;TODAY(),$G124&lt;&gt;"Complete"),TODAY()-$F124,0)</f>
        <v/>
      </c>
    </row>
    <row r="125">
      <c r="F125" s="9" t="n"/>
      <c r="I125">
        <f>IF(AND($F125&lt;TODAY(),$G125&lt;&gt;"Complete"),TODAY()-$F125,0)</f>
        <v/>
      </c>
    </row>
    <row r="126">
      <c r="A126" s="12" t="n"/>
      <c r="B126" s="12" t="n"/>
      <c r="C126" s="12" t="n"/>
      <c r="D126" s="12" t="n"/>
      <c r="E126" s="12" t="n"/>
      <c r="F126" s="14" t="n"/>
      <c r="G126" s="12" t="n"/>
      <c r="H126" s="12" t="n"/>
      <c r="I126" s="12">
        <f>IF(AND($F126&lt;TODAY(),$G126&lt;&gt;"Complete"),TODAY()-$F126,0)</f>
        <v/>
      </c>
    </row>
    <row r="127">
      <c r="F127" s="9" t="n"/>
      <c r="I127">
        <f>IF(AND($F127&lt;TODAY(),$G127&lt;&gt;"Complete"),TODAY()-$F127,0)</f>
        <v/>
      </c>
    </row>
    <row r="128">
      <c r="A128" s="12" t="n"/>
      <c r="B128" s="12" t="n"/>
      <c r="C128" s="12" t="n"/>
      <c r="D128" s="12" t="n"/>
      <c r="E128" s="12" t="n"/>
      <c r="F128" s="14" t="n"/>
      <c r="G128" s="12" t="n"/>
      <c r="H128" s="12" t="n"/>
      <c r="I128" s="12">
        <f>IF(AND($F128&lt;TODAY(),$G128&lt;&gt;"Complete"),TODAY()-$F128,0)</f>
        <v/>
      </c>
    </row>
    <row r="129">
      <c r="F129" s="9" t="n"/>
      <c r="I129">
        <f>IF(AND($F129&lt;TODAY(),$G129&lt;&gt;"Complete"),TODAY()-$F129,0)</f>
        <v/>
      </c>
    </row>
    <row r="130">
      <c r="A130" s="12" t="n"/>
      <c r="B130" s="12" t="n"/>
      <c r="C130" s="12" t="n"/>
      <c r="D130" s="12" t="n"/>
      <c r="E130" s="12" t="n"/>
      <c r="F130" s="14" t="n"/>
      <c r="G130" s="12" t="n"/>
      <c r="H130" s="12" t="n"/>
      <c r="I130" s="12">
        <f>IF(AND($F130&lt;TODAY(),$G130&lt;&gt;"Complete"),TODAY()-$F130,0)</f>
        <v/>
      </c>
    </row>
    <row r="131">
      <c r="F131" s="9" t="n"/>
      <c r="I131">
        <f>IF(AND($F131&lt;TODAY(),$G131&lt;&gt;"Complete"),TODAY()-$F131,0)</f>
        <v/>
      </c>
    </row>
    <row r="132">
      <c r="A132" s="12" t="n"/>
      <c r="B132" s="12" t="n"/>
      <c r="C132" s="12" t="n"/>
      <c r="D132" s="12" t="n"/>
      <c r="E132" s="12" t="n"/>
      <c r="F132" s="14" t="n"/>
      <c r="G132" s="12" t="n"/>
      <c r="H132" s="12" t="n"/>
      <c r="I132" s="12">
        <f>IF(AND($F132&lt;TODAY(),$G132&lt;&gt;"Complete"),TODAY()-$F132,0)</f>
        <v/>
      </c>
    </row>
    <row r="133">
      <c r="F133" s="9" t="n"/>
      <c r="I133">
        <f>IF(AND($F133&lt;TODAY(),$G133&lt;&gt;"Complete"),TODAY()-$F133,0)</f>
        <v/>
      </c>
    </row>
    <row r="134">
      <c r="A134" s="12" t="n"/>
      <c r="B134" s="12" t="n"/>
      <c r="C134" s="12" t="n"/>
      <c r="D134" s="12" t="n"/>
      <c r="E134" s="12" t="n"/>
      <c r="F134" s="14" t="n"/>
      <c r="G134" s="12" t="n"/>
      <c r="H134" s="12" t="n"/>
      <c r="I134" s="12">
        <f>IF(AND($F134&lt;TODAY(),$G134&lt;&gt;"Complete"),TODAY()-$F134,0)</f>
        <v/>
      </c>
    </row>
    <row r="135">
      <c r="F135" s="9" t="n"/>
      <c r="I135">
        <f>IF(AND($F135&lt;TODAY(),$G135&lt;&gt;"Complete"),TODAY()-$F135,0)</f>
        <v/>
      </c>
    </row>
    <row r="136">
      <c r="A136" s="12" t="n"/>
      <c r="B136" s="12" t="n"/>
      <c r="C136" s="12" t="n"/>
      <c r="D136" s="12" t="n"/>
      <c r="E136" s="12" t="n"/>
      <c r="F136" s="14" t="n"/>
      <c r="G136" s="12" t="n"/>
      <c r="H136" s="12" t="n"/>
      <c r="I136" s="12">
        <f>IF(AND($F136&lt;TODAY(),$G136&lt;&gt;"Complete"),TODAY()-$F136,0)</f>
        <v/>
      </c>
    </row>
    <row r="137">
      <c r="F137" s="9" t="n"/>
      <c r="I137">
        <f>IF(AND($F137&lt;TODAY(),$G137&lt;&gt;"Complete"),TODAY()-$F137,0)</f>
        <v/>
      </c>
    </row>
    <row r="138">
      <c r="A138" s="12" t="n"/>
      <c r="B138" s="12" t="n"/>
      <c r="C138" s="12" t="n"/>
      <c r="D138" s="12" t="n"/>
      <c r="E138" s="12" t="n"/>
      <c r="F138" s="14" t="n"/>
      <c r="G138" s="12" t="n"/>
      <c r="H138" s="12" t="n"/>
      <c r="I138" s="12">
        <f>IF(AND($F138&lt;TODAY(),$G138&lt;&gt;"Complete"),TODAY()-$F138,0)</f>
        <v/>
      </c>
    </row>
    <row r="139">
      <c r="F139" s="9" t="n"/>
      <c r="I139">
        <f>IF(AND($F139&lt;TODAY(),$G139&lt;&gt;"Complete"),TODAY()-$F139,0)</f>
        <v/>
      </c>
    </row>
    <row r="140">
      <c r="A140" s="12" t="n"/>
      <c r="B140" s="12" t="n"/>
      <c r="C140" s="12" t="n"/>
      <c r="D140" s="12" t="n"/>
      <c r="E140" s="12" t="n"/>
      <c r="F140" s="14" t="n"/>
      <c r="G140" s="12" t="n"/>
      <c r="H140" s="12" t="n"/>
      <c r="I140" s="12">
        <f>IF(AND($F140&lt;TODAY(),$G140&lt;&gt;"Complete"),TODAY()-$F140,0)</f>
        <v/>
      </c>
    </row>
    <row r="141">
      <c r="F141" s="9" t="n"/>
      <c r="I141">
        <f>IF(AND($F141&lt;TODAY(),$G141&lt;&gt;"Complete"),TODAY()-$F141,0)</f>
        <v/>
      </c>
    </row>
    <row r="142">
      <c r="A142" s="12" t="n"/>
      <c r="B142" s="12" t="n"/>
      <c r="C142" s="12" t="n"/>
      <c r="D142" s="12" t="n"/>
      <c r="E142" s="12" t="n"/>
      <c r="F142" s="14" t="n"/>
      <c r="G142" s="12" t="n"/>
      <c r="H142" s="12" t="n"/>
      <c r="I142" s="12">
        <f>IF(AND($F142&lt;TODAY(),$G142&lt;&gt;"Complete"),TODAY()-$F142,0)</f>
        <v/>
      </c>
    </row>
    <row r="143">
      <c r="F143" s="9" t="n"/>
      <c r="I143">
        <f>IF(AND($F143&lt;TODAY(),$G143&lt;&gt;"Complete"),TODAY()-$F143,0)</f>
        <v/>
      </c>
    </row>
    <row r="144">
      <c r="A144" s="12" t="n"/>
      <c r="B144" s="12" t="n"/>
      <c r="C144" s="12" t="n"/>
      <c r="D144" s="12" t="n"/>
      <c r="E144" s="12" t="n"/>
      <c r="F144" s="14" t="n"/>
      <c r="G144" s="12" t="n"/>
      <c r="H144" s="12" t="n"/>
      <c r="I144" s="12">
        <f>IF(AND($F144&lt;TODAY(),$G144&lt;&gt;"Complete"),TODAY()-$F144,0)</f>
        <v/>
      </c>
    </row>
    <row r="145">
      <c r="F145" s="9" t="n"/>
      <c r="I145">
        <f>IF(AND($F145&lt;TODAY(),$G145&lt;&gt;"Complete"),TODAY()-$F145,0)</f>
        <v/>
      </c>
    </row>
    <row r="146">
      <c r="A146" s="12" t="n"/>
      <c r="B146" s="12" t="n"/>
      <c r="C146" s="12" t="n"/>
      <c r="D146" s="12" t="n"/>
      <c r="E146" s="12" t="n"/>
      <c r="F146" s="14" t="n"/>
      <c r="G146" s="12" t="n"/>
      <c r="H146" s="12" t="n"/>
      <c r="I146" s="12">
        <f>IF(AND($F146&lt;TODAY(),$G146&lt;&gt;"Complete"),TODAY()-$F146,0)</f>
        <v/>
      </c>
    </row>
    <row r="147">
      <c r="F147" s="9" t="n"/>
      <c r="I147">
        <f>IF(AND($F147&lt;TODAY(),$G147&lt;&gt;"Complete"),TODAY()-$F147,0)</f>
        <v/>
      </c>
    </row>
    <row r="148">
      <c r="A148" s="12" t="n"/>
      <c r="B148" s="12" t="n"/>
      <c r="C148" s="12" t="n"/>
      <c r="D148" s="12" t="n"/>
      <c r="E148" s="12" t="n"/>
      <c r="F148" s="14" t="n"/>
      <c r="G148" s="12" t="n"/>
      <c r="H148" s="12" t="n"/>
      <c r="I148" s="12">
        <f>IF(AND($F148&lt;TODAY(),$G148&lt;&gt;"Complete"),TODAY()-$F148,0)</f>
        <v/>
      </c>
    </row>
    <row r="149">
      <c r="F149" s="9" t="n"/>
      <c r="I149">
        <f>IF(AND($F149&lt;TODAY(),$G149&lt;&gt;"Complete"),TODAY()-$F149,0)</f>
        <v/>
      </c>
    </row>
    <row r="150">
      <c r="A150" s="12" t="n"/>
      <c r="B150" s="12" t="n"/>
      <c r="C150" s="12" t="n"/>
      <c r="D150" s="12" t="n"/>
      <c r="E150" s="12" t="n"/>
      <c r="F150" s="14" t="n"/>
      <c r="G150" s="12" t="n"/>
      <c r="H150" s="12" t="n"/>
      <c r="I150" s="12">
        <f>IF(AND($F150&lt;TODAY(),$G150&lt;&gt;"Complete"),TODAY()-$F150,0)</f>
        <v/>
      </c>
    </row>
    <row r="151">
      <c r="F151" s="9" t="n"/>
      <c r="I151">
        <f>IF(AND($F151&lt;TODAY(),$G151&lt;&gt;"Complete"),TODAY()-$F151,0)</f>
        <v/>
      </c>
    </row>
    <row r="152">
      <c r="A152" s="12" t="n"/>
      <c r="B152" s="12" t="n"/>
      <c r="C152" s="12" t="n"/>
      <c r="D152" s="12" t="n"/>
      <c r="E152" s="12" t="n"/>
      <c r="F152" s="14" t="n"/>
      <c r="G152" s="12" t="n"/>
      <c r="H152" s="12" t="n"/>
      <c r="I152" s="12">
        <f>IF(AND($F152&lt;TODAY(),$G152&lt;&gt;"Complete"),TODAY()-$F152,0)</f>
        <v/>
      </c>
    </row>
    <row r="153">
      <c r="F153" s="9" t="n"/>
      <c r="I153">
        <f>IF(AND($F153&lt;TODAY(),$G153&lt;&gt;"Complete"),TODAY()-$F153,0)</f>
        <v/>
      </c>
    </row>
    <row r="154">
      <c r="A154" s="12" t="n"/>
      <c r="B154" s="12" t="n"/>
      <c r="C154" s="12" t="n"/>
      <c r="D154" s="12" t="n"/>
      <c r="E154" s="12" t="n"/>
      <c r="F154" s="14" t="n"/>
      <c r="G154" s="12" t="n"/>
      <c r="H154" s="12" t="n"/>
      <c r="I154" s="12">
        <f>IF(AND($F154&lt;TODAY(),$G154&lt;&gt;"Complete"),TODAY()-$F154,0)</f>
        <v/>
      </c>
    </row>
    <row r="155">
      <c r="F155" s="9" t="n"/>
      <c r="I155">
        <f>IF(AND($F155&lt;TODAY(),$G155&lt;&gt;"Complete"),TODAY()-$F155,0)</f>
        <v/>
      </c>
    </row>
    <row r="156">
      <c r="A156" s="12" t="n"/>
      <c r="B156" s="12" t="n"/>
      <c r="C156" s="12" t="n"/>
      <c r="D156" s="12" t="n"/>
      <c r="E156" s="12" t="n"/>
      <c r="F156" s="14" t="n"/>
      <c r="G156" s="12" t="n"/>
      <c r="H156" s="12" t="n"/>
      <c r="I156" s="12">
        <f>IF(AND($F156&lt;TODAY(),$G156&lt;&gt;"Complete"),TODAY()-$F156,0)</f>
        <v/>
      </c>
    </row>
    <row r="157">
      <c r="F157" s="9" t="n"/>
      <c r="I157">
        <f>IF(AND($F157&lt;TODAY(),$G157&lt;&gt;"Complete"),TODAY()-$F157,0)</f>
        <v/>
      </c>
    </row>
    <row r="158">
      <c r="A158" s="12" t="n"/>
      <c r="B158" s="12" t="n"/>
      <c r="C158" s="12" t="n"/>
      <c r="D158" s="12" t="n"/>
      <c r="E158" s="12" t="n"/>
      <c r="F158" s="14" t="n"/>
      <c r="G158" s="12" t="n"/>
      <c r="H158" s="12" t="n"/>
      <c r="I158" s="12">
        <f>IF(AND($F158&lt;TODAY(),$G158&lt;&gt;"Complete"),TODAY()-$F158,0)</f>
        <v/>
      </c>
    </row>
    <row r="159">
      <c r="F159" s="9" t="n"/>
      <c r="I159">
        <f>IF(AND($F159&lt;TODAY(),$G159&lt;&gt;"Complete"),TODAY()-$F159,0)</f>
        <v/>
      </c>
    </row>
    <row r="160">
      <c r="A160" s="12" t="n"/>
      <c r="B160" s="12" t="n"/>
      <c r="C160" s="12" t="n"/>
      <c r="D160" s="12" t="n"/>
      <c r="E160" s="12" t="n"/>
      <c r="F160" s="14" t="n"/>
      <c r="G160" s="12" t="n"/>
      <c r="H160" s="12" t="n"/>
      <c r="I160" s="12">
        <f>IF(AND($F160&lt;TODAY(),$G160&lt;&gt;"Complete"),TODAY()-$F160,0)</f>
        <v/>
      </c>
    </row>
    <row r="161">
      <c r="F161" s="9" t="n"/>
      <c r="I161">
        <f>IF(AND($F161&lt;TODAY(),$G161&lt;&gt;"Complete"),TODAY()-$F161,0)</f>
        <v/>
      </c>
    </row>
    <row r="162">
      <c r="A162" s="12" t="n"/>
      <c r="B162" s="12" t="n"/>
      <c r="C162" s="12" t="n"/>
      <c r="D162" s="12" t="n"/>
      <c r="E162" s="12" t="n"/>
      <c r="F162" s="14" t="n"/>
      <c r="G162" s="12" t="n"/>
      <c r="H162" s="12" t="n"/>
      <c r="I162" s="12">
        <f>IF(AND($F162&lt;TODAY(),$G162&lt;&gt;"Complete"),TODAY()-$F162,0)</f>
        <v/>
      </c>
    </row>
    <row r="163">
      <c r="F163" s="9" t="n"/>
      <c r="I163">
        <f>IF(AND($F163&lt;TODAY(),$G163&lt;&gt;"Complete"),TODAY()-$F163,0)</f>
        <v/>
      </c>
    </row>
    <row r="164">
      <c r="A164" s="12" t="n"/>
      <c r="B164" s="12" t="n"/>
      <c r="C164" s="12" t="n"/>
      <c r="D164" s="12" t="n"/>
      <c r="E164" s="12" t="n"/>
      <c r="F164" s="14" t="n"/>
      <c r="G164" s="12" t="n"/>
      <c r="H164" s="12" t="n"/>
      <c r="I164" s="12">
        <f>IF(AND($F164&lt;TODAY(),$G164&lt;&gt;"Complete"),TODAY()-$F164,0)</f>
        <v/>
      </c>
    </row>
    <row r="165">
      <c r="F165" s="9" t="n"/>
      <c r="I165">
        <f>IF(AND($F165&lt;TODAY(),$G165&lt;&gt;"Complete"),TODAY()-$F165,0)</f>
        <v/>
      </c>
    </row>
    <row r="166">
      <c r="A166" s="12" t="n"/>
      <c r="B166" s="12" t="n"/>
      <c r="C166" s="12" t="n"/>
      <c r="D166" s="12" t="n"/>
      <c r="E166" s="12" t="n"/>
      <c r="F166" s="14" t="n"/>
      <c r="G166" s="12" t="n"/>
      <c r="H166" s="12" t="n"/>
      <c r="I166" s="12">
        <f>IF(AND($F166&lt;TODAY(),$G166&lt;&gt;"Complete"),TODAY()-$F166,0)</f>
        <v/>
      </c>
    </row>
    <row r="167">
      <c r="F167" s="9" t="n"/>
      <c r="I167">
        <f>IF(AND($F167&lt;TODAY(),$G167&lt;&gt;"Complete"),TODAY()-$F167,0)</f>
        <v/>
      </c>
    </row>
    <row r="168">
      <c r="A168" s="12" t="n"/>
      <c r="B168" s="12" t="n"/>
      <c r="C168" s="12" t="n"/>
      <c r="D168" s="12" t="n"/>
      <c r="E168" s="12" t="n"/>
      <c r="F168" s="14" t="n"/>
      <c r="G168" s="12" t="n"/>
      <c r="H168" s="12" t="n"/>
      <c r="I168" s="12">
        <f>IF(AND($F168&lt;TODAY(),$G168&lt;&gt;"Complete"),TODAY()-$F168,0)</f>
        <v/>
      </c>
    </row>
    <row r="169">
      <c r="F169" s="9" t="n"/>
      <c r="I169">
        <f>IF(AND($F169&lt;TODAY(),$G169&lt;&gt;"Complete"),TODAY()-$F169,0)</f>
        <v/>
      </c>
    </row>
    <row r="170">
      <c r="A170" s="12" t="n"/>
      <c r="B170" s="12" t="n"/>
      <c r="C170" s="12" t="n"/>
      <c r="D170" s="12" t="n"/>
      <c r="E170" s="12" t="n"/>
      <c r="F170" s="14" t="n"/>
      <c r="G170" s="12" t="n"/>
      <c r="H170" s="12" t="n"/>
      <c r="I170" s="12">
        <f>IF(AND($F170&lt;TODAY(),$G170&lt;&gt;"Complete"),TODAY()-$F170,0)</f>
        <v/>
      </c>
    </row>
    <row r="171">
      <c r="F171" s="9" t="n"/>
      <c r="I171">
        <f>IF(AND($F171&lt;TODAY(),$G171&lt;&gt;"Complete"),TODAY()-$F171,0)</f>
        <v/>
      </c>
    </row>
    <row r="172">
      <c r="A172" s="12" t="n"/>
      <c r="B172" s="12" t="n"/>
      <c r="C172" s="12" t="n"/>
      <c r="D172" s="12" t="n"/>
      <c r="E172" s="12" t="n"/>
      <c r="F172" s="14" t="n"/>
      <c r="G172" s="12" t="n"/>
      <c r="H172" s="12" t="n"/>
      <c r="I172" s="12">
        <f>IF(AND($F172&lt;TODAY(),$G172&lt;&gt;"Complete"),TODAY()-$F172,0)</f>
        <v/>
      </c>
    </row>
    <row r="173">
      <c r="F173" s="9" t="n"/>
      <c r="I173">
        <f>IF(AND($F173&lt;TODAY(),$G173&lt;&gt;"Complete"),TODAY()-$F173,0)</f>
        <v/>
      </c>
    </row>
    <row r="174">
      <c r="A174" s="12" t="n"/>
      <c r="B174" s="12" t="n"/>
      <c r="C174" s="12" t="n"/>
      <c r="D174" s="12" t="n"/>
      <c r="E174" s="12" t="n"/>
      <c r="F174" s="14" t="n"/>
      <c r="G174" s="12" t="n"/>
      <c r="H174" s="12" t="n"/>
      <c r="I174" s="12">
        <f>IF(AND($F174&lt;TODAY(),$G174&lt;&gt;"Complete"),TODAY()-$F174,0)</f>
        <v/>
      </c>
    </row>
    <row r="175">
      <c r="F175" s="9" t="n"/>
      <c r="I175">
        <f>IF(AND($F175&lt;TODAY(),$G175&lt;&gt;"Complete"),TODAY()-$F175,0)</f>
        <v/>
      </c>
    </row>
    <row r="176">
      <c r="A176" s="12" t="n"/>
      <c r="B176" s="12" t="n"/>
      <c r="C176" s="12" t="n"/>
      <c r="D176" s="12" t="n"/>
      <c r="E176" s="12" t="n"/>
      <c r="F176" s="14" t="n"/>
      <c r="G176" s="12" t="n"/>
      <c r="H176" s="12" t="n"/>
      <c r="I176" s="12">
        <f>IF(AND($F176&lt;TODAY(),$G176&lt;&gt;"Complete"),TODAY()-$F176,0)</f>
        <v/>
      </c>
    </row>
    <row r="177">
      <c r="F177" s="9" t="n"/>
      <c r="I177">
        <f>IF(AND($F177&lt;TODAY(),$G177&lt;&gt;"Complete"),TODAY()-$F177,0)</f>
        <v/>
      </c>
    </row>
    <row r="178">
      <c r="A178" s="12" t="n"/>
      <c r="B178" s="12" t="n"/>
      <c r="C178" s="12" t="n"/>
      <c r="D178" s="12" t="n"/>
      <c r="E178" s="12" t="n"/>
      <c r="F178" s="14" t="n"/>
      <c r="G178" s="12" t="n"/>
      <c r="H178" s="12" t="n"/>
      <c r="I178" s="12">
        <f>IF(AND($F178&lt;TODAY(),$G178&lt;&gt;"Complete"),TODAY()-$F178,0)</f>
        <v/>
      </c>
    </row>
    <row r="179">
      <c r="F179" s="9" t="n"/>
      <c r="I179">
        <f>IF(AND($F179&lt;TODAY(),$G179&lt;&gt;"Complete"),TODAY()-$F179,0)</f>
        <v/>
      </c>
    </row>
    <row r="180">
      <c r="A180" s="12" t="n"/>
      <c r="B180" s="12" t="n"/>
      <c r="C180" s="12" t="n"/>
      <c r="D180" s="12" t="n"/>
      <c r="E180" s="12" t="n"/>
      <c r="F180" s="14" t="n"/>
      <c r="G180" s="12" t="n"/>
      <c r="H180" s="12" t="n"/>
      <c r="I180" s="12">
        <f>IF(AND($F180&lt;TODAY(),$G180&lt;&gt;"Complete"),TODAY()-$F180,0)</f>
        <v/>
      </c>
    </row>
    <row r="181">
      <c r="F181" s="9" t="n"/>
      <c r="I181">
        <f>IF(AND($F181&lt;TODAY(),$G181&lt;&gt;"Complete"),TODAY()-$F181,0)</f>
        <v/>
      </c>
    </row>
    <row r="182">
      <c r="A182" s="12" t="n"/>
      <c r="B182" s="12" t="n"/>
      <c r="C182" s="12" t="n"/>
      <c r="D182" s="12" t="n"/>
      <c r="E182" s="12" t="n"/>
      <c r="F182" s="14" t="n"/>
      <c r="G182" s="12" t="n"/>
      <c r="H182" s="12" t="n"/>
      <c r="I182" s="12">
        <f>IF(AND($F182&lt;TODAY(),$G182&lt;&gt;"Complete"),TODAY()-$F182,0)</f>
        <v/>
      </c>
    </row>
    <row r="183">
      <c r="F183" s="9" t="n"/>
      <c r="I183">
        <f>IF(AND($F183&lt;TODAY(),$G183&lt;&gt;"Complete"),TODAY()-$F183,0)</f>
        <v/>
      </c>
    </row>
    <row r="184">
      <c r="A184" s="12" t="n"/>
      <c r="B184" s="12" t="n"/>
      <c r="C184" s="12" t="n"/>
      <c r="D184" s="12" t="n"/>
      <c r="E184" s="12" t="n"/>
      <c r="F184" s="14" t="n"/>
      <c r="G184" s="12" t="n"/>
      <c r="H184" s="12" t="n"/>
      <c r="I184" s="12">
        <f>IF(AND($F184&lt;TODAY(),$G184&lt;&gt;"Complete"),TODAY()-$F184,0)</f>
        <v/>
      </c>
    </row>
    <row r="185">
      <c r="F185" s="9" t="n"/>
      <c r="I185">
        <f>IF(AND($F185&lt;TODAY(),$G185&lt;&gt;"Complete"),TODAY()-$F185,0)</f>
        <v/>
      </c>
    </row>
    <row r="186">
      <c r="A186" s="12" t="n"/>
      <c r="B186" s="12" t="n"/>
      <c r="C186" s="12" t="n"/>
      <c r="D186" s="12" t="n"/>
      <c r="E186" s="12" t="n"/>
      <c r="F186" s="14" t="n"/>
      <c r="G186" s="12" t="n"/>
      <c r="H186" s="12" t="n"/>
      <c r="I186" s="12">
        <f>IF(AND($F186&lt;TODAY(),$G186&lt;&gt;"Complete"),TODAY()-$F186,0)</f>
        <v/>
      </c>
    </row>
    <row r="187">
      <c r="F187" s="9" t="n"/>
      <c r="I187">
        <f>IF(AND($F187&lt;TODAY(),$G187&lt;&gt;"Complete"),TODAY()-$F187,0)</f>
        <v/>
      </c>
    </row>
    <row r="188">
      <c r="A188" s="12" t="n"/>
      <c r="B188" s="12" t="n"/>
      <c r="C188" s="12" t="n"/>
      <c r="D188" s="12" t="n"/>
      <c r="E188" s="12" t="n"/>
      <c r="F188" s="14" t="n"/>
      <c r="G188" s="12" t="n"/>
      <c r="H188" s="12" t="n"/>
      <c r="I188" s="12">
        <f>IF(AND($F188&lt;TODAY(),$G188&lt;&gt;"Complete"),TODAY()-$F188,0)</f>
        <v/>
      </c>
    </row>
    <row r="189">
      <c r="F189" s="9" t="n"/>
      <c r="I189">
        <f>IF(AND($F189&lt;TODAY(),$G189&lt;&gt;"Complete"),TODAY()-$F189,0)</f>
        <v/>
      </c>
    </row>
    <row r="190">
      <c r="A190" s="12" t="n"/>
      <c r="B190" s="12" t="n"/>
      <c r="C190" s="12" t="n"/>
      <c r="D190" s="12" t="n"/>
      <c r="E190" s="12" t="n"/>
      <c r="F190" s="14" t="n"/>
      <c r="G190" s="12" t="n"/>
      <c r="H190" s="12" t="n"/>
      <c r="I190" s="12">
        <f>IF(AND($F190&lt;TODAY(),$G190&lt;&gt;"Complete"),TODAY()-$F190,0)</f>
        <v/>
      </c>
    </row>
    <row r="191">
      <c r="F191" s="9" t="n"/>
      <c r="I191">
        <f>IF(AND($F191&lt;TODAY(),$G191&lt;&gt;"Complete"),TODAY()-$F191,0)</f>
        <v/>
      </c>
    </row>
    <row r="192">
      <c r="A192" s="12" t="n"/>
      <c r="B192" s="12" t="n"/>
      <c r="C192" s="12" t="n"/>
      <c r="D192" s="12" t="n"/>
      <c r="E192" s="12" t="n"/>
      <c r="F192" s="14" t="n"/>
      <c r="G192" s="12" t="n"/>
      <c r="H192" s="12" t="n"/>
      <c r="I192" s="12">
        <f>IF(AND($F192&lt;TODAY(),$G192&lt;&gt;"Complete"),TODAY()-$F192,0)</f>
        <v/>
      </c>
    </row>
    <row r="193">
      <c r="F193" s="9" t="n"/>
      <c r="I193">
        <f>IF(AND($F193&lt;TODAY(),$G193&lt;&gt;"Complete"),TODAY()-$F193,0)</f>
        <v/>
      </c>
    </row>
    <row r="194">
      <c r="A194" s="12" t="n"/>
      <c r="B194" s="12" t="n"/>
      <c r="C194" s="12" t="n"/>
      <c r="D194" s="12" t="n"/>
      <c r="E194" s="12" t="n"/>
      <c r="F194" s="14" t="n"/>
      <c r="G194" s="12" t="n"/>
      <c r="H194" s="12" t="n"/>
      <c r="I194" s="12">
        <f>IF(AND($F194&lt;TODAY(),$G194&lt;&gt;"Complete"),TODAY()-$F194,0)</f>
        <v/>
      </c>
    </row>
    <row r="195">
      <c r="F195" s="9" t="n"/>
      <c r="I195">
        <f>IF(AND($F195&lt;TODAY(),$G195&lt;&gt;"Complete"),TODAY()-$F195,0)</f>
        <v/>
      </c>
    </row>
    <row r="196">
      <c r="A196" s="12" t="n"/>
      <c r="B196" s="12" t="n"/>
      <c r="C196" s="12" t="n"/>
      <c r="D196" s="12" t="n"/>
      <c r="E196" s="12" t="n"/>
      <c r="F196" s="14" t="n"/>
      <c r="G196" s="12" t="n"/>
      <c r="H196" s="12" t="n"/>
      <c r="I196" s="12">
        <f>IF(AND($F196&lt;TODAY(),$G196&lt;&gt;"Complete"),TODAY()-$F196,0)</f>
        <v/>
      </c>
    </row>
    <row r="197">
      <c r="F197" s="9" t="n"/>
      <c r="I197">
        <f>IF(AND($F197&lt;TODAY(),$G197&lt;&gt;"Complete"),TODAY()-$F197,0)</f>
        <v/>
      </c>
    </row>
    <row r="198">
      <c r="A198" s="12" t="n"/>
      <c r="B198" s="12" t="n"/>
      <c r="C198" s="12" t="n"/>
      <c r="D198" s="12" t="n"/>
      <c r="E198" s="12" t="n"/>
      <c r="F198" s="14" t="n"/>
      <c r="G198" s="12" t="n"/>
      <c r="H198" s="12" t="n"/>
      <c r="I198" s="12">
        <f>IF(AND($F198&lt;TODAY(),$G198&lt;&gt;"Complete"),TODAY()-$F198,0)</f>
        <v/>
      </c>
    </row>
    <row r="199">
      <c r="F199" s="9" t="n"/>
      <c r="I199">
        <f>IF(AND($F199&lt;TODAY(),$G199&lt;&gt;"Complete"),TODAY()-$F199,0)</f>
        <v/>
      </c>
    </row>
    <row r="200">
      <c r="A200" s="12" t="n"/>
      <c r="B200" s="12" t="n"/>
      <c r="C200" s="12" t="n"/>
      <c r="D200" s="12" t="n"/>
      <c r="E200" s="12" t="n"/>
      <c r="F200" s="14" t="n"/>
      <c r="G200" s="12" t="n"/>
      <c r="H200" s="12" t="n"/>
      <c r="I200" s="12">
        <f>IF(AND($F200&lt;TODAY(),$G200&lt;&gt;"Complete"),TODAY()-$F200,0)</f>
        <v/>
      </c>
    </row>
    <row r="201">
      <c r="F201" s="9" t="n"/>
      <c r="I201">
        <f>IF(AND($F201&lt;TODAY(),$G201&lt;&gt;"Complete"),TODAY()-$F201,0)</f>
        <v/>
      </c>
    </row>
    <row r="202">
      <c r="A202" s="12" t="n"/>
      <c r="B202" s="12" t="n"/>
      <c r="C202" s="12" t="n"/>
      <c r="D202" s="12" t="n"/>
      <c r="E202" s="12" t="n"/>
      <c r="F202" s="14" t="n"/>
      <c r="G202" s="12" t="n"/>
      <c r="H202" s="12" t="n"/>
      <c r="I202" s="12">
        <f>IF(AND($F202&lt;TODAY(),$G202&lt;&gt;"Complete"),TODAY()-$F202,0)</f>
        <v/>
      </c>
    </row>
    <row r="203">
      <c r="F203" s="9" t="n"/>
      <c r="I203">
        <f>IF(AND($F203&lt;TODAY(),$G203&lt;&gt;"Complete"),TODAY()-$F203,0)</f>
        <v/>
      </c>
    </row>
    <row r="204">
      <c r="A204" s="12" t="n"/>
      <c r="B204" s="12" t="n"/>
      <c r="C204" s="12" t="n"/>
      <c r="D204" s="12" t="n"/>
      <c r="E204" s="12" t="n"/>
      <c r="F204" s="14" t="n"/>
      <c r="G204" s="12" t="n"/>
      <c r="H204" s="12" t="n"/>
      <c r="I204" s="12">
        <f>IF(AND($F204&lt;TODAY(),$G204&lt;&gt;"Complete"),TODAY()-$F204,0)</f>
        <v/>
      </c>
    </row>
    <row r="205">
      <c r="F205" s="9" t="n"/>
      <c r="I205">
        <f>IF(AND($F205&lt;TODAY(),$G205&lt;&gt;"Complete"),TODAY()-$F205,0)</f>
        <v/>
      </c>
    </row>
    <row r="206">
      <c r="A206" s="12" t="n"/>
      <c r="B206" s="12" t="n"/>
      <c r="C206" s="12" t="n"/>
      <c r="D206" s="12" t="n"/>
      <c r="E206" s="12" t="n"/>
      <c r="F206" s="14" t="n"/>
      <c r="G206" s="12" t="n"/>
      <c r="H206" s="12" t="n"/>
      <c r="I206" s="12">
        <f>IF(AND($F206&lt;TODAY(),$G206&lt;&gt;"Complete"),TODAY()-$F206,0)</f>
        <v/>
      </c>
    </row>
    <row r="207">
      <c r="F207" s="9" t="n"/>
      <c r="I207">
        <f>IF(AND($F207&lt;TODAY(),$G207&lt;&gt;"Complete"),TODAY()-$F207,0)</f>
        <v/>
      </c>
    </row>
    <row r="208">
      <c r="A208" s="12" t="n"/>
      <c r="B208" s="12" t="n"/>
      <c r="C208" s="12" t="n"/>
      <c r="D208" s="12" t="n"/>
      <c r="E208" s="12" t="n"/>
      <c r="F208" s="14" t="n"/>
      <c r="G208" s="12" t="n"/>
      <c r="H208" s="12" t="n"/>
      <c r="I208" s="12">
        <f>IF(AND($F208&lt;TODAY(),$G208&lt;&gt;"Complete"),TODAY()-$F208,0)</f>
        <v/>
      </c>
    </row>
    <row r="209">
      <c r="F209" s="9" t="n"/>
      <c r="I209">
        <f>IF(AND($F209&lt;TODAY(),$G209&lt;&gt;"Complete"),TODAY()-$F209,0)</f>
        <v/>
      </c>
    </row>
    <row r="210">
      <c r="A210" s="12" t="n"/>
      <c r="B210" s="12" t="n"/>
      <c r="C210" s="12" t="n"/>
      <c r="D210" s="12" t="n"/>
      <c r="E210" s="12" t="n"/>
      <c r="F210" s="14" t="n"/>
      <c r="G210" s="12" t="n"/>
      <c r="H210" s="12" t="n"/>
      <c r="I210" s="12">
        <f>IF(AND($F210&lt;TODAY(),$G210&lt;&gt;"Complete"),TODAY()-$F210,0)</f>
        <v/>
      </c>
    </row>
    <row r="211">
      <c r="F211" s="9" t="n"/>
      <c r="I211">
        <f>IF(AND($F211&lt;TODAY(),$G211&lt;&gt;"Complete"),TODAY()-$F211,0)</f>
        <v/>
      </c>
    </row>
    <row r="212">
      <c r="A212" s="12" t="n"/>
      <c r="B212" s="12" t="n"/>
      <c r="C212" s="12" t="n"/>
      <c r="D212" s="12" t="n"/>
      <c r="E212" s="12" t="n"/>
      <c r="F212" s="14" t="n"/>
      <c r="G212" s="12" t="n"/>
      <c r="H212" s="12" t="n"/>
      <c r="I212" s="12">
        <f>IF(AND($F212&lt;TODAY(),$G212&lt;&gt;"Complete"),TODAY()-$F212,0)</f>
        <v/>
      </c>
    </row>
    <row r="213">
      <c r="F213" s="9" t="n"/>
      <c r="I213">
        <f>IF(AND($F213&lt;TODAY(),$G213&lt;&gt;"Complete"),TODAY()-$F213,0)</f>
        <v/>
      </c>
    </row>
    <row r="214">
      <c r="A214" s="12" t="n"/>
      <c r="B214" s="12" t="n"/>
      <c r="C214" s="12" t="n"/>
      <c r="D214" s="12" t="n"/>
      <c r="E214" s="12" t="n"/>
      <c r="F214" s="14" t="n"/>
      <c r="G214" s="12" t="n"/>
      <c r="H214" s="12" t="n"/>
      <c r="I214" s="12">
        <f>IF(AND($F214&lt;TODAY(),$G214&lt;&gt;"Complete"),TODAY()-$F214,0)</f>
        <v/>
      </c>
    </row>
    <row r="215">
      <c r="F215" s="9" t="n"/>
      <c r="I215">
        <f>IF(AND($F215&lt;TODAY(),$G215&lt;&gt;"Complete"),TODAY()-$F215,0)</f>
        <v/>
      </c>
    </row>
    <row r="216">
      <c r="A216" s="12" t="n"/>
      <c r="B216" s="12" t="n"/>
      <c r="C216" s="12" t="n"/>
      <c r="D216" s="12" t="n"/>
      <c r="E216" s="12" t="n"/>
      <c r="F216" s="14" t="n"/>
      <c r="G216" s="12" t="n"/>
      <c r="H216" s="12" t="n"/>
      <c r="I216" s="12">
        <f>IF(AND($F216&lt;TODAY(),$G216&lt;&gt;"Complete"),TODAY()-$F216,0)</f>
        <v/>
      </c>
    </row>
    <row r="217">
      <c r="F217" s="9" t="n"/>
      <c r="I217">
        <f>IF(AND($F217&lt;TODAY(),$G217&lt;&gt;"Complete"),TODAY()-$F217,0)</f>
        <v/>
      </c>
    </row>
    <row r="218">
      <c r="A218" s="12" t="n"/>
      <c r="B218" s="12" t="n"/>
      <c r="C218" s="12" t="n"/>
      <c r="D218" s="12" t="n"/>
      <c r="E218" s="12" t="n"/>
      <c r="F218" s="14" t="n"/>
      <c r="G218" s="12" t="n"/>
      <c r="H218" s="12" t="n"/>
      <c r="I218" s="12">
        <f>IF(AND($F218&lt;TODAY(),$G218&lt;&gt;"Complete"),TODAY()-$F218,0)</f>
        <v/>
      </c>
    </row>
    <row r="219">
      <c r="F219" s="9" t="n"/>
      <c r="I219">
        <f>IF(AND($F219&lt;TODAY(),$G219&lt;&gt;"Complete"),TODAY()-$F219,0)</f>
        <v/>
      </c>
    </row>
    <row r="220">
      <c r="A220" s="12" t="n"/>
      <c r="B220" s="12" t="n"/>
      <c r="C220" s="12" t="n"/>
      <c r="D220" s="12" t="n"/>
      <c r="E220" s="12" t="n"/>
      <c r="F220" s="14" t="n"/>
      <c r="G220" s="12" t="n"/>
      <c r="H220" s="12" t="n"/>
      <c r="I220" s="12">
        <f>IF(AND($F220&lt;TODAY(),$G220&lt;&gt;"Complete"),TODAY()-$F220,0)</f>
        <v/>
      </c>
    </row>
    <row r="221">
      <c r="F221" s="9" t="n"/>
      <c r="I221">
        <f>IF(AND($F221&lt;TODAY(),$G221&lt;&gt;"Complete"),TODAY()-$F221,0)</f>
        <v/>
      </c>
    </row>
    <row r="222">
      <c r="A222" s="12" t="n"/>
      <c r="B222" s="12" t="n"/>
      <c r="C222" s="12" t="n"/>
      <c r="D222" s="12" t="n"/>
      <c r="E222" s="12" t="n"/>
      <c r="F222" s="14" t="n"/>
      <c r="G222" s="12" t="n"/>
      <c r="H222" s="12" t="n"/>
      <c r="I222" s="12">
        <f>IF(AND($F222&lt;TODAY(),$G222&lt;&gt;"Complete"),TODAY()-$F222,0)</f>
        <v/>
      </c>
    </row>
    <row r="223">
      <c r="F223" s="9" t="n"/>
      <c r="I223">
        <f>IF(AND($F223&lt;TODAY(),$G223&lt;&gt;"Complete"),TODAY()-$F223,0)</f>
        <v/>
      </c>
    </row>
    <row r="224">
      <c r="A224" s="12" t="n"/>
      <c r="B224" s="12" t="n"/>
      <c r="C224" s="12" t="n"/>
      <c r="D224" s="12" t="n"/>
      <c r="E224" s="12" t="n"/>
      <c r="F224" s="14" t="n"/>
      <c r="G224" s="12" t="n"/>
      <c r="H224" s="12" t="n"/>
      <c r="I224" s="12">
        <f>IF(AND($F224&lt;TODAY(),$G224&lt;&gt;"Complete"),TODAY()-$F224,0)</f>
        <v/>
      </c>
    </row>
    <row r="225">
      <c r="F225" s="9" t="n"/>
      <c r="I225">
        <f>IF(AND($F225&lt;TODAY(),$G225&lt;&gt;"Complete"),TODAY()-$F225,0)</f>
        <v/>
      </c>
    </row>
    <row r="226">
      <c r="A226" s="12" t="n"/>
      <c r="B226" s="12" t="n"/>
      <c r="C226" s="12" t="n"/>
      <c r="D226" s="12" t="n"/>
      <c r="E226" s="12" t="n"/>
      <c r="F226" s="14" t="n"/>
      <c r="G226" s="12" t="n"/>
      <c r="H226" s="12" t="n"/>
      <c r="I226" s="12">
        <f>IF(AND($F226&lt;TODAY(),$G226&lt;&gt;"Complete"),TODAY()-$F226,0)</f>
        <v/>
      </c>
    </row>
    <row r="227">
      <c r="F227" s="9" t="n"/>
      <c r="I227">
        <f>IF(AND($F227&lt;TODAY(),$G227&lt;&gt;"Complete"),TODAY()-$F227,0)</f>
        <v/>
      </c>
    </row>
    <row r="228">
      <c r="A228" s="12" t="n"/>
      <c r="B228" s="12" t="n"/>
      <c r="C228" s="12" t="n"/>
      <c r="D228" s="12" t="n"/>
      <c r="E228" s="12" t="n"/>
      <c r="F228" s="14" t="n"/>
      <c r="G228" s="12" t="n"/>
      <c r="H228" s="12" t="n"/>
      <c r="I228" s="12">
        <f>IF(AND($F228&lt;TODAY(),$G228&lt;&gt;"Complete"),TODAY()-$F228,0)</f>
        <v/>
      </c>
    </row>
    <row r="229">
      <c r="F229" s="9" t="n"/>
      <c r="I229">
        <f>IF(AND($F229&lt;TODAY(),$G229&lt;&gt;"Complete"),TODAY()-$F229,0)</f>
        <v/>
      </c>
    </row>
    <row r="230">
      <c r="A230" s="12" t="n"/>
      <c r="B230" s="12" t="n"/>
      <c r="C230" s="12" t="n"/>
      <c r="D230" s="12" t="n"/>
      <c r="E230" s="12" t="n"/>
      <c r="F230" s="14" t="n"/>
      <c r="G230" s="12" t="n"/>
      <c r="H230" s="12" t="n"/>
      <c r="I230" s="12">
        <f>IF(AND($F230&lt;TODAY(),$G230&lt;&gt;"Complete"),TODAY()-$F230,0)</f>
        <v/>
      </c>
    </row>
    <row r="231">
      <c r="F231" s="9" t="n"/>
      <c r="I231">
        <f>IF(AND($F231&lt;TODAY(),$G231&lt;&gt;"Complete"),TODAY()-$F231,0)</f>
        <v/>
      </c>
    </row>
    <row r="232">
      <c r="A232" s="12" t="n"/>
      <c r="B232" s="12" t="n"/>
      <c r="C232" s="12" t="n"/>
      <c r="D232" s="12" t="n"/>
      <c r="E232" s="12" t="n"/>
      <c r="F232" s="14" t="n"/>
      <c r="G232" s="12" t="n"/>
      <c r="H232" s="12" t="n"/>
      <c r="I232" s="12">
        <f>IF(AND($F232&lt;TODAY(),$G232&lt;&gt;"Complete"),TODAY()-$F232,0)</f>
        <v/>
      </c>
    </row>
    <row r="233">
      <c r="F233" s="9" t="n"/>
      <c r="I233">
        <f>IF(AND($F233&lt;TODAY(),$G233&lt;&gt;"Complete"),TODAY()-$F233,0)</f>
        <v/>
      </c>
    </row>
    <row r="234">
      <c r="A234" s="12" t="n"/>
      <c r="B234" s="12" t="n"/>
      <c r="C234" s="12" t="n"/>
      <c r="D234" s="12" t="n"/>
      <c r="E234" s="12" t="n"/>
      <c r="F234" s="14" t="n"/>
      <c r="G234" s="12" t="n"/>
      <c r="H234" s="12" t="n"/>
      <c r="I234" s="12">
        <f>IF(AND($F234&lt;TODAY(),$G234&lt;&gt;"Complete"),TODAY()-$F234,0)</f>
        <v/>
      </c>
    </row>
    <row r="235">
      <c r="F235" s="9" t="n"/>
      <c r="I235">
        <f>IF(AND($F235&lt;TODAY(),$G235&lt;&gt;"Complete"),TODAY()-$F235,0)</f>
        <v/>
      </c>
    </row>
    <row r="236">
      <c r="A236" s="12" t="n"/>
      <c r="B236" s="12" t="n"/>
      <c r="C236" s="12" t="n"/>
      <c r="D236" s="12" t="n"/>
      <c r="E236" s="12" t="n"/>
      <c r="F236" s="14" t="n"/>
      <c r="G236" s="12" t="n"/>
      <c r="H236" s="12" t="n"/>
      <c r="I236" s="12">
        <f>IF(AND($F236&lt;TODAY(),$G236&lt;&gt;"Complete"),TODAY()-$F236,0)</f>
        <v/>
      </c>
    </row>
    <row r="237">
      <c r="F237" s="9" t="n"/>
      <c r="I237">
        <f>IF(AND($F237&lt;TODAY(),$G237&lt;&gt;"Complete"),TODAY()-$F237,0)</f>
        <v/>
      </c>
    </row>
    <row r="238">
      <c r="A238" s="12" t="n"/>
      <c r="B238" s="12" t="n"/>
      <c r="C238" s="12" t="n"/>
      <c r="D238" s="12" t="n"/>
      <c r="E238" s="12" t="n"/>
      <c r="F238" s="14" t="n"/>
      <c r="G238" s="12" t="n"/>
      <c r="H238" s="12" t="n"/>
      <c r="I238" s="12">
        <f>IF(AND($F238&lt;TODAY(),$G238&lt;&gt;"Complete"),TODAY()-$F238,0)</f>
        <v/>
      </c>
    </row>
    <row r="239">
      <c r="F239" s="9" t="n"/>
      <c r="I239">
        <f>IF(AND($F239&lt;TODAY(),$G239&lt;&gt;"Complete"),TODAY()-$F239,0)</f>
        <v/>
      </c>
    </row>
    <row r="240">
      <c r="A240" s="12" t="n"/>
      <c r="B240" s="12" t="n"/>
      <c r="C240" s="12" t="n"/>
      <c r="D240" s="12" t="n"/>
      <c r="E240" s="12" t="n"/>
      <c r="F240" s="14" t="n"/>
      <c r="G240" s="12" t="n"/>
      <c r="H240" s="12" t="n"/>
      <c r="I240" s="12">
        <f>IF(AND($F240&lt;TODAY(),$G240&lt;&gt;"Complete"),TODAY()-$F240,0)</f>
        <v/>
      </c>
    </row>
    <row r="241">
      <c r="F241" s="9" t="n"/>
      <c r="I241">
        <f>IF(AND($F241&lt;TODAY(),$G241&lt;&gt;"Complete"),TODAY()-$F241,0)</f>
        <v/>
      </c>
    </row>
    <row r="242">
      <c r="A242" s="12" t="n"/>
      <c r="B242" s="12" t="n"/>
      <c r="C242" s="12" t="n"/>
      <c r="D242" s="12" t="n"/>
      <c r="E242" s="12" t="n"/>
      <c r="F242" s="14" t="n"/>
      <c r="G242" s="12" t="n"/>
      <c r="H242" s="12" t="n"/>
      <c r="I242" s="12">
        <f>IF(AND($F242&lt;TODAY(),$G242&lt;&gt;"Complete"),TODAY()-$F242,0)</f>
        <v/>
      </c>
    </row>
    <row r="243">
      <c r="F243" s="9" t="n"/>
      <c r="I243">
        <f>IF(AND($F243&lt;TODAY(),$G243&lt;&gt;"Complete"),TODAY()-$F243,0)</f>
        <v/>
      </c>
    </row>
    <row r="244">
      <c r="A244" s="12" t="n"/>
      <c r="B244" s="12" t="n"/>
      <c r="C244" s="12" t="n"/>
      <c r="D244" s="12" t="n"/>
      <c r="E244" s="12" t="n"/>
      <c r="F244" s="14" t="n"/>
      <c r="G244" s="12" t="n"/>
      <c r="H244" s="12" t="n"/>
      <c r="I244" s="12">
        <f>IF(AND($F244&lt;TODAY(),$G244&lt;&gt;"Complete"),TODAY()-$F244,0)</f>
        <v/>
      </c>
    </row>
    <row r="245">
      <c r="F245" s="9" t="n"/>
      <c r="I245">
        <f>IF(AND($F245&lt;TODAY(),$G245&lt;&gt;"Complete"),TODAY()-$F245,0)</f>
        <v/>
      </c>
    </row>
    <row r="246">
      <c r="A246" s="12" t="n"/>
      <c r="B246" s="12" t="n"/>
      <c r="C246" s="12" t="n"/>
      <c r="D246" s="12" t="n"/>
      <c r="E246" s="12" t="n"/>
      <c r="F246" s="14" t="n"/>
      <c r="G246" s="12" t="n"/>
      <c r="H246" s="12" t="n"/>
      <c r="I246" s="12">
        <f>IF(AND($F246&lt;TODAY(),$G246&lt;&gt;"Complete"),TODAY()-$F246,0)</f>
        <v/>
      </c>
    </row>
    <row r="247">
      <c r="F247" s="9" t="n"/>
      <c r="I247">
        <f>IF(AND($F247&lt;TODAY(),$G247&lt;&gt;"Complete"),TODAY()-$F247,0)</f>
        <v/>
      </c>
    </row>
    <row r="248">
      <c r="A248" s="12" t="n"/>
      <c r="B248" s="12" t="n"/>
      <c r="C248" s="12" t="n"/>
      <c r="D248" s="12" t="n"/>
      <c r="E248" s="12" t="n"/>
      <c r="F248" s="14" t="n"/>
      <c r="G248" s="12" t="n"/>
      <c r="H248" s="12" t="n"/>
      <c r="I248" s="12">
        <f>IF(AND($F248&lt;TODAY(),$G248&lt;&gt;"Complete"),TODAY()-$F248,0)</f>
        <v/>
      </c>
    </row>
    <row r="249">
      <c r="F249" s="9" t="n"/>
      <c r="I249">
        <f>IF(AND($F249&lt;TODAY(),$G249&lt;&gt;"Complete"),TODAY()-$F249,0)</f>
        <v/>
      </c>
    </row>
    <row r="250">
      <c r="A250" s="12" t="n"/>
      <c r="B250" s="12" t="n"/>
      <c r="C250" s="12" t="n"/>
      <c r="D250" s="12" t="n"/>
      <c r="E250" s="12" t="n"/>
      <c r="F250" s="14" t="n"/>
      <c r="G250" s="12" t="n"/>
      <c r="H250" s="12" t="n"/>
      <c r="I250" s="12">
        <f>IF(AND($F250&lt;TODAY(),$G250&lt;&gt;"Complete"),TODAY()-$F250,0)</f>
        <v/>
      </c>
    </row>
    <row r="251">
      <c r="F251" s="9" t="n"/>
      <c r="I251">
        <f>IF(AND($F251&lt;TODAY(),$G251&lt;&gt;"Complete"),TODAY()-$F251,0)</f>
        <v/>
      </c>
    </row>
  </sheetData>
  <autoFilter ref="A1:I251"/>
  <conditionalFormatting sqref="A2:I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3">
    <dataValidation sqref="E2:E251" showDropDown="0" showInputMessage="0" showErrorMessage="0" allowBlank="1" type="list">
      <formula1>='Lists'!$F$2:$F$5</formula1>
    </dataValidation>
    <dataValidation sqref="G2:G251" showDropDown="0" showInputMessage="0" showErrorMessage="0" allowBlank="1" type="list">
      <formula1>='Lists'!$V$2:$V$7</formula1>
    </dataValidation>
    <dataValidation sqref="B2:B251" showDropDown="0" showInputMessage="0" showErrorMessage="0" allowBlank="1" type="list">
      <formula1>='Room List'!$A$2:$A$251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2" customHeight="1">
      <c r="A1" s="11" t="inlineStr">
        <is>
          <t>Room</t>
        </is>
      </c>
      <c r="B1" s="11" t="inlineStr">
        <is>
          <t>Measurement type</t>
        </is>
      </c>
      <c r="C1" s="11" t="inlineStr">
        <is>
          <t>Width</t>
        </is>
      </c>
      <c r="D1" s="11" t="inlineStr">
        <is>
          <t>Height</t>
        </is>
      </c>
      <c r="E1" s="11" t="inlineStr">
        <is>
          <t>Depth</t>
        </is>
      </c>
      <c r="F1" s="11" t="inlineStr">
        <is>
          <t>Length</t>
        </is>
      </c>
      <c r="G1" s="11" t="inlineStr">
        <is>
          <t>Ceiling height</t>
        </is>
      </c>
      <c r="H1" s="11" t="inlineStr">
        <is>
          <t>Window size</t>
        </is>
      </c>
      <c r="I1" s="11" t="inlineStr">
        <is>
          <t>Door size</t>
        </is>
      </c>
      <c r="J1" s="11" t="inlineStr">
        <is>
          <t>Wall length</t>
        </is>
      </c>
      <c r="K1" s="11" t="inlineStr">
        <is>
          <t>Notes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</row>
  </sheetData>
  <autoFilter ref="A1:K251"/>
  <conditionalFormatting sqref="A2:K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2">
    <dataValidation sqref="B2:B251" showDropDown="0" showInputMessage="0" showErrorMessage="0" allowBlank="1" type="list">
      <formula1>='Lists'!$W$2:$W$9</formula1>
    </dataValidation>
    <dataValidation sqref="A2:A251" showDropDown="0" showInputMessage="0" showErrorMessage="0" allowBlank="1" type="list">
      <formula1>='Room List'!$A$2:$A$251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2" customHeight="1">
      <c r="A1" s="11" t="inlineStr">
        <is>
          <t>Contractor/vendor name</t>
        </is>
      </c>
      <c r="B1" s="11" t="inlineStr">
        <is>
          <t>Trade</t>
        </is>
      </c>
      <c r="C1" s="11" t="inlineStr">
        <is>
          <t>Contact</t>
        </is>
      </c>
      <c r="D1" s="11" t="inlineStr">
        <is>
          <t>Scope</t>
        </is>
      </c>
      <c r="E1" s="11" t="inlineStr">
        <is>
          <t>Quote amount</t>
        </is>
      </c>
      <c r="F1" s="11" t="inlineStr">
        <is>
          <t>Start date</t>
        </is>
      </c>
      <c r="G1" s="11" t="inlineStr">
        <is>
          <t>End date</t>
        </is>
      </c>
      <c r="H1" s="11" t="inlineStr">
        <is>
          <t>Payment status</t>
        </is>
      </c>
      <c r="I1" s="11" t="inlineStr">
        <is>
          <t>Insurance received</t>
        </is>
      </c>
      <c r="J1" s="11" t="inlineStr">
        <is>
          <t>Contract signed</t>
        </is>
      </c>
      <c r="K1" s="11" t="inlineStr">
        <is>
          <t>Notes</t>
        </is>
      </c>
    </row>
    <row r="2">
      <c r="A2" s="12" t="n"/>
      <c r="B2" s="12" t="n"/>
      <c r="C2" s="12" t="n"/>
      <c r="D2" s="12" t="n"/>
      <c r="E2" s="13" t="n"/>
      <c r="F2" s="14" t="n"/>
      <c r="G2" s="14" t="n"/>
      <c r="H2" s="12" t="n"/>
      <c r="I2" s="12" t="n"/>
      <c r="J2" s="12" t="n"/>
      <c r="K2" s="12" t="n"/>
    </row>
    <row r="3">
      <c r="E3" s="10" t="n"/>
      <c r="F3" s="9" t="n"/>
      <c r="G3" s="9" t="n"/>
    </row>
    <row r="4">
      <c r="A4" s="12" t="n"/>
      <c r="B4" s="12" t="n"/>
      <c r="C4" s="12" t="n"/>
      <c r="D4" s="12" t="n"/>
      <c r="E4" s="13" t="n"/>
      <c r="F4" s="14" t="n"/>
      <c r="G4" s="14" t="n"/>
      <c r="H4" s="12" t="n"/>
      <c r="I4" s="12" t="n"/>
      <c r="J4" s="12" t="n"/>
      <c r="K4" s="12" t="n"/>
    </row>
    <row r="5">
      <c r="E5" s="10" t="n"/>
      <c r="F5" s="9" t="n"/>
      <c r="G5" s="9" t="n"/>
    </row>
    <row r="6">
      <c r="A6" s="12" t="n"/>
      <c r="B6" s="12" t="n"/>
      <c r="C6" s="12" t="n"/>
      <c r="D6" s="12" t="n"/>
      <c r="E6" s="13" t="n"/>
      <c r="F6" s="14" t="n"/>
      <c r="G6" s="14" t="n"/>
      <c r="H6" s="12" t="n"/>
      <c r="I6" s="12" t="n"/>
      <c r="J6" s="12" t="n"/>
      <c r="K6" s="12" t="n"/>
    </row>
    <row r="7">
      <c r="E7" s="10" t="n"/>
      <c r="F7" s="9" t="n"/>
      <c r="G7" s="9" t="n"/>
    </row>
    <row r="8">
      <c r="A8" s="12" t="n"/>
      <c r="B8" s="12" t="n"/>
      <c r="C8" s="12" t="n"/>
      <c r="D8" s="12" t="n"/>
      <c r="E8" s="13" t="n"/>
      <c r="F8" s="14" t="n"/>
      <c r="G8" s="14" t="n"/>
      <c r="H8" s="12" t="n"/>
      <c r="I8" s="12" t="n"/>
      <c r="J8" s="12" t="n"/>
      <c r="K8" s="12" t="n"/>
    </row>
    <row r="9">
      <c r="E9" s="10" t="n"/>
      <c r="F9" s="9" t="n"/>
      <c r="G9" s="9" t="n"/>
    </row>
    <row r="10">
      <c r="A10" s="12" t="n"/>
      <c r="B10" s="12" t="n"/>
      <c r="C10" s="12" t="n"/>
      <c r="D10" s="12" t="n"/>
      <c r="E10" s="13" t="n"/>
      <c r="F10" s="14" t="n"/>
      <c r="G10" s="14" t="n"/>
      <c r="H10" s="12" t="n"/>
      <c r="I10" s="12" t="n"/>
      <c r="J10" s="12" t="n"/>
      <c r="K10" s="12" t="n"/>
    </row>
    <row r="11">
      <c r="E11" s="10" t="n"/>
      <c r="F11" s="9" t="n"/>
      <c r="G11" s="9" t="n"/>
    </row>
    <row r="12">
      <c r="A12" s="12" t="n"/>
      <c r="B12" s="12" t="n"/>
      <c r="C12" s="12" t="n"/>
      <c r="D12" s="12" t="n"/>
      <c r="E12" s="13" t="n"/>
      <c r="F12" s="14" t="n"/>
      <c r="G12" s="14" t="n"/>
      <c r="H12" s="12" t="n"/>
      <c r="I12" s="12" t="n"/>
      <c r="J12" s="12" t="n"/>
      <c r="K12" s="12" t="n"/>
    </row>
    <row r="13">
      <c r="E13" s="10" t="n"/>
      <c r="F13" s="9" t="n"/>
      <c r="G13" s="9" t="n"/>
    </row>
    <row r="14">
      <c r="A14" s="12" t="n"/>
      <c r="B14" s="12" t="n"/>
      <c r="C14" s="12" t="n"/>
      <c r="D14" s="12" t="n"/>
      <c r="E14" s="13" t="n"/>
      <c r="F14" s="14" t="n"/>
      <c r="G14" s="14" t="n"/>
      <c r="H14" s="12" t="n"/>
      <c r="I14" s="12" t="n"/>
      <c r="J14" s="12" t="n"/>
      <c r="K14" s="12" t="n"/>
    </row>
    <row r="15">
      <c r="E15" s="10" t="n"/>
      <c r="F15" s="9" t="n"/>
      <c r="G15" s="9" t="n"/>
    </row>
    <row r="16">
      <c r="A16" s="12" t="n"/>
      <c r="B16" s="12" t="n"/>
      <c r="C16" s="12" t="n"/>
      <c r="D16" s="12" t="n"/>
      <c r="E16" s="13" t="n"/>
      <c r="F16" s="14" t="n"/>
      <c r="G16" s="14" t="n"/>
      <c r="H16" s="12" t="n"/>
      <c r="I16" s="12" t="n"/>
      <c r="J16" s="12" t="n"/>
      <c r="K16" s="12" t="n"/>
    </row>
    <row r="17">
      <c r="E17" s="10" t="n"/>
      <c r="F17" s="9" t="n"/>
      <c r="G17" s="9" t="n"/>
    </row>
    <row r="18">
      <c r="A18" s="12" t="n"/>
      <c r="B18" s="12" t="n"/>
      <c r="C18" s="12" t="n"/>
      <c r="D18" s="12" t="n"/>
      <c r="E18" s="13" t="n"/>
      <c r="F18" s="14" t="n"/>
      <c r="G18" s="14" t="n"/>
      <c r="H18" s="12" t="n"/>
      <c r="I18" s="12" t="n"/>
      <c r="J18" s="12" t="n"/>
      <c r="K18" s="12" t="n"/>
    </row>
    <row r="19">
      <c r="E19" s="10" t="n"/>
      <c r="F19" s="9" t="n"/>
      <c r="G19" s="9" t="n"/>
    </row>
    <row r="20">
      <c r="A20" s="12" t="n"/>
      <c r="B20" s="12" t="n"/>
      <c r="C20" s="12" t="n"/>
      <c r="D20" s="12" t="n"/>
      <c r="E20" s="13" t="n"/>
      <c r="F20" s="14" t="n"/>
      <c r="G20" s="14" t="n"/>
      <c r="H20" s="12" t="n"/>
      <c r="I20" s="12" t="n"/>
      <c r="J20" s="12" t="n"/>
      <c r="K20" s="12" t="n"/>
    </row>
    <row r="21">
      <c r="E21" s="10" t="n"/>
      <c r="F21" s="9" t="n"/>
      <c r="G21" s="9" t="n"/>
    </row>
    <row r="22">
      <c r="A22" s="12" t="n"/>
      <c r="B22" s="12" t="n"/>
      <c r="C22" s="12" t="n"/>
      <c r="D22" s="12" t="n"/>
      <c r="E22" s="13" t="n"/>
      <c r="F22" s="14" t="n"/>
      <c r="G22" s="14" t="n"/>
      <c r="H22" s="12" t="n"/>
      <c r="I22" s="12" t="n"/>
      <c r="J22" s="12" t="n"/>
      <c r="K22" s="12" t="n"/>
    </row>
    <row r="23">
      <c r="E23" s="10" t="n"/>
      <c r="F23" s="9" t="n"/>
      <c r="G23" s="9" t="n"/>
    </row>
    <row r="24">
      <c r="A24" s="12" t="n"/>
      <c r="B24" s="12" t="n"/>
      <c r="C24" s="12" t="n"/>
      <c r="D24" s="12" t="n"/>
      <c r="E24" s="13" t="n"/>
      <c r="F24" s="14" t="n"/>
      <c r="G24" s="14" t="n"/>
      <c r="H24" s="12" t="n"/>
      <c r="I24" s="12" t="n"/>
      <c r="J24" s="12" t="n"/>
      <c r="K24" s="12" t="n"/>
    </row>
    <row r="25">
      <c r="E25" s="10" t="n"/>
      <c r="F25" s="9" t="n"/>
      <c r="G25" s="9" t="n"/>
    </row>
    <row r="26">
      <c r="A26" s="12" t="n"/>
      <c r="B26" s="12" t="n"/>
      <c r="C26" s="12" t="n"/>
      <c r="D26" s="12" t="n"/>
      <c r="E26" s="13" t="n"/>
      <c r="F26" s="14" t="n"/>
      <c r="G26" s="14" t="n"/>
      <c r="H26" s="12" t="n"/>
      <c r="I26" s="12" t="n"/>
      <c r="J26" s="12" t="n"/>
      <c r="K26" s="12" t="n"/>
    </row>
    <row r="27">
      <c r="E27" s="10" t="n"/>
      <c r="F27" s="9" t="n"/>
      <c r="G27" s="9" t="n"/>
    </row>
    <row r="28">
      <c r="A28" s="12" t="n"/>
      <c r="B28" s="12" t="n"/>
      <c r="C28" s="12" t="n"/>
      <c r="D28" s="12" t="n"/>
      <c r="E28" s="13" t="n"/>
      <c r="F28" s="14" t="n"/>
      <c r="G28" s="14" t="n"/>
      <c r="H28" s="12" t="n"/>
      <c r="I28" s="12" t="n"/>
      <c r="J28" s="12" t="n"/>
      <c r="K28" s="12" t="n"/>
    </row>
    <row r="29">
      <c r="E29" s="10" t="n"/>
      <c r="F29" s="9" t="n"/>
      <c r="G29" s="9" t="n"/>
    </row>
    <row r="30">
      <c r="A30" s="12" t="n"/>
      <c r="B30" s="12" t="n"/>
      <c r="C30" s="12" t="n"/>
      <c r="D30" s="12" t="n"/>
      <c r="E30" s="13" t="n"/>
      <c r="F30" s="14" t="n"/>
      <c r="G30" s="14" t="n"/>
      <c r="H30" s="12" t="n"/>
      <c r="I30" s="12" t="n"/>
      <c r="J30" s="12" t="n"/>
      <c r="K30" s="12" t="n"/>
    </row>
    <row r="31">
      <c r="E31" s="10" t="n"/>
      <c r="F31" s="9" t="n"/>
      <c r="G31" s="9" t="n"/>
    </row>
    <row r="32">
      <c r="A32" s="12" t="n"/>
      <c r="B32" s="12" t="n"/>
      <c r="C32" s="12" t="n"/>
      <c r="D32" s="12" t="n"/>
      <c r="E32" s="13" t="n"/>
      <c r="F32" s="14" t="n"/>
      <c r="G32" s="14" t="n"/>
      <c r="H32" s="12" t="n"/>
      <c r="I32" s="12" t="n"/>
      <c r="J32" s="12" t="n"/>
      <c r="K32" s="12" t="n"/>
    </row>
    <row r="33">
      <c r="E33" s="10" t="n"/>
      <c r="F33" s="9" t="n"/>
      <c r="G33" s="9" t="n"/>
    </row>
    <row r="34">
      <c r="A34" s="12" t="n"/>
      <c r="B34" s="12" t="n"/>
      <c r="C34" s="12" t="n"/>
      <c r="D34" s="12" t="n"/>
      <c r="E34" s="13" t="n"/>
      <c r="F34" s="14" t="n"/>
      <c r="G34" s="14" t="n"/>
      <c r="H34" s="12" t="n"/>
      <c r="I34" s="12" t="n"/>
      <c r="J34" s="12" t="n"/>
      <c r="K34" s="12" t="n"/>
    </row>
    <row r="35">
      <c r="E35" s="10" t="n"/>
      <c r="F35" s="9" t="n"/>
      <c r="G35" s="9" t="n"/>
    </row>
    <row r="36">
      <c r="A36" s="12" t="n"/>
      <c r="B36" s="12" t="n"/>
      <c r="C36" s="12" t="n"/>
      <c r="D36" s="12" t="n"/>
      <c r="E36" s="13" t="n"/>
      <c r="F36" s="14" t="n"/>
      <c r="G36" s="14" t="n"/>
      <c r="H36" s="12" t="n"/>
      <c r="I36" s="12" t="n"/>
      <c r="J36" s="12" t="n"/>
      <c r="K36" s="12" t="n"/>
    </row>
    <row r="37">
      <c r="E37" s="10" t="n"/>
      <c r="F37" s="9" t="n"/>
      <c r="G37" s="9" t="n"/>
    </row>
    <row r="38">
      <c r="A38" s="12" t="n"/>
      <c r="B38" s="12" t="n"/>
      <c r="C38" s="12" t="n"/>
      <c r="D38" s="12" t="n"/>
      <c r="E38" s="13" t="n"/>
      <c r="F38" s="14" t="n"/>
      <c r="G38" s="14" t="n"/>
      <c r="H38" s="12" t="n"/>
      <c r="I38" s="12" t="n"/>
      <c r="J38" s="12" t="n"/>
      <c r="K38" s="12" t="n"/>
    </row>
    <row r="39">
      <c r="E39" s="10" t="n"/>
      <c r="F39" s="9" t="n"/>
      <c r="G39" s="9" t="n"/>
    </row>
    <row r="40">
      <c r="A40" s="12" t="n"/>
      <c r="B40" s="12" t="n"/>
      <c r="C40" s="12" t="n"/>
      <c r="D40" s="12" t="n"/>
      <c r="E40" s="13" t="n"/>
      <c r="F40" s="14" t="n"/>
      <c r="G40" s="14" t="n"/>
      <c r="H40" s="12" t="n"/>
      <c r="I40" s="12" t="n"/>
      <c r="J40" s="12" t="n"/>
      <c r="K40" s="12" t="n"/>
    </row>
    <row r="41">
      <c r="E41" s="10" t="n"/>
      <c r="F41" s="9" t="n"/>
      <c r="G41" s="9" t="n"/>
    </row>
    <row r="42">
      <c r="A42" s="12" t="n"/>
      <c r="B42" s="12" t="n"/>
      <c r="C42" s="12" t="n"/>
      <c r="D42" s="12" t="n"/>
      <c r="E42" s="13" t="n"/>
      <c r="F42" s="14" t="n"/>
      <c r="G42" s="14" t="n"/>
      <c r="H42" s="12" t="n"/>
      <c r="I42" s="12" t="n"/>
      <c r="J42" s="12" t="n"/>
      <c r="K42" s="12" t="n"/>
    </row>
    <row r="43">
      <c r="E43" s="10" t="n"/>
      <c r="F43" s="9" t="n"/>
      <c r="G43" s="9" t="n"/>
    </row>
    <row r="44">
      <c r="A44" s="12" t="n"/>
      <c r="B44" s="12" t="n"/>
      <c r="C44" s="12" t="n"/>
      <c r="D44" s="12" t="n"/>
      <c r="E44" s="13" t="n"/>
      <c r="F44" s="14" t="n"/>
      <c r="G44" s="14" t="n"/>
      <c r="H44" s="12" t="n"/>
      <c r="I44" s="12" t="n"/>
      <c r="J44" s="12" t="n"/>
      <c r="K44" s="12" t="n"/>
    </row>
    <row r="45">
      <c r="E45" s="10" t="n"/>
      <c r="F45" s="9" t="n"/>
      <c r="G45" s="9" t="n"/>
    </row>
    <row r="46">
      <c r="A46" s="12" t="n"/>
      <c r="B46" s="12" t="n"/>
      <c r="C46" s="12" t="n"/>
      <c r="D46" s="12" t="n"/>
      <c r="E46" s="13" t="n"/>
      <c r="F46" s="14" t="n"/>
      <c r="G46" s="14" t="n"/>
      <c r="H46" s="12" t="n"/>
      <c r="I46" s="12" t="n"/>
      <c r="J46" s="12" t="n"/>
      <c r="K46" s="12" t="n"/>
    </row>
    <row r="47">
      <c r="E47" s="10" t="n"/>
      <c r="F47" s="9" t="n"/>
      <c r="G47" s="9" t="n"/>
    </row>
    <row r="48">
      <c r="A48" s="12" t="n"/>
      <c r="B48" s="12" t="n"/>
      <c r="C48" s="12" t="n"/>
      <c r="D48" s="12" t="n"/>
      <c r="E48" s="13" t="n"/>
      <c r="F48" s="14" t="n"/>
      <c r="G48" s="14" t="n"/>
      <c r="H48" s="12" t="n"/>
      <c r="I48" s="12" t="n"/>
      <c r="J48" s="12" t="n"/>
      <c r="K48" s="12" t="n"/>
    </row>
    <row r="49">
      <c r="E49" s="10" t="n"/>
      <c r="F49" s="9" t="n"/>
      <c r="G49" s="9" t="n"/>
    </row>
    <row r="50">
      <c r="A50" s="12" t="n"/>
      <c r="B50" s="12" t="n"/>
      <c r="C50" s="12" t="n"/>
      <c r="D50" s="12" t="n"/>
      <c r="E50" s="13" t="n"/>
      <c r="F50" s="14" t="n"/>
      <c r="G50" s="14" t="n"/>
      <c r="H50" s="12" t="n"/>
      <c r="I50" s="12" t="n"/>
      <c r="J50" s="12" t="n"/>
      <c r="K50" s="12" t="n"/>
    </row>
    <row r="51">
      <c r="E51" s="10" t="n"/>
      <c r="F51" s="9" t="n"/>
      <c r="G51" s="9" t="n"/>
    </row>
    <row r="52">
      <c r="A52" s="12" t="n"/>
      <c r="B52" s="12" t="n"/>
      <c r="C52" s="12" t="n"/>
      <c r="D52" s="12" t="n"/>
      <c r="E52" s="13" t="n"/>
      <c r="F52" s="14" t="n"/>
      <c r="G52" s="14" t="n"/>
      <c r="H52" s="12" t="n"/>
      <c r="I52" s="12" t="n"/>
      <c r="J52" s="12" t="n"/>
      <c r="K52" s="12" t="n"/>
    </row>
    <row r="53">
      <c r="E53" s="10" t="n"/>
      <c r="F53" s="9" t="n"/>
      <c r="G53" s="9" t="n"/>
    </row>
    <row r="54">
      <c r="A54" s="12" t="n"/>
      <c r="B54" s="12" t="n"/>
      <c r="C54" s="12" t="n"/>
      <c r="D54" s="12" t="n"/>
      <c r="E54" s="13" t="n"/>
      <c r="F54" s="14" t="n"/>
      <c r="G54" s="14" t="n"/>
      <c r="H54" s="12" t="n"/>
      <c r="I54" s="12" t="n"/>
      <c r="J54" s="12" t="n"/>
      <c r="K54" s="12" t="n"/>
    </row>
    <row r="55">
      <c r="E55" s="10" t="n"/>
      <c r="F55" s="9" t="n"/>
      <c r="G55" s="9" t="n"/>
    </row>
    <row r="56">
      <c r="A56" s="12" t="n"/>
      <c r="B56" s="12" t="n"/>
      <c r="C56" s="12" t="n"/>
      <c r="D56" s="12" t="n"/>
      <c r="E56" s="13" t="n"/>
      <c r="F56" s="14" t="n"/>
      <c r="G56" s="14" t="n"/>
      <c r="H56" s="12" t="n"/>
      <c r="I56" s="12" t="n"/>
      <c r="J56" s="12" t="n"/>
      <c r="K56" s="12" t="n"/>
    </row>
    <row r="57">
      <c r="E57" s="10" t="n"/>
      <c r="F57" s="9" t="n"/>
      <c r="G57" s="9" t="n"/>
    </row>
    <row r="58">
      <c r="A58" s="12" t="n"/>
      <c r="B58" s="12" t="n"/>
      <c r="C58" s="12" t="n"/>
      <c r="D58" s="12" t="n"/>
      <c r="E58" s="13" t="n"/>
      <c r="F58" s="14" t="n"/>
      <c r="G58" s="14" t="n"/>
      <c r="H58" s="12" t="n"/>
      <c r="I58" s="12" t="n"/>
      <c r="J58" s="12" t="n"/>
      <c r="K58" s="12" t="n"/>
    </row>
    <row r="59">
      <c r="E59" s="10" t="n"/>
      <c r="F59" s="9" t="n"/>
      <c r="G59" s="9" t="n"/>
    </row>
    <row r="60">
      <c r="A60" s="12" t="n"/>
      <c r="B60" s="12" t="n"/>
      <c r="C60" s="12" t="n"/>
      <c r="D60" s="12" t="n"/>
      <c r="E60" s="13" t="n"/>
      <c r="F60" s="14" t="n"/>
      <c r="G60" s="14" t="n"/>
      <c r="H60" s="12" t="n"/>
      <c r="I60" s="12" t="n"/>
      <c r="J60" s="12" t="n"/>
      <c r="K60" s="12" t="n"/>
    </row>
    <row r="61">
      <c r="E61" s="10" t="n"/>
      <c r="F61" s="9" t="n"/>
      <c r="G61" s="9" t="n"/>
    </row>
    <row r="62">
      <c r="A62" s="12" t="n"/>
      <c r="B62" s="12" t="n"/>
      <c r="C62" s="12" t="n"/>
      <c r="D62" s="12" t="n"/>
      <c r="E62" s="13" t="n"/>
      <c r="F62" s="14" t="n"/>
      <c r="G62" s="14" t="n"/>
      <c r="H62" s="12" t="n"/>
      <c r="I62" s="12" t="n"/>
      <c r="J62" s="12" t="n"/>
      <c r="K62" s="12" t="n"/>
    </row>
    <row r="63">
      <c r="E63" s="10" t="n"/>
      <c r="F63" s="9" t="n"/>
      <c r="G63" s="9" t="n"/>
    </row>
    <row r="64">
      <c r="A64" s="12" t="n"/>
      <c r="B64" s="12" t="n"/>
      <c r="C64" s="12" t="n"/>
      <c r="D64" s="12" t="n"/>
      <c r="E64" s="13" t="n"/>
      <c r="F64" s="14" t="n"/>
      <c r="G64" s="14" t="n"/>
      <c r="H64" s="12" t="n"/>
      <c r="I64" s="12" t="n"/>
      <c r="J64" s="12" t="n"/>
      <c r="K64" s="12" t="n"/>
    </row>
    <row r="65">
      <c r="E65" s="10" t="n"/>
      <c r="F65" s="9" t="n"/>
      <c r="G65" s="9" t="n"/>
    </row>
    <row r="66">
      <c r="A66" s="12" t="n"/>
      <c r="B66" s="12" t="n"/>
      <c r="C66" s="12" t="n"/>
      <c r="D66" s="12" t="n"/>
      <c r="E66" s="13" t="n"/>
      <c r="F66" s="14" t="n"/>
      <c r="G66" s="14" t="n"/>
      <c r="H66" s="12" t="n"/>
      <c r="I66" s="12" t="n"/>
      <c r="J66" s="12" t="n"/>
      <c r="K66" s="12" t="n"/>
    </row>
    <row r="67">
      <c r="E67" s="10" t="n"/>
      <c r="F67" s="9" t="n"/>
      <c r="G67" s="9" t="n"/>
    </row>
    <row r="68">
      <c r="A68" s="12" t="n"/>
      <c r="B68" s="12" t="n"/>
      <c r="C68" s="12" t="n"/>
      <c r="D68" s="12" t="n"/>
      <c r="E68" s="13" t="n"/>
      <c r="F68" s="14" t="n"/>
      <c r="G68" s="14" t="n"/>
      <c r="H68" s="12" t="n"/>
      <c r="I68" s="12" t="n"/>
      <c r="J68" s="12" t="n"/>
      <c r="K68" s="12" t="n"/>
    </row>
    <row r="69">
      <c r="E69" s="10" t="n"/>
      <c r="F69" s="9" t="n"/>
      <c r="G69" s="9" t="n"/>
    </row>
    <row r="70">
      <c r="A70" s="12" t="n"/>
      <c r="B70" s="12" t="n"/>
      <c r="C70" s="12" t="n"/>
      <c r="D70" s="12" t="n"/>
      <c r="E70" s="13" t="n"/>
      <c r="F70" s="14" t="n"/>
      <c r="G70" s="14" t="n"/>
      <c r="H70" s="12" t="n"/>
      <c r="I70" s="12" t="n"/>
      <c r="J70" s="12" t="n"/>
      <c r="K70" s="12" t="n"/>
    </row>
    <row r="71">
      <c r="E71" s="10" t="n"/>
      <c r="F71" s="9" t="n"/>
      <c r="G71" s="9" t="n"/>
    </row>
    <row r="72">
      <c r="A72" s="12" t="n"/>
      <c r="B72" s="12" t="n"/>
      <c r="C72" s="12" t="n"/>
      <c r="D72" s="12" t="n"/>
      <c r="E72" s="13" t="n"/>
      <c r="F72" s="14" t="n"/>
      <c r="G72" s="14" t="n"/>
      <c r="H72" s="12" t="n"/>
      <c r="I72" s="12" t="n"/>
      <c r="J72" s="12" t="n"/>
      <c r="K72" s="12" t="n"/>
    </row>
    <row r="73">
      <c r="E73" s="10" t="n"/>
      <c r="F73" s="9" t="n"/>
      <c r="G73" s="9" t="n"/>
    </row>
    <row r="74">
      <c r="A74" s="12" t="n"/>
      <c r="B74" s="12" t="n"/>
      <c r="C74" s="12" t="n"/>
      <c r="D74" s="12" t="n"/>
      <c r="E74" s="13" t="n"/>
      <c r="F74" s="14" t="n"/>
      <c r="G74" s="14" t="n"/>
      <c r="H74" s="12" t="n"/>
      <c r="I74" s="12" t="n"/>
      <c r="J74" s="12" t="n"/>
      <c r="K74" s="12" t="n"/>
    </row>
    <row r="75">
      <c r="E75" s="10" t="n"/>
      <c r="F75" s="9" t="n"/>
      <c r="G75" s="9" t="n"/>
    </row>
    <row r="76">
      <c r="A76" s="12" t="n"/>
      <c r="B76" s="12" t="n"/>
      <c r="C76" s="12" t="n"/>
      <c r="D76" s="12" t="n"/>
      <c r="E76" s="13" t="n"/>
      <c r="F76" s="14" t="n"/>
      <c r="G76" s="14" t="n"/>
      <c r="H76" s="12" t="n"/>
      <c r="I76" s="12" t="n"/>
      <c r="J76" s="12" t="n"/>
      <c r="K76" s="12" t="n"/>
    </row>
    <row r="77">
      <c r="E77" s="10" t="n"/>
      <c r="F77" s="9" t="n"/>
      <c r="G77" s="9" t="n"/>
    </row>
    <row r="78">
      <c r="A78" s="12" t="n"/>
      <c r="B78" s="12" t="n"/>
      <c r="C78" s="12" t="n"/>
      <c r="D78" s="12" t="n"/>
      <c r="E78" s="13" t="n"/>
      <c r="F78" s="14" t="n"/>
      <c r="G78" s="14" t="n"/>
      <c r="H78" s="12" t="n"/>
      <c r="I78" s="12" t="n"/>
      <c r="J78" s="12" t="n"/>
      <c r="K78" s="12" t="n"/>
    </row>
    <row r="79">
      <c r="E79" s="10" t="n"/>
      <c r="F79" s="9" t="n"/>
      <c r="G79" s="9" t="n"/>
    </row>
    <row r="80">
      <c r="A80" s="12" t="n"/>
      <c r="B80" s="12" t="n"/>
      <c r="C80" s="12" t="n"/>
      <c r="D80" s="12" t="n"/>
      <c r="E80" s="13" t="n"/>
      <c r="F80" s="14" t="n"/>
      <c r="G80" s="14" t="n"/>
      <c r="H80" s="12" t="n"/>
      <c r="I80" s="12" t="n"/>
      <c r="J80" s="12" t="n"/>
      <c r="K80" s="12" t="n"/>
    </row>
    <row r="81">
      <c r="E81" s="10" t="n"/>
      <c r="F81" s="9" t="n"/>
      <c r="G81" s="9" t="n"/>
    </row>
    <row r="82">
      <c r="A82" s="12" t="n"/>
      <c r="B82" s="12" t="n"/>
      <c r="C82" s="12" t="n"/>
      <c r="D82" s="12" t="n"/>
      <c r="E82" s="13" t="n"/>
      <c r="F82" s="14" t="n"/>
      <c r="G82" s="14" t="n"/>
      <c r="H82" s="12" t="n"/>
      <c r="I82" s="12" t="n"/>
      <c r="J82" s="12" t="n"/>
      <c r="K82" s="12" t="n"/>
    </row>
    <row r="83">
      <c r="E83" s="10" t="n"/>
      <c r="F83" s="9" t="n"/>
      <c r="G83" s="9" t="n"/>
    </row>
    <row r="84">
      <c r="A84" s="12" t="n"/>
      <c r="B84" s="12" t="n"/>
      <c r="C84" s="12" t="n"/>
      <c r="D84" s="12" t="n"/>
      <c r="E84" s="13" t="n"/>
      <c r="F84" s="14" t="n"/>
      <c r="G84" s="14" t="n"/>
      <c r="H84" s="12" t="n"/>
      <c r="I84" s="12" t="n"/>
      <c r="J84" s="12" t="n"/>
      <c r="K84" s="12" t="n"/>
    </row>
    <row r="85">
      <c r="E85" s="10" t="n"/>
      <c r="F85" s="9" t="n"/>
      <c r="G85" s="9" t="n"/>
    </row>
    <row r="86">
      <c r="A86" s="12" t="n"/>
      <c r="B86" s="12" t="n"/>
      <c r="C86" s="12" t="n"/>
      <c r="D86" s="12" t="n"/>
      <c r="E86" s="13" t="n"/>
      <c r="F86" s="14" t="n"/>
      <c r="G86" s="14" t="n"/>
      <c r="H86" s="12" t="n"/>
      <c r="I86" s="12" t="n"/>
      <c r="J86" s="12" t="n"/>
      <c r="K86" s="12" t="n"/>
    </row>
    <row r="87">
      <c r="E87" s="10" t="n"/>
      <c r="F87" s="9" t="n"/>
      <c r="G87" s="9" t="n"/>
    </row>
    <row r="88">
      <c r="A88" s="12" t="n"/>
      <c r="B88" s="12" t="n"/>
      <c r="C88" s="12" t="n"/>
      <c r="D88" s="12" t="n"/>
      <c r="E88" s="13" t="n"/>
      <c r="F88" s="14" t="n"/>
      <c r="G88" s="14" t="n"/>
      <c r="H88" s="12" t="n"/>
      <c r="I88" s="12" t="n"/>
      <c r="J88" s="12" t="n"/>
      <c r="K88" s="12" t="n"/>
    </row>
    <row r="89">
      <c r="E89" s="10" t="n"/>
      <c r="F89" s="9" t="n"/>
      <c r="G89" s="9" t="n"/>
    </row>
    <row r="90">
      <c r="A90" s="12" t="n"/>
      <c r="B90" s="12" t="n"/>
      <c r="C90" s="12" t="n"/>
      <c r="D90" s="12" t="n"/>
      <c r="E90" s="13" t="n"/>
      <c r="F90" s="14" t="n"/>
      <c r="G90" s="14" t="n"/>
      <c r="H90" s="12" t="n"/>
      <c r="I90" s="12" t="n"/>
      <c r="J90" s="12" t="n"/>
      <c r="K90" s="12" t="n"/>
    </row>
    <row r="91">
      <c r="E91" s="10" t="n"/>
      <c r="F91" s="9" t="n"/>
      <c r="G91" s="9" t="n"/>
    </row>
    <row r="92">
      <c r="A92" s="12" t="n"/>
      <c r="B92" s="12" t="n"/>
      <c r="C92" s="12" t="n"/>
      <c r="D92" s="12" t="n"/>
      <c r="E92" s="13" t="n"/>
      <c r="F92" s="14" t="n"/>
      <c r="G92" s="14" t="n"/>
      <c r="H92" s="12" t="n"/>
      <c r="I92" s="12" t="n"/>
      <c r="J92" s="12" t="n"/>
      <c r="K92" s="12" t="n"/>
    </row>
    <row r="93">
      <c r="E93" s="10" t="n"/>
      <c r="F93" s="9" t="n"/>
      <c r="G93" s="9" t="n"/>
    </row>
    <row r="94">
      <c r="A94" s="12" t="n"/>
      <c r="B94" s="12" t="n"/>
      <c r="C94" s="12" t="n"/>
      <c r="D94" s="12" t="n"/>
      <c r="E94" s="13" t="n"/>
      <c r="F94" s="14" t="n"/>
      <c r="G94" s="14" t="n"/>
      <c r="H94" s="12" t="n"/>
      <c r="I94" s="12" t="n"/>
      <c r="J94" s="12" t="n"/>
      <c r="K94" s="12" t="n"/>
    </row>
    <row r="95">
      <c r="E95" s="10" t="n"/>
      <c r="F95" s="9" t="n"/>
      <c r="G95" s="9" t="n"/>
    </row>
    <row r="96">
      <c r="A96" s="12" t="n"/>
      <c r="B96" s="12" t="n"/>
      <c r="C96" s="12" t="n"/>
      <c r="D96" s="12" t="n"/>
      <c r="E96" s="13" t="n"/>
      <c r="F96" s="14" t="n"/>
      <c r="G96" s="14" t="n"/>
      <c r="H96" s="12" t="n"/>
      <c r="I96" s="12" t="n"/>
      <c r="J96" s="12" t="n"/>
      <c r="K96" s="12" t="n"/>
    </row>
    <row r="97">
      <c r="E97" s="10" t="n"/>
      <c r="F97" s="9" t="n"/>
      <c r="G97" s="9" t="n"/>
    </row>
    <row r="98">
      <c r="A98" s="12" t="n"/>
      <c r="B98" s="12" t="n"/>
      <c r="C98" s="12" t="n"/>
      <c r="D98" s="12" t="n"/>
      <c r="E98" s="13" t="n"/>
      <c r="F98" s="14" t="n"/>
      <c r="G98" s="14" t="n"/>
      <c r="H98" s="12" t="n"/>
      <c r="I98" s="12" t="n"/>
      <c r="J98" s="12" t="n"/>
      <c r="K98" s="12" t="n"/>
    </row>
    <row r="99">
      <c r="E99" s="10" t="n"/>
      <c r="F99" s="9" t="n"/>
      <c r="G99" s="9" t="n"/>
    </row>
    <row r="100">
      <c r="A100" s="12" t="n"/>
      <c r="B100" s="12" t="n"/>
      <c r="C100" s="12" t="n"/>
      <c r="D100" s="12" t="n"/>
      <c r="E100" s="13" t="n"/>
      <c r="F100" s="14" t="n"/>
      <c r="G100" s="14" t="n"/>
      <c r="H100" s="12" t="n"/>
      <c r="I100" s="12" t="n"/>
      <c r="J100" s="12" t="n"/>
      <c r="K100" s="12" t="n"/>
    </row>
    <row r="101">
      <c r="E101" s="10" t="n"/>
      <c r="F101" s="9" t="n"/>
      <c r="G101" s="9" t="n"/>
    </row>
    <row r="102">
      <c r="A102" s="12" t="n"/>
      <c r="B102" s="12" t="n"/>
      <c r="C102" s="12" t="n"/>
      <c r="D102" s="12" t="n"/>
      <c r="E102" s="13" t="n"/>
      <c r="F102" s="14" t="n"/>
      <c r="G102" s="14" t="n"/>
      <c r="H102" s="12" t="n"/>
      <c r="I102" s="12" t="n"/>
      <c r="J102" s="12" t="n"/>
      <c r="K102" s="12" t="n"/>
    </row>
    <row r="103">
      <c r="E103" s="10" t="n"/>
      <c r="F103" s="9" t="n"/>
      <c r="G103" s="9" t="n"/>
    </row>
    <row r="104">
      <c r="A104" s="12" t="n"/>
      <c r="B104" s="12" t="n"/>
      <c r="C104" s="12" t="n"/>
      <c r="D104" s="12" t="n"/>
      <c r="E104" s="13" t="n"/>
      <c r="F104" s="14" t="n"/>
      <c r="G104" s="14" t="n"/>
      <c r="H104" s="12" t="n"/>
      <c r="I104" s="12" t="n"/>
      <c r="J104" s="12" t="n"/>
      <c r="K104" s="12" t="n"/>
    </row>
    <row r="105">
      <c r="E105" s="10" t="n"/>
      <c r="F105" s="9" t="n"/>
      <c r="G105" s="9" t="n"/>
    </row>
    <row r="106">
      <c r="A106" s="12" t="n"/>
      <c r="B106" s="12" t="n"/>
      <c r="C106" s="12" t="n"/>
      <c r="D106" s="12" t="n"/>
      <c r="E106" s="13" t="n"/>
      <c r="F106" s="14" t="n"/>
      <c r="G106" s="14" t="n"/>
      <c r="H106" s="12" t="n"/>
      <c r="I106" s="12" t="n"/>
      <c r="J106" s="12" t="n"/>
      <c r="K106" s="12" t="n"/>
    </row>
    <row r="107">
      <c r="E107" s="10" t="n"/>
      <c r="F107" s="9" t="n"/>
      <c r="G107" s="9" t="n"/>
    </row>
    <row r="108">
      <c r="A108" s="12" t="n"/>
      <c r="B108" s="12" t="n"/>
      <c r="C108" s="12" t="n"/>
      <c r="D108" s="12" t="n"/>
      <c r="E108" s="13" t="n"/>
      <c r="F108" s="14" t="n"/>
      <c r="G108" s="14" t="n"/>
      <c r="H108" s="12" t="n"/>
      <c r="I108" s="12" t="n"/>
      <c r="J108" s="12" t="n"/>
      <c r="K108" s="12" t="n"/>
    </row>
    <row r="109">
      <c r="E109" s="10" t="n"/>
      <c r="F109" s="9" t="n"/>
      <c r="G109" s="9" t="n"/>
    </row>
    <row r="110">
      <c r="A110" s="12" t="n"/>
      <c r="B110" s="12" t="n"/>
      <c r="C110" s="12" t="n"/>
      <c r="D110" s="12" t="n"/>
      <c r="E110" s="13" t="n"/>
      <c r="F110" s="14" t="n"/>
      <c r="G110" s="14" t="n"/>
      <c r="H110" s="12" t="n"/>
      <c r="I110" s="12" t="n"/>
      <c r="J110" s="12" t="n"/>
      <c r="K110" s="12" t="n"/>
    </row>
    <row r="111">
      <c r="E111" s="10" t="n"/>
      <c r="F111" s="9" t="n"/>
      <c r="G111" s="9" t="n"/>
    </row>
    <row r="112">
      <c r="A112" s="12" t="n"/>
      <c r="B112" s="12" t="n"/>
      <c r="C112" s="12" t="n"/>
      <c r="D112" s="12" t="n"/>
      <c r="E112" s="13" t="n"/>
      <c r="F112" s="14" t="n"/>
      <c r="G112" s="14" t="n"/>
      <c r="H112" s="12" t="n"/>
      <c r="I112" s="12" t="n"/>
      <c r="J112" s="12" t="n"/>
      <c r="K112" s="12" t="n"/>
    </row>
    <row r="113">
      <c r="E113" s="10" t="n"/>
      <c r="F113" s="9" t="n"/>
      <c r="G113" s="9" t="n"/>
    </row>
    <row r="114">
      <c r="A114" s="12" t="n"/>
      <c r="B114" s="12" t="n"/>
      <c r="C114" s="12" t="n"/>
      <c r="D114" s="12" t="n"/>
      <c r="E114" s="13" t="n"/>
      <c r="F114" s="14" t="n"/>
      <c r="G114" s="14" t="n"/>
      <c r="H114" s="12" t="n"/>
      <c r="I114" s="12" t="n"/>
      <c r="J114" s="12" t="n"/>
      <c r="K114" s="12" t="n"/>
    </row>
    <row r="115">
      <c r="E115" s="10" t="n"/>
      <c r="F115" s="9" t="n"/>
      <c r="G115" s="9" t="n"/>
    </row>
    <row r="116">
      <c r="A116" s="12" t="n"/>
      <c r="B116" s="12" t="n"/>
      <c r="C116" s="12" t="n"/>
      <c r="D116" s="12" t="n"/>
      <c r="E116" s="13" t="n"/>
      <c r="F116" s="14" t="n"/>
      <c r="G116" s="14" t="n"/>
      <c r="H116" s="12" t="n"/>
      <c r="I116" s="12" t="n"/>
      <c r="J116" s="12" t="n"/>
      <c r="K116" s="12" t="n"/>
    </row>
    <row r="117">
      <c r="E117" s="10" t="n"/>
      <c r="F117" s="9" t="n"/>
      <c r="G117" s="9" t="n"/>
    </row>
    <row r="118">
      <c r="A118" s="12" t="n"/>
      <c r="B118" s="12" t="n"/>
      <c r="C118" s="12" t="n"/>
      <c r="D118" s="12" t="n"/>
      <c r="E118" s="13" t="n"/>
      <c r="F118" s="14" t="n"/>
      <c r="G118" s="14" t="n"/>
      <c r="H118" s="12" t="n"/>
      <c r="I118" s="12" t="n"/>
      <c r="J118" s="12" t="n"/>
      <c r="K118" s="12" t="n"/>
    </row>
    <row r="119">
      <c r="E119" s="10" t="n"/>
      <c r="F119" s="9" t="n"/>
      <c r="G119" s="9" t="n"/>
    </row>
    <row r="120">
      <c r="A120" s="12" t="n"/>
      <c r="B120" s="12" t="n"/>
      <c r="C120" s="12" t="n"/>
      <c r="D120" s="12" t="n"/>
      <c r="E120" s="13" t="n"/>
      <c r="F120" s="14" t="n"/>
      <c r="G120" s="14" t="n"/>
      <c r="H120" s="12" t="n"/>
      <c r="I120" s="12" t="n"/>
      <c r="J120" s="12" t="n"/>
      <c r="K120" s="12" t="n"/>
    </row>
    <row r="121">
      <c r="E121" s="10" t="n"/>
      <c r="F121" s="9" t="n"/>
      <c r="G121" s="9" t="n"/>
    </row>
    <row r="122">
      <c r="A122" s="12" t="n"/>
      <c r="B122" s="12" t="n"/>
      <c r="C122" s="12" t="n"/>
      <c r="D122" s="12" t="n"/>
      <c r="E122" s="13" t="n"/>
      <c r="F122" s="14" t="n"/>
      <c r="G122" s="14" t="n"/>
      <c r="H122" s="12" t="n"/>
      <c r="I122" s="12" t="n"/>
      <c r="J122" s="12" t="n"/>
      <c r="K122" s="12" t="n"/>
    </row>
    <row r="123">
      <c r="E123" s="10" t="n"/>
      <c r="F123" s="9" t="n"/>
      <c r="G123" s="9" t="n"/>
    </row>
    <row r="124">
      <c r="A124" s="12" t="n"/>
      <c r="B124" s="12" t="n"/>
      <c r="C124" s="12" t="n"/>
      <c r="D124" s="12" t="n"/>
      <c r="E124" s="13" t="n"/>
      <c r="F124" s="14" t="n"/>
      <c r="G124" s="14" t="n"/>
      <c r="H124" s="12" t="n"/>
      <c r="I124" s="12" t="n"/>
      <c r="J124" s="12" t="n"/>
      <c r="K124" s="12" t="n"/>
    </row>
    <row r="125">
      <c r="E125" s="10" t="n"/>
      <c r="F125" s="9" t="n"/>
      <c r="G125" s="9" t="n"/>
    </row>
    <row r="126">
      <c r="A126" s="12" t="n"/>
      <c r="B126" s="12" t="n"/>
      <c r="C126" s="12" t="n"/>
      <c r="D126" s="12" t="n"/>
      <c r="E126" s="13" t="n"/>
      <c r="F126" s="14" t="n"/>
      <c r="G126" s="14" t="n"/>
      <c r="H126" s="12" t="n"/>
      <c r="I126" s="12" t="n"/>
      <c r="J126" s="12" t="n"/>
      <c r="K126" s="12" t="n"/>
    </row>
    <row r="127">
      <c r="E127" s="10" t="n"/>
      <c r="F127" s="9" t="n"/>
      <c r="G127" s="9" t="n"/>
    </row>
    <row r="128">
      <c r="A128" s="12" t="n"/>
      <c r="B128" s="12" t="n"/>
      <c r="C128" s="12" t="n"/>
      <c r="D128" s="12" t="n"/>
      <c r="E128" s="13" t="n"/>
      <c r="F128" s="14" t="n"/>
      <c r="G128" s="14" t="n"/>
      <c r="H128" s="12" t="n"/>
      <c r="I128" s="12" t="n"/>
      <c r="J128" s="12" t="n"/>
      <c r="K128" s="12" t="n"/>
    </row>
    <row r="129">
      <c r="E129" s="10" t="n"/>
      <c r="F129" s="9" t="n"/>
      <c r="G129" s="9" t="n"/>
    </row>
    <row r="130">
      <c r="A130" s="12" t="n"/>
      <c r="B130" s="12" t="n"/>
      <c r="C130" s="12" t="n"/>
      <c r="D130" s="12" t="n"/>
      <c r="E130" s="13" t="n"/>
      <c r="F130" s="14" t="n"/>
      <c r="G130" s="14" t="n"/>
      <c r="H130" s="12" t="n"/>
      <c r="I130" s="12" t="n"/>
      <c r="J130" s="12" t="n"/>
      <c r="K130" s="12" t="n"/>
    </row>
    <row r="131">
      <c r="E131" s="10" t="n"/>
      <c r="F131" s="9" t="n"/>
      <c r="G131" s="9" t="n"/>
    </row>
    <row r="132">
      <c r="A132" s="12" t="n"/>
      <c r="B132" s="12" t="n"/>
      <c r="C132" s="12" t="n"/>
      <c r="D132" s="12" t="n"/>
      <c r="E132" s="13" t="n"/>
      <c r="F132" s="14" t="n"/>
      <c r="G132" s="14" t="n"/>
      <c r="H132" s="12" t="n"/>
      <c r="I132" s="12" t="n"/>
      <c r="J132" s="12" t="n"/>
      <c r="K132" s="12" t="n"/>
    </row>
    <row r="133">
      <c r="E133" s="10" t="n"/>
      <c r="F133" s="9" t="n"/>
      <c r="G133" s="9" t="n"/>
    </row>
    <row r="134">
      <c r="A134" s="12" t="n"/>
      <c r="B134" s="12" t="n"/>
      <c r="C134" s="12" t="n"/>
      <c r="D134" s="12" t="n"/>
      <c r="E134" s="13" t="n"/>
      <c r="F134" s="14" t="n"/>
      <c r="G134" s="14" t="n"/>
      <c r="H134" s="12" t="n"/>
      <c r="I134" s="12" t="n"/>
      <c r="J134" s="12" t="n"/>
      <c r="K134" s="12" t="n"/>
    </row>
    <row r="135">
      <c r="E135" s="10" t="n"/>
      <c r="F135" s="9" t="n"/>
      <c r="G135" s="9" t="n"/>
    </row>
    <row r="136">
      <c r="A136" s="12" t="n"/>
      <c r="B136" s="12" t="n"/>
      <c r="C136" s="12" t="n"/>
      <c r="D136" s="12" t="n"/>
      <c r="E136" s="13" t="n"/>
      <c r="F136" s="14" t="n"/>
      <c r="G136" s="14" t="n"/>
      <c r="H136" s="12" t="n"/>
      <c r="I136" s="12" t="n"/>
      <c r="J136" s="12" t="n"/>
      <c r="K136" s="12" t="n"/>
    </row>
    <row r="137">
      <c r="E137" s="10" t="n"/>
      <c r="F137" s="9" t="n"/>
      <c r="G137" s="9" t="n"/>
    </row>
    <row r="138">
      <c r="A138" s="12" t="n"/>
      <c r="B138" s="12" t="n"/>
      <c r="C138" s="12" t="n"/>
      <c r="D138" s="12" t="n"/>
      <c r="E138" s="13" t="n"/>
      <c r="F138" s="14" t="n"/>
      <c r="G138" s="14" t="n"/>
      <c r="H138" s="12" t="n"/>
      <c r="I138" s="12" t="n"/>
      <c r="J138" s="12" t="n"/>
      <c r="K138" s="12" t="n"/>
    </row>
    <row r="139">
      <c r="E139" s="10" t="n"/>
      <c r="F139" s="9" t="n"/>
      <c r="G139" s="9" t="n"/>
    </row>
    <row r="140">
      <c r="A140" s="12" t="n"/>
      <c r="B140" s="12" t="n"/>
      <c r="C140" s="12" t="n"/>
      <c r="D140" s="12" t="n"/>
      <c r="E140" s="13" t="n"/>
      <c r="F140" s="14" t="n"/>
      <c r="G140" s="14" t="n"/>
      <c r="H140" s="12" t="n"/>
      <c r="I140" s="12" t="n"/>
      <c r="J140" s="12" t="n"/>
      <c r="K140" s="12" t="n"/>
    </row>
    <row r="141">
      <c r="E141" s="10" t="n"/>
      <c r="F141" s="9" t="n"/>
      <c r="G141" s="9" t="n"/>
    </row>
    <row r="142">
      <c r="A142" s="12" t="n"/>
      <c r="B142" s="12" t="n"/>
      <c r="C142" s="12" t="n"/>
      <c r="D142" s="12" t="n"/>
      <c r="E142" s="13" t="n"/>
      <c r="F142" s="14" t="n"/>
      <c r="G142" s="14" t="n"/>
      <c r="H142" s="12" t="n"/>
      <c r="I142" s="12" t="n"/>
      <c r="J142" s="12" t="n"/>
      <c r="K142" s="12" t="n"/>
    </row>
    <row r="143">
      <c r="E143" s="10" t="n"/>
      <c r="F143" s="9" t="n"/>
      <c r="G143" s="9" t="n"/>
    </row>
    <row r="144">
      <c r="A144" s="12" t="n"/>
      <c r="B144" s="12" t="n"/>
      <c r="C144" s="12" t="n"/>
      <c r="D144" s="12" t="n"/>
      <c r="E144" s="13" t="n"/>
      <c r="F144" s="14" t="n"/>
      <c r="G144" s="14" t="n"/>
      <c r="H144" s="12" t="n"/>
      <c r="I144" s="12" t="n"/>
      <c r="J144" s="12" t="n"/>
      <c r="K144" s="12" t="n"/>
    </row>
    <row r="145">
      <c r="E145" s="10" t="n"/>
      <c r="F145" s="9" t="n"/>
      <c r="G145" s="9" t="n"/>
    </row>
    <row r="146">
      <c r="A146" s="12" t="n"/>
      <c r="B146" s="12" t="n"/>
      <c r="C146" s="12" t="n"/>
      <c r="D146" s="12" t="n"/>
      <c r="E146" s="13" t="n"/>
      <c r="F146" s="14" t="n"/>
      <c r="G146" s="14" t="n"/>
      <c r="H146" s="12" t="n"/>
      <c r="I146" s="12" t="n"/>
      <c r="J146" s="12" t="n"/>
      <c r="K146" s="12" t="n"/>
    </row>
    <row r="147">
      <c r="E147" s="10" t="n"/>
      <c r="F147" s="9" t="n"/>
      <c r="G147" s="9" t="n"/>
    </row>
    <row r="148">
      <c r="A148" s="12" t="n"/>
      <c r="B148" s="12" t="n"/>
      <c r="C148" s="12" t="n"/>
      <c r="D148" s="12" t="n"/>
      <c r="E148" s="13" t="n"/>
      <c r="F148" s="14" t="n"/>
      <c r="G148" s="14" t="n"/>
      <c r="H148" s="12" t="n"/>
      <c r="I148" s="12" t="n"/>
      <c r="J148" s="12" t="n"/>
      <c r="K148" s="12" t="n"/>
    </row>
    <row r="149">
      <c r="E149" s="10" t="n"/>
      <c r="F149" s="9" t="n"/>
      <c r="G149" s="9" t="n"/>
    </row>
    <row r="150">
      <c r="A150" s="12" t="n"/>
      <c r="B150" s="12" t="n"/>
      <c r="C150" s="12" t="n"/>
      <c r="D150" s="12" t="n"/>
      <c r="E150" s="13" t="n"/>
      <c r="F150" s="14" t="n"/>
      <c r="G150" s="14" t="n"/>
      <c r="H150" s="12" t="n"/>
      <c r="I150" s="12" t="n"/>
      <c r="J150" s="12" t="n"/>
      <c r="K150" s="12" t="n"/>
    </row>
    <row r="151">
      <c r="E151" s="10" t="n"/>
      <c r="F151" s="9" t="n"/>
      <c r="G151" s="9" t="n"/>
    </row>
    <row r="152">
      <c r="A152" s="12" t="n"/>
      <c r="B152" s="12" t="n"/>
      <c r="C152" s="12" t="n"/>
      <c r="D152" s="12" t="n"/>
      <c r="E152" s="13" t="n"/>
      <c r="F152" s="14" t="n"/>
      <c r="G152" s="14" t="n"/>
      <c r="H152" s="12" t="n"/>
      <c r="I152" s="12" t="n"/>
      <c r="J152" s="12" t="n"/>
      <c r="K152" s="12" t="n"/>
    </row>
    <row r="153">
      <c r="E153" s="10" t="n"/>
      <c r="F153" s="9" t="n"/>
      <c r="G153" s="9" t="n"/>
    </row>
    <row r="154">
      <c r="A154" s="12" t="n"/>
      <c r="B154" s="12" t="n"/>
      <c r="C154" s="12" t="n"/>
      <c r="D154" s="12" t="n"/>
      <c r="E154" s="13" t="n"/>
      <c r="F154" s="14" t="n"/>
      <c r="G154" s="14" t="n"/>
      <c r="H154" s="12" t="n"/>
      <c r="I154" s="12" t="n"/>
      <c r="J154" s="12" t="n"/>
      <c r="K154" s="12" t="n"/>
    </row>
    <row r="155">
      <c r="E155" s="10" t="n"/>
      <c r="F155" s="9" t="n"/>
      <c r="G155" s="9" t="n"/>
    </row>
    <row r="156">
      <c r="A156" s="12" t="n"/>
      <c r="B156" s="12" t="n"/>
      <c r="C156" s="12" t="n"/>
      <c r="D156" s="12" t="n"/>
      <c r="E156" s="13" t="n"/>
      <c r="F156" s="14" t="n"/>
      <c r="G156" s="14" t="n"/>
      <c r="H156" s="12" t="n"/>
      <c r="I156" s="12" t="n"/>
      <c r="J156" s="12" t="n"/>
      <c r="K156" s="12" t="n"/>
    </row>
    <row r="157">
      <c r="E157" s="10" t="n"/>
      <c r="F157" s="9" t="n"/>
      <c r="G157" s="9" t="n"/>
    </row>
    <row r="158">
      <c r="A158" s="12" t="n"/>
      <c r="B158" s="12" t="n"/>
      <c r="C158" s="12" t="n"/>
      <c r="D158" s="12" t="n"/>
      <c r="E158" s="13" t="n"/>
      <c r="F158" s="14" t="n"/>
      <c r="G158" s="14" t="n"/>
      <c r="H158" s="12" t="n"/>
      <c r="I158" s="12" t="n"/>
      <c r="J158" s="12" t="n"/>
      <c r="K158" s="12" t="n"/>
    </row>
    <row r="159">
      <c r="E159" s="10" t="n"/>
      <c r="F159" s="9" t="n"/>
      <c r="G159" s="9" t="n"/>
    </row>
    <row r="160">
      <c r="A160" s="12" t="n"/>
      <c r="B160" s="12" t="n"/>
      <c r="C160" s="12" t="n"/>
      <c r="D160" s="12" t="n"/>
      <c r="E160" s="13" t="n"/>
      <c r="F160" s="14" t="n"/>
      <c r="G160" s="14" t="n"/>
      <c r="H160" s="12" t="n"/>
      <c r="I160" s="12" t="n"/>
      <c r="J160" s="12" t="n"/>
      <c r="K160" s="12" t="n"/>
    </row>
    <row r="161">
      <c r="E161" s="10" t="n"/>
      <c r="F161" s="9" t="n"/>
      <c r="G161" s="9" t="n"/>
    </row>
    <row r="162">
      <c r="A162" s="12" t="n"/>
      <c r="B162" s="12" t="n"/>
      <c r="C162" s="12" t="n"/>
      <c r="D162" s="12" t="n"/>
      <c r="E162" s="13" t="n"/>
      <c r="F162" s="14" t="n"/>
      <c r="G162" s="14" t="n"/>
      <c r="H162" s="12" t="n"/>
      <c r="I162" s="12" t="n"/>
      <c r="J162" s="12" t="n"/>
      <c r="K162" s="12" t="n"/>
    </row>
    <row r="163">
      <c r="E163" s="10" t="n"/>
      <c r="F163" s="9" t="n"/>
      <c r="G163" s="9" t="n"/>
    </row>
    <row r="164">
      <c r="A164" s="12" t="n"/>
      <c r="B164" s="12" t="n"/>
      <c r="C164" s="12" t="n"/>
      <c r="D164" s="12" t="n"/>
      <c r="E164" s="13" t="n"/>
      <c r="F164" s="14" t="n"/>
      <c r="G164" s="14" t="n"/>
      <c r="H164" s="12" t="n"/>
      <c r="I164" s="12" t="n"/>
      <c r="J164" s="12" t="n"/>
      <c r="K164" s="12" t="n"/>
    </row>
    <row r="165">
      <c r="E165" s="10" t="n"/>
      <c r="F165" s="9" t="n"/>
      <c r="G165" s="9" t="n"/>
    </row>
    <row r="166">
      <c r="A166" s="12" t="n"/>
      <c r="B166" s="12" t="n"/>
      <c r="C166" s="12" t="n"/>
      <c r="D166" s="12" t="n"/>
      <c r="E166" s="13" t="n"/>
      <c r="F166" s="14" t="n"/>
      <c r="G166" s="14" t="n"/>
      <c r="H166" s="12" t="n"/>
      <c r="I166" s="12" t="n"/>
      <c r="J166" s="12" t="n"/>
      <c r="K166" s="12" t="n"/>
    </row>
    <row r="167">
      <c r="E167" s="10" t="n"/>
      <c r="F167" s="9" t="n"/>
      <c r="G167" s="9" t="n"/>
    </row>
    <row r="168">
      <c r="A168" s="12" t="n"/>
      <c r="B168" s="12" t="n"/>
      <c r="C168" s="12" t="n"/>
      <c r="D168" s="12" t="n"/>
      <c r="E168" s="13" t="n"/>
      <c r="F168" s="14" t="n"/>
      <c r="G168" s="14" t="n"/>
      <c r="H168" s="12" t="n"/>
      <c r="I168" s="12" t="n"/>
      <c r="J168" s="12" t="n"/>
      <c r="K168" s="12" t="n"/>
    </row>
    <row r="169">
      <c r="E169" s="10" t="n"/>
      <c r="F169" s="9" t="n"/>
      <c r="G169" s="9" t="n"/>
    </row>
    <row r="170">
      <c r="A170" s="12" t="n"/>
      <c r="B170" s="12" t="n"/>
      <c r="C170" s="12" t="n"/>
      <c r="D170" s="12" t="n"/>
      <c r="E170" s="13" t="n"/>
      <c r="F170" s="14" t="n"/>
      <c r="G170" s="14" t="n"/>
      <c r="H170" s="12" t="n"/>
      <c r="I170" s="12" t="n"/>
      <c r="J170" s="12" t="n"/>
      <c r="K170" s="12" t="n"/>
    </row>
    <row r="171">
      <c r="E171" s="10" t="n"/>
      <c r="F171" s="9" t="n"/>
      <c r="G171" s="9" t="n"/>
    </row>
    <row r="172">
      <c r="A172" s="12" t="n"/>
      <c r="B172" s="12" t="n"/>
      <c r="C172" s="12" t="n"/>
      <c r="D172" s="12" t="n"/>
      <c r="E172" s="13" t="n"/>
      <c r="F172" s="14" t="n"/>
      <c r="G172" s="14" t="n"/>
      <c r="H172" s="12" t="n"/>
      <c r="I172" s="12" t="n"/>
      <c r="J172" s="12" t="n"/>
      <c r="K172" s="12" t="n"/>
    </row>
    <row r="173">
      <c r="E173" s="10" t="n"/>
      <c r="F173" s="9" t="n"/>
      <c r="G173" s="9" t="n"/>
    </row>
    <row r="174">
      <c r="A174" s="12" t="n"/>
      <c r="B174" s="12" t="n"/>
      <c r="C174" s="12" t="n"/>
      <c r="D174" s="12" t="n"/>
      <c r="E174" s="13" t="n"/>
      <c r="F174" s="14" t="n"/>
      <c r="G174" s="14" t="n"/>
      <c r="H174" s="12" t="n"/>
      <c r="I174" s="12" t="n"/>
      <c r="J174" s="12" t="n"/>
      <c r="K174" s="12" t="n"/>
    </row>
    <row r="175">
      <c r="E175" s="10" t="n"/>
      <c r="F175" s="9" t="n"/>
      <c r="G175" s="9" t="n"/>
    </row>
    <row r="176">
      <c r="A176" s="12" t="n"/>
      <c r="B176" s="12" t="n"/>
      <c r="C176" s="12" t="n"/>
      <c r="D176" s="12" t="n"/>
      <c r="E176" s="13" t="n"/>
      <c r="F176" s="14" t="n"/>
      <c r="G176" s="14" t="n"/>
      <c r="H176" s="12" t="n"/>
      <c r="I176" s="12" t="n"/>
      <c r="J176" s="12" t="n"/>
      <c r="K176" s="12" t="n"/>
    </row>
    <row r="177">
      <c r="E177" s="10" t="n"/>
      <c r="F177" s="9" t="n"/>
      <c r="G177" s="9" t="n"/>
    </row>
    <row r="178">
      <c r="A178" s="12" t="n"/>
      <c r="B178" s="12" t="n"/>
      <c r="C178" s="12" t="n"/>
      <c r="D178" s="12" t="n"/>
      <c r="E178" s="13" t="n"/>
      <c r="F178" s="14" t="n"/>
      <c r="G178" s="14" t="n"/>
      <c r="H178" s="12" t="n"/>
      <c r="I178" s="12" t="n"/>
      <c r="J178" s="12" t="n"/>
      <c r="K178" s="12" t="n"/>
    </row>
    <row r="179">
      <c r="E179" s="10" t="n"/>
      <c r="F179" s="9" t="n"/>
      <c r="G179" s="9" t="n"/>
    </row>
    <row r="180">
      <c r="A180" s="12" t="n"/>
      <c r="B180" s="12" t="n"/>
      <c r="C180" s="12" t="n"/>
      <c r="D180" s="12" t="n"/>
      <c r="E180" s="13" t="n"/>
      <c r="F180" s="14" t="n"/>
      <c r="G180" s="14" t="n"/>
      <c r="H180" s="12" t="n"/>
      <c r="I180" s="12" t="n"/>
      <c r="J180" s="12" t="n"/>
      <c r="K180" s="12" t="n"/>
    </row>
    <row r="181">
      <c r="E181" s="10" t="n"/>
      <c r="F181" s="9" t="n"/>
      <c r="G181" s="9" t="n"/>
    </row>
    <row r="182">
      <c r="A182" s="12" t="n"/>
      <c r="B182" s="12" t="n"/>
      <c r="C182" s="12" t="n"/>
      <c r="D182" s="12" t="n"/>
      <c r="E182" s="13" t="n"/>
      <c r="F182" s="14" t="n"/>
      <c r="G182" s="14" t="n"/>
      <c r="H182" s="12" t="n"/>
      <c r="I182" s="12" t="n"/>
      <c r="J182" s="12" t="n"/>
      <c r="K182" s="12" t="n"/>
    </row>
    <row r="183">
      <c r="E183" s="10" t="n"/>
      <c r="F183" s="9" t="n"/>
      <c r="G183" s="9" t="n"/>
    </row>
    <row r="184">
      <c r="A184" s="12" t="n"/>
      <c r="B184" s="12" t="n"/>
      <c r="C184" s="12" t="n"/>
      <c r="D184" s="12" t="n"/>
      <c r="E184" s="13" t="n"/>
      <c r="F184" s="14" t="n"/>
      <c r="G184" s="14" t="n"/>
      <c r="H184" s="12" t="n"/>
      <c r="I184" s="12" t="n"/>
      <c r="J184" s="12" t="n"/>
      <c r="K184" s="12" t="n"/>
    </row>
    <row r="185">
      <c r="E185" s="10" t="n"/>
      <c r="F185" s="9" t="n"/>
      <c r="G185" s="9" t="n"/>
    </row>
    <row r="186">
      <c r="A186" s="12" t="n"/>
      <c r="B186" s="12" t="n"/>
      <c r="C186" s="12" t="n"/>
      <c r="D186" s="12" t="n"/>
      <c r="E186" s="13" t="n"/>
      <c r="F186" s="14" t="n"/>
      <c r="G186" s="14" t="n"/>
      <c r="H186" s="12" t="n"/>
      <c r="I186" s="12" t="n"/>
      <c r="J186" s="12" t="n"/>
      <c r="K186" s="12" t="n"/>
    </row>
    <row r="187">
      <c r="E187" s="10" t="n"/>
      <c r="F187" s="9" t="n"/>
      <c r="G187" s="9" t="n"/>
    </row>
    <row r="188">
      <c r="A188" s="12" t="n"/>
      <c r="B188" s="12" t="n"/>
      <c r="C188" s="12" t="n"/>
      <c r="D188" s="12" t="n"/>
      <c r="E188" s="13" t="n"/>
      <c r="F188" s="14" t="n"/>
      <c r="G188" s="14" t="n"/>
      <c r="H188" s="12" t="n"/>
      <c r="I188" s="12" t="n"/>
      <c r="J188" s="12" t="n"/>
      <c r="K188" s="12" t="n"/>
    </row>
    <row r="189">
      <c r="E189" s="10" t="n"/>
      <c r="F189" s="9" t="n"/>
      <c r="G189" s="9" t="n"/>
    </row>
    <row r="190">
      <c r="A190" s="12" t="n"/>
      <c r="B190" s="12" t="n"/>
      <c r="C190" s="12" t="n"/>
      <c r="D190" s="12" t="n"/>
      <c r="E190" s="13" t="n"/>
      <c r="F190" s="14" t="n"/>
      <c r="G190" s="14" t="n"/>
      <c r="H190" s="12" t="n"/>
      <c r="I190" s="12" t="n"/>
      <c r="J190" s="12" t="n"/>
      <c r="K190" s="12" t="n"/>
    </row>
    <row r="191">
      <c r="E191" s="10" t="n"/>
      <c r="F191" s="9" t="n"/>
      <c r="G191" s="9" t="n"/>
    </row>
    <row r="192">
      <c r="A192" s="12" t="n"/>
      <c r="B192" s="12" t="n"/>
      <c r="C192" s="12" t="n"/>
      <c r="D192" s="12" t="n"/>
      <c r="E192" s="13" t="n"/>
      <c r="F192" s="14" t="n"/>
      <c r="G192" s="14" t="n"/>
      <c r="H192" s="12" t="n"/>
      <c r="I192" s="12" t="n"/>
      <c r="J192" s="12" t="n"/>
      <c r="K192" s="12" t="n"/>
    </row>
    <row r="193">
      <c r="E193" s="10" t="n"/>
      <c r="F193" s="9" t="n"/>
      <c r="G193" s="9" t="n"/>
    </row>
    <row r="194">
      <c r="A194" s="12" t="n"/>
      <c r="B194" s="12" t="n"/>
      <c r="C194" s="12" t="n"/>
      <c r="D194" s="12" t="n"/>
      <c r="E194" s="13" t="n"/>
      <c r="F194" s="14" t="n"/>
      <c r="G194" s="14" t="n"/>
      <c r="H194" s="12" t="n"/>
      <c r="I194" s="12" t="n"/>
      <c r="J194" s="12" t="n"/>
      <c r="K194" s="12" t="n"/>
    </row>
    <row r="195">
      <c r="E195" s="10" t="n"/>
      <c r="F195" s="9" t="n"/>
      <c r="G195" s="9" t="n"/>
    </row>
    <row r="196">
      <c r="A196" s="12" t="n"/>
      <c r="B196" s="12" t="n"/>
      <c r="C196" s="12" t="n"/>
      <c r="D196" s="12" t="n"/>
      <c r="E196" s="13" t="n"/>
      <c r="F196" s="14" t="n"/>
      <c r="G196" s="14" t="n"/>
      <c r="H196" s="12" t="n"/>
      <c r="I196" s="12" t="n"/>
      <c r="J196" s="12" t="n"/>
      <c r="K196" s="12" t="n"/>
    </row>
    <row r="197">
      <c r="E197" s="10" t="n"/>
      <c r="F197" s="9" t="n"/>
      <c r="G197" s="9" t="n"/>
    </row>
    <row r="198">
      <c r="A198" s="12" t="n"/>
      <c r="B198" s="12" t="n"/>
      <c r="C198" s="12" t="n"/>
      <c r="D198" s="12" t="n"/>
      <c r="E198" s="13" t="n"/>
      <c r="F198" s="14" t="n"/>
      <c r="G198" s="14" t="n"/>
      <c r="H198" s="12" t="n"/>
      <c r="I198" s="12" t="n"/>
      <c r="J198" s="12" t="n"/>
      <c r="K198" s="12" t="n"/>
    </row>
    <row r="199">
      <c r="E199" s="10" t="n"/>
      <c r="F199" s="9" t="n"/>
      <c r="G199" s="9" t="n"/>
    </row>
    <row r="200">
      <c r="A200" s="12" t="n"/>
      <c r="B200" s="12" t="n"/>
      <c r="C200" s="12" t="n"/>
      <c r="D200" s="12" t="n"/>
      <c r="E200" s="13" t="n"/>
      <c r="F200" s="14" t="n"/>
      <c r="G200" s="14" t="n"/>
      <c r="H200" s="12" t="n"/>
      <c r="I200" s="12" t="n"/>
      <c r="J200" s="12" t="n"/>
      <c r="K200" s="12" t="n"/>
    </row>
    <row r="201">
      <c r="E201" s="10" t="n"/>
      <c r="F201" s="9" t="n"/>
      <c r="G201" s="9" t="n"/>
    </row>
    <row r="202">
      <c r="A202" s="12" t="n"/>
      <c r="B202" s="12" t="n"/>
      <c r="C202" s="12" t="n"/>
      <c r="D202" s="12" t="n"/>
      <c r="E202" s="13" t="n"/>
      <c r="F202" s="14" t="n"/>
      <c r="G202" s="14" t="n"/>
      <c r="H202" s="12" t="n"/>
      <c r="I202" s="12" t="n"/>
      <c r="J202" s="12" t="n"/>
      <c r="K202" s="12" t="n"/>
    </row>
    <row r="203">
      <c r="E203" s="10" t="n"/>
      <c r="F203" s="9" t="n"/>
      <c r="G203" s="9" t="n"/>
    </row>
    <row r="204">
      <c r="A204" s="12" t="n"/>
      <c r="B204" s="12" t="n"/>
      <c r="C204" s="12" t="n"/>
      <c r="D204" s="12" t="n"/>
      <c r="E204" s="13" t="n"/>
      <c r="F204" s="14" t="n"/>
      <c r="G204" s="14" t="n"/>
      <c r="H204" s="12" t="n"/>
      <c r="I204" s="12" t="n"/>
      <c r="J204" s="12" t="n"/>
      <c r="K204" s="12" t="n"/>
    </row>
    <row r="205">
      <c r="E205" s="10" t="n"/>
      <c r="F205" s="9" t="n"/>
      <c r="G205" s="9" t="n"/>
    </row>
    <row r="206">
      <c r="A206" s="12" t="n"/>
      <c r="B206" s="12" t="n"/>
      <c r="C206" s="12" t="n"/>
      <c r="D206" s="12" t="n"/>
      <c r="E206" s="13" t="n"/>
      <c r="F206" s="14" t="n"/>
      <c r="G206" s="14" t="n"/>
      <c r="H206" s="12" t="n"/>
      <c r="I206" s="12" t="n"/>
      <c r="J206" s="12" t="n"/>
      <c r="K206" s="12" t="n"/>
    </row>
    <row r="207">
      <c r="E207" s="10" t="n"/>
      <c r="F207" s="9" t="n"/>
      <c r="G207" s="9" t="n"/>
    </row>
    <row r="208">
      <c r="A208" s="12" t="n"/>
      <c r="B208" s="12" t="n"/>
      <c r="C208" s="12" t="n"/>
      <c r="D208" s="12" t="n"/>
      <c r="E208" s="13" t="n"/>
      <c r="F208" s="14" t="n"/>
      <c r="G208" s="14" t="n"/>
      <c r="H208" s="12" t="n"/>
      <c r="I208" s="12" t="n"/>
      <c r="J208" s="12" t="n"/>
      <c r="K208" s="12" t="n"/>
    </row>
    <row r="209">
      <c r="E209" s="10" t="n"/>
      <c r="F209" s="9" t="n"/>
      <c r="G209" s="9" t="n"/>
    </row>
    <row r="210">
      <c r="A210" s="12" t="n"/>
      <c r="B210" s="12" t="n"/>
      <c r="C210" s="12" t="n"/>
      <c r="D210" s="12" t="n"/>
      <c r="E210" s="13" t="n"/>
      <c r="F210" s="14" t="n"/>
      <c r="G210" s="14" t="n"/>
      <c r="H210" s="12" t="n"/>
      <c r="I210" s="12" t="n"/>
      <c r="J210" s="12" t="n"/>
      <c r="K210" s="12" t="n"/>
    </row>
    <row r="211">
      <c r="E211" s="10" t="n"/>
      <c r="F211" s="9" t="n"/>
      <c r="G211" s="9" t="n"/>
    </row>
    <row r="212">
      <c r="A212" s="12" t="n"/>
      <c r="B212" s="12" t="n"/>
      <c r="C212" s="12" t="n"/>
      <c r="D212" s="12" t="n"/>
      <c r="E212" s="13" t="n"/>
      <c r="F212" s="14" t="n"/>
      <c r="G212" s="14" t="n"/>
      <c r="H212" s="12" t="n"/>
      <c r="I212" s="12" t="n"/>
      <c r="J212" s="12" t="n"/>
      <c r="K212" s="12" t="n"/>
    </row>
    <row r="213">
      <c r="E213" s="10" t="n"/>
      <c r="F213" s="9" t="n"/>
      <c r="G213" s="9" t="n"/>
    </row>
    <row r="214">
      <c r="A214" s="12" t="n"/>
      <c r="B214" s="12" t="n"/>
      <c r="C214" s="12" t="n"/>
      <c r="D214" s="12" t="n"/>
      <c r="E214" s="13" t="n"/>
      <c r="F214" s="14" t="n"/>
      <c r="G214" s="14" t="n"/>
      <c r="H214" s="12" t="n"/>
      <c r="I214" s="12" t="n"/>
      <c r="J214" s="12" t="n"/>
      <c r="K214" s="12" t="n"/>
    </row>
    <row r="215">
      <c r="E215" s="10" t="n"/>
      <c r="F215" s="9" t="n"/>
      <c r="G215" s="9" t="n"/>
    </row>
    <row r="216">
      <c r="A216" s="12" t="n"/>
      <c r="B216" s="12" t="n"/>
      <c r="C216" s="12" t="n"/>
      <c r="D216" s="12" t="n"/>
      <c r="E216" s="13" t="n"/>
      <c r="F216" s="14" t="n"/>
      <c r="G216" s="14" t="n"/>
      <c r="H216" s="12" t="n"/>
      <c r="I216" s="12" t="n"/>
      <c r="J216" s="12" t="n"/>
      <c r="K216" s="12" t="n"/>
    </row>
    <row r="217">
      <c r="E217" s="10" t="n"/>
      <c r="F217" s="9" t="n"/>
      <c r="G217" s="9" t="n"/>
    </row>
    <row r="218">
      <c r="A218" s="12" t="n"/>
      <c r="B218" s="12" t="n"/>
      <c r="C218" s="12" t="n"/>
      <c r="D218" s="12" t="n"/>
      <c r="E218" s="13" t="n"/>
      <c r="F218" s="14" t="n"/>
      <c r="G218" s="14" t="n"/>
      <c r="H218" s="12" t="n"/>
      <c r="I218" s="12" t="n"/>
      <c r="J218" s="12" t="n"/>
      <c r="K218" s="12" t="n"/>
    </row>
    <row r="219">
      <c r="E219" s="10" t="n"/>
      <c r="F219" s="9" t="n"/>
      <c r="G219" s="9" t="n"/>
    </row>
    <row r="220">
      <c r="A220" s="12" t="n"/>
      <c r="B220" s="12" t="n"/>
      <c r="C220" s="12" t="n"/>
      <c r="D220" s="12" t="n"/>
      <c r="E220" s="13" t="n"/>
      <c r="F220" s="14" t="n"/>
      <c r="G220" s="14" t="n"/>
      <c r="H220" s="12" t="n"/>
      <c r="I220" s="12" t="n"/>
      <c r="J220" s="12" t="n"/>
      <c r="K220" s="12" t="n"/>
    </row>
    <row r="221">
      <c r="E221" s="10" t="n"/>
      <c r="F221" s="9" t="n"/>
      <c r="G221" s="9" t="n"/>
    </row>
    <row r="222">
      <c r="A222" s="12" t="n"/>
      <c r="B222" s="12" t="n"/>
      <c r="C222" s="12" t="n"/>
      <c r="D222" s="12" t="n"/>
      <c r="E222" s="13" t="n"/>
      <c r="F222" s="14" t="n"/>
      <c r="G222" s="14" t="n"/>
      <c r="H222" s="12" t="n"/>
      <c r="I222" s="12" t="n"/>
      <c r="J222" s="12" t="n"/>
      <c r="K222" s="12" t="n"/>
    </row>
    <row r="223">
      <c r="E223" s="10" t="n"/>
      <c r="F223" s="9" t="n"/>
      <c r="G223" s="9" t="n"/>
    </row>
    <row r="224">
      <c r="A224" s="12" t="n"/>
      <c r="B224" s="12" t="n"/>
      <c r="C224" s="12" t="n"/>
      <c r="D224" s="12" t="n"/>
      <c r="E224" s="13" t="n"/>
      <c r="F224" s="14" t="n"/>
      <c r="G224" s="14" t="n"/>
      <c r="H224" s="12" t="n"/>
      <c r="I224" s="12" t="n"/>
      <c r="J224" s="12" t="n"/>
      <c r="K224" s="12" t="n"/>
    </row>
    <row r="225">
      <c r="E225" s="10" t="n"/>
      <c r="F225" s="9" t="n"/>
      <c r="G225" s="9" t="n"/>
    </row>
    <row r="226">
      <c r="A226" s="12" t="n"/>
      <c r="B226" s="12" t="n"/>
      <c r="C226" s="12" t="n"/>
      <c r="D226" s="12" t="n"/>
      <c r="E226" s="13" t="n"/>
      <c r="F226" s="14" t="n"/>
      <c r="G226" s="14" t="n"/>
      <c r="H226" s="12" t="n"/>
      <c r="I226" s="12" t="n"/>
      <c r="J226" s="12" t="n"/>
      <c r="K226" s="12" t="n"/>
    </row>
    <row r="227">
      <c r="E227" s="10" t="n"/>
      <c r="F227" s="9" t="n"/>
      <c r="G227" s="9" t="n"/>
    </row>
    <row r="228">
      <c r="A228" s="12" t="n"/>
      <c r="B228" s="12" t="n"/>
      <c r="C228" s="12" t="n"/>
      <c r="D228" s="12" t="n"/>
      <c r="E228" s="13" t="n"/>
      <c r="F228" s="14" t="n"/>
      <c r="G228" s="14" t="n"/>
      <c r="H228" s="12" t="n"/>
      <c r="I228" s="12" t="n"/>
      <c r="J228" s="12" t="n"/>
      <c r="K228" s="12" t="n"/>
    </row>
    <row r="229">
      <c r="E229" s="10" t="n"/>
      <c r="F229" s="9" t="n"/>
      <c r="G229" s="9" t="n"/>
    </row>
    <row r="230">
      <c r="A230" s="12" t="n"/>
      <c r="B230" s="12" t="n"/>
      <c r="C230" s="12" t="n"/>
      <c r="D230" s="12" t="n"/>
      <c r="E230" s="13" t="n"/>
      <c r="F230" s="14" t="n"/>
      <c r="G230" s="14" t="n"/>
      <c r="H230" s="12" t="n"/>
      <c r="I230" s="12" t="n"/>
      <c r="J230" s="12" t="n"/>
      <c r="K230" s="12" t="n"/>
    </row>
    <row r="231">
      <c r="E231" s="10" t="n"/>
      <c r="F231" s="9" t="n"/>
      <c r="G231" s="9" t="n"/>
    </row>
    <row r="232">
      <c r="A232" s="12" t="n"/>
      <c r="B232" s="12" t="n"/>
      <c r="C232" s="12" t="n"/>
      <c r="D232" s="12" t="n"/>
      <c r="E232" s="13" t="n"/>
      <c r="F232" s="14" t="n"/>
      <c r="G232" s="14" t="n"/>
      <c r="H232" s="12" t="n"/>
      <c r="I232" s="12" t="n"/>
      <c r="J232" s="12" t="n"/>
      <c r="K232" s="12" t="n"/>
    </row>
    <row r="233">
      <c r="E233" s="10" t="n"/>
      <c r="F233" s="9" t="n"/>
      <c r="G233" s="9" t="n"/>
    </row>
    <row r="234">
      <c r="A234" s="12" t="n"/>
      <c r="B234" s="12" t="n"/>
      <c r="C234" s="12" t="n"/>
      <c r="D234" s="12" t="n"/>
      <c r="E234" s="13" t="n"/>
      <c r="F234" s="14" t="n"/>
      <c r="G234" s="14" t="n"/>
      <c r="H234" s="12" t="n"/>
      <c r="I234" s="12" t="n"/>
      <c r="J234" s="12" t="n"/>
      <c r="K234" s="12" t="n"/>
    </row>
    <row r="235">
      <c r="E235" s="10" t="n"/>
      <c r="F235" s="9" t="n"/>
      <c r="G235" s="9" t="n"/>
    </row>
    <row r="236">
      <c r="A236" s="12" t="n"/>
      <c r="B236" s="12" t="n"/>
      <c r="C236" s="12" t="n"/>
      <c r="D236" s="12" t="n"/>
      <c r="E236" s="13" t="n"/>
      <c r="F236" s="14" t="n"/>
      <c r="G236" s="14" t="n"/>
      <c r="H236" s="12" t="n"/>
      <c r="I236" s="12" t="n"/>
      <c r="J236" s="12" t="n"/>
      <c r="K236" s="12" t="n"/>
    </row>
    <row r="237">
      <c r="E237" s="10" t="n"/>
      <c r="F237" s="9" t="n"/>
      <c r="G237" s="9" t="n"/>
    </row>
    <row r="238">
      <c r="A238" s="12" t="n"/>
      <c r="B238" s="12" t="n"/>
      <c r="C238" s="12" t="n"/>
      <c r="D238" s="12" t="n"/>
      <c r="E238" s="13" t="n"/>
      <c r="F238" s="14" t="n"/>
      <c r="G238" s="14" t="n"/>
      <c r="H238" s="12" t="n"/>
      <c r="I238" s="12" t="n"/>
      <c r="J238" s="12" t="n"/>
      <c r="K238" s="12" t="n"/>
    </row>
    <row r="239">
      <c r="E239" s="10" t="n"/>
      <c r="F239" s="9" t="n"/>
      <c r="G239" s="9" t="n"/>
    </row>
    <row r="240">
      <c r="A240" s="12" t="n"/>
      <c r="B240" s="12" t="n"/>
      <c r="C240" s="12" t="n"/>
      <c r="D240" s="12" t="n"/>
      <c r="E240" s="13" t="n"/>
      <c r="F240" s="14" t="n"/>
      <c r="G240" s="14" t="n"/>
      <c r="H240" s="12" t="n"/>
      <c r="I240" s="12" t="n"/>
      <c r="J240" s="12" t="n"/>
      <c r="K240" s="12" t="n"/>
    </row>
    <row r="241">
      <c r="E241" s="10" t="n"/>
      <c r="F241" s="9" t="n"/>
      <c r="G241" s="9" t="n"/>
    </row>
    <row r="242">
      <c r="A242" s="12" t="n"/>
      <c r="B242" s="12" t="n"/>
      <c r="C242" s="12" t="n"/>
      <c r="D242" s="12" t="n"/>
      <c r="E242" s="13" t="n"/>
      <c r="F242" s="14" t="n"/>
      <c r="G242" s="14" t="n"/>
      <c r="H242" s="12" t="n"/>
      <c r="I242" s="12" t="n"/>
      <c r="J242" s="12" t="n"/>
      <c r="K242" s="12" t="n"/>
    </row>
    <row r="243">
      <c r="E243" s="10" t="n"/>
      <c r="F243" s="9" t="n"/>
      <c r="G243" s="9" t="n"/>
    </row>
    <row r="244">
      <c r="A244" s="12" t="n"/>
      <c r="B244" s="12" t="n"/>
      <c r="C244" s="12" t="n"/>
      <c r="D244" s="12" t="n"/>
      <c r="E244" s="13" t="n"/>
      <c r="F244" s="14" t="n"/>
      <c r="G244" s="14" t="n"/>
      <c r="H244" s="12" t="n"/>
      <c r="I244" s="12" t="n"/>
      <c r="J244" s="12" t="n"/>
      <c r="K244" s="12" t="n"/>
    </row>
    <row r="245">
      <c r="E245" s="10" t="n"/>
      <c r="F245" s="9" t="n"/>
      <c r="G245" s="9" t="n"/>
    </row>
    <row r="246">
      <c r="A246" s="12" t="n"/>
      <c r="B246" s="12" t="n"/>
      <c r="C246" s="12" t="n"/>
      <c r="D246" s="12" t="n"/>
      <c r="E246" s="13" t="n"/>
      <c r="F246" s="14" t="n"/>
      <c r="G246" s="14" t="n"/>
      <c r="H246" s="12" t="n"/>
      <c r="I246" s="12" t="n"/>
      <c r="J246" s="12" t="n"/>
      <c r="K246" s="12" t="n"/>
    </row>
    <row r="247">
      <c r="E247" s="10" t="n"/>
      <c r="F247" s="9" t="n"/>
      <c r="G247" s="9" t="n"/>
    </row>
    <row r="248">
      <c r="A248" s="12" t="n"/>
      <c r="B248" s="12" t="n"/>
      <c r="C248" s="12" t="n"/>
      <c r="D248" s="12" t="n"/>
      <c r="E248" s="13" t="n"/>
      <c r="F248" s="14" t="n"/>
      <c r="G248" s="14" t="n"/>
      <c r="H248" s="12" t="n"/>
      <c r="I248" s="12" t="n"/>
      <c r="J248" s="12" t="n"/>
      <c r="K248" s="12" t="n"/>
    </row>
    <row r="249">
      <c r="E249" s="10" t="n"/>
      <c r="F249" s="9" t="n"/>
      <c r="G249" s="9" t="n"/>
    </row>
    <row r="250">
      <c r="A250" s="12" t="n"/>
      <c r="B250" s="12" t="n"/>
      <c r="C250" s="12" t="n"/>
      <c r="D250" s="12" t="n"/>
      <c r="E250" s="13" t="n"/>
      <c r="F250" s="14" t="n"/>
      <c r="G250" s="14" t="n"/>
      <c r="H250" s="12" t="n"/>
      <c r="I250" s="12" t="n"/>
      <c r="J250" s="12" t="n"/>
      <c r="K250" s="12" t="n"/>
    </row>
    <row r="251">
      <c r="E251" s="10" t="n"/>
      <c r="F251" s="9" t="n"/>
      <c r="G251" s="9" t="n"/>
    </row>
  </sheetData>
  <autoFilter ref="A1:K251"/>
  <conditionalFormatting sqref="A2:K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3">
    <dataValidation sqref="B2:B251" showDropDown="0" showInputMessage="0" showErrorMessage="0" allowBlank="1" type="list">
      <formula1>='Lists'!$X$2:$X$13</formula1>
    </dataValidation>
    <dataValidation sqref="H2:H251" showDropDown="0" showInputMessage="0" showErrorMessage="0" allowBlank="1" type="list">
      <formula1>='Lists'!$Y$2:$Y$8</formula1>
    </dataValidation>
    <dataValidation sqref="I2:J251" showDropDown="0" showInputMessage="0" showErrorMessage="0" allowBlank="1" type="list">
      <formula1>='Lists'!$B$2:$B$3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2" customHeight="1">
      <c r="A1" s="11" t="inlineStr">
        <is>
          <t>Invoice number</t>
        </is>
      </c>
      <c r="B1" s="11" t="inlineStr">
        <is>
          <t>Invoice date</t>
        </is>
      </c>
      <c r="C1" s="11" t="inlineStr">
        <is>
          <t>Client</t>
        </is>
      </c>
      <c r="D1" s="11" t="inlineStr">
        <is>
          <t>Description</t>
        </is>
      </c>
      <c r="E1" s="11" t="inlineStr">
        <is>
          <t>Amount</t>
        </is>
      </c>
      <c r="F1" s="11" t="inlineStr">
        <is>
          <t>Due date</t>
        </is>
      </c>
      <c r="G1" s="11" t="inlineStr">
        <is>
          <t>Paid date</t>
        </is>
      </c>
      <c r="H1" s="11" t="inlineStr">
        <is>
          <t>Payment status</t>
        </is>
      </c>
      <c r="I1" s="11" t="inlineStr">
        <is>
          <t>Payment method</t>
        </is>
      </c>
      <c r="J1" s="11" t="inlineStr">
        <is>
          <t>Notes</t>
        </is>
      </c>
      <c r="K1" s="11" t="inlineStr">
        <is>
          <t>Balance due</t>
        </is>
      </c>
    </row>
    <row r="2">
      <c r="A2" s="12" t="n"/>
      <c r="B2" s="14" t="n"/>
      <c r="C2" s="12" t="n"/>
      <c r="D2" s="12" t="n"/>
      <c r="E2" s="13" t="n"/>
      <c r="F2" s="14" t="n"/>
      <c r="G2" s="14" t="n"/>
      <c r="H2" s="12" t="n"/>
      <c r="I2" s="12" t="n"/>
      <c r="J2" s="12" t="n"/>
      <c r="K2" s="13">
        <f>IF($A2="","",IF($H2="Paid",0,$E2))</f>
        <v/>
      </c>
    </row>
    <row r="3">
      <c r="B3" s="9" t="n"/>
      <c r="E3" s="10" t="n"/>
      <c r="F3" s="9" t="n"/>
      <c r="G3" s="9" t="n"/>
      <c r="K3" s="10">
        <f>IF($A3="","",IF($H3="Paid",0,$E3))</f>
        <v/>
      </c>
    </row>
    <row r="4">
      <c r="A4" s="12" t="n"/>
      <c r="B4" s="14" t="n"/>
      <c r="C4" s="12" t="n"/>
      <c r="D4" s="12" t="n"/>
      <c r="E4" s="13" t="n"/>
      <c r="F4" s="14" t="n"/>
      <c r="G4" s="14" t="n"/>
      <c r="H4" s="12" t="n"/>
      <c r="I4" s="12" t="n"/>
      <c r="J4" s="12" t="n"/>
      <c r="K4" s="13">
        <f>IF($A4="","",IF($H4="Paid",0,$E4))</f>
        <v/>
      </c>
    </row>
    <row r="5">
      <c r="B5" s="9" t="n"/>
      <c r="E5" s="10" t="n"/>
      <c r="F5" s="9" t="n"/>
      <c r="G5" s="9" t="n"/>
      <c r="K5" s="10">
        <f>IF($A5="","",IF($H5="Paid",0,$E5))</f>
        <v/>
      </c>
    </row>
    <row r="6">
      <c r="A6" s="12" t="n"/>
      <c r="B6" s="14" t="n"/>
      <c r="C6" s="12" t="n"/>
      <c r="D6" s="12" t="n"/>
      <c r="E6" s="13" t="n"/>
      <c r="F6" s="14" t="n"/>
      <c r="G6" s="14" t="n"/>
      <c r="H6" s="12" t="n"/>
      <c r="I6" s="12" t="n"/>
      <c r="J6" s="12" t="n"/>
      <c r="K6" s="13">
        <f>IF($A6="","",IF($H6="Paid",0,$E6))</f>
        <v/>
      </c>
    </row>
    <row r="7">
      <c r="B7" s="9" t="n"/>
      <c r="E7" s="10" t="n"/>
      <c r="F7" s="9" t="n"/>
      <c r="G7" s="9" t="n"/>
      <c r="K7" s="10">
        <f>IF($A7="","",IF($H7="Paid",0,$E7))</f>
        <v/>
      </c>
    </row>
    <row r="8">
      <c r="A8" s="12" t="n"/>
      <c r="B8" s="14" t="n"/>
      <c r="C8" s="12" t="n"/>
      <c r="D8" s="12" t="n"/>
      <c r="E8" s="13" t="n"/>
      <c r="F8" s="14" t="n"/>
      <c r="G8" s="14" t="n"/>
      <c r="H8" s="12" t="n"/>
      <c r="I8" s="12" t="n"/>
      <c r="J8" s="12" t="n"/>
      <c r="K8" s="13">
        <f>IF($A8="","",IF($H8="Paid",0,$E8))</f>
        <v/>
      </c>
    </row>
    <row r="9">
      <c r="B9" s="9" t="n"/>
      <c r="E9" s="10" t="n"/>
      <c r="F9" s="9" t="n"/>
      <c r="G9" s="9" t="n"/>
      <c r="K9" s="10">
        <f>IF($A9="","",IF($H9="Paid",0,$E9))</f>
        <v/>
      </c>
    </row>
    <row r="10">
      <c r="A10" s="12" t="n"/>
      <c r="B10" s="14" t="n"/>
      <c r="C10" s="12" t="n"/>
      <c r="D10" s="12" t="n"/>
      <c r="E10" s="13" t="n"/>
      <c r="F10" s="14" t="n"/>
      <c r="G10" s="14" t="n"/>
      <c r="H10" s="12" t="n"/>
      <c r="I10" s="12" t="n"/>
      <c r="J10" s="12" t="n"/>
      <c r="K10" s="13">
        <f>IF($A10="","",IF($H10="Paid",0,$E10))</f>
        <v/>
      </c>
    </row>
    <row r="11">
      <c r="B11" s="9" t="n"/>
      <c r="E11" s="10" t="n"/>
      <c r="F11" s="9" t="n"/>
      <c r="G11" s="9" t="n"/>
      <c r="K11" s="10">
        <f>IF($A11="","",IF($H11="Paid",0,$E11))</f>
        <v/>
      </c>
    </row>
    <row r="12">
      <c r="A12" s="12" t="n"/>
      <c r="B12" s="14" t="n"/>
      <c r="C12" s="12" t="n"/>
      <c r="D12" s="12" t="n"/>
      <c r="E12" s="13" t="n"/>
      <c r="F12" s="14" t="n"/>
      <c r="G12" s="14" t="n"/>
      <c r="H12" s="12" t="n"/>
      <c r="I12" s="12" t="n"/>
      <c r="J12" s="12" t="n"/>
      <c r="K12" s="13">
        <f>IF($A12="","",IF($H12="Paid",0,$E12))</f>
        <v/>
      </c>
    </row>
    <row r="13">
      <c r="B13" s="9" t="n"/>
      <c r="E13" s="10" t="n"/>
      <c r="F13" s="9" t="n"/>
      <c r="G13" s="9" t="n"/>
      <c r="K13" s="10">
        <f>IF($A13="","",IF($H13="Paid",0,$E13))</f>
        <v/>
      </c>
    </row>
    <row r="14">
      <c r="A14" s="12" t="n"/>
      <c r="B14" s="14" t="n"/>
      <c r="C14" s="12" t="n"/>
      <c r="D14" s="12" t="n"/>
      <c r="E14" s="13" t="n"/>
      <c r="F14" s="14" t="n"/>
      <c r="G14" s="14" t="n"/>
      <c r="H14" s="12" t="n"/>
      <c r="I14" s="12" t="n"/>
      <c r="J14" s="12" t="n"/>
      <c r="K14" s="13">
        <f>IF($A14="","",IF($H14="Paid",0,$E14))</f>
        <v/>
      </c>
    </row>
    <row r="15">
      <c r="B15" s="9" t="n"/>
      <c r="E15" s="10" t="n"/>
      <c r="F15" s="9" t="n"/>
      <c r="G15" s="9" t="n"/>
      <c r="K15" s="10">
        <f>IF($A15="","",IF($H15="Paid",0,$E15))</f>
        <v/>
      </c>
    </row>
    <row r="16">
      <c r="A16" s="12" t="n"/>
      <c r="B16" s="14" t="n"/>
      <c r="C16" s="12" t="n"/>
      <c r="D16" s="12" t="n"/>
      <c r="E16" s="13" t="n"/>
      <c r="F16" s="14" t="n"/>
      <c r="G16" s="14" t="n"/>
      <c r="H16" s="12" t="n"/>
      <c r="I16" s="12" t="n"/>
      <c r="J16" s="12" t="n"/>
      <c r="K16" s="13">
        <f>IF($A16="","",IF($H16="Paid",0,$E16))</f>
        <v/>
      </c>
    </row>
    <row r="17">
      <c r="B17" s="9" t="n"/>
      <c r="E17" s="10" t="n"/>
      <c r="F17" s="9" t="n"/>
      <c r="G17" s="9" t="n"/>
      <c r="K17" s="10">
        <f>IF($A17="","",IF($H17="Paid",0,$E17))</f>
        <v/>
      </c>
    </row>
    <row r="18">
      <c r="A18" s="12" t="n"/>
      <c r="B18" s="14" t="n"/>
      <c r="C18" s="12" t="n"/>
      <c r="D18" s="12" t="n"/>
      <c r="E18" s="13" t="n"/>
      <c r="F18" s="14" t="n"/>
      <c r="G18" s="14" t="n"/>
      <c r="H18" s="12" t="n"/>
      <c r="I18" s="12" t="n"/>
      <c r="J18" s="12" t="n"/>
      <c r="K18" s="13">
        <f>IF($A18="","",IF($H18="Paid",0,$E18))</f>
        <v/>
      </c>
    </row>
    <row r="19">
      <c r="B19" s="9" t="n"/>
      <c r="E19" s="10" t="n"/>
      <c r="F19" s="9" t="n"/>
      <c r="G19" s="9" t="n"/>
      <c r="K19" s="10">
        <f>IF($A19="","",IF($H19="Paid",0,$E19))</f>
        <v/>
      </c>
    </row>
    <row r="20">
      <c r="A20" s="12" t="n"/>
      <c r="B20" s="14" t="n"/>
      <c r="C20" s="12" t="n"/>
      <c r="D20" s="12" t="n"/>
      <c r="E20" s="13" t="n"/>
      <c r="F20" s="14" t="n"/>
      <c r="G20" s="14" t="n"/>
      <c r="H20" s="12" t="n"/>
      <c r="I20" s="12" t="n"/>
      <c r="J20" s="12" t="n"/>
      <c r="K20" s="13">
        <f>IF($A20="","",IF($H20="Paid",0,$E20))</f>
        <v/>
      </c>
    </row>
    <row r="21">
      <c r="B21" s="9" t="n"/>
      <c r="E21" s="10" t="n"/>
      <c r="F21" s="9" t="n"/>
      <c r="G21" s="9" t="n"/>
      <c r="K21" s="10">
        <f>IF($A21="","",IF($H21="Paid",0,$E21))</f>
        <v/>
      </c>
    </row>
    <row r="22">
      <c r="A22" s="12" t="n"/>
      <c r="B22" s="14" t="n"/>
      <c r="C22" s="12" t="n"/>
      <c r="D22" s="12" t="n"/>
      <c r="E22" s="13" t="n"/>
      <c r="F22" s="14" t="n"/>
      <c r="G22" s="14" t="n"/>
      <c r="H22" s="12" t="n"/>
      <c r="I22" s="12" t="n"/>
      <c r="J22" s="12" t="n"/>
      <c r="K22" s="13">
        <f>IF($A22="","",IF($H22="Paid",0,$E22))</f>
        <v/>
      </c>
    </row>
    <row r="23">
      <c r="B23" s="9" t="n"/>
      <c r="E23" s="10" t="n"/>
      <c r="F23" s="9" t="n"/>
      <c r="G23" s="9" t="n"/>
      <c r="K23" s="10">
        <f>IF($A23="","",IF($H23="Paid",0,$E23))</f>
        <v/>
      </c>
    </row>
    <row r="24">
      <c r="A24" s="12" t="n"/>
      <c r="B24" s="14" t="n"/>
      <c r="C24" s="12" t="n"/>
      <c r="D24" s="12" t="n"/>
      <c r="E24" s="13" t="n"/>
      <c r="F24" s="14" t="n"/>
      <c r="G24" s="14" t="n"/>
      <c r="H24" s="12" t="n"/>
      <c r="I24" s="12" t="n"/>
      <c r="J24" s="12" t="n"/>
      <c r="K24" s="13">
        <f>IF($A24="","",IF($H24="Paid",0,$E24))</f>
        <v/>
      </c>
    </row>
    <row r="25">
      <c r="B25" s="9" t="n"/>
      <c r="E25" s="10" t="n"/>
      <c r="F25" s="9" t="n"/>
      <c r="G25" s="9" t="n"/>
      <c r="K25" s="10">
        <f>IF($A25="","",IF($H25="Paid",0,$E25))</f>
        <v/>
      </c>
    </row>
    <row r="26">
      <c r="A26" s="12" t="n"/>
      <c r="B26" s="14" t="n"/>
      <c r="C26" s="12" t="n"/>
      <c r="D26" s="12" t="n"/>
      <c r="E26" s="13" t="n"/>
      <c r="F26" s="14" t="n"/>
      <c r="G26" s="14" t="n"/>
      <c r="H26" s="12" t="n"/>
      <c r="I26" s="12" t="n"/>
      <c r="J26" s="12" t="n"/>
      <c r="K26" s="13">
        <f>IF($A26="","",IF($H26="Paid",0,$E26))</f>
        <v/>
      </c>
    </row>
    <row r="27">
      <c r="B27" s="9" t="n"/>
      <c r="E27" s="10" t="n"/>
      <c r="F27" s="9" t="n"/>
      <c r="G27" s="9" t="n"/>
      <c r="K27" s="10">
        <f>IF($A27="","",IF($H27="Paid",0,$E27))</f>
        <v/>
      </c>
    </row>
    <row r="28">
      <c r="A28" s="12" t="n"/>
      <c r="B28" s="14" t="n"/>
      <c r="C28" s="12" t="n"/>
      <c r="D28" s="12" t="n"/>
      <c r="E28" s="13" t="n"/>
      <c r="F28" s="14" t="n"/>
      <c r="G28" s="14" t="n"/>
      <c r="H28" s="12" t="n"/>
      <c r="I28" s="12" t="n"/>
      <c r="J28" s="12" t="n"/>
      <c r="K28" s="13">
        <f>IF($A28="","",IF($H28="Paid",0,$E28))</f>
        <v/>
      </c>
    </row>
    <row r="29">
      <c r="B29" s="9" t="n"/>
      <c r="E29" s="10" t="n"/>
      <c r="F29" s="9" t="n"/>
      <c r="G29" s="9" t="n"/>
      <c r="K29" s="10">
        <f>IF($A29="","",IF($H29="Paid",0,$E29))</f>
        <v/>
      </c>
    </row>
    <row r="30">
      <c r="A30" s="12" t="n"/>
      <c r="B30" s="14" t="n"/>
      <c r="C30" s="12" t="n"/>
      <c r="D30" s="12" t="n"/>
      <c r="E30" s="13" t="n"/>
      <c r="F30" s="14" t="n"/>
      <c r="G30" s="14" t="n"/>
      <c r="H30" s="12" t="n"/>
      <c r="I30" s="12" t="n"/>
      <c r="J30" s="12" t="n"/>
      <c r="K30" s="13">
        <f>IF($A30="","",IF($H30="Paid",0,$E30))</f>
        <v/>
      </c>
    </row>
    <row r="31">
      <c r="B31" s="9" t="n"/>
      <c r="E31" s="10" t="n"/>
      <c r="F31" s="9" t="n"/>
      <c r="G31" s="9" t="n"/>
      <c r="K31" s="10">
        <f>IF($A31="","",IF($H31="Paid",0,$E31))</f>
        <v/>
      </c>
    </row>
    <row r="32">
      <c r="A32" s="12" t="n"/>
      <c r="B32" s="14" t="n"/>
      <c r="C32" s="12" t="n"/>
      <c r="D32" s="12" t="n"/>
      <c r="E32" s="13" t="n"/>
      <c r="F32" s="14" t="n"/>
      <c r="G32" s="14" t="n"/>
      <c r="H32" s="12" t="n"/>
      <c r="I32" s="12" t="n"/>
      <c r="J32" s="12" t="n"/>
      <c r="K32" s="13">
        <f>IF($A32="","",IF($H32="Paid",0,$E32))</f>
        <v/>
      </c>
    </row>
    <row r="33">
      <c r="B33" s="9" t="n"/>
      <c r="E33" s="10" t="n"/>
      <c r="F33" s="9" t="n"/>
      <c r="G33" s="9" t="n"/>
      <c r="K33" s="10">
        <f>IF($A33="","",IF($H33="Paid",0,$E33))</f>
        <v/>
      </c>
    </row>
    <row r="34">
      <c r="A34" s="12" t="n"/>
      <c r="B34" s="14" t="n"/>
      <c r="C34" s="12" t="n"/>
      <c r="D34" s="12" t="n"/>
      <c r="E34" s="13" t="n"/>
      <c r="F34" s="14" t="n"/>
      <c r="G34" s="14" t="n"/>
      <c r="H34" s="12" t="n"/>
      <c r="I34" s="12" t="n"/>
      <c r="J34" s="12" t="n"/>
      <c r="K34" s="13">
        <f>IF($A34="","",IF($H34="Paid",0,$E34))</f>
        <v/>
      </c>
    </row>
    <row r="35">
      <c r="B35" s="9" t="n"/>
      <c r="E35" s="10" t="n"/>
      <c r="F35" s="9" t="n"/>
      <c r="G35" s="9" t="n"/>
      <c r="K35" s="10">
        <f>IF($A35="","",IF($H35="Paid",0,$E35))</f>
        <v/>
      </c>
    </row>
    <row r="36">
      <c r="A36" s="12" t="n"/>
      <c r="B36" s="14" t="n"/>
      <c r="C36" s="12" t="n"/>
      <c r="D36" s="12" t="n"/>
      <c r="E36" s="13" t="n"/>
      <c r="F36" s="14" t="n"/>
      <c r="G36" s="14" t="n"/>
      <c r="H36" s="12" t="n"/>
      <c r="I36" s="12" t="n"/>
      <c r="J36" s="12" t="n"/>
      <c r="K36" s="13">
        <f>IF($A36="","",IF($H36="Paid",0,$E36))</f>
        <v/>
      </c>
    </row>
    <row r="37">
      <c r="B37" s="9" t="n"/>
      <c r="E37" s="10" t="n"/>
      <c r="F37" s="9" t="n"/>
      <c r="G37" s="9" t="n"/>
      <c r="K37" s="10">
        <f>IF($A37="","",IF($H37="Paid",0,$E37))</f>
        <v/>
      </c>
    </row>
    <row r="38">
      <c r="A38" s="12" t="n"/>
      <c r="B38" s="14" t="n"/>
      <c r="C38" s="12" t="n"/>
      <c r="D38" s="12" t="n"/>
      <c r="E38" s="13" t="n"/>
      <c r="F38" s="14" t="n"/>
      <c r="G38" s="14" t="n"/>
      <c r="H38" s="12" t="n"/>
      <c r="I38" s="12" t="n"/>
      <c r="J38" s="12" t="n"/>
      <c r="K38" s="13">
        <f>IF($A38="","",IF($H38="Paid",0,$E38))</f>
        <v/>
      </c>
    </row>
    <row r="39">
      <c r="B39" s="9" t="n"/>
      <c r="E39" s="10" t="n"/>
      <c r="F39" s="9" t="n"/>
      <c r="G39" s="9" t="n"/>
      <c r="K39" s="10">
        <f>IF($A39="","",IF($H39="Paid",0,$E39))</f>
        <v/>
      </c>
    </row>
    <row r="40">
      <c r="A40" s="12" t="n"/>
      <c r="B40" s="14" t="n"/>
      <c r="C40" s="12" t="n"/>
      <c r="D40" s="12" t="n"/>
      <c r="E40" s="13" t="n"/>
      <c r="F40" s="14" t="n"/>
      <c r="G40" s="14" t="n"/>
      <c r="H40" s="12" t="n"/>
      <c r="I40" s="12" t="n"/>
      <c r="J40" s="12" t="n"/>
      <c r="K40" s="13">
        <f>IF($A40="","",IF($H40="Paid",0,$E40))</f>
        <v/>
      </c>
    </row>
    <row r="41">
      <c r="B41" s="9" t="n"/>
      <c r="E41" s="10" t="n"/>
      <c r="F41" s="9" t="n"/>
      <c r="G41" s="9" t="n"/>
      <c r="K41" s="10">
        <f>IF($A41="","",IF($H41="Paid",0,$E41))</f>
        <v/>
      </c>
    </row>
    <row r="42">
      <c r="A42" s="12" t="n"/>
      <c r="B42" s="14" t="n"/>
      <c r="C42" s="12" t="n"/>
      <c r="D42" s="12" t="n"/>
      <c r="E42" s="13" t="n"/>
      <c r="F42" s="14" t="n"/>
      <c r="G42" s="14" t="n"/>
      <c r="H42" s="12" t="n"/>
      <c r="I42" s="12" t="n"/>
      <c r="J42" s="12" t="n"/>
      <c r="K42" s="13">
        <f>IF($A42="","",IF($H42="Paid",0,$E42))</f>
        <v/>
      </c>
    </row>
    <row r="43">
      <c r="B43" s="9" t="n"/>
      <c r="E43" s="10" t="n"/>
      <c r="F43" s="9" t="n"/>
      <c r="G43" s="9" t="n"/>
      <c r="K43" s="10">
        <f>IF($A43="","",IF($H43="Paid",0,$E43))</f>
        <v/>
      </c>
    </row>
    <row r="44">
      <c r="A44" s="12" t="n"/>
      <c r="B44" s="14" t="n"/>
      <c r="C44" s="12" t="n"/>
      <c r="D44" s="12" t="n"/>
      <c r="E44" s="13" t="n"/>
      <c r="F44" s="14" t="n"/>
      <c r="G44" s="14" t="n"/>
      <c r="H44" s="12" t="n"/>
      <c r="I44" s="12" t="n"/>
      <c r="J44" s="12" t="n"/>
      <c r="K44" s="13">
        <f>IF($A44="","",IF($H44="Paid",0,$E44))</f>
        <v/>
      </c>
    </row>
    <row r="45">
      <c r="B45" s="9" t="n"/>
      <c r="E45" s="10" t="n"/>
      <c r="F45" s="9" t="n"/>
      <c r="G45" s="9" t="n"/>
      <c r="K45" s="10">
        <f>IF($A45="","",IF($H45="Paid",0,$E45))</f>
        <v/>
      </c>
    </row>
    <row r="46">
      <c r="A46" s="12" t="n"/>
      <c r="B46" s="14" t="n"/>
      <c r="C46" s="12" t="n"/>
      <c r="D46" s="12" t="n"/>
      <c r="E46" s="13" t="n"/>
      <c r="F46" s="14" t="n"/>
      <c r="G46" s="14" t="n"/>
      <c r="H46" s="12" t="n"/>
      <c r="I46" s="12" t="n"/>
      <c r="J46" s="12" t="n"/>
      <c r="K46" s="13">
        <f>IF($A46="","",IF($H46="Paid",0,$E46))</f>
        <v/>
      </c>
    </row>
    <row r="47">
      <c r="B47" s="9" t="n"/>
      <c r="E47" s="10" t="n"/>
      <c r="F47" s="9" t="n"/>
      <c r="G47" s="9" t="n"/>
      <c r="K47" s="10">
        <f>IF($A47="","",IF($H47="Paid",0,$E47))</f>
        <v/>
      </c>
    </row>
    <row r="48">
      <c r="A48" s="12" t="n"/>
      <c r="B48" s="14" t="n"/>
      <c r="C48" s="12" t="n"/>
      <c r="D48" s="12" t="n"/>
      <c r="E48" s="13" t="n"/>
      <c r="F48" s="14" t="n"/>
      <c r="G48" s="14" t="n"/>
      <c r="H48" s="12" t="n"/>
      <c r="I48" s="12" t="n"/>
      <c r="J48" s="12" t="n"/>
      <c r="K48" s="13">
        <f>IF($A48="","",IF($H48="Paid",0,$E48))</f>
        <v/>
      </c>
    </row>
    <row r="49">
      <c r="B49" s="9" t="n"/>
      <c r="E49" s="10" t="n"/>
      <c r="F49" s="9" t="n"/>
      <c r="G49" s="9" t="n"/>
      <c r="K49" s="10">
        <f>IF($A49="","",IF($H49="Paid",0,$E49))</f>
        <v/>
      </c>
    </row>
    <row r="50">
      <c r="A50" s="12" t="n"/>
      <c r="B50" s="14" t="n"/>
      <c r="C50" s="12" t="n"/>
      <c r="D50" s="12" t="n"/>
      <c r="E50" s="13" t="n"/>
      <c r="F50" s="14" t="n"/>
      <c r="G50" s="14" t="n"/>
      <c r="H50" s="12" t="n"/>
      <c r="I50" s="12" t="n"/>
      <c r="J50" s="12" t="n"/>
      <c r="K50" s="13">
        <f>IF($A50="","",IF($H50="Paid",0,$E50))</f>
        <v/>
      </c>
    </row>
    <row r="51">
      <c r="B51" s="9" t="n"/>
      <c r="E51" s="10" t="n"/>
      <c r="F51" s="9" t="n"/>
      <c r="G51" s="9" t="n"/>
      <c r="K51" s="10">
        <f>IF($A51="","",IF($H51="Paid",0,$E51))</f>
        <v/>
      </c>
    </row>
    <row r="52">
      <c r="A52" s="12" t="n"/>
      <c r="B52" s="14" t="n"/>
      <c r="C52" s="12" t="n"/>
      <c r="D52" s="12" t="n"/>
      <c r="E52" s="13" t="n"/>
      <c r="F52" s="14" t="n"/>
      <c r="G52" s="14" t="n"/>
      <c r="H52" s="12" t="n"/>
      <c r="I52" s="12" t="n"/>
      <c r="J52" s="12" t="n"/>
      <c r="K52" s="13">
        <f>IF($A52="","",IF($H52="Paid",0,$E52))</f>
        <v/>
      </c>
    </row>
    <row r="53">
      <c r="B53" s="9" t="n"/>
      <c r="E53" s="10" t="n"/>
      <c r="F53" s="9" t="n"/>
      <c r="G53" s="9" t="n"/>
      <c r="K53" s="10">
        <f>IF($A53="","",IF($H53="Paid",0,$E53))</f>
        <v/>
      </c>
    </row>
    <row r="54">
      <c r="A54" s="12" t="n"/>
      <c r="B54" s="14" t="n"/>
      <c r="C54" s="12" t="n"/>
      <c r="D54" s="12" t="n"/>
      <c r="E54" s="13" t="n"/>
      <c r="F54" s="14" t="n"/>
      <c r="G54" s="14" t="n"/>
      <c r="H54" s="12" t="n"/>
      <c r="I54" s="12" t="n"/>
      <c r="J54" s="12" t="n"/>
      <c r="K54" s="13">
        <f>IF($A54="","",IF($H54="Paid",0,$E54))</f>
        <v/>
      </c>
    </row>
    <row r="55">
      <c r="B55" s="9" t="n"/>
      <c r="E55" s="10" t="n"/>
      <c r="F55" s="9" t="n"/>
      <c r="G55" s="9" t="n"/>
      <c r="K55" s="10">
        <f>IF($A55="","",IF($H55="Paid",0,$E55))</f>
        <v/>
      </c>
    </row>
    <row r="56">
      <c r="A56" s="12" t="n"/>
      <c r="B56" s="14" t="n"/>
      <c r="C56" s="12" t="n"/>
      <c r="D56" s="12" t="n"/>
      <c r="E56" s="13" t="n"/>
      <c r="F56" s="14" t="n"/>
      <c r="G56" s="14" t="n"/>
      <c r="H56" s="12" t="n"/>
      <c r="I56" s="12" t="n"/>
      <c r="J56" s="12" t="n"/>
      <c r="K56" s="13">
        <f>IF($A56="","",IF($H56="Paid",0,$E56))</f>
        <v/>
      </c>
    </row>
    <row r="57">
      <c r="B57" s="9" t="n"/>
      <c r="E57" s="10" t="n"/>
      <c r="F57" s="9" t="n"/>
      <c r="G57" s="9" t="n"/>
      <c r="K57" s="10">
        <f>IF($A57="","",IF($H57="Paid",0,$E57))</f>
        <v/>
      </c>
    </row>
    <row r="58">
      <c r="A58" s="12" t="n"/>
      <c r="B58" s="14" t="n"/>
      <c r="C58" s="12" t="n"/>
      <c r="D58" s="12" t="n"/>
      <c r="E58" s="13" t="n"/>
      <c r="F58" s="14" t="n"/>
      <c r="G58" s="14" t="n"/>
      <c r="H58" s="12" t="n"/>
      <c r="I58" s="12" t="n"/>
      <c r="J58" s="12" t="n"/>
      <c r="K58" s="13">
        <f>IF($A58="","",IF($H58="Paid",0,$E58))</f>
        <v/>
      </c>
    </row>
    <row r="59">
      <c r="B59" s="9" t="n"/>
      <c r="E59" s="10" t="n"/>
      <c r="F59" s="9" t="n"/>
      <c r="G59" s="9" t="n"/>
      <c r="K59" s="10">
        <f>IF($A59="","",IF($H59="Paid",0,$E59))</f>
        <v/>
      </c>
    </row>
    <row r="60">
      <c r="A60" s="12" t="n"/>
      <c r="B60" s="14" t="n"/>
      <c r="C60" s="12" t="n"/>
      <c r="D60" s="12" t="n"/>
      <c r="E60" s="13" t="n"/>
      <c r="F60" s="14" t="n"/>
      <c r="G60" s="14" t="n"/>
      <c r="H60" s="12" t="n"/>
      <c r="I60" s="12" t="n"/>
      <c r="J60" s="12" t="n"/>
      <c r="K60" s="13">
        <f>IF($A60="","",IF($H60="Paid",0,$E60))</f>
        <v/>
      </c>
    </row>
    <row r="61">
      <c r="B61" s="9" t="n"/>
      <c r="E61" s="10" t="n"/>
      <c r="F61" s="9" t="n"/>
      <c r="G61" s="9" t="n"/>
      <c r="K61" s="10">
        <f>IF($A61="","",IF($H61="Paid",0,$E61))</f>
        <v/>
      </c>
    </row>
    <row r="62">
      <c r="A62" s="12" t="n"/>
      <c r="B62" s="14" t="n"/>
      <c r="C62" s="12" t="n"/>
      <c r="D62" s="12" t="n"/>
      <c r="E62" s="13" t="n"/>
      <c r="F62" s="14" t="n"/>
      <c r="G62" s="14" t="n"/>
      <c r="H62" s="12" t="n"/>
      <c r="I62" s="12" t="n"/>
      <c r="J62" s="12" t="n"/>
      <c r="K62" s="13">
        <f>IF($A62="","",IF($H62="Paid",0,$E62))</f>
        <v/>
      </c>
    </row>
    <row r="63">
      <c r="B63" s="9" t="n"/>
      <c r="E63" s="10" t="n"/>
      <c r="F63" s="9" t="n"/>
      <c r="G63" s="9" t="n"/>
      <c r="K63" s="10">
        <f>IF($A63="","",IF($H63="Paid",0,$E63))</f>
        <v/>
      </c>
    </row>
    <row r="64">
      <c r="A64" s="12" t="n"/>
      <c r="B64" s="14" t="n"/>
      <c r="C64" s="12" t="n"/>
      <c r="D64" s="12" t="n"/>
      <c r="E64" s="13" t="n"/>
      <c r="F64" s="14" t="n"/>
      <c r="G64" s="14" t="n"/>
      <c r="H64" s="12" t="n"/>
      <c r="I64" s="12" t="n"/>
      <c r="J64" s="12" t="n"/>
      <c r="K64" s="13">
        <f>IF($A64="","",IF($H64="Paid",0,$E64))</f>
        <v/>
      </c>
    </row>
    <row r="65">
      <c r="B65" s="9" t="n"/>
      <c r="E65" s="10" t="n"/>
      <c r="F65" s="9" t="n"/>
      <c r="G65" s="9" t="n"/>
      <c r="K65" s="10">
        <f>IF($A65="","",IF($H65="Paid",0,$E65))</f>
        <v/>
      </c>
    </row>
    <row r="66">
      <c r="A66" s="12" t="n"/>
      <c r="B66" s="14" t="n"/>
      <c r="C66" s="12" t="n"/>
      <c r="D66" s="12" t="n"/>
      <c r="E66" s="13" t="n"/>
      <c r="F66" s="14" t="n"/>
      <c r="G66" s="14" t="n"/>
      <c r="H66" s="12" t="n"/>
      <c r="I66" s="12" t="n"/>
      <c r="J66" s="12" t="n"/>
      <c r="K66" s="13">
        <f>IF($A66="","",IF($H66="Paid",0,$E66))</f>
        <v/>
      </c>
    </row>
    <row r="67">
      <c r="B67" s="9" t="n"/>
      <c r="E67" s="10" t="n"/>
      <c r="F67" s="9" t="n"/>
      <c r="G67" s="9" t="n"/>
      <c r="K67" s="10">
        <f>IF($A67="","",IF($H67="Paid",0,$E67))</f>
        <v/>
      </c>
    </row>
    <row r="68">
      <c r="A68" s="12" t="n"/>
      <c r="B68" s="14" t="n"/>
      <c r="C68" s="12" t="n"/>
      <c r="D68" s="12" t="n"/>
      <c r="E68" s="13" t="n"/>
      <c r="F68" s="14" t="n"/>
      <c r="G68" s="14" t="n"/>
      <c r="H68" s="12" t="n"/>
      <c r="I68" s="12" t="n"/>
      <c r="J68" s="12" t="n"/>
      <c r="K68" s="13">
        <f>IF($A68="","",IF($H68="Paid",0,$E68))</f>
        <v/>
      </c>
    </row>
    <row r="69">
      <c r="B69" s="9" t="n"/>
      <c r="E69" s="10" t="n"/>
      <c r="F69" s="9" t="n"/>
      <c r="G69" s="9" t="n"/>
      <c r="K69" s="10">
        <f>IF($A69="","",IF($H69="Paid",0,$E69))</f>
        <v/>
      </c>
    </row>
    <row r="70">
      <c r="A70" s="12" t="n"/>
      <c r="B70" s="14" t="n"/>
      <c r="C70" s="12" t="n"/>
      <c r="D70" s="12" t="n"/>
      <c r="E70" s="13" t="n"/>
      <c r="F70" s="14" t="n"/>
      <c r="G70" s="14" t="n"/>
      <c r="H70" s="12" t="n"/>
      <c r="I70" s="12" t="n"/>
      <c r="J70" s="12" t="n"/>
      <c r="K70" s="13">
        <f>IF($A70="","",IF($H70="Paid",0,$E70))</f>
        <v/>
      </c>
    </row>
    <row r="71">
      <c r="B71" s="9" t="n"/>
      <c r="E71" s="10" t="n"/>
      <c r="F71" s="9" t="n"/>
      <c r="G71" s="9" t="n"/>
      <c r="K71" s="10">
        <f>IF($A71="","",IF($H71="Paid",0,$E71))</f>
        <v/>
      </c>
    </row>
    <row r="72">
      <c r="A72" s="12" t="n"/>
      <c r="B72" s="14" t="n"/>
      <c r="C72" s="12" t="n"/>
      <c r="D72" s="12" t="n"/>
      <c r="E72" s="13" t="n"/>
      <c r="F72" s="14" t="n"/>
      <c r="G72" s="14" t="n"/>
      <c r="H72" s="12" t="n"/>
      <c r="I72" s="12" t="n"/>
      <c r="J72" s="12" t="n"/>
      <c r="K72" s="13">
        <f>IF($A72="","",IF($H72="Paid",0,$E72))</f>
        <v/>
      </c>
    </row>
    <row r="73">
      <c r="B73" s="9" t="n"/>
      <c r="E73" s="10" t="n"/>
      <c r="F73" s="9" t="n"/>
      <c r="G73" s="9" t="n"/>
      <c r="K73" s="10">
        <f>IF($A73="","",IF($H73="Paid",0,$E73))</f>
        <v/>
      </c>
    </row>
    <row r="74">
      <c r="A74" s="12" t="n"/>
      <c r="B74" s="14" t="n"/>
      <c r="C74" s="12" t="n"/>
      <c r="D74" s="12" t="n"/>
      <c r="E74" s="13" t="n"/>
      <c r="F74" s="14" t="n"/>
      <c r="G74" s="14" t="n"/>
      <c r="H74" s="12" t="n"/>
      <c r="I74" s="12" t="n"/>
      <c r="J74" s="12" t="n"/>
      <c r="K74" s="13">
        <f>IF($A74="","",IF($H74="Paid",0,$E74))</f>
        <v/>
      </c>
    </row>
    <row r="75">
      <c r="B75" s="9" t="n"/>
      <c r="E75" s="10" t="n"/>
      <c r="F75" s="9" t="n"/>
      <c r="G75" s="9" t="n"/>
      <c r="K75" s="10">
        <f>IF($A75="","",IF($H75="Paid",0,$E75))</f>
        <v/>
      </c>
    </row>
    <row r="76">
      <c r="A76" s="12" t="n"/>
      <c r="B76" s="14" t="n"/>
      <c r="C76" s="12" t="n"/>
      <c r="D76" s="12" t="n"/>
      <c r="E76" s="13" t="n"/>
      <c r="F76" s="14" t="n"/>
      <c r="G76" s="14" t="n"/>
      <c r="H76" s="12" t="n"/>
      <c r="I76" s="12" t="n"/>
      <c r="J76" s="12" t="n"/>
      <c r="K76" s="13">
        <f>IF($A76="","",IF($H76="Paid",0,$E76))</f>
        <v/>
      </c>
    </row>
    <row r="77">
      <c r="B77" s="9" t="n"/>
      <c r="E77" s="10" t="n"/>
      <c r="F77" s="9" t="n"/>
      <c r="G77" s="9" t="n"/>
      <c r="K77" s="10">
        <f>IF($A77="","",IF($H77="Paid",0,$E77))</f>
        <v/>
      </c>
    </row>
    <row r="78">
      <c r="A78" s="12" t="n"/>
      <c r="B78" s="14" t="n"/>
      <c r="C78" s="12" t="n"/>
      <c r="D78" s="12" t="n"/>
      <c r="E78" s="13" t="n"/>
      <c r="F78" s="14" t="n"/>
      <c r="G78" s="14" t="n"/>
      <c r="H78" s="12" t="n"/>
      <c r="I78" s="12" t="n"/>
      <c r="J78" s="12" t="n"/>
      <c r="K78" s="13">
        <f>IF($A78="","",IF($H78="Paid",0,$E78))</f>
        <v/>
      </c>
    </row>
    <row r="79">
      <c r="B79" s="9" t="n"/>
      <c r="E79" s="10" t="n"/>
      <c r="F79" s="9" t="n"/>
      <c r="G79" s="9" t="n"/>
      <c r="K79" s="10">
        <f>IF($A79="","",IF($H79="Paid",0,$E79))</f>
        <v/>
      </c>
    </row>
    <row r="80">
      <c r="A80" s="12" t="n"/>
      <c r="B80" s="14" t="n"/>
      <c r="C80" s="12" t="n"/>
      <c r="D80" s="12" t="n"/>
      <c r="E80" s="13" t="n"/>
      <c r="F80" s="14" t="n"/>
      <c r="G80" s="14" t="n"/>
      <c r="H80" s="12" t="n"/>
      <c r="I80" s="12" t="n"/>
      <c r="J80" s="12" t="n"/>
      <c r="K80" s="13">
        <f>IF($A80="","",IF($H80="Paid",0,$E80))</f>
        <v/>
      </c>
    </row>
    <row r="81">
      <c r="B81" s="9" t="n"/>
      <c r="E81" s="10" t="n"/>
      <c r="F81" s="9" t="n"/>
      <c r="G81" s="9" t="n"/>
      <c r="K81" s="10">
        <f>IF($A81="","",IF($H81="Paid",0,$E81))</f>
        <v/>
      </c>
    </row>
    <row r="82">
      <c r="A82" s="12" t="n"/>
      <c r="B82" s="14" t="n"/>
      <c r="C82" s="12" t="n"/>
      <c r="D82" s="12" t="n"/>
      <c r="E82" s="13" t="n"/>
      <c r="F82" s="14" t="n"/>
      <c r="G82" s="14" t="n"/>
      <c r="H82" s="12" t="n"/>
      <c r="I82" s="12" t="n"/>
      <c r="J82" s="12" t="n"/>
      <c r="K82" s="13">
        <f>IF($A82="","",IF($H82="Paid",0,$E82))</f>
        <v/>
      </c>
    </row>
    <row r="83">
      <c r="B83" s="9" t="n"/>
      <c r="E83" s="10" t="n"/>
      <c r="F83" s="9" t="n"/>
      <c r="G83" s="9" t="n"/>
      <c r="K83" s="10">
        <f>IF($A83="","",IF($H83="Paid",0,$E83))</f>
        <v/>
      </c>
    </row>
    <row r="84">
      <c r="A84" s="12" t="n"/>
      <c r="B84" s="14" t="n"/>
      <c r="C84" s="12" t="n"/>
      <c r="D84" s="12" t="n"/>
      <c r="E84" s="13" t="n"/>
      <c r="F84" s="14" t="n"/>
      <c r="G84" s="14" t="n"/>
      <c r="H84" s="12" t="n"/>
      <c r="I84" s="12" t="n"/>
      <c r="J84" s="12" t="n"/>
      <c r="K84" s="13">
        <f>IF($A84="","",IF($H84="Paid",0,$E84))</f>
        <v/>
      </c>
    </row>
    <row r="85">
      <c r="B85" s="9" t="n"/>
      <c r="E85" s="10" t="n"/>
      <c r="F85" s="9" t="n"/>
      <c r="G85" s="9" t="n"/>
      <c r="K85" s="10">
        <f>IF($A85="","",IF($H85="Paid",0,$E85))</f>
        <v/>
      </c>
    </row>
    <row r="86">
      <c r="A86" s="12" t="n"/>
      <c r="B86" s="14" t="n"/>
      <c r="C86" s="12" t="n"/>
      <c r="D86" s="12" t="n"/>
      <c r="E86" s="13" t="n"/>
      <c r="F86" s="14" t="n"/>
      <c r="G86" s="14" t="n"/>
      <c r="H86" s="12" t="n"/>
      <c r="I86" s="12" t="n"/>
      <c r="J86" s="12" t="n"/>
      <c r="K86" s="13">
        <f>IF($A86="","",IF($H86="Paid",0,$E86))</f>
        <v/>
      </c>
    </row>
    <row r="87">
      <c r="B87" s="9" t="n"/>
      <c r="E87" s="10" t="n"/>
      <c r="F87" s="9" t="n"/>
      <c r="G87" s="9" t="n"/>
      <c r="K87" s="10">
        <f>IF($A87="","",IF($H87="Paid",0,$E87))</f>
        <v/>
      </c>
    </row>
    <row r="88">
      <c r="A88" s="12" t="n"/>
      <c r="B88" s="14" t="n"/>
      <c r="C88" s="12" t="n"/>
      <c r="D88" s="12" t="n"/>
      <c r="E88" s="13" t="n"/>
      <c r="F88" s="14" t="n"/>
      <c r="G88" s="14" t="n"/>
      <c r="H88" s="12" t="n"/>
      <c r="I88" s="12" t="n"/>
      <c r="J88" s="12" t="n"/>
      <c r="K88" s="13">
        <f>IF($A88="","",IF($H88="Paid",0,$E88))</f>
        <v/>
      </c>
    </row>
    <row r="89">
      <c r="B89" s="9" t="n"/>
      <c r="E89" s="10" t="n"/>
      <c r="F89" s="9" t="n"/>
      <c r="G89" s="9" t="n"/>
      <c r="K89" s="10">
        <f>IF($A89="","",IF($H89="Paid",0,$E89))</f>
        <v/>
      </c>
    </row>
    <row r="90">
      <c r="A90" s="12" t="n"/>
      <c r="B90" s="14" t="n"/>
      <c r="C90" s="12" t="n"/>
      <c r="D90" s="12" t="n"/>
      <c r="E90" s="13" t="n"/>
      <c r="F90" s="14" t="n"/>
      <c r="G90" s="14" t="n"/>
      <c r="H90" s="12" t="n"/>
      <c r="I90" s="12" t="n"/>
      <c r="J90" s="12" t="n"/>
      <c r="K90" s="13">
        <f>IF($A90="","",IF($H90="Paid",0,$E90))</f>
        <v/>
      </c>
    </row>
    <row r="91">
      <c r="B91" s="9" t="n"/>
      <c r="E91" s="10" t="n"/>
      <c r="F91" s="9" t="n"/>
      <c r="G91" s="9" t="n"/>
      <c r="K91" s="10">
        <f>IF($A91="","",IF($H91="Paid",0,$E91))</f>
        <v/>
      </c>
    </row>
    <row r="92">
      <c r="A92" s="12" t="n"/>
      <c r="B92" s="14" t="n"/>
      <c r="C92" s="12" t="n"/>
      <c r="D92" s="12" t="n"/>
      <c r="E92" s="13" t="n"/>
      <c r="F92" s="14" t="n"/>
      <c r="G92" s="14" t="n"/>
      <c r="H92" s="12" t="n"/>
      <c r="I92" s="12" t="n"/>
      <c r="J92" s="12" t="n"/>
      <c r="K92" s="13">
        <f>IF($A92="","",IF($H92="Paid",0,$E92))</f>
        <v/>
      </c>
    </row>
    <row r="93">
      <c r="B93" s="9" t="n"/>
      <c r="E93" s="10" t="n"/>
      <c r="F93" s="9" t="n"/>
      <c r="G93" s="9" t="n"/>
      <c r="K93" s="10">
        <f>IF($A93="","",IF($H93="Paid",0,$E93))</f>
        <v/>
      </c>
    </row>
    <row r="94">
      <c r="A94" s="12" t="n"/>
      <c r="B94" s="14" t="n"/>
      <c r="C94" s="12" t="n"/>
      <c r="D94" s="12" t="n"/>
      <c r="E94" s="13" t="n"/>
      <c r="F94" s="14" t="n"/>
      <c r="G94" s="14" t="n"/>
      <c r="H94" s="12" t="n"/>
      <c r="I94" s="12" t="n"/>
      <c r="J94" s="12" t="n"/>
      <c r="K94" s="13">
        <f>IF($A94="","",IF($H94="Paid",0,$E94))</f>
        <v/>
      </c>
    </row>
    <row r="95">
      <c r="B95" s="9" t="n"/>
      <c r="E95" s="10" t="n"/>
      <c r="F95" s="9" t="n"/>
      <c r="G95" s="9" t="n"/>
      <c r="K95" s="10">
        <f>IF($A95="","",IF($H95="Paid",0,$E95))</f>
        <v/>
      </c>
    </row>
    <row r="96">
      <c r="A96" s="12" t="n"/>
      <c r="B96" s="14" t="n"/>
      <c r="C96" s="12" t="n"/>
      <c r="D96" s="12" t="n"/>
      <c r="E96" s="13" t="n"/>
      <c r="F96" s="14" t="n"/>
      <c r="G96" s="14" t="n"/>
      <c r="H96" s="12" t="n"/>
      <c r="I96" s="12" t="n"/>
      <c r="J96" s="12" t="n"/>
      <c r="K96" s="13">
        <f>IF($A96="","",IF($H96="Paid",0,$E96))</f>
        <v/>
      </c>
    </row>
    <row r="97">
      <c r="B97" s="9" t="n"/>
      <c r="E97" s="10" t="n"/>
      <c r="F97" s="9" t="n"/>
      <c r="G97" s="9" t="n"/>
      <c r="K97" s="10">
        <f>IF($A97="","",IF($H97="Paid",0,$E97))</f>
        <v/>
      </c>
    </row>
    <row r="98">
      <c r="A98" s="12" t="n"/>
      <c r="B98" s="14" t="n"/>
      <c r="C98" s="12" t="n"/>
      <c r="D98" s="12" t="n"/>
      <c r="E98" s="13" t="n"/>
      <c r="F98" s="14" t="n"/>
      <c r="G98" s="14" t="n"/>
      <c r="H98" s="12" t="n"/>
      <c r="I98" s="12" t="n"/>
      <c r="J98" s="12" t="n"/>
      <c r="K98" s="13">
        <f>IF($A98="","",IF($H98="Paid",0,$E98))</f>
        <v/>
      </c>
    </row>
    <row r="99">
      <c r="B99" s="9" t="n"/>
      <c r="E99" s="10" t="n"/>
      <c r="F99" s="9" t="n"/>
      <c r="G99" s="9" t="n"/>
      <c r="K99" s="10">
        <f>IF($A99="","",IF($H99="Paid",0,$E99))</f>
        <v/>
      </c>
    </row>
    <row r="100">
      <c r="A100" s="12" t="n"/>
      <c r="B100" s="14" t="n"/>
      <c r="C100" s="12" t="n"/>
      <c r="D100" s="12" t="n"/>
      <c r="E100" s="13" t="n"/>
      <c r="F100" s="14" t="n"/>
      <c r="G100" s="14" t="n"/>
      <c r="H100" s="12" t="n"/>
      <c r="I100" s="12" t="n"/>
      <c r="J100" s="12" t="n"/>
      <c r="K100" s="13">
        <f>IF($A100="","",IF($H100="Paid",0,$E100))</f>
        <v/>
      </c>
    </row>
    <row r="101">
      <c r="B101" s="9" t="n"/>
      <c r="E101" s="10" t="n"/>
      <c r="F101" s="9" t="n"/>
      <c r="G101" s="9" t="n"/>
      <c r="K101" s="10">
        <f>IF($A101="","",IF($H101="Paid",0,$E101))</f>
        <v/>
      </c>
    </row>
    <row r="102">
      <c r="A102" s="12" t="n"/>
      <c r="B102" s="14" t="n"/>
      <c r="C102" s="12" t="n"/>
      <c r="D102" s="12" t="n"/>
      <c r="E102" s="13" t="n"/>
      <c r="F102" s="14" t="n"/>
      <c r="G102" s="14" t="n"/>
      <c r="H102" s="12" t="n"/>
      <c r="I102" s="12" t="n"/>
      <c r="J102" s="12" t="n"/>
      <c r="K102" s="13">
        <f>IF($A102="","",IF($H102="Paid",0,$E102))</f>
        <v/>
      </c>
    </row>
    <row r="103">
      <c r="B103" s="9" t="n"/>
      <c r="E103" s="10" t="n"/>
      <c r="F103" s="9" t="n"/>
      <c r="G103" s="9" t="n"/>
      <c r="K103" s="10">
        <f>IF($A103="","",IF($H103="Paid",0,$E103))</f>
        <v/>
      </c>
    </row>
    <row r="104">
      <c r="A104" s="12" t="n"/>
      <c r="B104" s="14" t="n"/>
      <c r="C104" s="12" t="n"/>
      <c r="D104" s="12" t="n"/>
      <c r="E104" s="13" t="n"/>
      <c r="F104" s="14" t="n"/>
      <c r="G104" s="14" t="n"/>
      <c r="H104" s="12" t="n"/>
      <c r="I104" s="12" t="n"/>
      <c r="J104" s="12" t="n"/>
      <c r="K104" s="13">
        <f>IF($A104="","",IF($H104="Paid",0,$E104))</f>
        <v/>
      </c>
    </row>
    <row r="105">
      <c r="B105" s="9" t="n"/>
      <c r="E105" s="10" t="n"/>
      <c r="F105" s="9" t="n"/>
      <c r="G105" s="9" t="n"/>
      <c r="K105" s="10">
        <f>IF($A105="","",IF($H105="Paid",0,$E105))</f>
        <v/>
      </c>
    </row>
    <row r="106">
      <c r="A106" s="12" t="n"/>
      <c r="B106" s="14" t="n"/>
      <c r="C106" s="12" t="n"/>
      <c r="D106" s="12" t="n"/>
      <c r="E106" s="13" t="n"/>
      <c r="F106" s="14" t="n"/>
      <c r="G106" s="14" t="n"/>
      <c r="H106" s="12" t="n"/>
      <c r="I106" s="12" t="n"/>
      <c r="J106" s="12" t="n"/>
      <c r="K106" s="13">
        <f>IF($A106="","",IF($H106="Paid",0,$E106))</f>
        <v/>
      </c>
    </row>
    <row r="107">
      <c r="B107" s="9" t="n"/>
      <c r="E107" s="10" t="n"/>
      <c r="F107" s="9" t="n"/>
      <c r="G107" s="9" t="n"/>
      <c r="K107" s="10">
        <f>IF($A107="","",IF($H107="Paid",0,$E107))</f>
        <v/>
      </c>
    </row>
    <row r="108">
      <c r="A108" s="12" t="n"/>
      <c r="B108" s="14" t="n"/>
      <c r="C108" s="12" t="n"/>
      <c r="D108" s="12" t="n"/>
      <c r="E108" s="13" t="n"/>
      <c r="F108" s="14" t="n"/>
      <c r="G108" s="14" t="n"/>
      <c r="H108" s="12" t="n"/>
      <c r="I108" s="12" t="n"/>
      <c r="J108" s="12" t="n"/>
      <c r="K108" s="13">
        <f>IF($A108="","",IF($H108="Paid",0,$E108))</f>
        <v/>
      </c>
    </row>
    <row r="109">
      <c r="B109" s="9" t="n"/>
      <c r="E109" s="10" t="n"/>
      <c r="F109" s="9" t="n"/>
      <c r="G109" s="9" t="n"/>
      <c r="K109" s="10">
        <f>IF($A109="","",IF($H109="Paid",0,$E109))</f>
        <v/>
      </c>
    </row>
    <row r="110">
      <c r="A110" s="12" t="n"/>
      <c r="B110" s="14" t="n"/>
      <c r="C110" s="12" t="n"/>
      <c r="D110" s="12" t="n"/>
      <c r="E110" s="13" t="n"/>
      <c r="F110" s="14" t="n"/>
      <c r="G110" s="14" t="n"/>
      <c r="H110" s="12" t="n"/>
      <c r="I110" s="12" t="n"/>
      <c r="J110" s="12" t="n"/>
      <c r="K110" s="13">
        <f>IF($A110="","",IF($H110="Paid",0,$E110))</f>
        <v/>
      </c>
    </row>
    <row r="111">
      <c r="B111" s="9" t="n"/>
      <c r="E111" s="10" t="n"/>
      <c r="F111" s="9" t="n"/>
      <c r="G111" s="9" t="n"/>
      <c r="K111" s="10">
        <f>IF($A111="","",IF($H111="Paid",0,$E111))</f>
        <v/>
      </c>
    </row>
    <row r="112">
      <c r="A112" s="12" t="n"/>
      <c r="B112" s="14" t="n"/>
      <c r="C112" s="12" t="n"/>
      <c r="D112" s="12" t="n"/>
      <c r="E112" s="13" t="n"/>
      <c r="F112" s="14" t="n"/>
      <c r="G112" s="14" t="n"/>
      <c r="H112" s="12" t="n"/>
      <c r="I112" s="12" t="n"/>
      <c r="J112" s="12" t="n"/>
      <c r="K112" s="13">
        <f>IF($A112="","",IF($H112="Paid",0,$E112))</f>
        <v/>
      </c>
    </row>
    <row r="113">
      <c r="B113" s="9" t="n"/>
      <c r="E113" s="10" t="n"/>
      <c r="F113" s="9" t="n"/>
      <c r="G113" s="9" t="n"/>
      <c r="K113" s="10">
        <f>IF($A113="","",IF($H113="Paid",0,$E113))</f>
        <v/>
      </c>
    </row>
    <row r="114">
      <c r="A114" s="12" t="n"/>
      <c r="B114" s="14" t="n"/>
      <c r="C114" s="12" t="n"/>
      <c r="D114" s="12" t="n"/>
      <c r="E114" s="13" t="n"/>
      <c r="F114" s="14" t="n"/>
      <c r="G114" s="14" t="n"/>
      <c r="H114" s="12" t="n"/>
      <c r="I114" s="12" t="n"/>
      <c r="J114" s="12" t="n"/>
      <c r="K114" s="13">
        <f>IF($A114="","",IF($H114="Paid",0,$E114))</f>
        <v/>
      </c>
    </row>
    <row r="115">
      <c r="B115" s="9" t="n"/>
      <c r="E115" s="10" t="n"/>
      <c r="F115" s="9" t="n"/>
      <c r="G115" s="9" t="n"/>
      <c r="K115" s="10">
        <f>IF($A115="","",IF($H115="Paid",0,$E115))</f>
        <v/>
      </c>
    </row>
    <row r="116">
      <c r="A116" s="12" t="n"/>
      <c r="B116" s="14" t="n"/>
      <c r="C116" s="12" t="n"/>
      <c r="D116" s="12" t="n"/>
      <c r="E116" s="13" t="n"/>
      <c r="F116" s="14" t="n"/>
      <c r="G116" s="14" t="n"/>
      <c r="H116" s="12" t="n"/>
      <c r="I116" s="12" t="n"/>
      <c r="J116" s="12" t="n"/>
      <c r="K116" s="13">
        <f>IF($A116="","",IF($H116="Paid",0,$E116))</f>
        <v/>
      </c>
    </row>
    <row r="117">
      <c r="B117" s="9" t="n"/>
      <c r="E117" s="10" t="n"/>
      <c r="F117" s="9" t="n"/>
      <c r="G117" s="9" t="n"/>
      <c r="K117" s="10">
        <f>IF($A117="","",IF($H117="Paid",0,$E117))</f>
        <v/>
      </c>
    </row>
    <row r="118">
      <c r="A118" s="12" t="n"/>
      <c r="B118" s="14" t="n"/>
      <c r="C118" s="12" t="n"/>
      <c r="D118" s="12" t="n"/>
      <c r="E118" s="13" t="n"/>
      <c r="F118" s="14" t="n"/>
      <c r="G118" s="14" t="n"/>
      <c r="H118" s="12" t="n"/>
      <c r="I118" s="12" t="n"/>
      <c r="J118" s="12" t="n"/>
      <c r="K118" s="13">
        <f>IF($A118="","",IF($H118="Paid",0,$E118))</f>
        <v/>
      </c>
    </row>
    <row r="119">
      <c r="B119" s="9" t="n"/>
      <c r="E119" s="10" t="n"/>
      <c r="F119" s="9" t="n"/>
      <c r="G119" s="9" t="n"/>
      <c r="K119" s="10">
        <f>IF($A119="","",IF($H119="Paid",0,$E119))</f>
        <v/>
      </c>
    </row>
    <row r="120">
      <c r="A120" s="12" t="n"/>
      <c r="B120" s="14" t="n"/>
      <c r="C120" s="12" t="n"/>
      <c r="D120" s="12" t="n"/>
      <c r="E120" s="13" t="n"/>
      <c r="F120" s="14" t="n"/>
      <c r="G120" s="14" t="n"/>
      <c r="H120" s="12" t="n"/>
      <c r="I120" s="12" t="n"/>
      <c r="J120" s="12" t="n"/>
      <c r="K120" s="13">
        <f>IF($A120="","",IF($H120="Paid",0,$E120))</f>
        <v/>
      </c>
    </row>
    <row r="121">
      <c r="B121" s="9" t="n"/>
      <c r="E121" s="10" t="n"/>
      <c r="F121" s="9" t="n"/>
      <c r="G121" s="9" t="n"/>
      <c r="K121" s="10">
        <f>IF($A121="","",IF($H121="Paid",0,$E121))</f>
        <v/>
      </c>
    </row>
    <row r="122">
      <c r="A122" s="12" t="n"/>
      <c r="B122" s="14" t="n"/>
      <c r="C122" s="12" t="n"/>
      <c r="D122" s="12" t="n"/>
      <c r="E122" s="13" t="n"/>
      <c r="F122" s="14" t="n"/>
      <c r="G122" s="14" t="n"/>
      <c r="H122" s="12" t="n"/>
      <c r="I122" s="12" t="n"/>
      <c r="J122" s="12" t="n"/>
      <c r="K122" s="13">
        <f>IF($A122="","",IF($H122="Paid",0,$E122))</f>
        <v/>
      </c>
    </row>
    <row r="123">
      <c r="B123" s="9" t="n"/>
      <c r="E123" s="10" t="n"/>
      <c r="F123" s="9" t="n"/>
      <c r="G123" s="9" t="n"/>
      <c r="K123" s="10">
        <f>IF($A123="","",IF($H123="Paid",0,$E123))</f>
        <v/>
      </c>
    </row>
    <row r="124">
      <c r="A124" s="12" t="n"/>
      <c r="B124" s="14" t="n"/>
      <c r="C124" s="12" t="n"/>
      <c r="D124" s="12" t="n"/>
      <c r="E124" s="13" t="n"/>
      <c r="F124" s="14" t="n"/>
      <c r="G124" s="14" t="n"/>
      <c r="H124" s="12" t="n"/>
      <c r="I124" s="12" t="n"/>
      <c r="J124" s="12" t="n"/>
      <c r="K124" s="13">
        <f>IF($A124="","",IF($H124="Paid",0,$E124))</f>
        <v/>
      </c>
    </row>
    <row r="125">
      <c r="B125" s="9" t="n"/>
      <c r="E125" s="10" t="n"/>
      <c r="F125" s="9" t="n"/>
      <c r="G125" s="9" t="n"/>
      <c r="K125" s="10">
        <f>IF($A125="","",IF($H125="Paid",0,$E125))</f>
        <v/>
      </c>
    </row>
    <row r="126">
      <c r="A126" s="12" t="n"/>
      <c r="B126" s="14" t="n"/>
      <c r="C126" s="12" t="n"/>
      <c r="D126" s="12" t="n"/>
      <c r="E126" s="13" t="n"/>
      <c r="F126" s="14" t="n"/>
      <c r="G126" s="14" t="n"/>
      <c r="H126" s="12" t="n"/>
      <c r="I126" s="12" t="n"/>
      <c r="J126" s="12" t="n"/>
      <c r="K126" s="13">
        <f>IF($A126="","",IF($H126="Paid",0,$E126))</f>
        <v/>
      </c>
    </row>
    <row r="127">
      <c r="B127" s="9" t="n"/>
      <c r="E127" s="10" t="n"/>
      <c r="F127" s="9" t="n"/>
      <c r="G127" s="9" t="n"/>
      <c r="K127" s="10">
        <f>IF($A127="","",IF($H127="Paid",0,$E127))</f>
        <v/>
      </c>
    </row>
    <row r="128">
      <c r="A128" s="12" t="n"/>
      <c r="B128" s="14" t="n"/>
      <c r="C128" s="12" t="n"/>
      <c r="D128" s="12" t="n"/>
      <c r="E128" s="13" t="n"/>
      <c r="F128" s="14" t="n"/>
      <c r="G128" s="14" t="n"/>
      <c r="H128" s="12" t="n"/>
      <c r="I128" s="12" t="n"/>
      <c r="J128" s="12" t="n"/>
      <c r="K128" s="13">
        <f>IF($A128="","",IF($H128="Paid",0,$E128))</f>
        <v/>
      </c>
    </row>
    <row r="129">
      <c r="B129" s="9" t="n"/>
      <c r="E129" s="10" t="n"/>
      <c r="F129" s="9" t="n"/>
      <c r="G129" s="9" t="n"/>
      <c r="K129" s="10">
        <f>IF($A129="","",IF($H129="Paid",0,$E129))</f>
        <v/>
      </c>
    </row>
    <row r="130">
      <c r="A130" s="12" t="n"/>
      <c r="B130" s="14" t="n"/>
      <c r="C130" s="12" t="n"/>
      <c r="D130" s="12" t="n"/>
      <c r="E130" s="13" t="n"/>
      <c r="F130" s="14" t="n"/>
      <c r="G130" s="14" t="n"/>
      <c r="H130" s="12" t="n"/>
      <c r="I130" s="12" t="n"/>
      <c r="J130" s="12" t="n"/>
      <c r="K130" s="13">
        <f>IF($A130="","",IF($H130="Paid",0,$E130))</f>
        <v/>
      </c>
    </row>
    <row r="131">
      <c r="B131" s="9" t="n"/>
      <c r="E131" s="10" t="n"/>
      <c r="F131" s="9" t="n"/>
      <c r="G131" s="9" t="n"/>
      <c r="K131" s="10">
        <f>IF($A131="","",IF($H131="Paid",0,$E131))</f>
        <v/>
      </c>
    </row>
    <row r="132">
      <c r="A132" s="12" t="n"/>
      <c r="B132" s="14" t="n"/>
      <c r="C132" s="12" t="n"/>
      <c r="D132" s="12" t="n"/>
      <c r="E132" s="13" t="n"/>
      <c r="F132" s="14" t="n"/>
      <c r="G132" s="14" t="n"/>
      <c r="H132" s="12" t="n"/>
      <c r="I132" s="12" t="n"/>
      <c r="J132" s="12" t="n"/>
      <c r="K132" s="13">
        <f>IF($A132="","",IF($H132="Paid",0,$E132))</f>
        <v/>
      </c>
    </row>
    <row r="133">
      <c r="B133" s="9" t="n"/>
      <c r="E133" s="10" t="n"/>
      <c r="F133" s="9" t="n"/>
      <c r="G133" s="9" t="n"/>
      <c r="K133" s="10">
        <f>IF($A133="","",IF($H133="Paid",0,$E133))</f>
        <v/>
      </c>
    </row>
    <row r="134">
      <c r="A134" s="12" t="n"/>
      <c r="B134" s="14" t="n"/>
      <c r="C134" s="12" t="n"/>
      <c r="D134" s="12" t="n"/>
      <c r="E134" s="13" t="n"/>
      <c r="F134" s="14" t="n"/>
      <c r="G134" s="14" t="n"/>
      <c r="H134" s="12" t="n"/>
      <c r="I134" s="12" t="n"/>
      <c r="J134" s="12" t="n"/>
      <c r="K134" s="13">
        <f>IF($A134="","",IF($H134="Paid",0,$E134))</f>
        <v/>
      </c>
    </row>
    <row r="135">
      <c r="B135" s="9" t="n"/>
      <c r="E135" s="10" t="n"/>
      <c r="F135" s="9" t="n"/>
      <c r="G135" s="9" t="n"/>
      <c r="K135" s="10">
        <f>IF($A135="","",IF($H135="Paid",0,$E135))</f>
        <v/>
      </c>
    </row>
    <row r="136">
      <c r="A136" s="12" t="n"/>
      <c r="B136" s="14" t="n"/>
      <c r="C136" s="12" t="n"/>
      <c r="D136" s="12" t="n"/>
      <c r="E136" s="13" t="n"/>
      <c r="F136" s="14" t="n"/>
      <c r="G136" s="14" t="n"/>
      <c r="H136" s="12" t="n"/>
      <c r="I136" s="12" t="n"/>
      <c r="J136" s="12" t="n"/>
      <c r="K136" s="13">
        <f>IF($A136="","",IF($H136="Paid",0,$E136))</f>
        <v/>
      </c>
    </row>
    <row r="137">
      <c r="B137" s="9" t="n"/>
      <c r="E137" s="10" t="n"/>
      <c r="F137" s="9" t="n"/>
      <c r="G137" s="9" t="n"/>
      <c r="K137" s="10">
        <f>IF($A137="","",IF($H137="Paid",0,$E137))</f>
        <v/>
      </c>
    </row>
    <row r="138">
      <c r="A138" s="12" t="n"/>
      <c r="B138" s="14" t="n"/>
      <c r="C138" s="12" t="n"/>
      <c r="D138" s="12" t="n"/>
      <c r="E138" s="13" t="n"/>
      <c r="F138" s="14" t="n"/>
      <c r="G138" s="14" t="n"/>
      <c r="H138" s="12" t="n"/>
      <c r="I138" s="12" t="n"/>
      <c r="J138" s="12" t="n"/>
      <c r="K138" s="13">
        <f>IF($A138="","",IF($H138="Paid",0,$E138))</f>
        <v/>
      </c>
    </row>
    <row r="139">
      <c r="B139" s="9" t="n"/>
      <c r="E139" s="10" t="n"/>
      <c r="F139" s="9" t="n"/>
      <c r="G139" s="9" t="n"/>
      <c r="K139" s="10">
        <f>IF($A139="","",IF($H139="Paid",0,$E139))</f>
        <v/>
      </c>
    </row>
    <row r="140">
      <c r="A140" s="12" t="n"/>
      <c r="B140" s="14" t="n"/>
      <c r="C140" s="12" t="n"/>
      <c r="D140" s="12" t="n"/>
      <c r="E140" s="13" t="n"/>
      <c r="F140" s="14" t="n"/>
      <c r="G140" s="14" t="n"/>
      <c r="H140" s="12" t="n"/>
      <c r="I140" s="12" t="n"/>
      <c r="J140" s="12" t="n"/>
      <c r="K140" s="13">
        <f>IF($A140="","",IF($H140="Paid",0,$E140))</f>
        <v/>
      </c>
    </row>
    <row r="141">
      <c r="B141" s="9" t="n"/>
      <c r="E141" s="10" t="n"/>
      <c r="F141" s="9" t="n"/>
      <c r="G141" s="9" t="n"/>
      <c r="K141" s="10">
        <f>IF($A141="","",IF($H141="Paid",0,$E141))</f>
        <v/>
      </c>
    </row>
    <row r="142">
      <c r="A142" s="12" t="n"/>
      <c r="B142" s="14" t="n"/>
      <c r="C142" s="12" t="n"/>
      <c r="D142" s="12" t="n"/>
      <c r="E142" s="13" t="n"/>
      <c r="F142" s="14" t="n"/>
      <c r="G142" s="14" t="n"/>
      <c r="H142" s="12" t="n"/>
      <c r="I142" s="12" t="n"/>
      <c r="J142" s="12" t="n"/>
      <c r="K142" s="13">
        <f>IF($A142="","",IF($H142="Paid",0,$E142))</f>
        <v/>
      </c>
    </row>
    <row r="143">
      <c r="B143" s="9" t="n"/>
      <c r="E143" s="10" t="n"/>
      <c r="F143" s="9" t="n"/>
      <c r="G143" s="9" t="n"/>
      <c r="K143" s="10">
        <f>IF($A143="","",IF($H143="Paid",0,$E143))</f>
        <v/>
      </c>
    </row>
    <row r="144">
      <c r="A144" s="12" t="n"/>
      <c r="B144" s="14" t="n"/>
      <c r="C144" s="12" t="n"/>
      <c r="D144" s="12" t="n"/>
      <c r="E144" s="13" t="n"/>
      <c r="F144" s="14" t="n"/>
      <c r="G144" s="14" t="n"/>
      <c r="H144" s="12" t="n"/>
      <c r="I144" s="12" t="n"/>
      <c r="J144" s="12" t="n"/>
      <c r="K144" s="13">
        <f>IF($A144="","",IF($H144="Paid",0,$E144))</f>
        <v/>
      </c>
    </row>
    <row r="145">
      <c r="B145" s="9" t="n"/>
      <c r="E145" s="10" t="n"/>
      <c r="F145" s="9" t="n"/>
      <c r="G145" s="9" t="n"/>
      <c r="K145" s="10">
        <f>IF($A145="","",IF($H145="Paid",0,$E145))</f>
        <v/>
      </c>
    </row>
    <row r="146">
      <c r="A146" s="12" t="n"/>
      <c r="B146" s="14" t="n"/>
      <c r="C146" s="12" t="n"/>
      <c r="D146" s="12" t="n"/>
      <c r="E146" s="13" t="n"/>
      <c r="F146" s="14" t="n"/>
      <c r="G146" s="14" t="n"/>
      <c r="H146" s="12" t="n"/>
      <c r="I146" s="12" t="n"/>
      <c r="J146" s="12" t="n"/>
      <c r="K146" s="13">
        <f>IF($A146="","",IF($H146="Paid",0,$E146))</f>
        <v/>
      </c>
    </row>
    <row r="147">
      <c r="B147" s="9" t="n"/>
      <c r="E147" s="10" t="n"/>
      <c r="F147" s="9" t="n"/>
      <c r="G147" s="9" t="n"/>
      <c r="K147" s="10">
        <f>IF($A147="","",IF($H147="Paid",0,$E147))</f>
        <v/>
      </c>
    </row>
    <row r="148">
      <c r="A148" s="12" t="n"/>
      <c r="B148" s="14" t="n"/>
      <c r="C148" s="12" t="n"/>
      <c r="D148" s="12" t="n"/>
      <c r="E148" s="13" t="n"/>
      <c r="F148" s="14" t="n"/>
      <c r="G148" s="14" t="n"/>
      <c r="H148" s="12" t="n"/>
      <c r="I148" s="12" t="n"/>
      <c r="J148" s="12" t="n"/>
      <c r="K148" s="13">
        <f>IF($A148="","",IF($H148="Paid",0,$E148))</f>
        <v/>
      </c>
    </row>
    <row r="149">
      <c r="B149" s="9" t="n"/>
      <c r="E149" s="10" t="n"/>
      <c r="F149" s="9" t="n"/>
      <c r="G149" s="9" t="n"/>
      <c r="K149" s="10">
        <f>IF($A149="","",IF($H149="Paid",0,$E149))</f>
        <v/>
      </c>
    </row>
    <row r="150">
      <c r="A150" s="12" t="n"/>
      <c r="B150" s="14" t="n"/>
      <c r="C150" s="12" t="n"/>
      <c r="D150" s="12" t="n"/>
      <c r="E150" s="13" t="n"/>
      <c r="F150" s="14" t="n"/>
      <c r="G150" s="14" t="n"/>
      <c r="H150" s="12" t="n"/>
      <c r="I150" s="12" t="n"/>
      <c r="J150" s="12" t="n"/>
      <c r="K150" s="13">
        <f>IF($A150="","",IF($H150="Paid",0,$E150))</f>
        <v/>
      </c>
    </row>
    <row r="151">
      <c r="B151" s="9" t="n"/>
      <c r="E151" s="10" t="n"/>
      <c r="F151" s="9" t="n"/>
      <c r="G151" s="9" t="n"/>
      <c r="K151" s="10">
        <f>IF($A151="","",IF($H151="Paid",0,$E151))</f>
        <v/>
      </c>
    </row>
    <row r="152">
      <c r="A152" s="12" t="n"/>
      <c r="B152" s="14" t="n"/>
      <c r="C152" s="12" t="n"/>
      <c r="D152" s="12" t="n"/>
      <c r="E152" s="13" t="n"/>
      <c r="F152" s="14" t="n"/>
      <c r="G152" s="14" t="n"/>
      <c r="H152" s="12" t="n"/>
      <c r="I152" s="12" t="n"/>
      <c r="J152" s="12" t="n"/>
      <c r="K152" s="13">
        <f>IF($A152="","",IF($H152="Paid",0,$E152))</f>
        <v/>
      </c>
    </row>
    <row r="153">
      <c r="B153" s="9" t="n"/>
      <c r="E153" s="10" t="n"/>
      <c r="F153" s="9" t="n"/>
      <c r="G153" s="9" t="n"/>
      <c r="K153" s="10">
        <f>IF($A153="","",IF($H153="Paid",0,$E153))</f>
        <v/>
      </c>
    </row>
    <row r="154">
      <c r="A154" s="12" t="n"/>
      <c r="B154" s="14" t="n"/>
      <c r="C154" s="12" t="n"/>
      <c r="D154" s="12" t="n"/>
      <c r="E154" s="13" t="n"/>
      <c r="F154" s="14" t="n"/>
      <c r="G154" s="14" t="n"/>
      <c r="H154" s="12" t="n"/>
      <c r="I154" s="12" t="n"/>
      <c r="J154" s="12" t="n"/>
      <c r="K154" s="13">
        <f>IF($A154="","",IF($H154="Paid",0,$E154))</f>
        <v/>
      </c>
    </row>
    <row r="155">
      <c r="B155" s="9" t="n"/>
      <c r="E155" s="10" t="n"/>
      <c r="F155" s="9" t="n"/>
      <c r="G155" s="9" t="n"/>
      <c r="K155" s="10">
        <f>IF($A155="","",IF($H155="Paid",0,$E155))</f>
        <v/>
      </c>
    </row>
    <row r="156">
      <c r="A156" s="12" t="n"/>
      <c r="B156" s="14" t="n"/>
      <c r="C156" s="12" t="n"/>
      <c r="D156" s="12" t="n"/>
      <c r="E156" s="13" t="n"/>
      <c r="F156" s="14" t="n"/>
      <c r="G156" s="14" t="n"/>
      <c r="H156" s="12" t="n"/>
      <c r="I156" s="12" t="n"/>
      <c r="J156" s="12" t="n"/>
      <c r="K156" s="13">
        <f>IF($A156="","",IF($H156="Paid",0,$E156))</f>
        <v/>
      </c>
    </row>
    <row r="157">
      <c r="B157" s="9" t="n"/>
      <c r="E157" s="10" t="n"/>
      <c r="F157" s="9" t="n"/>
      <c r="G157" s="9" t="n"/>
      <c r="K157" s="10">
        <f>IF($A157="","",IF($H157="Paid",0,$E157))</f>
        <v/>
      </c>
    </row>
    <row r="158">
      <c r="A158" s="12" t="n"/>
      <c r="B158" s="14" t="n"/>
      <c r="C158" s="12" t="n"/>
      <c r="D158" s="12" t="n"/>
      <c r="E158" s="13" t="n"/>
      <c r="F158" s="14" t="n"/>
      <c r="G158" s="14" t="n"/>
      <c r="H158" s="12" t="n"/>
      <c r="I158" s="12" t="n"/>
      <c r="J158" s="12" t="n"/>
      <c r="K158" s="13">
        <f>IF($A158="","",IF($H158="Paid",0,$E158))</f>
        <v/>
      </c>
    </row>
    <row r="159">
      <c r="B159" s="9" t="n"/>
      <c r="E159" s="10" t="n"/>
      <c r="F159" s="9" t="n"/>
      <c r="G159" s="9" t="n"/>
      <c r="K159" s="10">
        <f>IF($A159="","",IF($H159="Paid",0,$E159))</f>
        <v/>
      </c>
    </row>
    <row r="160">
      <c r="A160" s="12" t="n"/>
      <c r="B160" s="14" t="n"/>
      <c r="C160" s="12" t="n"/>
      <c r="D160" s="12" t="n"/>
      <c r="E160" s="13" t="n"/>
      <c r="F160" s="14" t="n"/>
      <c r="G160" s="14" t="n"/>
      <c r="H160" s="12" t="n"/>
      <c r="I160" s="12" t="n"/>
      <c r="J160" s="12" t="n"/>
      <c r="K160" s="13">
        <f>IF($A160="","",IF($H160="Paid",0,$E160))</f>
        <v/>
      </c>
    </row>
    <row r="161">
      <c r="B161" s="9" t="n"/>
      <c r="E161" s="10" t="n"/>
      <c r="F161" s="9" t="n"/>
      <c r="G161" s="9" t="n"/>
      <c r="K161" s="10">
        <f>IF($A161="","",IF($H161="Paid",0,$E161))</f>
        <v/>
      </c>
    </row>
    <row r="162">
      <c r="A162" s="12" t="n"/>
      <c r="B162" s="14" t="n"/>
      <c r="C162" s="12" t="n"/>
      <c r="D162" s="12" t="n"/>
      <c r="E162" s="13" t="n"/>
      <c r="F162" s="14" t="n"/>
      <c r="G162" s="14" t="n"/>
      <c r="H162" s="12" t="n"/>
      <c r="I162" s="12" t="n"/>
      <c r="J162" s="12" t="n"/>
      <c r="K162" s="13">
        <f>IF($A162="","",IF($H162="Paid",0,$E162))</f>
        <v/>
      </c>
    </row>
    <row r="163">
      <c r="B163" s="9" t="n"/>
      <c r="E163" s="10" t="n"/>
      <c r="F163" s="9" t="n"/>
      <c r="G163" s="9" t="n"/>
      <c r="K163" s="10">
        <f>IF($A163="","",IF($H163="Paid",0,$E163))</f>
        <v/>
      </c>
    </row>
    <row r="164">
      <c r="A164" s="12" t="n"/>
      <c r="B164" s="14" t="n"/>
      <c r="C164" s="12" t="n"/>
      <c r="D164" s="12" t="n"/>
      <c r="E164" s="13" t="n"/>
      <c r="F164" s="14" t="n"/>
      <c r="G164" s="14" t="n"/>
      <c r="H164" s="12" t="n"/>
      <c r="I164" s="12" t="n"/>
      <c r="J164" s="12" t="n"/>
      <c r="K164" s="13">
        <f>IF($A164="","",IF($H164="Paid",0,$E164))</f>
        <v/>
      </c>
    </row>
    <row r="165">
      <c r="B165" s="9" t="n"/>
      <c r="E165" s="10" t="n"/>
      <c r="F165" s="9" t="n"/>
      <c r="G165" s="9" t="n"/>
      <c r="K165" s="10">
        <f>IF($A165="","",IF($H165="Paid",0,$E165))</f>
        <v/>
      </c>
    </row>
    <row r="166">
      <c r="A166" s="12" t="n"/>
      <c r="B166" s="14" t="n"/>
      <c r="C166" s="12" t="n"/>
      <c r="D166" s="12" t="n"/>
      <c r="E166" s="13" t="n"/>
      <c r="F166" s="14" t="n"/>
      <c r="G166" s="14" t="n"/>
      <c r="H166" s="12" t="n"/>
      <c r="I166" s="12" t="n"/>
      <c r="J166" s="12" t="n"/>
      <c r="K166" s="13">
        <f>IF($A166="","",IF($H166="Paid",0,$E166))</f>
        <v/>
      </c>
    </row>
    <row r="167">
      <c r="B167" s="9" t="n"/>
      <c r="E167" s="10" t="n"/>
      <c r="F167" s="9" t="n"/>
      <c r="G167" s="9" t="n"/>
      <c r="K167" s="10">
        <f>IF($A167="","",IF($H167="Paid",0,$E167))</f>
        <v/>
      </c>
    </row>
    <row r="168">
      <c r="A168" s="12" t="n"/>
      <c r="B168" s="14" t="n"/>
      <c r="C168" s="12" t="n"/>
      <c r="D168" s="12" t="n"/>
      <c r="E168" s="13" t="n"/>
      <c r="F168" s="14" t="n"/>
      <c r="G168" s="14" t="n"/>
      <c r="H168" s="12" t="n"/>
      <c r="I168" s="12" t="n"/>
      <c r="J168" s="12" t="n"/>
      <c r="K168" s="13">
        <f>IF($A168="","",IF($H168="Paid",0,$E168))</f>
        <v/>
      </c>
    </row>
    <row r="169">
      <c r="B169" s="9" t="n"/>
      <c r="E169" s="10" t="n"/>
      <c r="F169" s="9" t="n"/>
      <c r="G169" s="9" t="n"/>
      <c r="K169" s="10">
        <f>IF($A169="","",IF($H169="Paid",0,$E169))</f>
        <v/>
      </c>
    </row>
    <row r="170">
      <c r="A170" s="12" t="n"/>
      <c r="B170" s="14" t="n"/>
      <c r="C170" s="12" t="n"/>
      <c r="D170" s="12" t="n"/>
      <c r="E170" s="13" t="n"/>
      <c r="F170" s="14" t="n"/>
      <c r="G170" s="14" t="n"/>
      <c r="H170" s="12" t="n"/>
      <c r="I170" s="12" t="n"/>
      <c r="J170" s="12" t="n"/>
      <c r="K170" s="13">
        <f>IF($A170="","",IF($H170="Paid",0,$E170))</f>
        <v/>
      </c>
    </row>
    <row r="171">
      <c r="B171" s="9" t="n"/>
      <c r="E171" s="10" t="n"/>
      <c r="F171" s="9" t="n"/>
      <c r="G171" s="9" t="n"/>
      <c r="K171" s="10">
        <f>IF($A171="","",IF($H171="Paid",0,$E171))</f>
        <v/>
      </c>
    </row>
    <row r="172">
      <c r="A172" s="12" t="n"/>
      <c r="B172" s="14" t="n"/>
      <c r="C172" s="12" t="n"/>
      <c r="D172" s="12" t="n"/>
      <c r="E172" s="13" t="n"/>
      <c r="F172" s="14" t="n"/>
      <c r="G172" s="14" t="n"/>
      <c r="H172" s="12" t="n"/>
      <c r="I172" s="12" t="n"/>
      <c r="J172" s="12" t="n"/>
      <c r="K172" s="13">
        <f>IF($A172="","",IF($H172="Paid",0,$E172))</f>
        <v/>
      </c>
    </row>
    <row r="173">
      <c r="B173" s="9" t="n"/>
      <c r="E173" s="10" t="n"/>
      <c r="F173" s="9" t="n"/>
      <c r="G173" s="9" t="n"/>
      <c r="K173" s="10">
        <f>IF($A173="","",IF($H173="Paid",0,$E173))</f>
        <v/>
      </c>
    </row>
    <row r="174">
      <c r="A174" s="12" t="n"/>
      <c r="B174" s="14" t="n"/>
      <c r="C174" s="12" t="n"/>
      <c r="D174" s="12" t="n"/>
      <c r="E174" s="13" t="n"/>
      <c r="F174" s="14" t="n"/>
      <c r="G174" s="14" t="n"/>
      <c r="H174" s="12" t="n"/>
      <c r="I174" s="12" t="n"/>
      <c r="J174" s="12" t="n"/>
      <c r="K174" s="13">
        <f>IF($A174="","",IF($H174="Paid",0,$E174))</f>
        <v/>
      </c>
    </row>
    <row r="175">
      <c r="B175" s="9" t="n"/>
      <c r="E175" s="10" t="n"/>
      <c r="F175" s="9" t="n"/>
      <c r="G175" s="9" t="n"/>
      <c r="K175" s="10">
        <f>IF($A175="","",IF($H175="Paid",0,$E175))</f>
        <v/>
      </c>
    </row>
    <row r="176">
      <c r="A176" s="12" t="n"/>
      <c r="B176" s="14" t="n"/>
      <c r="C176" s="12" t="n"/>
      <c r="D176" s="12" t="n"/>
      <c r="E176" s="13" t="n"/>
      <c r="F176" s="14" t="n"/>
      <c r="G176" s="14" t="n"/>
      <c r="H176" s="12" t="n"/>
      <c r="I176" s="12" t="n"/>
      <c r="J176" s="12" t="n"/>
      <c r="K176" s="13">
        <f>IF($A176="","",IF($H176="Paid",0,$E176))</f>
        <v/>
      </c>
    </row>
    <row r="177">
      <c r="B177" s="9" t="n"/>
      <c r="E177" s="10" t="n"/>
      <c r="F177" s="9" t="n"/>
      <c r="G177" s="9" t="n"/>
      <c r="K177" s="10">
        <f>IF($A177="","",IF($H177="Paid",0,$E177))</f>
        <v/>
      </c>
    </row>
    <row r="178">
      <c r="A178" s="12" t="n"/>
      <c r="B178" s="14" t="n"/>
      <c r="C178" s="12" t="n"/>
      <c r="D178" s="12" t="n"/>
      <c r="E178" s="13" t="n"/>
      <c r="F178" s="14" t="n"/>
      <c r="G178" s="14" t="n"/>
      <c r="H178" s="12" t="n"/>
      <c r="I178" s="12" t="n"/>
      <c r="J178" s="12" t="n"/>
      <c r="K178" s="13">
        <f>IF($A178="","",IF($H178="Paid",0,$E178))</f>
        <v/>
      </c>
    </row>
    <row r="179">
      <c r="B179" s="9" t="n"/>
      <c r="E179" s="10" t="n"/>
      <c r="F179" s="9" t="n"/>
      <c r="G179" s="9" t="n"/>
      <c r="K179" s="10">
        <f>IF($A179="","",IF($H179="Paid",0,$E179))</f>
        <v/>
      </c>
    </row>
    <row r="180">
      <c r="A180" s="12" t="n"/>
      <c r="B180" s="14" t="n"/>
      <c r="C180" s="12" t="n"/>
      <c r="D180" s="12" t="n"/>
      <c r="E180" s="13" t="n"/>
      <c r="F180" s="14" t="n"/>
      <c r="G180" s="14" t="n"/>
      <c r="H180" s="12" t="n"/>
      <c r="I180" s="12" t="n"/>
      <c r="J180" s="12" t="n"/>
      <c r="K180" s="13">
        <f>IF($A180="","",IF($H180="Paid",0,$E180))</f>
        <v/>
      </c>
    </row>
    <row r="181">
      <c r="B181" s="9" t="n"/>
      <c r="E181" s="10" t="n"/>
      <c r="F181" s="9" t="n"/>
      <c r="G181" s="9" t="n"/>
      <c r="K181" s="10">
        <f>IF($A181="","",IF($H181="Paid",0,$E181))</f>
        <v/>
      </c>
    </row>
    <row r="182">
      <c r="A182" s="12" t="n"/>
      <c r="B182" s="14" t="n"/>
      <c r="C182" s="12" t="n"/>
      <c r="D182" s="12" t="n"/>
      <c r="E182" s="13" t="n"/>
      <c r="F182" s="14" t="n"/>
      <c r="G182" s="14" t="n"/>
      <c r="H182" s="12" t="n"/>
      <c r="I182" s="12" t="n"/>
      <c r="J182" s="12" t="n"/>
      <c r="K182" s="13">
        <f>IF($A182="","",IF($H182="Paid",0,$E182))</f>
        <v/>
      </c>
    </row>
    <row r="183">
      <c r="B183" s="9" t="n"/>
      <c r="E183" s="10" t="n"/>
      <c r="F183" s="9" t="n"/>
      <c r="G183" s="9" t="n"/>
      <c r="K183" s="10">
        <f>IF($A183="","",IF($H183="Paid",0,$E183))</f>
        <v/>
      </c>
    </row>
    <row r="184">
      <c r="A184" s="12" t="n"/>
      <c r="B184" s="14" t="n"/>
      <c r="C184" s="12" t="n"/>
      <c r="D184" s="12" t="n"/>
      <c r="E184" s="13" t="n"/>
      <c r="F184" s="14" t="n"/>
      <c r="G184" s="14" t="n"/>
      <c r="H184" s="12" t="n"/>
      <c r="I184" s="12" t="n"/>
      <c r="J184" s="12" t="n"/>
      <c r="K184" s="13">
        <f>IF($A184="","",IF($H184="Paid",0,$E184))</f>
        <v/>
      </c>
    </row>
    <row r="185">
      <c r="B185" s="9" t="n"/>
      <c r="E185" s="10" t="n"/>
      <c r="F185" s="9" t="n"/>
      <c r="G185" s="9" t="n"/>
      <c r="K185" s="10">
        <f>IF($A185="","",IF($H185="Paid",0,$E185))</f>
        <v/>
      </c>
    </row>
    <row r="186">
      <c r="A186" s="12" t="n"/>
      <c r="B186" s="14" t="n"/>
      <c r="C186" s="12" t="n"/>
      <c r="D186" s="12" t="n"/>
      <c r="E186" s="13" t="n"/>
      <c r="F186" s="14" t="n"/>
      <c r="G186" s="14" t="n"/>
      <c r="H186" s="12" t="n"/>
      <c r="I186" s="12" t="n"/>
      <c r="J186" s="12" t="n"/>
      <c r="K186" s="13">
        <f>IF($A186="","",IF($H186="Paid",0,$E186))</f>
        <v/>
      </c>
    </row>
    <row r="187">
      <c r="B187" s="9" t="n"/>
      <c r="E187" s="10" t="n"/>
      <c r="F187" s="9" t="n"/>
      <c r="G187" s="9" t="n"/>
      <c r="K187" s="10">
        <f>IF($A187="","",IF($H187="Paid",0,$E187))</f>
        <v/>
      </c>
    </row>
    <row r="188">
      <c r="A188" s="12" t="n"/>
      <c r="B188" s="14" t="n"/>
      <c r="C188" s="12" t="n"/>
      <c r="D188" s="12" t="n"/>
      <c r="E188" s="13" t="n"/>
      <c r="F188" s="14" t="n"/>
      <c r="G188" s="14" t="n"/>
      <c r="H188" s="12" t="n"/>
      <c r="I188" s="12" t="n"/>
      <c r="J188" s="12" t="n"/>
      <c r="K188" s="13">
        <f>IF($A188="","",IF($H188="Paid",0,$E188))</f>
        <v/>
      </c>
    </row>
    <row r="189">
      <c r="B189" s="9" t="n"/>
      <c r="E189" s="10" t="n"/>
      <c r="F189" s="9" t="n"/>
      <c r="G189" s="9" t="n"/>
      <c r="K189" s="10">
        <f>IF($A189="","",IF($H189="Paid",0,$E189))</f>
        <v/>
      </c>
    </row>
    <row r="190">
      <c r="A190" s="12" t="n"/>
      <c r="B190" s="14" t="n"/>
      <c r="C190" s="12" t="n"/>
      <c r="D190" s="12" t="n"/>
      <c r="E190" s="13" t="n"/>
      <c r="F190" s="14" t="n"/>
      <c r="G190" s="14" t="n"/>
      <c r="H190" s="12" t="n"/>
      <c r="I190" s="12" t="n"/>
      <c r="J190" s="12" t="n"/>
      <c r="K190" s="13">
        <f>IF($A190="","",IF($H190="Paid",0,$E190))</f>
        <v/>
      </c>
    </row>
    <row r="191">
      <c r="B191" s="9" t="n"/>
      <c r="E191" s="10" t="n"/>
      <c r="F191" s="9" t="n"/>
      <c r="G191" s="9" t="n"/>
      <c r="K191" s="10">
        <f>IF($A191="","",IF($H191="Paid",0,$E191))</f>
        <v/>
      </c>
    </row>
    <row r="192">
      <c r="A192" s="12" t="n"/>
      <c r="B192" s="14" t="n"/>
      <c r="C192" s="12" t="n"/>
      <c r="D192" s="12" t="n"/>
      <c r="E192" s="13" t="n"/>
      <c r="F192" s="14" t="n"/>
      <c r="G192" s="14" t="n"/>
      <c r="H192" s="12" t="n"/>
      <c r="I192" s="12" t="n"/>
      <c r="J192" s="12" t="n"/>
      <c r="K192" s="13">
        <f>IF($A192="","",IF($H192="Paid",0,$E192))</f>
        <v/>
      </c>
    </row>
    <row r="193">
      <c r="B193" s="9" t="n"/>
      <c r="E193" s="10" t="n"/>
      <c r="F193" s="9" t="n"/>
      <c r="G193" s="9" t="n"/>
      <c r="K193" s="10">
        <f>IF($A193="","",IF($H193="Paid",0,$E193))</f>
        <v/>
      </c>
    </row>
    <row r="194">
      <c r="A194" s="12" t="n"/>
      <c r="B194" s="14" t="n"/>
      <c r="C194" s="12" t="n"/>
      <c r="D194" s="12" t="n"/>
      <c r="E194" s="13" t="n"/>
      <c r="F194" s="14" t="n"/>
      <c r="G194" s="14" t="n"/>
      <c r="H194" s="12" t="n"/>
      <c r="I194" s="12" t="n"/>
      <c r="J194" s="12" t="n"/>
      <c r="K194" s="13">
        <f>IF($A194="","",IF($H194="Paid",0,$E194))</f>
        <v/>
      </c>
    </row>
    <row r="195">
      <c r="B195" s="9" t="n"/>
      <c r="E195" s="10" t="n"/>
      <c r="F195" s="9" t="n"/>
      <c r="G195" s="9" t="n"/>
      <c r="K195" s="10">
        <f>IF($A195="","",IF($H195="Paid",0,$E195))</f>
        <v/>
      </c>
    </row>
    <row r="196">
      <c r="A196" s="12" t="n"/>
      <c r="B196" s="14" t="n"/>
      <c r="C196" s="12" t="n"/>
      <c r="D196" s="12" t="n"/>
      <c r="E196" s="13" t="n"/>
      <c r="F196" s="14" t="n"/>
      <c r="G196" s="14" t="n"/>
      <c r="H196" s="12" t="n"/>
      <c r="I196" s="12" t="n"/>
      <c r="J196" s="12" t="n"/>
      <c r="K196" s="13">
        <f>IF($A196="","",IF($H196="Paid",0,$E196))</f>
        <v/>
      </c>
    </row>
    <row r="197">
      <c r="B197" s="9" t="n"/>
      <c r="E197" s="10" t="n"/>
      <c r="F197" s="9" t="n"/>
      <c r="G197" s="9" t="n"/>
      <c r="K197" s="10">
        <f>IF($A197="","",IF($H197="Paid",0,$E197))</f>
        <v/>
      </c>
    </row>
    <row r="198">
      <c r="A198" s="12" t="n"/>
      <c r="B198" s="14" t="n"/>
      <c r="C198" s="12" t="n"/>
      <c r="D198" s="12" t="n"/>
      <c r="E198" s="13" t="n"/>
      <c r="F198" s="14" t="n"/>
      <c r="G198" s="14" t="n"/>
      <c r="H198" s="12" t="n"/>
      <c r="I198" s="12" t="n"/>
      <c r="J198" s="12" t="n"/>
      <c r="K198" s="13">
        <f>IF($A198="","",IF($H198="Paid",0,$E198))</f>
        <v/>
      </c>
    </row>
    <row r="199">
      <c r="B199" s="9" t="n"/>
      <c r="E199" s="10" t="n"/>
      <c r="F199" s="9" t="n"/>
      <c r="G199" s="9" t="n"/>
      <c r="K199" s="10">
        <f>IF($A199="","",IF($H199="Paid",0,$E199))</f>
        <v/>
      </c>
    </row>
    <row r="200">
      <c r="A200" s="12" t="n"/>
      <c r="B200" s="14" t="n"/>
      <c r="C200" s="12" t="n"/>
      <c r="D200" s="12" t="n"/>
      <c r="E200" s="13" t="n"/>
      <c r="F200" s="14" t="n"/>
      <c r="G200" s="14" t="n"/>
      <c r="H200" s="12" t="n"/>
      <c r="I200" s="12" t="n"/>
      <c r="J200" s="12" t="n"/>
      <c r="K200" s="13">
        <f>IF($A200="","",IF($H200="Paid",0,$E200))</f>
        <v/>
      </c>
    </row>
    <row r="201">
      <c r="B201" s="9" t="n"/>
      <c r="E201" s="10" t="n"/>
      <c r="F201" s="9" t="n"/>
      <c r="G201" s="9" t="n"/>
      <c r="K201" s="10">
        <f>IF($A201="","",IF($H201="Paid",0,$E201))</f>
        <v/>
      </c>
    </row>
    <row r="202">
      <c r="A202" s="12" t="n"/>
      <c r="B202" s="14" t="n"/>
      <c r="C202" s="12" t="n"/>
      <c r="D202" s="12" t="n"/>
      <c r="E202" s="13" t="n"/>
      <c r="F202" s="14" t="n"/>
      <c r="G202" s="14" t="n"/>
      <c r="H202" s="12" t="n"/>
      <c r="I202" s="12" t="n"/>
      <c r="J202" s="12" t="n"/>
      <c r="K202" s="13">
        <f>IF($A202="","",IF($H202="Paid",0,$E202))</f>
        <v/>
      </c>
    </row>
    <row r="203">
      <c r="B203" s="9" t="n"/>
      <c r="E203" s="10" t="n"/>
      <c r="F203" s="9" t="n"/>
      <c r="G203" s="9" t="n"/>
      <c r="K203" s="10">
        <f>IF($A203="","",IF($H203="Paid",0,$E203))</f>
        <v/>
      </c>
    </row>
    <row r="204">
      <c r="A204" s="12" t="n"/>
      <c r="B204" s="14" t="n"/>
      <c r="C204" s="12" t="n"/>
      <c r="D204" s="12" t="n"/>
      <c r="E204" s="13" t="n"/>
      <c r="F204" s="14" t="n"/>
      <c r="G204" s="14" t="n"/>
      <c r="H204" s="12" t="n"/>
      <c r="I204" s="12" t="n"/>
      <c r="J204" s="12" t="n"/>
      <c r="K204" s="13">
        <f>IF($A204="","",IF($H204="Paid",0,$E204))</f>
        <v/>
      </c>
    </row>
    <row r="205">
      <c r="B205" s="9" t="n"/>
      <c r="E205" s="10" t="n"/>
      <c r="F205" s="9" t="n"/>
      <c r="G205" s="9" t="n"/>
      <c r="K205" s="10">
        <f>IF($A205="","",IF($H205="Paid",0,$E205))</f>
        <v/>
      </c>
    </row>
    <row r="206">
      <c r="A206" s="12" t="n"/>
      <c r="B206" s="14" t="n"/>
      <c r="C206" s="12" t="n"/>
      <c r="D206" s="12" t="n"/>
      <c r="E206" s="13" t="n"/>
      <c r="F206" s="14" t="n"/>
      <c r="G206" s="14" t="n"/>
      <c r="H206" s="12" t="n"/>
      <c r="I206" s="12" t="n"/>
      <c r="J206" s="12" t="n"/>
      <c r="K206" s="13">
        <f>IF($A206="","",IF($H206="Paid",0,$E206))</f>
        <v/>
      </c>
    </row>
    <row r="207">
      <c r="B207" s="9" t="n"/>
      <c r="E207" s="10" t="n"/>
      <c r="F207" s="9" t="n"/>
      <c r="G207" s="9" t="n"/>
      <c r="K207" s="10">
        <f>IF($A207="","",IF($H207="Paid",0,$E207))</f>
        <v/>
      </c>
    </row>
    <row r="208">
      <c r="A208" s="12" t="n"/>
      <c r="B208" s="14" t="n"/>
      <c r="C208" s="12" t="n"/>
      <c r="D208" s="12" t="n"/>
      <c r="E208" s="13" t="n"/>
      <c r="F208" s="14" t="n"/>
      <c r="G208" s="14" t="n"/>
      <c r="H208" s="12" t="n"/>
      <c r="I208" s="12" t="n"/>
      <c r="J208" s="12" t="n"/>
      <c r="K208" s="13">
        <f>IF($A208="","",IF($H208="Paid",0,$E208))</f>
        <v/>
      </c>
    </row>
    <row r="209">
      <c r="B209" s="9" t="n"/>
      <c r="E209" s="10" t="n"/>
      <c r="F209" s="9" t="n"/>
      <c r="G209" s="9" t="n"/>
      <c r="K209" s="10">
        <f>IF($A209="","",IF($H209="Paid",0,$E209))</f>
        <v/>
      </c>
    </row>
    <row r="210">
      <c r="A210" s="12" t="n"/>
      <c r="B210" s="14" t="n"/>
      <c r="C210" s="12" t="n"/>
      <c r="D210" s="12" t="n"/>
      <c r="E210" s="13" t="n"/>
      <c r="F210" s="14" t="n"/>
      <c r="G210" s="14" t="n"/>
      <c r="H210" s="12" t="n"/>
      <c r="I210" s="12" t="n"/>
      <c r="J210" s="12" t="n"/>
      <c r="K210" s="13">
        <f>IF($A210="","",IF($H210="Paid",0,$E210))</f>
        <v/>
      </c>
    </row>
    <row r="211">
      <c r="B211" s="9" t="n"/>
      <c r="E211" s="10" t="n"/>
      <c r="F211" s="9" t="n"/>
      <c r="G211" s="9" t="n"/>
      <c r="K211" s="10">
        <f>IF($A211="","",IF($H211="Paid",0,$E211))</f>
        <v/>
      </c>
    </row>
    <row r="212">
      <c r="A212" s="12" t="n"/>
      <c r="B212" s="14" t="n"/>
      <c r="C212" s="12" t="n"/>
      <c r="D212" s="12" t="n"/>
      <c r="E212" s="13" t="n"/>
      <c r="F212" s="14" t="n"/>
      <c r="G212" s="14" t="n"/>
      <c r="H212" s="12" t="n"/>
      <c r="I212" s="12" t="n"/>
      <c r="J212" s="12" t="n"/>
      <c r="K212" s="13">
        <f>IF($A212="","",IF($H212="Paid",0,$E212))</f>
        <v/>
      </c>
    </row>
    <row r="213">
      <c r="B213" s="9" t="n"/>
      <c r="E213" s="10" t="n"/>
      <c r="F213" s="9" t="n"/>
      <c r="G213" s="9" t="n"/>
      <c r="K213" s="10">
        <f>IF($A213="","",IF($H213="Paid",0,$E213))</f>
        <v/>
      </c>
    </row>
    <row r="214">
      <c r="A214" s="12" t="n"/>
      <c r="B214" s="14" t="n"/>
      <c r="C214" s="12" t="n"/>
      <c r="D214" s="12" t="n"/>
      <c r="E214" s="13" t="n"/>
      <c r="F214" s="14" t="n"/>
      <c r="G214" s="14" t="n"/>
      <c r="H214" s="12" t="n"/>
      <c r="I214" s="12" t="n"/>
      <c r="J214" s="12" t="n"/>
      <c r="K214" s="13">
        <f>IF($A214="","",IF($H214="Paid",0,$E214))</f>
        <v/>
      </c>
    </row>
    <row r="215">
      <c r="B215" s="9" t="n"/>
      <c r="E215" s="10" t="n"/>
      <c r="F215" s="9" t="n"/>
      <c r="G215" s="9" t="n"/>
      <c r="K215" s="10">
        <f>IF($A215="","",IF($H215="Paid",0,$E215))</f>
        <v/>
      </c>
    </row>
    <row r="216">
      <c r="A216" s="12" t="n"/>
      <c r="B216" s="14" t="n"/>
      <c r="C216" s="12" t="n"/>
      <c r="D216" s="12" t="n"/>
      <c r="E216" s="13" t="n"/>
      <c r="F216" s="14" t="n"/>
      <c r="G216" s="14" t="n"/>
      <c r="H216" s="12" t="n"/>
      <c r="I216" s="12" t="n"/>
      <c r="J216" s="12" t="n"/>
      <c r="K216" s="13">
        <f>IF($A216="","",IF($H216="Paid",0,$E216))</f>
        <v/>
      </c>
    </row>
    <row r="217">
      <c r="B217" s="9" t="n"/>
      <c r="E217" s="10" t="n"/>
      <c r="F217" s="9" t="n"/>
      <c r="G217" s="9" t="n"/>
      <c r="K217" s="10">
        <f>IF($A217="","",IF($H217="Paid",0,$E217))</f>
        <v/>
      </c>
    </row>
    <row r="218">
      <c r="A218" s="12" t="n"/>
      <c r="B218" s="14" t="n"/>
      <c r="C218" s="12" t="n"/>
      <c r="D218" s="12" t="n"/>
      <c r="E218" s="13" t="n"/>
      <c r="F218" s="14" t="n"/>
      <c r="G218" s="14" t="n"/>
      <c r="H218" s="12" t="n"/>
      <c r="I218" s="12" t="n"/>
      <c r="J218" s="12" t="n"/>
      <c r="K218" s="13">
        <f>IF($A218="","",IF($H218="Paid",0,$E218))</f>
        <v/>
      </c>
    </row>
    <row r="219">
      <c r="B219" s="9" t="n"/>
      <c r="E219" s="10" t="n"/>
      <c r="F219" s="9" t="n"/>
      <c r="G219" s="9" t="n"/>
      <c r="K219" s="10">
        <f>IF($A219="","",IF($H219="Paid",0,$E219))</f>
        <v/>
      </c>
    </row>
    <row r="220">
      <c r="A220" s="12" t="n"/>
      <c r="B220" s="14" t="n"/>
      <c r="C220" s="12" t="n"/>
      <c r="D220" s="12" t="n"/>
      <c r="E220" s="13" t="n"/>
      <c r="F220" s="14" t="n"/>
      <c r="G220" s="14" t="n"/>
      <c r="H220" s="12" t="n"/>
      <c r="I220" s="12" t="n"/>
      <c r="J220" s="12" t="n"/>
      <c r="K220" s="13">
        <f>IF($A220="","",IF($H220="Paid",0,$E220))</f>
        <v/>
      </c>
    </row>
    <row r="221">
      <c r="B221" s="9" t="n"/>
      <c r="E221" s="10" t="n"/>
      <c r="F221" s="9" t="n"/>
      <c r="G221" s="9" t="n"/>
      <c r="K221" s="10">
        <f>IF($A221="","",IF($H221="Paid",0,$E221))</f>
        <v/>
      </c>
    </row>
    <row r="222">
      <c r="A222" s="12" t="n"/>
      <c r="B222" s="14" t="n"/>
      <c r="C222" s="12" t="n"/>
      <c r="D222" s="12" t="n"/>
      <c r="E222" s="13" t="n"/>
      <c r="F222" s="14" t="n"/>
      <c r="G222" s="14" t="n"/>
      <c r="H222" s="12" t="n"/>
      <c r="I222" s="12" t="n"/>
      <c r="J222" s="12" t="n"/>
      <c r="K222" s="13">
        <f>IF($A222="","",IF($H222="Paid",0,$E222))</f>
        <v/>
      </c>
    </row>
    <row r="223">
      <c r="B223" s="9" t="n"/>
      <c r="E223" s="10" t="n"/>
      <c r="F223" s="9" t="n"/>
      <c r="G223" s="9" t="n"/>
      <c r="K223" s="10">
        <f>IF($A223="","",IF($H223="Paid",0,$E223))</f>
        <v/>
      </c>
    </row>
    <row r="224">
      <c r="A224" s="12" t="n"/>
      <c r="B224" s="14" t="n"/>
      <c r="C224" s="12" t="n"/>
      <c r="D224" s="12" t="n"/>
      <c r="E224" s="13" t="n"/>
      <c r="F224" s="14" t="n"/>
      <c r="G224" s="14" t="n"/>
      <c r="H224" s="12" t="n"/>
      <c r="I224" s="12" t="n"/>
      <c r="J224" s="12" t="n"/>
      <c r="K224" s="13">
        <f>IF($A224="","",IF($H224="Paid",0,$E224))</f>
        <v/>
      </c>
    </row>
    <row r="225">
      <c r="B225" s="9" t="n"/>
      <c r="E225" s="10" t="n"/>
      <c r="F225" s="9" t="n"/>
      <c r="G225" s="9" t="n"/>
      <c r="K225" s="10">
        <f>IF($A225="","",IF($H225="Paid",0,$E225))</f>
        <v/>
      </c>
    </row>
    <row r="226">
      <c r="A226" s="12" t="n"/>
      <c r="B226" s="14" t="n"/>
      <c r="C226" s="12" t="n"/>
      <c r="D226" s="12" t="n"/>
      <c r="E226" s="13" t="n"/>
      <c r="F226" s="14" t="n"/>
      <c r="G226" s="14" t="n"/>
      <c r="H226" s="12" t="n"/>
      <c r="I226" s="12" t="n"/>
      <c r="J226" s="12" t="n"/>
      <c r="K226" s="13">
        <f>IF($A226="","",IF($H226="Paid",0,$E226))</f>
        <v/>
      </c>
    </row>
    <row r="227">
      <c r="B227" s="9" t="n"/>
      <c r="E227" s="10" t="n"/>
      <c r="F227" s="9" t="n"/>
      <c r="G227" s="9" t="n"/>
      <c r="K227" s="10">
        <f>IF($A227="","",IF($H227="Paid",0,$E227))</f>
        <v/>
      </c>
    </row>
    <row r="228">
      <c r="A228" s="12" t="n"/>
      <c r="B228" s="14" t="n"/>
      <c r="C228" s="12" t="n"/>
      <c r="D228" s="12" t="n"/>
      <c r="E228" s="13" t="n"/>
      <c r="F228" s="14" t="n"/>
      <c r="G228" s="14" t="n"/>
      <c r="H228" s="12" t="n"/>
      <c r="I228" s="12" t="n"/>
      <c r="J228" s="12" t="n"/>
      <c r="K228" s="13">
        <f>IF($A228="","",IF($H228="Paid",0,$E228))</f>
        <v/>
      </c>
    </row>
    <row r="229">
      <c r="B229" s="9" t="n"/>
      <c r="E229" s="10" t="n"/>
      <c r="F229" s="9" t="n"/>
      <c r="G229" s="9" t="n"/>
      <c r="K229" s="10">
        <f>IF($A229="","",IF($H229="Paid",0,$E229))</f>
        <v/>
      </c>
    </row>
    <row r="230">
      <c r="A230" s="12" t="n"/>
      <c r="B230" s="14" t="n"/>
      <c r="C230" s="12" t="n"/>
      <c r="D230" s="12" t="n"/>
      <c r="E230" s="13" t="n"/>
      <c r="F230" s="14" t="n"/>
      <c r="G230" s="14" t="n"/>
      <c r="H230" s="12" t="n"/>
      <c r="I230" s="12" t="n"/>
      <c r="J230" s="12" t="n"/>
      <c r="K230" s="13">
        <f>IF($A230="","",IF($H230="Paid",0,$E230))</f>
        <v/>
      </c>
    </row>
    <row r="231">
      <c r="B231" s="9" t="n"/>
      <c r="E231" s="10" t="n"/>
      <c r="F231" s="9" t="n"/>
      <c r="G231" s="9" t="n"/>
      <c r="K231" s="10">
        <f>IF($A231="","",IF($H231="Paid",0,$E231))</f>
        <v/>
      </c>
    </row>
    <row r="232">
      <c r="A232" s="12" t="n"/>
      <c r="B232" s="14" t="n"/>
      <c r="C232" s="12" t="n"/>
      <c r="D232" s="12" t="n"/>
      <c r="E232" s="13" t="n"/>
      <c r="F232" s="14" t="n"/>
      <c r="G232" s="14" t="n"/>
      <c r="H232" s="12" t="n"/>
      <c r="I232" s="12" t="n"/>
      <c r="J232" s="12" t="n"/>
      <c r="K232" s="13">
        <f>IF($A232="","",IF($H232="Paid",0,$E232))</f>
        <v/>
      </c>
    </row>
    <row r="233">
      <c r="B233" s="9" t="n"/>
      <c r="E233" s="10" t="n"/>
      <c r="F233" s="9" t="n"/>
      <c r="G233" s="9" t="n"/>
      <c r="K233" s="10">
        <f>IF($A233="","",IF($H233="Paid",0,$E233))</f>
        <v/>
      </c>
    </row>
    <row r="234">
      <c r="A234" s="12" t="n"/>
      <c r="B234" s="14" t="n"/>
      <c r="C234" s="12" t="n"/>
      <c r="D234" s="12" t="n"/>
      <c r="E234" s="13" t="n"/>
      <c r="F234" s="14" t="n"/>
      <c r="G234" s="14" t="n"/>
      <c r="H234" s="12" t="n"/>
      <c r="I234" s="12" t="n"/>
      <c r="J234" s="12" t="n"/>
      <c r="K234" s="13">
        <f>IF($A234="","",IF($H234="Paid",0,$E234))</f>
        <v/>
      </c>
    </row>
    <row r="235">
      <c r="B235" s="9" t="n"/>
      <c r="E235" s="10" t="n"/>
      <c r="F235" s="9" t="n"/>
      <c r="G235" s="9" t="n"/>
      <c r="K235" s="10">
        <f>IF($A235="","",IF($H235="Paid",0,$E235))</f>
        <v/>
      </c>
    </row>
    <row r="236">
      <c r="A236" s="12" t="n"/>
      <c r="B236" s="14" t="n"/>
      <c r="C236" s="12" t="n"/>
      <c r="D236" s="12" t="n"/>
      <c r="E236" s="13" t="n"/>
      <c r="F236" s="14" t="n"/>
      <c r="G236" s="14" t="n"/>
      <c r="H236" s="12" t="n"/>
      <c r="I236" s="12" t="n"/>
      <c r="J236" s="12" t="n"/>
      <c r="K236" s="13">
        <f>IF($A236="","",IF($H236="Paid",0,$E236))</f>
        <v/>
      </c>
    </row>
    <row r="237">
      <c r="B237" s="9" t="n"/>
      <c r="E237" s="10" t="n"/>
      <c r="F237" s="9" t="n"/>
      <c r="G237" s="9" t="n"/>
      <c r="K237" s="10">
        <f>IF($A237="","",IF($H237="Paid",0,$E237))</f>
        <v/>
      </c>
    </row>
    <row r="238">
      <c r="A238" s="12" t="n"/>
      <c r="B238" s="14" t="n"/>
      <c r="C238" s="12" t="n"/>
      <c r="D238" s="12" t="n"/>
      <c r="E238" s="13" t="n"/>
      <c r="F238" s="14" t="n"/>
      <c r="G238" s="14" t="n"/>
      <c r="H238" s="12" t="n"/>
      <c r="I238" s="12" t="n"/>
      <c r="J238" s="12" t="n"/>
      <c r="K238" s="13">
        <f>IF($A238="","",IF($H238="Paid",0,$E238))</f>
        <v/>
      </c>
    </row>
    <row r="239">
      <c r="B239" s="9" t="n"/>
      <c r="E239" s="10" t="n"/>
      <c r="F239" s="9" t="n"/>
      <c r="G239" s="9" t="n"/>
      <c r="K239" s="10">
        <f>IF($A239="","",IF($H239="Paid",0,$E239))</f>
        <v/>
      </c>
    </row>
    <row r="240">
      <c r="A240" s="12" t="n"/>
      <c r="B240" s="14" t="n"/>
      <c r="C240" s="12" t="n"/>
      <c r="D240" s="12" t="n"/>
      <c r="E240" s="13" t="n"/>
      <c r="F240" s="14" t="n"/>
      <c r="G240" s="14" t="n"/>
      <c r="H240" s="12" t="n"/>
      <c r="I240" s="12" t="n"/>
      <c r="J240" s="12" t="n"/>
      <c r="K240" s="13">
        <f>IF($A240="","",IF($H240="Paid",0,$E240))</f>
        <v/>
      </c>
    </row>
    <row r="241">
      <c r="B241" s="9" t="n"/>
      <c r="E241" s="10" t="n"/>
      <c r="F241" s="9" t="n"/>
      <c r="G241" s="9" t="n"/>
      <c r="K241" s="10">
        <f>IF($A241="","",IF($H241="Paid",0,$E241))</f>
        <v/>
      </c>
    </row>
    <row r="242">
      <c r="A242" s="12" t="n"/>
      <c r="B242" s="14" t="n"/>
      <c r="C242" s="12" t="n"/>
      <c r="D242" s="12" t="n"/>
      <c r="E242" s="13" t="n"/>
      <c r="F242" s="14" t="n"/>
      <c r="G242" s="14" t="n"/>
      <c r="H242" s="12" t="n"/>
      <c r="I242" s="12" t="n"/>
      <c r="J242" s="12" t="n"/>
      <c r="K242" s="13">
        <f>IF($A242="","",IF($H242="Paid",0,$E242))</f>
        <v/>
      </c>
    </row>
    <row r="243">
      <c r="B243" s="9" t="n"/>
      <c r="E243" s="10" t="n"/>
      <c r="F243" s="9" t="n"/>
      <c r="G243" s="9" t="n"/>
      <c r="K243" s="10">
        <f>IF($A243="","",IF($H243="Paid",0,$E243))</f>
        <v/>
      </c>
    </row>
    <row r="244">
      <c r="A244" s="12" t="n"/>
      <c r="B244" s="14" t="n"/>
      <c r="C244" s="12" t="n"/>
      <c r="D244" s="12" t="n"/>
      <c r="E244" s="13" t="n"/>
      <c r="F244" s="14" t="n"/>
      <c r="G244" s="14" t="n"/>
      <c r="H244" s="12" t="n"/>
      <c r="I244" s="12" t="n"/>
      <c r="J244" s="12" t="n"/>
      <c r="K244" s="13">
        <f>IF($A244="","",IF($H244="Paid",0,$E244))</f>
        <v/>
      </c>
    </row>
    <row r="245">
      <c r="B245" s="9" t="n"/>
      <c r="E245" s="10" t="n"/>
      <c r="F245" s="9" t="n"/>
      <c r="G245" s="9" t="n"/>
      <c r="K245" s="10">
        <f>IF($A245="","",IF($H245="Paid",0,$E245))</f>
        <v/>
      </c>
    </row>
    <row r="246">
      <c r="A246" s="12" t="n"/>
      <c r="B246" s="14" t="n"/>
      <c r="C246" s="12" t="n"/>
      <c r="D246" s="12" t="n"/>
      <c r="E246" s="13" t="n"/>
      <c r="F246" s="14" t="n"/>
      <c r="G246" s="14" t="n"/>
      <c r="H246" s="12" t="n"/>
      <c r="I246" s="12" t="n"/>
      <c r="J246" s="12" t="n"/>
      <c r="K246" s="13">
        <f>IF($A246="","",IF($H246="Paid",0,$E246))</f>
        <v/>
      </c>
    </row>
    <row r="247">
      <c r="B247" s="9" t="n"/>
      <c r="E247" s="10" t="n"/>
      <c r="F247" s="9" t="n"/>
      <c r="G247" s="9" t="n"/>
      <c r="K247" s="10">
        <f>IF($A247="","",IF($H247="Paid",0,$E247))</f>
        <v/>
      </c>
    </row>
    <row r="248">
      <c r="A248" s="12" t="n"/>
      <c r="B248" s="14" t="n"/>
      <c r="C248" s="12" t="n"/>
      <c r="D248" s="12" t="n"/>
      <c r="E248" s="13" t="n"/>
      <c r="F248" s="14" t="n"/>
      <c r="G248" s="14" t="n"/>
      <c r="H248" s="12" t="n"/>
      <c r="I248" s="12" t="n"/>
      <c r="J248" s="12" t="n"/>
      <c r="K248" s="13">
        <f>IF($A248="","",IF($H248="Paid",0,$E248))</f>
        <v/>
      </c>
    </row>
    <row r="249">
      <c r="B249" s="9" t="n"/>
      <c r="E249" s="10" t="n"/>
      <c r="F249" s="9" t="n"/>
      <c r="G249" s="9" t="n"/>
      <c r="K249" s="10">
        <f>IF($A249="","",IF($H249="Paid",0,$E249))</f>
        <v/>
      </c>
    </row>
    <row r="250">
      <c r="A250" s="12" t="n"/>
      <c r="B250" s="14" t="n"/>
      <c r="C250" s="12" t="n"/>
      <c r="D250" s="12" t="n"/>
      <c r="E250" s="13" t="n"/>
      <c r="F250" s="14" t="n"/>
      <c r="G250" s="14" t="n"/>
      <c r="H250" s="12" t="n"/>
      <c r="I250" s="12" t="n"/>
      <c r="J250" s="12" t="n"/>
      <c r="K250" s="13">
        <f>IF($A250="","",IF($H250="Paid",0,$E250))</f>
        <v/>
      </c>
    </row>
    <row r="251">
      <c r="B251" s="9" t="n"/>
      <c r="E251" s="10" t="n"/>
      <c r="F251" s="9" t="n"/>
      <c r="G251" s="9" t="n"/>
      <c r="K251" s="10">
        <f>IF($A251="","",IF($H251="Paid",0,$E251))</f>
        <v/>
      </c>
    </row>
  </sheetData>
  <autoFilter ref="A1:K251"/>
  <conditionalFormatting sqref="A2:K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1">
    <dataValidation sqref="H2:H251" showDropDown="0" showInputMessage="0" showErrorMessage="0" allowBlank="1" type="list">
      <formula1>='Lists'!$Y$2:$Y$8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2" customHeight="1">
      <c r="A1" s="11" t="inlineStr">
        <is>
          <t>Date</t>
        </is>
      </c>
      <c r="B1" s="11" t="inlineStr">
        <is>
          <t>Meeting type</t>
        </is>
      </c>
      <c r="C1" s="11" t="inlineStr">
        <is>
          <t>Attendees</t>
        </is>
      </c>
      <c r="D1" s="11" t="inlineStr">
        <is>
          <t>Discussion points</t>
        </is>
      </c>
      <c r="E1" s="11" t="inlineStr">
        <is>
          <t>Decisions made</t>
        </is>
      </c>
      <c r="F1" s="11" t="inlineStr">
        <is>
          <t>Action items</t>
        </is>
      </c>
      <c r="G1" s="11" t="inlineStr">
        <is>
          <t>Follow-up date</t>
        </is>
      </c>
      <c r="H1" s="11" t="inlineStr">
        <is>
          <t>Notes</t>
        </is>
      </c>
    </row>
    <row r="2">
      <c r="A2" s="14" t="n"/>
      <c r="B2" s="12" t="n"/>
      <c r="C2" s="12" t="n"/>
      <c r="D2" s="12" t="n"/>
      <c r="E2" s="12" t="n"/>
      <c r="F2" s="12" t="n"/>
      <c r="G2" s="14" t="n"/>
      <c r="H2" s="12" t="n"/>
    </row>
    <row r="3">
      <c r="A3" s="9" t="n"/>
      <c r="G3" s="9" t="n"/>
    </row>
    <row r="4">
      <c r="A4" s="14" t="n"/>
      <c r="B4" s="12" t="n"/>
      <c r="C4" s="12" t="n"/>
      <c r="D4" s="12" t="n"/>
      <c r="E4" s="12" t="n"/>
      <c r="F4" s="12" t="n"/>
      <c r="G4" s="14" t="n"/>
      <c r="H4" s="12" t="n"/>
    </row>
    <row r="5">
      <c r="A5" s="9" t="n"/>
      <c r="G5" s="9" t="n"/>
    </row>
    <row r="6">
      <c r="A6" s="14" t="n"/>
      <c r="B6" s="12" t="n"/>
      <c r="C6" s="12" t="n"/>
      <c r="D6" s="12" t="n"/>
      <c r="E6" s="12" t="n"/>
      <c r="F6" s="12" t="n"/>
      <c r="G6" s="14" t="n"/>
      <c r="H6" s="12" t="n"/>
    </row>
    <row r="7">
      <c r="A7" s="9" t="n"/>
      <c r="G7" s="9" t="n"/>
    </row>
    <row r="8">
      <c r="A8" s="14" t="n"/>
      <c r="B8" s="12" t="n"/>
      <c r="C8" s="12" t="n"/>
      <c r="D8" s="12" t="n"/>
      <c r="E8" s="12" t="n"/>
      <c r="F8" s="12" t="n"/>
      <c r="G8" s="14" t="n"/>
      <c r="H8" s="12" t="n"/>
    </row>
    <row r="9">
      <c r="A9" s="9" t="n"/>
      <c r="G9" s="9" t="n"/>
    </row>
    <row r="10">
      <c r="A10" s="14" t="n"/>
      <c r="B10" s="12" t="n"/>
      <c r="C10" s="12" t="n"/>
      <c r="D10" s="12" t="n"/>
      <c r="E10" s="12" t="n"/>
      <c r="F10" s="12" t="n"/>
      <c r="G10" s="14" t="n"/>
      <c r="H10" s="12" t="n"/>
    </row>
    <row r="11">
      <c r="A11" s="9" t="n"/>
      <c r="G11" s="9" t="n"/>
    </row>
    <row r="12">
      <c r="A12" s="14" t="n"/>
      <c r="B12" s="12" t="n"/>
      <c r="C12" s="12" t="n"/>
      <c r="D12" s="12" t="n"/>
      <c r="E12" s="12" t="n"/>
      <c r="F12" s="12" t="n"/>
      <c r="G12" s="14" t="n"/>
      <c r="H12" s="12" t="n"/>
    </row>
    <row r="13">
      <c r="A13" s="9" t="n"/>
      <c r="G13" s="9" t="n"/>
    </row>
    <row r="14">
      <c r="A14" s="14" t="n"/>
      <c r="B14" s="12" t="n"/>
      <c r="C14" s="12" t="n"/>
      <c r="D14" s="12" t="n"/>
      <c r="E14" s="12" t="n"/>
      <c r="F14" s="12" t="n"/>
      <c r="G14" s="14" t="n"/>
      <c r="H14" s="12" t="n"/>
    </row>
    <row r="15">
      <c r="A15" s="9" t="n"/>
      <c r="G15" s="9" t="n"/>
    </row>
    <row r="16">
      <c r="A16" s="14" t="n"/>
      <c r="B16" s="12" t="n"/>
      <c r="C16" s="12" t="n"/>
      <c r="D16" s="12" t="n"/>
      <c r="E16" s="12" t="n"/>
      <c r="F16" s="12" t="n"/>
      <c r="G16" s="14" t="n"/>
      <c r="H16" s="12" t="n"/>
    </row>
    <row r="17">
      <c r="A17" s="9" t="n"/>
      <c r="G17" s="9" t="n"/>
    </row>
    <row r="18">
      <c r="A18" s="14" t="n"/>
      <c r="B18" s="12" t="n"/>
      <c r="C18" s="12" t="n"/>
      <c r="D18" s="12" t="n"/>
      <c r="E18" s="12" t="n"/>
      <c r="F18" s="12" t="n"/>
      <c r="G18" s="14" t="n"/>
      <c r="H18" s="12" t="n"/>
    </row>
    <row r="19">
      <c r="A19" s="9" t="n"/>
      <c r="G19" s="9" t="n"/>
    </row>
    <row r="20">
      <c r="A20" s="14" t="n"/>
      <c r="B20" s="12" t="n"/>
      <c r="C20" s="12" t="n"/>
      <c r="D20" s="12" t="n"/>
      <c r="E20" s="12" t="n"/>
      <c r="F20" s="12" t="n"/>
      <c r="G20" s="14" t="n"/>
      <c r="H20" s="12" t="n"/>
    </row>
    <row r="21">
      <c r="A21" s="9" t="n"/>
      <c r="G21" s="9" t="n"/>
    </row>
    <row r="22">
      <c r="A22" s="14" t="n"/>
      <c r="B22" s="12" t="n"/>
      <c r="C22" s="12" t="n"/>
      <c r="D22" s="12" t="n"/>
      <c r="E22" s="12" t="n"/>
      <c r="F22" s="12" t="n"/>
      <c r="G22" s="14" t="n"/>
      <c r="H22" s="12" t="n"/>
    </row>
    <row r="23">
      <c r="A23" s="9" t="n"/>
      <c r="G23" s="9" t="n"/>
    </row>
    <row r="24">
      <c r="A24" s="14" t="n"/>
      <c r="B24" s="12" t="n"/>
      <c r="C24" s="12" t="n"/>
      <c r="D24" s="12" t="n"/>
      <c r="E24" s="12" t="n"/>
      <c r="F24" s="12" t="n"/>
      <c r="G24" s="14" t="n"/>
      <c r="H24" s="12" t="n"/>
    </row>
    <row r="25">
      <c r="A25" s="9" t="n"/>
      <c r="G25" s="9" t="n"/>
    </row>
    <row r="26">
      <c r="A26" s="14" t="n"/>
      <c r="B26" s="12" t="n"/>
      <c r="C26" s="12" t="n"/>
      <c r="D26" s="12" t="n"/>
      <c r="E26" s="12" t="n"/>
      <c r="F26" s="12" t="n"/>
      <c r="G26" s="14" t="n"/>
      <c r="H26" s="12" t="n"/>
    </row>
    <row r="27">
      <c r="A27" s="9" t="n"/>
      <c r="G27" s="9" t="n"/>
    </row>
    <row r="28">
      <c r="A28" s="14" t="n"/>
      <c r="B28" s="12" t="n"/>
      <c r="C28" s="12" t="n"/>
      <c r="D28" s="12" t="n"/>
      <c r="E28" s="12" t="n"/>
      <c r="F28" s="12" t="n"/>
      <c r="G28" s="14" t="n"/>
      <c r="H28" s="12" t="n"/>
    </row>
    <row r="29">
      <c r="A29" s="9" t="n"/>
      <c r="G29" s="9" t="n"/>
    </row>
    <row r="30">
      <c r="A30" s="14" t="n"/>
      <c r="B30" s="12" t="n"/>
      <c r="C30" s="12" t="n"/>
      <c r="D30" s="12" t="n"/>
      <c r="E30" s="12" t="n"/>
      <c r="F30" s="12" t="n"/>
      <c r="G30" s="14" t="n"/>
      <c r="H30" s="12" t="n"/>
    </row>
    <row r="31">
      <c r="A31" s="9" t="n"/>
      <c r="G31" s="9" t="n"/>
    </row>
    <row r="32">
      <c r="A32" s="14" t="n"/>
      <c r="B32" s="12" t="n"/>
      <c r="C32" s="12" t="n"/>
      <c r="D32" s="12" t="n"/>
      <c r="E32" s="12" t="n"/>
      <c r="F32" s="12" t="n"/>
      <c r="G32" s="14" t="n"/>
      <c r="H32" s="12" t="n"/>
    </row>
    <row r="33">
      <c r="A33" s="9" t="n"/>
      <c r="G33" s="9" t="n"/>
    </row>
    <row r="34">
      <c r="A34" s="14" t="n"/>
      <c r="B34" s="12" t="n"/>
      <c r="C34" s="12" t="n"/>
      <c r="D34" s="12" t="n"/>
      <c r="E34" s="12" t="n"/>
      <c r="F34" s="12" t="n"/>
      <c r="G34" s="14" t="n"/>
      <c r="H34" s="12" t="n"/>
    </row>
    <row r="35">
      <c r="A35" s="9" t="n"/>
      <c r="G35" s="9" t="n"/>
    </row>
    <row r="36">
      <c r="A36" s="14" t="n"/>
      <c r="B36" s="12" t="n"/>
      <c r="C36" s="12" t="n"/>
      <c r="D36" s="12" t="n"/>
      <c r="E36" s="12" t="n"/>
      <c r="F36" s="12" t="n"/>
      <c r="G36" s="14" t="n"/>
      <c r="H36" s="12" t="n"/>
    </row>
    <row r="37">
      <c r="A37" s="9" t="n"/>
      <c r="G37" s="9" t="n"/>
    </row>
    <row r="38">
      <c r="A38" s="14" t="n"/>
      <c r="B38" s="12" t="n"/>
      <c r="C38" s="12" t="n"/>
      <c r="D38" s="12" t="n"/>
      <c r="E38" s="12" t="n"/>
      <c r="F38" s="12" t="n"/>
      <c r="G38" s="14" t="n"/>
      <c r="H38" s="12" t="n"/>
    </row>
    <row r="39">
      <c r="A39" s="9" t="n"/>
      <c r="G39" s="9" t="n"/>
    </row>
    <row r="40">
      <c r="A40" s="14" t="n"/>
      <c r="B40" s="12" t="n"/>
      <c r="C40" s="12" t="n"/>
      <c r="D40" s="12" t="n"/>
      <c r="E40" s="12" t="n"/>
      <c r="F40" s="12" t="n"/>
      <c r="G40" s="14" t="n"/>
      <c r="H40" s="12" t="n"/>
    </row>
    <row r="41">
      <c r="A41" s="9" t="n"/>
      <c r="G41" s="9" t="n"/>
    </row>
    <row r="42">
      <c r="A42" s="14" t="n"/>
      <c r="B42" s="12" t="n"/>
      <c r="C42" s="12" t="n"/>
      <c r="D42" s="12" t="n"/>
      <c r="E42" s="12" t="n"/>
      <c r="F42" s="12" t="n"/>
      <c r="G42" s="14" t="n"/>
      <c r="H42" s="12" t="n"/>
    </row>
    <row r="43">
      <c r="A43" s="9" t="n"/>
      <c r="G43" s="9" t="n"/>
    </row>
    <row r="44">
      <c r="A44" s="14" t="n"/>
      <c r="B44" s="12" t="n"/>
      <c r="C44" s="12" t="n"/>
      <c r="D44" s="12" t="n"/>
      <c r="E44" s="12" t="n"/>
      <c r="F44" s="12" t="n"/>
      <c r="G44" s="14" t="n"/>
      <c r="H44" s="12" t="n"/>
    </row>
    <row r="45">
      <c r="A45" s="9" t="n"/>
      <c r="G45" s="9" t="n"/>
    </row>
    <row r="46">
      <c r="A46" s="14" t="n"/>
      <c r="B46" s="12" t="n"/>
      <c r="C46" s="12" t="n"/>
      <c r="D46" s="12" t="n"/>
      <c r="E46" s="12" t="n"/>
      <c r="F46" s="12" t="n"/>
      <c r="G46" s="14" t="n"/>
      <c r="H46" s="12" t="n"/>
    </row>
    <row r="47">
      <c r="A47" s="9" t="n"/>
      <c r="G47" s="9" t="n"/>
    </row>
    <row r="48">
      <c r="A48" s="14" t="n"/>
      <c r="B48" s="12" t="n"/>
      <c r="C48" s="12" t="n"/>
      <c r="D48" s="12" t="n"/>
      <c r="E48" s="12" t="n"/>
      <c r="F48" s="12" t="n"/>
      <c r="G48" s="14" t="n"/>
      <c r="H48" s="12" t="n"/>
    </row>
    <row r="49">
      <c r="A49" s="9" t="n"/>
      <c r="G49" s="9" t="n"/>
    </row>
    <row r="50">
      <c r="A50" s="14" t="n"/>
      <c r="B50" s="12" t="n"/>
      <c r="C50" s="12" t="n"/>
      <c r="D50" s="12" t="n"/>
      <c r="E50" s="12" t="n"/>
      <c r="F50" s="12" t="n"/>
      <c r="G50" s="14" t="n"/>
      <c r="H50" s="12" t="n"/>
    </row>
    <row r="51">
      <c r="A51" s="9" t="n"/>
      <c r="G51" s="9" t="n"/>
    </row>
    <row r="52">
      <c r="A52" s="14" t="n"/>
      <c r="B52" s="12" t="n"/>
      <c r="C52" s="12" t="n"/>
      <c r="D52" s="12" t="n"/>
      <c r="E52" s="12" t="n"/>
      <c r="F52" s="12" t="n"/>
      <c r="G52" s="14" t="n"/>
      <c r="H52" s="12" t="n"/>
    </row>
    <row r="53">
      <c r="A53" s="9" t="n"/>
      <c r="G53" s="9" t="n"/>
    </row>
    <row r="54">
      <c r="A54" s="14" t="n"/>
      <c r="B54" s="12" t="n"/>
      <c r="C54" s="12" t="n"/>
      <c r="D54" s="12" t="n"/>
      <c r="E54" s="12" t="n"/>
      <c r="F54" s="12" t="n"/>
      <c r="G54" s="14" t="n"/>
      <c r="H54" s="12" t="n"/>
    </row>
    <row r="55">
      <c r="A55" s="9" t="n"/>
      <c r="G55" s="9" t="n"/>
    </row>
    <row r="56">
      <c r="A56" s="14" t="n"/>
      <c r="B56" s="12" t="n"/>
      <c r="C56" s="12" t="n"/>
      <c r="D56" s="12" t="n"/>
      <c r="E56" s="12" t="n"/>
      <c r="F56" s="12" t="n"/>
      <c r="G56" s="14" t="n"/>
      <c r="H56" s="12" t="n"/>
    </row>
    <row r="57">
      <c r="A57" s="9" t="n"/>
      <c r="G57" s="9" t="n"/>
    </row>
    <row r="58">
      <c r="A58" s="14" t="n"/>
      <c r="B58" s="12" t="n"/>
      <c r="C58" s="12" t="n"/>
      <c r="D58" s="12" t="n"/>
      <c r="E58" s="12" t="n"/>
      <c r="F58" s="12" t="n"/>
      <c r="G58" s="14" t="n"/>
      <c r="H58" s="12" t="n"/>
    </row>
    <row r="59">
      <c r="A59" s="9" t="n"/>
      <c r="G59" s="9" t="n"/>
    </row>
    <row r="60">
      <c r="A60" s="14" t="n"/>
      <c r="B60" s="12" t="n"/>
      <c r="C60" s="12" t="n"/>
      <c r="D60" s="12" t="n"/>
      <c r="E60" s="12" t="n"/>
      <c r="F60" s="12" t="n"/>
      <c r="G60" s="14" t="n"/>
      <c r="H60" s="12" t="n"/>
    </row>
    <row r="61">
      <c r="A61" s="9" t="n"/>
      <c r="G61" s="9" t="n"/>
    </row>
    <row r="62">
      <c r="A62" s="14" t="n"/>
      <c r="B62" s="12" t="n"/>
      <c r="C62" s="12" t="n"/>
      <c r="D62" s="12" t="n"/>
      <c r="E62" s="12" t="n"/>
      <c r="F62" s="12" t="n"/>
      <c r="G62" s="14" t="n"/>
      <c r="H62" s="12" t="n"/>
    </row>
    <row r="63">
      <c r="A63" s="9" t="n"/>
      <c r="G63" s="9" t="n"/>
    </row>
    <row r="64">
      <c r="A64" s="14" t="n"/>
      <c r="B64" s="12" t="n"/>
      <c r="C64" s="12" t="n"/>
      <c r="D64" s="12" t="n"/>
      <c r="E64" s="12" t="n"/>
      <c r="F64" s="12" t="n"/>
      <c r="G64" s="14" t="n"/>
      <c r="H64" s="12" t="n"/>
    </row>
    <row r="65">
      <c r="A65" s="9" t="n"/>
      <c r="G65" s="9" t="n"/>
    </row>
    <row r="66">
      <c r="A66" s="14" t="n"/>
      <c r="B66" s="12" t="n"/>
      <c r="C66" s="12" t="n"/>
      <c r="D66" s="12" t="n"/>
      <c r="E66" s="12" t="n"/>
      <c r="F66" s="12" t="n"/>
      <c r="G66" s="14" t="n"/>
      <c r="H66" s="12" t="n"/>
    </row>
    <row r="67">
      <c r="A67" s="9" t="n"/>
      <c r="G67" s="9" t="n"/>
    </row>
    <row r="68">
      <c r="A68" s="14" t="n"/>
      <c r="B68" s="12" t="n"/>
      <c r="C68" s="12" t="n"/>
      <c r="D68" s="12" t="n"/>
      <c r="E68" s="12" t="n"/>
      <c r="F68" s="12" t="n"/>
      <c r="G68" s="14" t="n"/>
      <c r="H68" s="12" t="n"/>
    </row>
    <row r="69">
      <c r="A69" s="9" t="n"/>
      <c r="G69" s="9" t="n"/>
    </row>
    <row r="70">
      <c r="A70" s="14" t="n"/>
      <c r="B70" s="12" t="n"/>
      <c r="C70" s="12" t="n"/>
      <c r="D70" s="12" t="n"/>
      <c r="E70" s="12" t="n"/>
      <c r="F70" s="12" t="n"/>
      <c r="G70" s="14" t="n"/>
      <c r="H70" s="12" t="n"/>
    </row>
    <row r="71">
      <c r="A71" s="9" t="n"/>
      <c r="G71" s="9" t="n"/>
    </row>
    <row r="72">
      <c r="A72" s="14" t="n"/>
      <c r="B72" s="12" t="n"/>
      <c r="C72" s="12" t="n"/>
      <c r="D72" s="12" t="n"/>
      <c r="E72" s="12" t="n"/>
      <c r="F72" s="12" t="n"/>
      <c r="G72" s="14" t="n"/>
      <c r="H72" s="12" t="n"/>
    </row>
    <row r="73">
      <c r="A73" s="9" t="n"/>
      <c r="G73" s="9" t="n"/>
    </row>
    <row r="74">
      <c r="A74" s="14" t="n"/>
      <c r="B74" s="12" t="n"/>
      <c r="C74" s="12" t="n"/>
      <c r="D74" s="12" t="n"/>
      <c r="E74" s="12" t="n"/>
      <c r="F74" s="12" t="n"/>
      <c r="G74" s="14" t="n"/>
      <c r="H74" s="12" t="n"/>
    </row>
    <row r="75">
      <c r="A75" s="9" t="n"/>
      <c r="G75" s="9" t="n"/>
    </row>
    <row r="76">
      <c r="A76" s="14" t="n"/>
      <c r="B76" s="12" t="n"/>
      <c r="C76" s="12" t="n"/>
      <c r="D76" s="12" t="n"/>
      <c r="E76" s="12" t="n"/>
      <c r="F76" s="12" t="n"/>
      <c r="G76" s="14" t="n"/>
      <c r="H76" s="12" t="n"/>
    </row>
    <row r="77">
      <c r="A77" s="9" t="n"/>
      <c r="G77" s="9" t="n"/>
    </row>
    <row r="78">
      <c r="A78" s="14" t="n"/>
      <c r="B78" s="12" t="n"/>
      <c r="C78" s="12" t="n"/>
      <c r="D78" s="12" t="n"/>
      <c r="E78" s="12" t="n"/>
      <c r="F78" s="12" t="n"/>
      <c r="G78" s="14" t="n"/>
      <c r="H78" s="12" t="n"/>
    </row>
    <row r="79">
      <c r="A79" s="9" t="n"/>
      <c r="G79" s="9" t="n"/>
    </row>
    <row r="80">
      <c r="A80" s="14" t="n"/>
      <c r="B80" s="12" t="n"/>
      <c r="C80" s="12" t="n"/>
      <c r="D80" s="12" t="n"/>
      <c r="E80" s="12" t="n"/>
      <c r="F80" s="12" t="n"/>
      <c r="G80" s="14" t="n"/>
      <c r="H80" s="12" t="n"/>
    </row>
    <row r="81">
      <c r="A81" s="9" t="n"/>
      <c r="G81" s="9" t="n"/>
    </row>
    <row r="82">
      <c r="A82" s="14" t="n"/>
      <c r="B82" s="12" t="n"/>
      <c r="C82" s="12" t="n"/>
      <c r="D82" s="12" t="n"/>
      <c r="E82" s="12" t="n"/>
      <c r="F82" s="12" t="n"/>
      <c r="G82" s="14" t="n"/>
      <c r="H82" s="12" t="n"/>
    </row>
    <row r="83">
      <c r="A83" s="9" t="n"/>
      <c r="G83" s="9" t="n"/>
    </row>
    <row r="84">
      <c r="A84" s="14" t="n"/>
      <c r="B84" s="12" t="n"/>
      <c r="C84" s="12" t="n"/>
      <c r="D84" s="12" t="n"/>
      <c r="E84" s="12" t="n"/>
      <c r="F84" s="12" t="n"/>
      <c r="G84" s="14" t="n"/>
      <c r="H84" s="12" t="n"/>
    </row>
    <row r="85">
      <c r="A85" s="9" t="n"/>
      <c r="G85" s="9" t="n"/>
    </row>
    <row r="86">
      <c r="A86" s="14" t="n"/>
      <c r="B86" s="12" t="n"/>
      <c r="C86" s="12" t="n"/>
      <c r="D86" s="12" t="n"/>
      <c r="E86" s="12" t="n"/>
      <c r="F86" s="12" t="n"/>
      <c r="G86" s="14" t="n"/>
      <c r="H86" s="12" t="n"/>
    </row>
    <row r="87">
      <c r="A87" s="9" t="n"/>
      <c r="G87" s="9" t="n"/>
    </row>
    <row r="88">
      <c r="A88" s="14" t="n"/>
      <c r="B88" s="12" t="n"/>
      <c r="C88" s="12" t="n"/>
      <c r="D88" s="12" t="n"/>
      <c r="E88" s="12" t="n"/>
      <c r="F88" s="12" t="n"/>
      <c r="G88" s="14" t="n"/>
      <c r="H88" s="12" t="n"/>
    </row>
    <row r="89">
      <c r="A89" s="9" t="n"/>
      <c r="G89" s="9" t="n"/>
    </row>
    <row r="90">
      <c r="A90" s="14" t="n"/>
      <c r="B90" s="12" t="n"/>
      <c r="C90" s="12" t="n"/>
      <c r="D90" s="12" t="n"/>
      <c r="E90" s="12" t="n"/>
      <c r="F90" s="12" t="n"/>
      <c r="G90" s="14" t="n"/>
      <c r="H90" s="12" t="n"/>
    </row>
    <row r="91">
      <c r="A91" s="9" t="n"/>
      <c r="G91" s="9" t="n"/>
    </row>
    <row r="92">
      <c r="A92" s="14" t="n"/>
      <c r="B92" s="12" t="n"/>
      <c r="C92" s="12" t="n"/>
      <c r="D92" s="12" t="n"/>
      <c r="E92" s="12" t="n"/>
      <c r="F92" s="12" t="n"/>
      <c r="G92" s="14" t="n"/>
      <c r="H92" s="12" t="n"/>
    </row>
    <row r="93">
      <c r="A93" s="9" t="n"/>
      <c r="G93" s="9" t="n"/>
    </row>
    <row r="94">
      <c r="A94" s="14" t="n"/>
      <c r="B94" s="12" t="n"/>
      <c r="C94" s="12" t="n"/>
      <c r="D94" s="12" t="n"/>
      <c r="E94" s="12" t="n"/>
      <c r="F94" s="12" t="n"/>
      <c r="G94" s="14" t="n"/>
      <c r="H94" s="12" t="n"/>
    </row>
    <row r="95">
      <c r="A95" s="9" t="n"/>
      <c r="G95" s="9" t="n"/>
    </row>
    <row r="96">
      <c r="A96" s="14" t="n"/>
      <c r="B96" s="12" t="n"/>
      <c r="C96" s="12" t="n"/>
      <c r="D96" s="12" t="n"/>
      <c r="E96" s="12" t="n"/>
      <c r="F96" s="12" t="n"/>
      <c r="G96" s="14" t="n"/>
      <c r="H96" s="12" t="n"/>
    </row>
    <row r="97">
      <c r="A97" s="9" t="n"/>
      <c r="G97" s="9" t="n"/>
    </row>
    <row r="98">
      <c r="A98" s="14" t="n"/>
      <c r="B98" s="12" t="n"/>
      <c r="C98" s="12" t="n"/>
      <c r="D98" s="12" t="n"/>
      <c r="E98" s="12" t="n"/>
      <c r="F98" s="12" t="n"/>
      <c r="G98" s="14" t="n"/>
      <c r="H98" s="12" t="n"/>
    </row>
    <row r="99">
      <c r="A99" s="9" t="n"/>
      <c r="G99" s="9" t="n"/>
    </row>
    <row r="100">
      <c r="A100" s="14" t="n"/>
      <c r="B100" s="12" t="n"/>
      <c r="C100" s="12" t="n"/>
      <c r="D100" s="12" t="n"/>
      <c r="E100" s="12" t="n"/>
      <c r="F100" s="12" t="n"/>
      <c r="G100" s="14" t="n"/>
      <c r="H100" s="12" t="n"/>
    </row>
    <row r="101">
      <c r="A101" s="9" t="n"/>
      <c r="G101" s="9" t="n"/>
    </row>
    <row r="102">
      <c r="A102" s="14" t="n"/>
      <c r="B102" s="12" t="n"/>
      <c r="C102" s="12" t="n"/>
      <c r="D102" s="12" t="n"/>
      <c r="E102" s="12" t="n"/>
      <c r="F102" s="12" t="n"/>
      <c r="G102" s="14" t="n"/>
      <c r="H102" s="12" t="n"/>
    </row>
    <row r="103">
      <c r="A103" s="9" t="n"/>
      <c r="G103" s="9" t="n"/>
    </row>
    <row r="104">
      <c r="A104" s="14" t="n"/>
      <c r="B104" s="12" t="n"/>
      <c r="C104" s="12" t="n"/>
      <c r="D104" s="12" t="n"/>
      <c r="E104" s="12" t="n"/>
      <c r="F104" s="12" t="n"/>
      <c r="G104" s="14" t="n"/>
      <c r="H104" s="12" t="n"/>
    </row>
    <row r="105">
      <c r="A105" s="9" t="n"/>
      <c r="G105" s="9" t="n"/>
    </row>
    <row r="106">
      <c r="A106" s="14" t="n"/>
      <c r="B106" s="12" t="n"/>
      <c r="C106" s="12" t="n"/>
      <c r="D106" s="12" t="n"/>
      <c r="E106" s="12" t="n"/>
      <c r="F106" s="12" t="n"/>
      <c r="G106" s="14" t="n"/>
      <c r="H106" s="12" t="n"/>
    </row>
    <row r="107">
      <c r="A107" s="9" t="n"/>
      <c r="G107" s="9" t="n"/>
    </row>
    <row r="108">
      <c r="A108" s="14" t="n"/>
      <c r="B108" s="12" t="n"/>
      <c r="C108" s="12" t="n"/>
      <c r="D108" s="12" t="n"/>
      <c r="E108" s="12" t="n"/>
      <c r="F108" s="12" t="n"/>
      <c r="G108" s="14" t="n"/>
      <c r="H108" s="12" t="n"/>
    </row>
    <row r="109">
      <c r="A109" s="9" t="n"/>
      <c r="G109" s="9" t="n"/>
    </row>
    <row r="110">
      <c r="A110" s="14" t="n"/>
      <c r="B110" s="12" t="n"/>
      <c r="C110" s="12" t="n"/>
      <c r="D110" s="12" t="n"/>
      <c r="E110" s="12" t="n"/>
      <c r="F110" s="12" t="n"/>
      <c r="G110" s="14" t="n"/>
      <c r="H110" s="12" t="n"/>
    </row>
    <row r="111">
      <c r="A111" s="9" t="n"/>
      <c r="G111" s="9" t="n"/>
    </row>
    <row r="112">
      <c r="A112" s="14" t="n"/>
      <c r="B112" s="12" t="n"/>
      <c r="C112" s="12" t="n"/>
      <c r="D112" s="12" t="n"/>
      <c r="E112" s="12" t="n"/>
      <c r="F112" s="12" t="n"/>
      <c r="G112" s="14" t="n"/>
      <c r="H112" s="12" t="n"/>
    </row>
    <row r="113">
      <c r="A113" s="9" t="n"/>
      <c r="G113" s="9" t="n"/>
    </row>
    <row r="114">
      <c r="A114" s="14" t="n"/>
      <c r="B114" s="12" t="n"/>
      <c r="C114" s="12" t="n"/>
      <c r="D114" s="12" t="n"/>
      <c r="E114" s="12" t="n"/>
      <c r="F114" s="12" t="n"/>
      <c r="G114" s="14" t="n"/>
      <c r="H114" s="12" t="n"/>
    </row>
    <row r="115">
      <c r="A115" s="9" t="n"/>
      <c r="G115" s="9" t="n"/>
    </row>
    <row r="116">
      <c r="A116" s="14" t="n"/>
      <c r="B116" s="12" t="n"/>
      <c r="C116" s="12" t="n"/>
      <c r="D116" s="12" t="n"/>
      <c r="E116" s="12" t="n"/>
      <c r="F116" s="12" t="n"/>
      <c r="G116" s="14" t="n"/>
      <c r="H116" s="12" t="n"/>
    </row>
    <row r="117">
      <c r="A117" s="9" t="n"/>
      <c r="G117" s="9" t="n"/>
    </row>
    <row r="118">
      <c r="A118" s="14" t="n"/>
      <c r="B118" s="12" t="n"/>
      <c r="C118" s="12" t="n"/>
      <c r="D118" s="12" t="n"/>
      <c r="E118" s="12" t="n"/>
      <c r="F118" s="12" t="n"/>
      <c r="G118" s="14" t="n"/>
      <c r="H118" s="12" t="n"/>
    </row>
    <row r="119">
      <c r="A119" s="9" t="n"/>
      <c r="G119" s="9" t="n"/>
    </row>
    <row r="120">
      <c r="A120" s="14" t="n"/>
      <c r="B120" s="12" t="n"/>
      <c r="C120" s="12" t="n"/>
      <c r="D120" s="12" t="n"/>
      <c r="E120" s="12" t="n"/>
      <c r="F120" s="12" t="n"/>
      <c r="G120" s="14" t="n"/>
      <c r="H120" s="12" t="n"/>
    </row>
    <row r="121">
      <c r="A121" s="9" t="n"/>
      <c r="G121" s="9" t="n"/>
    </row>
    <row r="122">
      <c r="A122" s="14" t="n"/>
      <c r="B122" s="12" t="n"/>
      <c r="C122" s="12" t="n"/>
      <c r="D122" s="12" t="n"/>
      <c r="E122" s="12" t="n"/>
      <c r="F122" s="12" t="n"/>
      <c r="G122" s="14" t="n"/>
      <c r="H122" s="12" t="n"/>
    </row>
    <row r="123">
      <c r="A123" s="9" t="n"/>
      <c r="G123" s="9" t="n"/>
    </row>
    <row r="124">
      <c r="A124" s="14" t="n"/>
      <c r="B124" s="12" t="n"/>
      <c r="C124" s="12" t="n"/>
      <c r="D124" s="12" t="n"/>
      <c r="E124" s="12" t="n"/>
      <c r="F124" s="12" t="n"/>
      <c r="G124" s="14" t="n"/>
      <c r="H124" s="12" t="n"/>
    </row>
    <row r="125">
      <c r="A125" s="9" t="n"/>
      <c r="G125" s="9" t="n"/>
    </row>
    <row r="126">
      <c r="A126" s="14" t="n"/>
      <c r="B126" s="12" t="n"/>
      <c r="C126" s="12" t="n"/>
      <c r="D126" s="12" t="n"/>
      <c r="E126" s="12" t="n"/>
      <c r="F126" s="12" t="n"/>
      <c r="G126" s="14" t="n"/>
      <c r="H126" s="12" t="n"/>
    </row>
    <row r="127">
      <c r="A127" s="9" t="n"/>
      <c r="G127" s="9" t="n"/>
    </row>
    <row r="128">
      <c r="A128" s="14" t="n"/>
      <c r="B128" s="12" t="n"/>
      <c r="C128" s="12" t="n"/>
      <c r="D128" s="12" t="n"/>
      <c r="E128" s="12" t="n"/>
      <c r="F128" s="12" t="n"/>
      <c r="G128" s="14" t="n"/>
      <c r="H128" s="12" t="n"/>
    </row>
    <row r="129">
      <c r="A129" s="9" t="n"/>
      <c r="G129" s="9" t="n"/>
    </row>
    <row r="130">
      <c r="A130" s="14" t="n"/>
      <c r="B130" s="12" t="n"/>
      <c r="C130" s="12" t="n"/>
      <c r="D130" s="12" t="n"/>
      <c r="E130" s="12" t="n"/>
      <c r="F130" s="12" t="n"/>
      <c r="G130" s="14" t="n"/>
      <c r="H130" s="12" t="n"/>
    </row>
    <row r="131">
      <c r="A131" s="9" t="n"/>
      <c r="G131" s="9" t="n"/>
    </row>
    <row r="132">
      <c r="A132" s="14" t="n"/>
      <c r="B132" s="12" t="n"/>
      <c r="C132" s="12" t="n"/>
      <c r="D132" s="12" t="n"/>
      <c r="E132" s="12" t="n"/>
      <c r="F132" s="12" t="n"/>
      <c r="G132" s="14" t="n"/>
      <c r="H132" s="12" t="n"/>
    </row>
    <row r="133">
      <c r="A133" s="9" t="n"/>
      <c r="G133" s="9" t="n"/>
    </row>
    <row r="134">
      <c r="A134" s="14" t="n"/>
      <c r="B134" s="12" t="n"/>
      <c r="C134" s="12" t="n"/>
      <c r="D134" s="12" t="n"/>
      <c r="E134" s="12" t="n"/>
      <c r="F134" s="12" t="n"/>
      <c r="G134" s="14" t="n"/>
      <c r="H134" s="12" t="n"/>
    </row>
    <row r="135">
      <c r="A135" s="9" t="n"/>
      <c r="G135" s="9" t="n"/>
    </row>
    <row r="136">
      <c r="A136" s="14" t="n"/>
      <c r="B136" s="12" t="n"/>
      <c r="C136" s="12" t="n"/>
      <c r="D136" s="12" t="n"/>
      <c r="E136" s="12" t="n"/>
      <c r="F136" s="12" t="n"/>
      <c r="G136" s="14" t="n"/>
      <c r="H136" s="12" t="n"/>
    </row>
    <row r="137">
      <c r="A137" s="9" t="n"/>
      <c r="G137" s="9" t="n"/>
    </row>
    <row r="138">
      <c r="A138" s="14" t="n"/>
      <c r="B138" s="12" t="n"/>
      <c r="C138" s="12" t="n"/>
      <c r="D138" s="12" t="n"/>
      <c r="E138" s="12" t="n"/>
      <c r="F138" s="12" t="n"/>
      <c r="G138" s="14" t="n"/>
      <c r="H138" s="12" t="n"/>
    </row>
    <row r="139">
      <c r="A139" s="9" t="n"/>
      <c r="G139" s="9" t="n"/>
    </row>
    <row r="140">
      <c r="A140" s="14" t="n"/>
      <c r="B140" s="12" t="n"/>
      <c r="C140" s="12" t="n"/>
      <c r="D140" s="12" t="n"/>
      <c r="E140" s="12" t="n"/>
      <c r="F140" s="12" t="n"/>
      <c r="G140" s="14" t="n"/>
      <c r="H140" s="12" t="n"/>
    </row>
    <row r="141">
      <c r="A141" s="9" t="n"/>
      <c r="G141" s="9" t="n"/>
    </row>
    <row r="142">
      <c r="A142" s="14" t="n"/>
      <c r="B142" s="12" t="n"/>
      <c r="C142" s="12" t="n"/>
      <c r="D142" s="12" t="n"/>
      <c r="E142" s="12" t="n"/>
      <c r="F142" s="12" t="n"/>
      <c r="G142" s="14" t="n"/>
      <c r="H142" s="12" t="n"/>
    </row>
    <row r="143">
      <c r="A143" s="9" t="n"/>
      <c r="G143" s="9" t="n"/>
    </row>
    <row r="144">
      <c r="A144" s="14" t="n"/>
      <c r="B144" s="12" t="n"/>
      <c r="C144" s="12" t="n"/>
      <c r="D144" s="12" t="n"/>
      <c r="E144" s="12" t="n"/>
      <c r="F144" s="12" t="n"/>
      <c r="G144" s="14" t="n"/>
      <c r="H144" s="12" t="n"/>
    </row>
    <row r="145">
      <c r="A145" s="9" t="n"/>
      <c r="G145" s="9" t="n"/>
    </row>
    <row r="146">
      <c r="A146" s="14" t="n"/>
      <c r="B146" s="12" t="n"/>
      <c r="C146" s="12" t="n"/>
      <c r="D146" s="12" t="n"/>
      <c r="E146" s="12" t="n"/>
      <c r="F146" s="12" t="n"/>
      <c r="G146" s="14" t="n"/>
      <c r="H146" s="12" t="n"/>
    </row>
    <row r="147">
      <c r="A147" s="9" t="n"/>
      <c r="G147" s="9" t="n"/>
    </row>
    <row r="148">
      <c r="A148" s="14" t="n"/>
      <c r="B148" s="12" t="n"/>
      <c r="C148" s="12" t="n"/>
      <c r="D148" s="12" t="n"/>
      <c r="E148" s="12" t="n"/>
      <c r="F148" s="12" t="n"/>
      <c r="G148" s="14" t="n"/>
      <c r="H148" s="12" t="n"/>
    </row>
    <row r="149">
      <c r="A149" s="9" t="n"/>
      <c r="G149" s="9" t="n"/>
    </row>
    <row r="150">
      <c r="A150" s="14" t="n"/>
      <c r="B150" s="12" t="n"/>
      <c r="C150" s="12" t="n"/>
      <c r="D150" s="12" t="n"/>
      <c r="E150" s="12" t="n"/>
      <c r="F150" s="12" t="n"/>
      <c r="G150" s="14" t="n"/>
      <c r="H150" s="12" t="n"/>
    </row>
    <row r="151">
      <c r="A151" s="9" t="n"/>
      <c r="G151" s="9" t="n"/>
    </row>
    <row r="152">
      <c r="A152" s="14" t="n"/>
      <c r="B152" s="12" t="n"/>
      <c r="C152" s="12" t="n"/>
      <c r="D152" s="12" t="n"/>
      <c r="E152" s="12" t="n"/>
      <c r="F152" s="12" t="n"/>
      <c r="G152" s="14" t="n"/>
      <c r="H152" s="12" t="n"/>
    </row>
    <row r="153">
      <c r="A153" s="9" t="n"/>
      <c r="G153" s="9" t="n"/>
    </row>
    <row r="154">
      <c r="A154" s="14" t="n"/>
      <c r="B154" s="12" t="n"/>
      <c r="C154" s="12" t="n"/>
      <c r="D154" s="12" t="n"/>
      <c r="E154" s="12" t="n"/>
      <c r="F154" s="12" t="n"/>
      <c r="G154" s="14" t="n"/>
      <c r="H154" s="12" t="n"/>
    </row>
    <row r="155">
      <c r="A155" s="9" t="n"/>
      <c r="G155" s="9" t="n"/>
    </row>
    <row r="156">
      <c r="A156" s="14" t="n"/>
      <c r="B156" s="12" t="n"/>
      <c r="C156" s="12" t="n"/>
      <c r="D156" s="12" t="n"/>
      <c r="E156" s="12" t="n"/>
      <c r="F156" s="12" t="n"/>
      <c r="G156" s="14" t="n"/>
      <c r="H156" s="12" t="n"/>
    </row>
    <row r="157">
      <c r="A157" s="9" t="n"/>
      <c r="G157" s="9" t="n"/>
    </row>
    <row r="158">
      <c r="A158" s="14" t="n"/>
      <c r="B158" s="12" t="n"/>
      <c r="C158" s="12" t="n"/>
      <c r="D158" s="12" t="n"/>
      <c r="E158" s="12" t="n"/>
      <c r="F158" s="12" t="n"/>
      <c r="G158" s="14" t="n"/>
      <c r="H158" s="12" t="n"/>
    </row>
    <row r="159">
      <c r="A159" s="9" t="n"/>
      <c r="G159" s="9" t="n"/>
    </row>
    <row r="160">
      <c r="A160" s="14" t="n"/>
      <c r="B160" s="12" t="n"/>
      <c r="C160" s="12" t="n"/>
      <c r="D160" s="12" t="n"/>
      <c r="E160" s="12" t="n"/>
      <c r="F160" s="12" t="n"/>
      <c r="G160" s="14" t="n"/>
      <c r="H160" s="12" t="n"/>
    </row>
    <row r="161">
      <c r="A161" s="9" t="n"/>
      <c r="G161" s="9" t="n"/>
    </row>
    <row r="162">
      <c r="A162" s="14" t="n"/>
      <c r="B162" s="12" t="n"/>
      <c r="C162" s="12" t="n"/>
      <c r="D162" s="12" t="n"/>
      <c r="E162" s="12" t="n"/>
      <c r="F162" s="12" t="n"/>
      <c r="G162" s="14" t="n"/>
      <c r="H162" s="12" t="n"/>
    </row>
    <row r="163">
      <c r="A163" s="9" t="n"/>
      <c r="G163" s="9" t="n"/>
    </row>
    <row r="164">
      <c r="A164" s="14" t="n"/>
      <c r="B164" s="12" t="n"/>
      <c r="C164" s="12" t="n"/>
      <c r="D164" s="12" t="n"/>
      <c r="E164" s="12" t="n"/>
      <c r="F164" s="12" t="n"/>
      <c r="G164" s="14" t="n"/>
      <c r="H164" s="12" t="n"/>
    </row>
    <row r="165">
      <c r="A165" s="9" t="n"/>
      <c r="G165" s="9" t="n"/>
    </row>
    <row r="166">
      <c r="A166" s="14" t="n"/>
      <c r="B166" s="12" t="n"/>
      <c r="C166" s="12" t="n"/>
      <c r="D166" s="12" t="n"/>
      <c r="E166" s="12" t="n"/>
      <c r="F166" s="12" t="n"/>
      <c r="G166" s="14" t="n"/>
      <c r="H166" s="12" t="n"/>
    </row>
    <row r="167">
      <c r="A167" s="9" t="n"/>
      <c r="G167" s="9" t="n"/>
    </row>
    <row r="168">
      <c r="A168" s="14" t="n"/>
      <c r="B168" s="12" t="n"/>
      <c r="C168" s="12" t="n"/>
      <c r="D168" s="12" t="n"/>
      <c r="E168" s="12" t="n"/>
      <c r="F168" s="12" t="n"/>
      <c r="G168" s="14" t="n"/>
      <c r="H168" s="12" t="n"/>
    </row>
    <row r="169">
      <c r="A169" s="9" t="n"/>
      <c r="G169" s="9" t="n"/>
    </row>
    <row r="170">
      <c r="A170" s="14" t="n"/>
      <c r="B170" s="12" t="n"/>
      <c r="C170" s="12" t="n"/>
      <c r="D170" s="12" t="n"/>
      <c r="E170" s="12" t="n"/>
      <c r="F170" s="12" t="n"/>
      <c r="G170" s="14" t="n"/>
      <c r="H170" s="12" t="n"/>
    </row>
    <row r="171">
      <c r="A171" s="9" t="n"/>
      <c r="G171" s="9" t="n"/>
    </row>
    <row r="172">
      <c r="A172" s="14" t="n"/>
      <c r="B172" s="12" t="n"/>
      <c r="C172" s="12" t="n"/>
      <c r="D172" s="12" t="n"/>
      <c r="E172" s="12" t="n"/>
      <c r="F172" s="12" t="n"/>
      <c r="G172" s="14" t="n"/>
      <c r="H172" s="12" t="n"/>
    </row>
    <row r="173">
      <c r="A173" s="9" t="n"/>
      <c r="G173" s="9" t="n"/>
    </row>
    <row r="174">
      <c r="A174" s="14" t="n"/>
      <c r="B174" s="12" t="n"/>
      <c r="C174" s="12" t="n"/>
      <c r="D174" s="12" t="n"/>
      <c r="E174" s="12" t="n"/>
      <c r="F174" s="12" t="n"/>
      <c r="G174" s="14" t="n"/>
      <c r="H174" s="12" t="n"/>
    </row>
    <row r="175">
      <c r="A175" s="9" t="n"/>
      <c r="G175" s="9" t="n"/>
    </row>
    <row r="176">
      <c r="A176" s="14" t="n"/>
      <c r="B176" s="12" t="n"/>
      <c r="C176" s="12" t="n"/>
      <c r="D176" s="12" t="n"/>
      <c r="E176" s="12" t="n"/>
      <c r="F176" s="12" t="n"/>
      <c r="G176" s="14" t="n"/>
      <c r="H176" s="12" t="n"/>
    </row>
    <row r="177">
      <c r="A177" s="9" t="n"/>
      <c r="G177" s="9" t="n"/>
    </row>
    <row r="178">
      <c r="A178" s="14" t="n"/>
      <c r="B178" s="12" t="n"/>
      <c r="C178" s="12" t="n"/>
      <c r="D178" s="12" t="n"/>
      <c r="E178" s="12" t="n"/>
      <c r="F178" s="12" t="n"/>
      <c r="G178" s="14" t="n"/>
      <c r="H178" s="12" t="n"/>
    </row>
    <row r="179">
      <c r="A179" s="9" t="n"/>
      <c r="G179" s="9" t="n"/>
    </row>
    <row r="180">
      <c r="A180" s="14" t="n"/>
      <c r="B180" s="12" t="n"/>
      <c r="C180" s="12" t="n"/>
      <c r="D180" s="12" t="n"/>
      <c r="E180" s="12" t="n"/>
      <c r="F180" s="12" t="n"/>
      <c r="G180" s="14" t="n"/>
      <c r="H180" s="12" t="n"/>
    </row>
    <row r="181">
      <c r="A181" s="9" t="n"/>
      <c r="G181" s="9" t="n"/>
    </row>
    <row r="182">
      <c r="A182" s="14" t="n"/>
      <c r="B182" s="12" t="n"/>
      <c r="C182" s="12" t="n"/>
      <c r="D182" s="12" t="n"/>
      <c r="E182" s="12" t="n"/>
      <c r="F182" s="12" t="n"/>
      <c r="G182" s="14" t="n"/>
      <c r="H182" s="12" t="n"/>
    </row>
    <row r="183">
      <c r="A183" s="9" t="n"/>
      <c r="G183" s="9" t="n"/>
    </row>
    <row r="184">
      <c r="A184" s="14" t="n"/>
      <c r="B184" s="12" t="n"/>
      <c r="C184" s="12" t="n"/>
      <c r="D184" s="12" t="n"/>
      <c r="E184" s="12" t="n"/>
      <c r="F184" s="12" t="n"/>
      <c r="G184" s="14" t="n"/>
      <c r="H184" s="12" t="n"/>
    </row>
    <row r="185">
      <c r="A185" s="9" t="n"/>
      <c r="G185" s="9" t="n"/>
    </row>
    <row r="186">
      <c r="A186" s="14" t="n"/>
      <c r="B186" s="12" t="n"/>
      <c r="C186" s="12" t="n"/>
      <c r="D186" s="12" t="n"/>
      <c r="E186" s="12" t="n"/>
      <c r="F186" s="12" t="n"/>
      <c r="G186" s="14" t="n"/>
      <c r="H186" s="12" t="n"/>
    </row>
    <row r="187">
      <c r="A187" s="9" t="n"/>
      <c r="G187" s="9" t="n"/>
    </row>
    <row r="188">
      <c r="A188" s="14" t="n"/>
      <c r="B188" s="12" t="n"/>
      <c r="C188" s="12" t="n"/>
      <c r="D188" s="12" t="n"/>
      <c r="E188" s="12" t="n"/>
      <c r="F188" s="12" t="n"/>
      <c r="G188" s="14" t="n"/>
      <c r="H188" s="12" t="n"/>
    </row>
    <row r="189">
      <c r="A189" s="9" t="n"/>
      <c r="G189" s="9" t="n"/>
    </row>
    <row r="190">
      <c r="A190" s="14" t="n"/>
      <c r="B190" s="12" t="n"/>
      <c r="C190" s="12" t="n"/>
      <c r="D190" s="12" t="n"/>
      <c r="E190" s="12" t="n"/>
      <c r="F190" s="12" t="n"/>
      <c r="G190" s="14" t="n"/>
      <c r="H190" s="12" t="n"/>
    </row>
    <row r="191">
      <c r="A191" s="9" t="n"/>
      <c r="G191" s="9" t="n"/>
    </row>
    <row r="192">
      <c r="A192" s="14" t="n"/>
      <c r="B192" s="12" t="n"/>
      <c r="C192" s="12" t="n"/>
      <c r="D192" s="12" t="n"/>
      <c r="E192" s="12" t="n"/>
      <c r="F192" s="12" t="n"/>
      <c r="G192" s="14" t="n"/>
      <c r="H192" s="12" t="n"/>
    </row>
    <row r="193">
      <c r="A193" s="9" t="n"/>
      <c r="G193" s="9" t="n"/>
    </row>
    <row r="194">
      <c r="A194" s="14" t="n"/>
      <c r="B194" s="12" t="n"/>
      <c r="C194" s="12" t="n"/>
      <c r="D194" s="12" t="n"/>
      <c r="E194" s="12" t="n"/>
      <c r="F194" s="12" t="n"/>
      <c r="G194" s="14" t="n"/>
      <c r="H194" s="12" t="n"/>
    </row>
    <row r="195">
      <c r="A195" s="9" t="n"/>
      <c r="G195" s="9" t="n"/>
    </row>
    <row r="196">
      <c r="A196" s="14" t="n"/>
      <c r="B196" s="12" t="n"/>
      <c r="C196" s="12" t="n"/>
      <c r="D196" s="12" t="n"/>
      <c r="E196" s="12" t="n"/>
      <c r="F196" s="12" t="n"/>
      <c r="G196" s="14" t="n"/>
      <c r="H196" s="12" t="n"/>
    </row>
    <row r="197">
      <c r="A197" s="9" t="n"/>
      <c r="G197" s="9" t="n"/>
    </row>
    <row r="198">
      <c r="A198" s="14" t="n"/>
      <c r="B198" s="12" t="n"/>
      <c r="C198" s="12" t="n"/>
      <c r="D198" s="12" t="n"/>
      <c r="E198" s="12" t="n"/>
      <c r="F198" s="12" t="n"/>
      <c r="G198" s="14" t="n"/>
      <c r="H198" s="12" t="n"/>
    </row>
    <row r="199">
      <c r="A199" s="9" t="n"/>
      <c r="G199" s="9" t="n"/>
    </row>
    <row r="200">
      <c r="A200" s="14" t="n"/>
      <c r="B200" s="12" t="n"/>
      <c r="C200" s="12" t="n"/>
      <c r="D200" s="12" t="n"/>
      <c r="E200" s="12" t="n"/>
      <c r="F200" s="12" t="n"/>
      <c r="G200" s="14" t="n"/>
      <c r="H200" s="12" t="n"/>
    </row>
    <row r="201">
      <c r="A201" s="9" t="n"/>
      <c r="G201" s="9" t="n"/>
    </row>
    <row r="202">
      <c r="A202" s="14" t="n"/>
      <c r="B202" s="12" t="n"/>
      <c r="C202" s="12" t="n"/>
      <c r="D202" s="12" t="n"/>
      <c r="E202" s="12" t="n"/>
      <c r="F202" s="12" t="n"/>
      <c r="G202" s="14" t="n"/>
      <c r="H202" s="12" t="n"/>
    </row>
    <row r="203">
      <c r="A203" s="9" t="n"/>
      <c r="G203" s="9" t="n"/>
    </row>
    <row r="204">
      <c r="A204" s="14" t="n"/>
      <c r="B204" s="12" t="n"/>
      <c r="C204" s="12" t="n"/>
      <c r="D204" s="12" t="n"/>
      <c r="E204" s="12" t="n"/>
      <c r="F204" s="12" t="n"/>
      <c r="G204" s="14" t="n"/>
      <c r="H204" s="12" t="n"/>
    </row>
    <row r="205">
      <c r="A205" s="9" t="n"/>
      <c r="G205" s="9" t="n"/>
    </row>
    <row r="206">
      <c r="A206" s="14" t="n"/>
      <c r="B206" s="12" t="n"/>
      <c r="C206" s="12" t="n"/>
      <c r="D206" s="12" t="n"/>
      <c r="E206" s="12" t="n"/>
      <c r="F206" s="12" t="n"/>
      <c r="G206" s="14" t="n"/>
      <c r="H206" s="12" t="n"/>
    </row>
    <row r="207">
      <c r="A207" s="9" t="n"/>
      <c r="G207" s="9" t="n"/>
    </row>
    <row r="208">
      <c r="A208" s="14" t="n"/>
      <c r="B208" s="12" t="n"/>
      <c r="C208" s="12" t="n"/>
      <c r="D208" s="12" t="n"/>
      <c r="E208" s="12" t="n"/>
      <c r="F208" s="12" t="n"/>
      <c r="G208" s="14" t="n"/>
      <c r="H208" s="12" t="n"/>
    </row>
    <row r="209">
      <c r="A209" s="9" t="n"/>
      <c r="G209" s="9" t="n"/>
    </row>
    <row r="210">
      <c r="A210" s="14" t="n"/>
      <c r="B210" s="12" t="n"/>
      <c r="C210" s="12" t="n"/>
      <c r="D210" s="12" t="n"/>
      <c r="E210" s="12" t="n"/>
      <c r="F210" s="12" t="n"/>
      <c r="G210" s="14" t="n"/>
      <c r="H210" s="12" t="n"/>
    </row>
    <row r="211">
      <c r="A211" s="9" t="n"/>
      <c r="G211" s="9" t="n"/>
    </row>
    <row r="212">
      <c r="A212" s="14" t="n"/>
      <c r="B212" s="12" t="n"/>
      <c r="C212" s="12" t="n"/>
      <c r="D212" s="12" t="n"/>
      <c r="E212" s="12" t="n"/>
      <c r="F212" s="12" t="n"/>
      <c r="G212" s="14" t="n"/>
      <c r="H212" s="12" t="n"/>
    </row>
    <row r="213">
      <c r="A213" s="9" t="n"/>
      <c r="G213" s="9" t="n"/>
    </row>
    <row r="214">
      <c r="A214" s="14" t="n"/>
      <c r="B214" s="12" t="n"/>
      <c r="C214" s="12" t="n"/>
      <c r="D214" s="12" t="n"/>
      <c r="E214" s="12" t="n"/>
      <c r="F214" s="12" t="n"/>
      <c r="G214" s="14" t="n"/>
      <c r="H214" s="12" t="n"/>
    </row>
    <row r="215">
      <c r="A215" s="9" t="n"/>
      <c r="G215" s="9" t="n"/>
    </row>
    <row r="216">
      <c r="A216" s="14" t="n"/>
      <c r="B216" s="12" t="n"/>
      <c r="C216" s="12" t="n"/>
      <c r="D216" s="12" t="n"/>
      <c r="E216" s="12" t="n"/>
      <c r="F216" s="12" t="n"/>
      <c r="G216" s="14" t="n"/>
      <c r="H216" s="12" t="n"/>
    </row>
    <row r="217">
      <c r="A217" s="9" t="n"/>
      <c r="G217" s="9" t="n"/>
    </row>
    <row r="218">
      <c r="A218" s="14" t="n"/>
      <c r="B218" s="12" t="n"/>
      <c r="C218" s="12" t="n"/>
      <c r="D218" s="12" t="n"/>
      <c r="E218" s="12" t="n"/>
      <c r="F218" s="12" t="n"/>
      <c r="G218" s="14" t="n"/>
      <c r="H218" s="12" t="n"/>
    </row>
    <row r="219">
      <c r="A219" s="9" t="n"/>
      <c r="G219" s="9" t="n"/>
    </row>
    <row r="220">
      <c r="A220" s="14" t="n"/>
      <c r="B220" s="12" t="n"/>
      <c r="C220" s="12" t="n"/>
      <c r="D220" s="12" t="n"/>
      <c r="E220" s="12" t="n"/>
      <c r="F220" s="12" t="n"/>
      <c r="G220" s="14" t="n"/>
      <c r="H220" s="12" t="n"/>
    </row>
    <row r="221">
      <c r="A221" s="9" t="n"/>
      <c r="G221" s="9" t="n"/>
    </row>
    <row r="222">
      <c r="A222" s="14" t="n"/>
      <c r="B222" s="12" t="n"/>
      <c r="C222" s="12" t="n"/>
      <c r="D222" s="12" t="n"/>
      <c r="E222" s="12" t="n"/>
      <c r="F222" s="12" t="n"/>
      <c r="G222" s="14" t="n"/>
      <c r="H222" s="12" t="n"/>
    </row>
    <row r="223">
      <c r="A223" s="9" t="n"/>
      <c r="G223" s="9" t="n"/>
    </row>
    <row r="224">
      <c r="A224" s="14" t="n"/>
      <c r="B224" s="12" t="n"/>
      <c r="C224" s="12" t="n"/>
      <c r="D224" s="12" t="n"/>
      <c r="E224" s="12" t="n"/>
      <c r="F224" s="12" t="n"/>
      <c r="G224" s="14" t="n"/>
      <c r="H224" s="12" t="n"/>
    </row>
    <row r="225">
      <c r="A225" s="9" t="n"/>
      <c r="G225" s="9" t="n"/>
    </row>
    <row r="226">
      <c r="A226" s="14" t="n"/>
      <c r="B226" s="12" t="n"/>
      <c r="C226" s="12" t="n"/>
      <c r="D226" s="12" t="n"/>
      <c r="E226" s="12" t="n"/>
      <c r="F226" s="12" t="n"/>
      <c r="G226" s="14" t="n"/>
      <c r="H226" s="12" t="n"/>
    </row>
    <row r="227">
      <c r="A227" s="9" t="n"/>
      <c r="G227" s="9" t="n"/>
    </row>
    <row r="228">
      <c r="A228" s="14" t="n"/>
      <c r="B228" s="12" t="n"/>
      <c r="C228" s="12" t="n"/>
      <c r="D228" s="12" t="n"/>
      <c r="E228" s="12" t="n"/>
      <c r="F228" s="12" t="n"/>
      <c r="G228" s="14" t="n"/>
      <c r="H228" s="12" t="n"/>
    </row>
    <row r="229">
      <c r="A229" s="9" t="n"/>
      <c r="G229" s="9" t="n"/>
    </row>
    <row r="230">
      <c r="A230" s="14" t="n"/>
      <c r="B230" s="12" t="n"/>
      <c r="C230" s="12" t="n"/>
      <c r="D230" s="12" t="n"/>
      <c r="E230" s="12" t="n"/>
      <c r="F230" s="12" t="n"/>
      <c r="G230" s="14" t="n"/>
      <c r="H230" s="12" t="n"/>
    </row>
    <row r="231">
      <c r="A231" s="9" t="n"/>
      <c r="G231" s="9" t="n"/>
    </row>
    <row r="232">
      <c r="A232" s="14" t="n"/>
      <c r="B232" s="12" t="n"/>
      <c r="C232" s="12" t="n"/>
      <c r="D232" s="12" t="n"/>
      <c r="E232" s="12" t="n"/>
      <c r="F232" s="12" t="n"/>
      <c r="G232" s="14" t="n"/>
      <c r="H232" s="12" t="n"/>
    </row>
    <row r="233">
      <c r="A233" s="9" t="n"/>
      <c r="G233" s="9" t="n"/>
    </row>
    <row r="234">
      <c r="A234" s="14" t="n"/>
      <c r="B234" s="12" t="n"/>
      <c r="C234" s="12" t="n"/>
      <c r="D234" s="12" t="n"/>
      <c r="E234" s="12" t="n"/>
      <c r="F234" s="12" t="n"/>
      <c r="G234" s="14" t="n"/>
      <c r="H234" s="12" t="n"/>
    </row>
    <row r="235">
      <c r="A235" s="9" t="n"/>
      <c r="G235" s="9" t="n"/>
    </row>
    <row r="236">
      <c r="A236" s="14" t="n"/>
      <c r="B236" s="12" t="n"/>
      <c r="C236" s="12" t="n"/>
      <c r="D236" s="12" t="n"/>
      <c r="E236" s="12" t="n"/>
      <c r="F236" s="12" t="n"/>
      <c r="G236" s="14" t="n"/>
      <c r="H236" s="12" t="n"/>
    </row>
    <row r="237">
      <c r="A237" s="9" t="n"/>
      <c r="G237" s="9" t="n"/>
    </row>
    <row r="238">
      <c r="A238" s="14" t="n"/>
      <c r="B238" s="12" t="n"/>
      <c r="C238" s="12" t="n"/>
      <c r="D238" s="12" t="n"/>
      <c r="E238" s="12" t="n"/>
      <c r="F238" s="12" t="n"/>
      <c r="G238" s="14" t="n"/>
      <c r="H238" s="12" t="n"/>
    </row>
    <row r="239">
      <c r="A239" s="9" t="n"/>
      <c r="G239" s="9" t="n"/>
    </row>
    <row r="240">
      <c r="A240" s="14" t="n"/>
      <c r="B240" s="12" t="n"/>
      <c r="C240" s="12" t="n"/>
      <c r="D240" s="12" t="n"/>
      <c r="E240" s="12" t="n"/>
      <c r="F240" s="12" t="n"/>
      <c r="G240" s="14" t="n"/>
      <c r="H240" s="12" t="n"/>
    </row>
    <row r="241">
      <c r="A241" s="9" t="n"/>
      <c r="G241" s="9" t="n"/>
    </row>
    <row r="242">
      <c r="A242" s="14" t="n"/>
      <c r="B242" s="12" t="n"/>
      <c r="C242" s="12" t="n"/>
      <c r="D242" s="12" t="n"/>
      <c r="E242" s="12" t="n"/>
      <c r="F242" s="12" t="n"/>
      <c r="G242" s="14" t="n"/>
      <c r="H242" s="12" t="n"/>
    </row>
    <row r="243">
      <c r="A243" s="9" t="n"/>
      <c r="G243" s="9" t="n"/>
    </row>
    <row r="244">
      <c r="A244" s="14" t="n"/>
      <c r="B244" s="12" t="n"/>
      <c r="C244" s="12" t="n"/>
      <c r="D244" s="12" t="n"/>
      <c r="E244" s="12" t="n"/>
      <c r="F244" s="12" t="n"/>
      <c r="G244" s="14" t="n"/>
      <c r="H244" s="12" t="n"/>
    </row>
    <row r="245">
      <c r="A245" s="9" t="n"/>
      <c r="G245" s="9" t="n"/>
    </row>
    <row r="246">
      <c r="A246" s="14" t="n"/>
      <c r="B246" s="12" t="n"/>
      <c r="C246" s="12" t="n"/>
      <c r="D246" s="12" t="n"/>
      <c r="E246" s="12" t="n"/>
      <c r="F246" s="12" t="n"/>
      <c r="G246" s="14" t="n"/>
      <c r="H246" s="12" t="n"/>
    </row>
    <row r="247">
      <c r="A247" s="9" t="n"/>
      <c r="G247" s="9" t="n"/>
    </row>
    <row r="248">
      <c r="A248" s="14" t="n"/>
      <c r="B248" s="12" t="n"/>
      <c r="C248" s="12" t="n"/>
      <c r="D248" s="12" t="n"/>
      <c r="E248" s="12" t="n"/>
      <c r="F248" s="12" t="n"/>
      <c r="G248" s="14" t="n"/>
      <c r="H248" s="12" t="n"/>
    </row>
    <row r="249">
      <c r="A249" s="9" t="n"/>
      <c r="G249" s="9" t="n"/>
    </row>
    <row r="250">
      <c r="A250" s="14" t="n"/>
      <c r="B250" s="12" t="n"/>
      <c r="C250" s="12" t="n"/>
      <c r="D250" s="12" t="n"/>
      <c r="E250" s="12" t="n"/>
      <c r="F250" s="12" t="n"/>
      <c r="G250" s="14" t="n"/>
      <c r="H250" s="12" t="n"/>
    </row>
    <row r="251">
      <c r="A251" s="9" t="n"/>
      <c r="G251" s="9" t="n"/>
    </row>
  </sheetData>
  <autoFilter ref="A1:H251"/>
  <conditionalFormatting sqref="A2:H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1">
    <dataValidation sqref="B2:B251" showDropDown="0" showInputMessage="0" showErrorMessage="0" allowBlank="1" type="list">
      <formula1>='Lists'!$Z$2:$Z$7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2" customHeight="1">
      <c r="A1" s="11" t="inlineStr">
        <is>
          <t>Room</t>
        </is>
      </c>
      <c r="B1" s="11" t="inlineStr">
        <is>
          <t>Item name</t>
        </is>
      </c>
      <c r="C1" s="11" t="inlineStr">
        <is>
          <t>Description</t>
        </is>
      </c>
      <c r="D1" s="11" t="inlineStr">
        <is>
          <t>Quantity</t>
        </is>
      </c>
      <c r="E1" s="11" t="inlineStr">
        <is>
          <t>Vendor</t>
        </is>
      </c>
      <c r="F1" s="11" t="inlineStr">
        <is>
          <t>Product link</t>
        </is>
      </c>
      <c r="G1" s="11" t="inlineStr">
        <is>
          <t>Final cost</t>
        </is>
      </c>
      <c r="H1" s="11" t="inlineStr">
        <is>
          <t>Approval status</t>
        </is>
      </c>
      <c r="I1" s="11" t="inlineStr">
        <is>
          <t>Image link</t>
        </is>
      </c>
      <c r="J1" s="11" t="inlineStr">
        <is>
          <t>Client notes</t>
        </is>
      </c>
    </row>
    <row r="2">
      <c r="A2" s="12">
        <f>'Master FF&amp;E Schedule'!B2</f>
        <v/>
      </c>
      <c r="B2" s="12">
        <f>'Master FF&amp;E Schedule'!D2</f>
        <v/>
      </c>
      <c r="C2" s="12">
        <f>'Master FF&amp;E Schedule'!E2</f>
        <v/>
      </c>
      <c r="D2" s="12">
        <f>'Master FF&amp;E Schedule'!F2</f>
        <v/>
      </c>
      <c r="E2" s="12">
        <f>'Master FF&amp;E Schedule'!K2</f>
        <v/>
      </c>
      <c r="F2" s="12">
        <f>'Master FF&amp;E Schedule'!M2</f>
        <v/>
      </c>
      <c r="G2" s="12">
        <f>'Master FF&amp;E Schedule'!T2</f>
        <v/>
      </c>
      <c r="H2" s="12">
        <f>'Master FF&amp;E Schedule'!W2</f>
        <v/>
      </c>
      <c r="I2" s="12">
        <f>'Master FF&amp;E Schedule'!AA2</f>
        <v/>
      </c>
      <c r="J2" s="12" t="n"/>
    </row>
    <row r="3">
      <c r="A3">
        <f>'Master FF&amp;E Schedule'!B3</f>
        <v/>
      </c>
      <c r="B3">
        <f>'Master FF&amp;E Schedule'!D3</f>
        <v/>
      </c>
      <c r="C3">
        <f>'Master FF&amp;E Schedule'!E3</f>
        <v/>
      </c>
      <c r="D3">
        <f>'Master FF&amp;E Schedule'!F3</f>
        <v/>
      </c>
      <c r="E3">
        <f>'Master FF&amp;E Schedule'!K3</f>
        <v/>
      </c>
      <c r="F3">
        <f>'Master FF&amp;E Schedule'!M3</f>
        <v/>
      </c>
      <c r="G3">
        <f>'Master FF&amp;E Schedule'!T3</f>
        <v/>
      </c>
      <c r="H3">
        <f>'Master FF&amp;E Schedule'!W3</f>
        <v/>
      </c>
      <c r="I3">
        <f>'Master FF&amp;E Schedule'!AA3</f>
        <v/>
      </c>
    </row>
    <row r="4">
      <c r="A4" s="12">
        <f>'Master FF&amp;E Schedule'!B4</f>
        <v/>
      </c>
      <c r="B4" s="12">
        <f>'Master FF&amp;E Schedule'!D4</f>
        <v/>
      </c>
      <c r="C4" s="12">
        <f>'Master FF&amp;E Schedule'!E4</f>
        <v/>
      </c>
      <c r="D4" s="12">
        <f>'Master FF&amp;E Schedule'!F4</f>
        <v/>
      </c>
      <c r="E4" s="12">
        <f>'Master FF&amp;E Schedule'!K4</f>
        <v/>
      </c>
      <c r="F4" s="12">
        <f>'Master FF&amp;E Schedule'!M4</f>
        <v/>
      </c>
      <c r="G4" s="12">
        <f>'Master FF&amp;E Schedule'!T4</f>
        <v/>
      </c>
      <c r="H4" s="12">
        <f>'Master FF&amp;E Schedule'!W4</f>
        <v/>
      </c>
      <c r="I4" s="12">
        <f>'Master FF&amp;E Schedule'!AA4</f>
        <v/>
      </c>
      <c r="J4" s="12" t="n"/>
    </row>
    <row r="5">
      <c r="A5">
        <f>'Master FF&amp;E Schedule'!B5</f>
        <v/>
      </c>
      <c r="B5">
        <f>'Master FF&amp;E Schedule'!D5</f>
        <v/>
      </c>
      <c r="C5">
        <f>'Master FF&amp;E Schedule'!E5</f>
        <v/>
      </c>
      <c r="D5">
        <f>'Master FF&amp;E Schedule'!F5</f>
        <v/>
      </c>
      <c r="E5">
        <f>'Master FF&amp;E Schedule'!K5</f>
        <v/>
      </c>
      <c r="F5">
        <f>'Master FF&amp;E Schedule'!M5</f>
        <v/>
      </c>
      <c r="G5">
        <f>'Master FF&amp;E Schedule'!T5</f>
        <v/>
      </c>
      <c r="H5">
        <f>'Master FF&amp;E Schedule'!W5</f>
        <v/>
      </c>
      <c r="I5">
        <f>'Master FF&amp;E Schedule'!AA5</f>
        <v/>
      </c>
    </row>
    <row r="6">
      <c r="A6" s="12">
        <f>'Master FF&amp;E Schedule'!B6</f>
        <v/>
      </c>
      <c r="B6" s="12">
        <f>'Master FF&amp;E Schedule'!D6</f>
        <v/>
      </c>
      <c r="C6" s="12">
        <f>'Master FF&amp;E Schedule'!E6</f>
        <v/>
      </c>
      <c r="D6" s="12">
        <f>'Master FF&amp;E Schedule'!F6</f>
        <v/>
      </c>
      <c r="E6" s="12">
        <f>'Master FF&amp;E Schedule'!K6</f>
        <v/>
      </c>
      <c r="F6" s="12">
        <f>'Master FF&amp;E Schedule'!M6</f>
        <v/>
      </c>
      <c r="G6" s="12">
        <f>'Master FF&amp;E Schedule'!T6</f>
        <v/>
      </c>
      <c r="H6" s="12">
        <f>'Master FF&amp;E Schedule'!W6</f>
        <v/>
      </c>
      <c r="I6" s="12">
        <f>'Master FF&amp;E Schedule'!AA6</f>
        <v/>
      </c>
      <c r="J6" s="12" t="n"/>
    </row>
    <row r="7">
      <c r="A7">
        <f>'Master FF&amp;E Schedule'!B7</f>
        <v/>
      </c>
      <c r="B7">
        <f>'Master FF&amp;E Schedule'!D7</f>
        <v/>
      </c>
      <c r="C7">
        <f>'Master FF&amp;E Schedule'!E7</f>
        <v/>
      </c>
      <c r="D7">
        <f>'Master FF&amp;E Schedule'!F7</f>
        <v/>
      </c>
      <c r="E7">
        <f>'Master FF&amp;E Schedule'!K7</f>
        <v/>
      </c>
      <c r="F7">
        <f>'Master FF&amp;E Schedule'!M7</f>
        <v/>
      </c>
      <c r="G7">
        <f>'Master FF&amp;E Schedule'!T7</f>
        <v/>
      </c>
      <c r="H7">
        <f>'Master FF&amp;E Schedule'!W7</f>
        <v/>
      </c>
      <c r="I7">
        <f>'Master FF&amp;E Schedule'!AA7</f>
        <v/>
      </c>
    </row>
    <row r="8">
      <c r="A8" s="12">
        <f>'Master FF&amp;E Schedule'!B8</f>
        <v/>
      </c>
      <c r="B8" s="12">
        <f>'Master FF&amp;E Schedule'!D8</f>
        <v/>
      </c>
      <c r="C8" s="12">
        <f>'Master FF&amp;E Schedule'!E8</f>
        <v/>
      </c>
      <c r="D8" s="12">
        <f>'Master FF&amp;E Schedule'!F8</f>
        <v/>
      </c>
      <c r="E8" s="12">
        <f>'Master FF&amp;E Schedule'!K8</f>
        <v/>
      </c>
      <c r="F8" s="12">
        <f>'Master FF&amp;E Schedule'!M8</f>
        <v/>
      </c>
      <c r="G8" s="12">
        <f>'Master FF&amp;E Schedule'!T8</f>
        <v/>
      </c>
      <c r="H8" s="12">
        <f>'Master FF&amp;E Schedule'!W8</f>
        <v/>
      </c>
      <c r="I8" s="12">
        <f>'Master FF&amp;E Schedule'!AA8</f>
        <v/>
      </c>
      <c r="J8" s="12" t="n"/>
    </row>
    <row r="9">
      <c r="A9">
        <f>'Master FF&amp;E Schedule'!B9</f>
        <v/>
      </c>
      <c r="B9">
        <f>'Master FF&amp;E Schedule'!D9</f>
        <v/>
      </c>
      <c r="C9">
        <f>'Master FF&amp;E Schedule'!E9</f>
        <v/>
      </c>
      <c r="D9">
        <f>'Master FF&amp;E Schedule'!F9</f>
        <v/>
      </c>
      <c r="E9">
        <f>'Master FF&amp;E Schedule'!K9</f>
        <v/>
      </c>
      <c r="F9">
        <f>'Master FF&amp;E Schedule'!M9</f>
        <v/>
      </c>
      <c r="G9">
        <f>'Master FF&amp;E Schedule'!T9</f>
        <v/>
      </c>
      <c r="H9">
        <f>'Master FF&amp;E Schedule'!W9</f>
        <v/>
      </c>
      <c r="I9">
        <f>'Master FF&amp;E Schedule'!AA9</f>
        <v/>
      </c>
    </row>
    <row r="10">
      <c r="A10" s="12">
        <f>'Master FF&amp;E Schedule'!B10</f>
        <v/>
      </c>
      <c r="B10" s="12">
        <f>'Master FF&amp;E Schedule'!D10</f>
        <v/>
      </c>
      <c r="C10" s="12">
        <f>'Master FF&amp;E Schedule'!E10</f>
        <v/>
      </c>
      <c r="D10" s="12">
        <f>'Master FF&amp;E Schedule'!F10</f>
        <v/>
      </c>
      <c r="E10" s="12">
        <f>'Master FF&amp;E Schedule'!K10</f>
        <v/>
      </c>
      <c r="F10" s="12">
        <f>'Master FF&amp;E Schedule'!M10</f>
        <v/>
      </c>
      <c r="G10" s="12">
        <f>'Master FF&amp;E Schedule'!T10</f>
        <v/>
      </c>
      <c r="H10" s="12">
        <f>'Master FF&amp;E Schedule'!W10</f>
        <v/>
      </c>
      <c r="I10" s="12">
        <f>'Master FF&amp;E Schedule'!AA10</f>
        <v/>
      </c>
      <c r="J10" s="12" t="n"/>
    </row>
    <row r="11">
      <c r="A11">
        <f>'Master FF&amp;E Schedule'!B11</f>
        <v/>
      </c>
      <c r="B11">
        <f>'Master FF&amp;E Schedule'!D11</f>
        <v/>
      </c>
      <c r="C11">
        <f>'Master FF&amp;E Schedule'!E11</f>
        <v/>
      </c>
      <c r="D11">
        <f>'Master FF&amp;E Schedule'!F11</f>
        <v/>
      </c>
      <c r="E11">
        <f>'Master FF&amp;E Schedule'!K11</f>
        <v/>
      </c>
      <c r="F11">
        <f>'Master FF&amp;E Schedule'!M11</f>
        <v/>
      </c>
      <c r="G11">
        <f>'Master FF&amp;E Schedule'!T11</f>
        <v/>
      </c>
      <c r="H11">
        <f>'Master FF&amp;E Schedule'!W11</f>
        <v/>
      </c>
      <c r="I11">
        <f>'Master FF&amp;E Schedule'!AA11</f>
        <v/>
      </c>
    </row>
    <row r="12">
      <c r="A12" s="12">
        <f>'Master FF&amp;E Schedule'!B12</f>
        <v/>
      </c>
      <c r="B12" s="12">
        <f>'Master FF&amp;E Schedule'!D12</f>
        <v/>
      </c>
      <c r="C12" s="12">
        <f>'Master FF&amp;E Schedule'!E12</f>
        <v/>
      </c>
      <c r="D12" s="12">
        <f>'Master FF&amp;E Schedule'!F12</f>
        <v/>
      </c>
      <c r="E12" s="12">
        <f>'Master FF&amp;E Schedule'!K12</f>
        <v/>
      </c>
      <c r="F12" s="12">
        <f>'Master FF&amp;E Schedule'!M12</f>
        <v/>
      </c>
      <c r="G12" s="12">
        <f>'Master FF&amp;E Schedule'!T12</f>
        <v/>
      </c>
      <c r="H12" s="12">
        <f>'Master FF&amp;E Schedule'!W12</f>
        <v/>
      </c>
      <c r="I12" s="12">
        <f>'Master FF&amp;E Schedule'!AA12</f>
        <v/>
      </c>
      <c r="J12" s="12" t="n"/>
    </row>
    <row r="13">
      <c r="A13">
        <f>'Master FF&amp;E Schedule'!B13</f>
        <v/>
      </c>
      <c r="B13">
        <f>'Master FF&amp;E Schedule'!D13</f>
        <v/>
      </c>
      <c r="C13">
        <f>'Master FF&amp;E Schedule'!E13</f>
        <v/>
      </c>
      <c r="D13">
        <f>'Master FF&amp;E Schedule'!F13</f>
        <v/>
      </c>
      <c r="E13">
        <f>'Master FF&amp;E Schedule'!K13</f>
        <v/>
      </c>
      <c r="F13">
        <f>'Master FF&amp;E Schedule'!M13</f>
        <v/>
      </c>
      <c r="G13">
        <f>'Master FF&amp;E Schedule'!T13</f>
        <v/>
      </c>
      <c r="H13">
        <f>'Master FF&amp;E Schedule'!W13</f>
        <v/>
      </c>
      <c r="I13">
        <f>'Master FF&amp;E Schedule'!AA13</f>
        <v/>
      </c>
    </row>
    <row r="14">
      <c r="A14" s="12">
        <f>'Master FF&amp;E Schedule'!B14</f>
        <v/>
      </c>
      <c r="B14" s="12">
        <f>'Master FF&amp;E Schedule'!D14</f>
        <v/>
      </c>
      <c r="C14" s="12">
        <f>'Master FF&amp;E Schedule'!E14</f>
        <v/>
      </c>
      <c r="D14" s="12">
        <f>'Master FF&amp;E Schedule'!F14</f>
        <v/>
      </c>
      <c r="E14" s="12">
        <f>'Master FF&amp;E Schedule'!K14</f>
        <v/>
      </c>
      <c r="F14" s="12">
        <f>'Master FF&amp;E Schedule'!M14</f>
        <v/>
      </c>
      <c r="G14" s="12">
        <f>'Master FF&amp;E Schedule'!T14</f>
        <v/>
      </c>
      <c r="H14" s="12">
        <f>'Master FF&amp;E Schedule'!W14</f>
        <v/>
      </c>
      <c r="I14" s="12">
        <f>'Master FF&amp;E Schedule'!AA14</f>
        <v/>
      </c>
      <c r="J14" s="12" t="n"/>
    </row>
    <row r="15">
      <c r="A15">
        <f>'Master FF&amp;E Schedule'!B15</f>
        <v/>
      </c>
      <c r="B15">
        <f>'Master FF&amp;E Schedule'!D15</f>
        <v/>
      </c>
      <c r="C15">
        <f>'Master FF&amp;E Schedule'!E15</f>
        <v/>
      </c>
      <c r="D15">
        <f>'Master FF&amp;E Schedule'!F15</f>
        <v/>
      </c>
      <c r="E15">
        <f>'Master FF&amp;E Schedule'!K15</f>
        <v/>
      </c>
      <c r="F15">
        <f>'Master FF&amp;E Schedule'!M15</f>
        <v/>
      </c>
      <c r="G15">
        <f>'Master FF&amp;E Schedule'!T15</f>
        <v/>
      </c>
      <c r="H15">
        <f>'Master FF&amp;E Schedule'!W15</f>
        <v/>
      </c>
      <c r="I15">
        <f>'Master FF&amp;E Schedule'!AA15</f>
        <v/>
      </c>
    </row>
    <row r="16">
      <c r="A16" s="12">
        <f>'Master FF&amp;E Schedule'!B16</f>
        <v/>
      </c>
      <c r="B16" s="12">
        <f>'Master FF&amp;E Schedule'!D16</f>
        <v/>
      </c>
      <c r="C16" s="12">
        <f>'Master FF&amp;E Schedule'!E16</f>
        <v/>
      </c>
      <c r="D16" s="12">
        <f>'Master FF&amp;E Schedule'!F16</f>
        <v/>
      </c>
      <c r="E16" s="12">
        <f>'Master FF&amp;E Schedule'!K16</f>
        <v/>
      </c>
      <c r="F16" s="12">
        <f>'Master FF&amp;E Schedule'!M16</f>
        <v/>
      </c>
      <c r="G16" s="12">
        <f>'Master FF&amp;E Schedule'!T16</f>
        <v/>
      </c>
      <c r="H16" s="12">
        <f>'Master FF&amp;E Schedule'!W16</f>
        <v/>
      </c>
      <c r="I16" s="12">
        <f>'Master FF&amp;E Schedule'!AA16</f>
        <v/>
      </c>
      <c r="J16" s="12" t="n"/>
    </row>
    <row r="17">
      <c r="A17">
        <f>'Master FF&amp;E Schedule'!B17</f>
        <v/>
      </c>
      <c r="B17">
        <f>'Master FF&amp;E Schedule'!D17</f>
        <v/>
      </c>
      <c r="C17">
        <f>'Master FF&amp;E Schedule'!E17</f>
        <v/>
      </c>
      <c r="D17">
        <f>'Master FF&amp;E Schedule'!F17</f>
        <v/>
      </c>
      <c r="E17">
        <f>'Master FF&amp;E Schedule'!K17</f>
        <v/>
      </c>
      <c r="F17">
        <f>'Master FF&amp;E Schedule'!M17</f>
        <v/>
      </c>
      <c r="G17">
        <f>'Master FF&amp;E Schedule'!T17</f>
        <v/>
      </c>
      <c r="H17">
        <f>'Master FF&amp;E Schedule'!W17</f>
        <v/>
      </c>
      <c r="I17">
        <f>'Master FF&amp;E Schedule'!AA17</f>
        <v/>
      </c>
    </row>
    <row r="18">
      <c r="A18" s="12">
        <f>'Master FF&amp;E Schedule'!B18</f>
        <v/>
      </c>
      <c r="B18" s="12">
        <f>'Master FF&amp;E Schedule'!D18</f>
        <v/>
      </c>
      <c r="C18" s="12">
        <f>'Master FF&amp;E Schedule'!E18</f>
        <v/>
      </c>
      <c r="D18" s="12">
        <f>'Master FF&amp;E Schedule'!F18</f>
        <v/>
      </c>
      <c r="E18" s="12">
        <f>'Master FF&amp;E Schedule'!K18</f>
        <v/>
      </c>
      <c r="F18" s="12">
        <f>'Master FF&amp;E Schedule'!M18</f>
        <v/>
      </c>
      <c r="G18" s="12">
        <f>'Master FF&amp;E Schedule'!T18</f>
        <v/>
      </c>
      <c r="H18" s="12">
        <f>'Master FF&amp;E Schedule'!W18</f>
        <v/>
      </c>
      <c r="I18" s="12">
        <f>'Master FF&amp;E Schedule'!AA18</f>
        <v/>
      </c>
      <c r="J18" s="12" t="n"/>
    </row>
    <row r="19">
      <c r="A19">
        <f>'Master FF&amp;E Schedule'!B19</f>
        <v/>
      </c>
      <c r="B19">
        <f>'Master FF&amp;E Schedule'!D19</f>
        <v/>
      </c>
      <c r="C19">
        <f>'Master FF&amp;E Schedule'!E19</f>
        <v/>
      </c>
      <c r="D19">
        <f>'Master FF&amp;E Schedule'!F19</f>
        <v/>
      </c>
      <c r="E19">
        <f>'Master FF&amp;E Schedule'!K19</f>
        <v/>
      </c>
      <c r="F19">
        <f>'Master FF&amp;E Schedule'!M19</f>
        <v/>
      </c>
      <c r="G19">
        <f>'Master FF&amp;E Schedule'!T19</f>
        <v/>
      </c>
      <c r="H19">
        <f>'Master FF&amp;E Schedule'!W19</f>
        <v/>
      </c>
      <c r="I19">
        <f>'Master FF&amp;E Schedule'!AA19</f>
        <v/>
      </c>
    </row>
    <row r="20">
      <c r="A20" s="12">
        <f>'Master FF&amp;E Schedule'!B20</f>
        <v/>
      </c>
      <c r="B20" s="12">
        <f>'Master FF&amp;E Schedule'!D20</f>
        <v/>
      </c>
      <c r="C20" s="12">
        <f>'Master FF&amp;E Schedule'!E20</f>
        <v/>
      </c>
      <c r="D20" s="12">
        <f>'Master FF&amp;E Schedule'!F20</f>
        <v/>
      </c>
      <c r="E20" s="12">
        <f>'Master FF&amp;E Schedule'!K20</f>
        <v/>
      </c>
      <c r="F20" s="12">
        <f>'Master FF&amp;E Schedule'!M20</f>
        <v/>
      </c>
      <c r="G20" s="12">
        <f>'Master FF&amp;E Schedule'!T20</f>
        <v/>
      </c>
      <c r="H20" s="12">
        <f>'Master FF&amp;E Schedule'!W20</f>
        <v/>
      </c>
      <c r="I20" s="12">
        <f>'Master FF&amp;E Schedule'!AA20</f>
        <v/>
      </c>
      <c r="J20" s="12" t="n"/>
    </row>
    <row r="21">
      <c r="A21">
        <f>'Master FF&amp;E Schedule'!B21</f>
        <v/>
      </c>
      <c r="B21">
        <f>'Master FF&amp;E Schedule'!D21</f>
        <v/>
      </c>
      <c r="C21">
        <f>'Master FF&amp;E Schedule'!E21</f>
        <v/>
      </c>
      <c r="D21">
        <f>'Master FF&amp;E Schedule'!F21</f>
        <v/>
      </c>
      <c r="E21">
        <f>'Master FF&amp;E Schedule'!K21</f>
        <v/>
      </c>
      <c r="F21">
        <f>'Master FF&amp;E Schedule'!M21</f>
        <v/>
      </c>
      <c r="G21">
        <f>'Master FF&amp;E Schedule'!T21</f>
        <v/>
      </c>
      <c r="H21">
        <f>'Master FF&amp;E Schedule'!W21</f>
        <v/>
      </c>
      <c r="I21">
        <f>'Master FF&amp;E Schedule'!AA21</f>
        <v/>
      </c>
    </row>
    <row r="22">
      <c r="A22" s="12">
        <f>'Master FF&amp;E Schedule'!B22</f>
        <v/>
      </c>
      <c r="B22" s="12">
        <f>'Master FF&amp;E Schedule'!D22</f>
        <v/>
      </c>
      <c r="C22" s="12">
        <f>'Master FF&amp;E Schedule'!E22</f>
        <v/>
      </c>
      <c r="D22" s="12">
        <f>'Master FF&amp;E Schedule'!F22</f>
        <v/>
      </c>
      <c r="E22" s="12">
        <f>'Master FF&amp;E Schedule'!K22</f>
        <v/>
      </c>
      <c r="F22" s="12">
        <f>'Master FF&amp;E Schedule'!M22</f>
        <v/>
      </c>
      <c r="G22" s="12">
        <f>'Master FF&amp;E Schedule'!T22</f>
        <v/>
      </c>
      <c r="H22" s="12">
        <f>'Master FF&amp;E Schedule'!W22</f>
        <v/>
      </c>
      <c r="I22" s="12">
        <f>'Master FF&amp;E Schedule'!AA22</f>
        <v/>
      </c>
      <c r="J22" s="12" t="n"/>
    </row>
    <row r="23">
      <c r="A23">
        <f>'Master FF&amp;E Schedule'!B23</f>
        <v/>
      </c>
      <c r="B23">
        <f>'Master FF&amp;E Schedule'!D23</f>
        <v/>
      </c>
      <c r="C23">
        <f>'Master FF&amp;E Schedule'!E23</f>
        <v/>
      </c>
      <c r="D23">
        <f>'Master FF&amp;E Schedule'!F23</f>
        <v/>
      </c>
      <c r="E23">
        <f>'Master FF&amp;E Schedule'!K23</f>
        <v/>
      </c>
      <c r="F23">
        <f>'Master FF&amp;E Schedule'!M23</f>
        <v/>
      </c>
      <c r="G23">
        <f>'Master FF&amp;E Schedule'!T23</f>
        <v/>
      </c>
      <c r="H23">
        <f>'Master FF&amp;E Schedule'!W23</f>
        <v/>
      </c>
      <c r="I23">
        <f>'Master FF&amp;E Schedule'!AA23</f>
        <v/>
      </c>
    </row>
    <row r="24">
      <c r="A24" s="12">
        <f>'Master FF&amp;E Schedule'!B24</f>
        <v/>
      </c>
      <c r="B24" s="12">
        <f>'Master FF&amp;E Schedule'!D24</f>
        <v/>
      </c>
      <c r="C24" s="12">
        <f>'Master FF&amp;E Schedule'!E24</f>
        <v/>
      </c>
      <c r="D24" s="12">
        <f>'Master FF&amp;E Schedule'!F24</f>
        <v/>
      </c>
      <c r="E24" s="12">
        <f>'Master FF&amp;E Schedule'!K24</f>
        <v/>
      </c>
      <c r="F24" s="12">
        <f>'Master FF&amp;E Schedule'!M24</f>
        <v/>
      </c>
      <c r="G24" s="12">
        <f>'Master FF&amp;E Schedule'!T24</f>
        <v/>
      </c>
      <c r="H24" s="12">
        <f>'Master FF&amp;E Schedule'!W24</f>
        <v/>
      </c>
      <c r="I24" s="12">
        <f>'Master FF&amp;E Schedule'!AA24</f>
        <v/>
      </c>
      <c r="J24" s="12" t="n"/>
    </row>
    <row r="25">
      <c r="A25">
        <f>'Master FF&amp;E Schedule'!B25</f>
        <v/>
      </c>
      <c r="B25">
        <f>'Master FF&amp;E Schedule'!D25</f>
        <v/>
      </c>
      <c r="C25">
        <f>'Master FF&amp;E Schedule'!E25</f>
        <v/>
      </c>
      <c r="D25">
        <f>'Master FF&amp;E Schedule'!F25</f>
        <v/>
      </c>
      <c r="E25">
        <f>'Master FF&amp;E Schedule'!K25</f>
        <v/>
      </c>
      <c r="F25">
        <f>'Master FF&amp;E Schedule'!M25</f>
        <v/>
      </c>
      <c r="G25">
        <f>'Master FF&amp;E Schedule'!T25</f>
        <v/>
      </c>
      <c r="H25">
        <f>'Master FF&amp;E Schedule'!W25</f>
        <v/>
      </c>
      <c r="I25">
        <f>'Master FF&amp;E Schedule'!AA25</f>
        <v/>
      </c>
    </row>
    <row r="26">
      <c r="A26" s="12">
        <f>'Master FF&amp;E Schedule'!B26</f>
        <v/>
      </c>
      <c r="B26" s="12">
        <f>'Master FF&amp;E Schedule'!D26</f>
        <v/>
      </c>
      <c r="C26" s="12">
        <f>'Master FF&amp;E Schedule'!E26</f>
        <v/>
      </c>
      <c r="D26" s="12">
        <f>'Master FF&amp;E Schedule'!F26</f>
        <v/>
      </c>
      <c r="E26" s="12">
        <f>'Master FF&amp;E Schedule'!K26</f>
        <v/>
      </c>
      <c r="F26" s="12">
        <f>'Master FF&amp;E Schedule'!M26</f>
        <v/>
      </c>
      <c r="G26" s="12">
        <f>'Master FF&amp;E Schedule'!T26</f>
        <v/>
      </c>
      <c r="H26" s="12">
        <f>'Master FF&amp;E Schedule'!W26</f>
        <v/>
      </c>
      <c r="I26" s="12">
        <f>'Master FF&amp;E Schedule'!AA26</f>
        <v/>
      </c>
      <c r="J26" s="12" t="n"/>
    </row>
    <row r="27">
      <c r="A27">
        <f>'Master FF&amp;E Schedule'!B27</f>
        <v/>
      </c>
      <c r="B27">
        <f>'Master FF&amp;E Schedule'!D27</f>
        <v/>
      </c>
      <c r="C27">
        <f>'Master FF&amp;E Schedule'!E27</f>
        <v/>
      </c>
      <c r="D27">
        <f>'Master FF&amp;E Schedule'!F27</f>
        <v/>
      </c>
      <c r="E27">
        <f>'Master FF&amp;E Schedule'!K27</f>
        <v/>
      </c>
      <c r="F27">
        <f>'Master FF&amp;E Schedule'!M27</f>
        <v/>
      </c>
      <c r="G27">
        <f>'Master FF&amp;E Schedule'!T27</f>
        <v/>
      </c>
      <c r="H27">
        <f>'Master FF&amp;E Schedule'!W27</f>
        <v/>
      </c>
      <c r="I27">
        <f>'Master FF&amp;E Schedule'!AA27</f>
        <v/>
      </c>
    </row>
    <row r="28">
      <c r="A28" s="12">
        <f>'Master FF&amp;E Schedule'!B28</f>
        <v/>
      </c>
      <c r="B28" s="12">
        <f>'Master FF&amp;E Schedule'!D28</f>
        <v/>
      </c>
      <c r="C28" s="12">
        <f>'Master FF&amp;E Schedule'!E28</f>
        <v/>
      </c>
      <c r="D28" s="12">
        <f>'Master FF&amp;E Schedule'!F28</f>
        <v/>
      </c>
      <c r="E28" s="12">
        <f>'Master FF&amp;E Schedule'!K28</f>
        <v/>
      </c>
      <c r="F28" s="12">
        <f>'Master FF&amp;E Schedule'!M28</f>
        <v/>
      </c>
      <c r="G28" s="12">
        <f>'Master FF&amp;E Schedule'!T28</f>
        <v/>
      </c>
      <c r="H28" s="12">
        <f>'Master FF&amp;E Schedule'!W28</f>
        <v/>
      </c>
      <c r="I28" s="12">
        <f>'Master FF&amp;E Schedule'!AA28</f>
        <v/>
      </c>
      <c r="J28" s="12" t="n"/>
    </row>
    <row r="29">
      <c r="A29">
        <f>'Master FF&amp;E Schedule'!B29</f>
        <v/>
      </c>
      <c r="B29">
        <f>'Master FF&amp;E Schedule'!D29</f>
        <v/>
      </c>
      <c r="C29">
        <f>'Master FF&amp;E Schedule'!E29</f>
        <v/>
      </c>
      <c r="D29">
        <f>'Master FF&amp;E Schedule'!F29</f>
        <v/>
      </c>
      <c r="E29">
        <f>'Master FF&amp;E Schedule'!K29</f>
        <v/>
      </c>
      <c r="F29">
        <f>'Master FF&amp;E Schedule'!M29</f>
        <v/>
      </c>
      <c r="G29">
        <f>'Master FF&amp;E Schedule'!T29</f>
        <v/>
      </c>
      <c r="H29">
        <f>'Master FF&amp;E Schedule'!W29</f>
        <v/>
      </c>
      <c r="I29">
        <f>'Master FF&amp;E Schedule'!AA29</f>
        <v/>
      </c>
    </row>
    <row r="30">
      <c r="A30" s="12">
        <f>'Master FF&amp;E Schedule'!B30</f>
        <v/>
      </c>
      <c r="B30" s="12">
        <f>'Master FF&amp;E Schedule'!D30</f>
        <v/>
      </c>
      <c r="C30" s="12">
        <f>'Master FF&amp;E Schedule'!E30</f>
        <v/>
      </c>
      <c r="D30" s="12">
        <f>'Master FF&amp;E Schedule'!F30</f>
        <v/>
      </c>
      <c r="E30" s="12">
        <f>'Master FF&amp;E Schedule'!K30</f>
        <v/>
      </c>
      <c r="F30" s="12">
        <f>'Master FF&amp;E Schedule'!M30</f>
        <v/>
      </c>
      <c r="G30" s="12">
        <f>'Master FF&amp;E Schedule'!T30</f>
        <v/>
      </c>
      <c r="H30" s="12">
        <f>'Master FF&amp;E Schedule'!W30</f>
        <v/>
      </c>
      <c r="I30" s="12">
        <f>'Master FF&amp;E Schedule'!AA30</f>
        <v/>
      </c>
      <c r="J30" s="12" t="n"/>
    </row>
    <row r="31">
      <c r="A31">
        <f>'Master FF&amp;E Schedule'!B31</f>
        <v/>
      </c>
      <c r="B31">
        <f>'Master FF&amp;E Schedule'!D31</f>
        <v/>
      </c>
      <c r="C31">
        <f>'Master FF&amp;E Schedule'!E31</f>
        <v/>
      </c>
      <c r="D31">
        <f>'Master FF&amp;E Schedule'!F31</f>
        <v/>
      </c>
      <c r="E31">
        <f>'Master FF&amp;E Schedule'!K31</f>
        <v/>
      </c>
      <c r="F31">
        <f>'Master FF&amp;E Schedule'!M31</f>
        <v/>
      </c>
      <c r="G31">
        <f>'Master FF&amp;E Schedule'!T31</f>
        <v/>
      </c>
      <c r="H31">
        <f>'Master FF&amp;E Schedule'!W31</f>
        <v/>
      </c>
      <c r="I31">
        <f>'Master FF&amp;E Schedule'!AA31</f>
        <v/>
      </c>
    </row>
    <row r="32">
      <c r="A32" s="12">
        <f>'Master FF&amp;E Schedule'!B32</f>
        <v/>
      </c>
      <c r="B32" s="12">
        <f>'Master FF&amp;E Schedule'!D32</f>
        <v/>
      </c>
      <c r="C32" s="12">
        <f>'Master FF&amp;E Schedule'!E32</f>
        <v/>
      </c>
      <c r="D32" s="12">
        <f>'Master FF&amp;E Schedule'!F32</f>
        <v/>
      </c>
      <c r="E32" s="12">
        <f>'Master FF&amp;E Schedule'!K32</f>
        <v/>
      </c>
      <c r="F32" s="12">
        <f>'Master FF&amp;E Schedule'!M32</f>
        <v/>
      </c>
      <c r="G32" s="12">
        <f>'Master FF&amp;E Schedule'!T32</f>
        <v/>
      </c>
      <c r="H32" s="12">
        <f>'Master FF&amp;E Schedule'!W32</f>
        <v/>
      </c>
      <c r="I32" s="12">
        <f>'Master FF&amp;E Schedule'!AA32</f>
        <v/>
      </c>
      <c r="J32" s="12" t="n"/>
    </row>
    <row r="33">
      <c r="A33">
        <f>'Master FF&amp;E Schedule'!B33</f>
        <v/>
      </c>
      <c r="B33">
        <f>'Master FF&amp;E Schedule'!D33</f>
        <v/>
      </c>
      <c r="C33">
        <f>'Master FF&amp;E Schedule'!E33</f>
        <v/>
      </c>
      <c r="D33">
        <f>'Master FF&amp;E Schedule'!F33</f>
        <v/>
      </c>
      <c r="E33">
        <f>'Master FF&amp;E Schedule'!K33</f>
        <v/>
      </c>
      <c r="F33">
        <f>'Master FF&amp;E Schedule'!M33</f>
        <v/>
      </c>
      <c r="G33">
        <f>'Master FF&amp;E Schedule'!T33</f>
        <v/>
      </c>
      <c r="H33">
        <f>'Master FF&amp;E Schedule'!W33</f>
        <v/>
      </c>
      <c r="I33">
        <f>'Master FF&amp;E Schedule'!AA33</f>
        <v/>
      </c>
    </row>
    <row r="34">
      <c r="A34" s="12">
        <f>'Master FF&amp;E Schedule'!B34</f>
        <v/>
      </c>
      <c r="B34" s="12">
        <f>'Master FF&amp;E Schedule'!D34</f>
        <v/>
      </c>
      <c r="C34" s="12">
        <f>'Master FF&amp;E Schedule'!E34</f>
        <v/>
      </c>
      <c r="D34" s="12">
        <f>'Master FF&amp;E Schedule'!F34</f>
        <v/>
      </c>
      <c r="E34" s="12">
        <f>'Master FF&amp;E Schedule'!K34</f>
        <v/>
      </c>
      <c r="F34" s="12">
        <f>'Master FF&amp;E Schedule'!M34</f>
        <v/>
      </c>
      <c r="G34" s="12">
        <f>'Master FF&amp;E Schedule'!T34</f>
        <v/>
      </c>
      <c r="H34" s="12">
        <f>'Master FF&amp;E Schedule'!W34</f>
        <v/>
      </c>
      <c r="I34" s="12">
        <f>'Master FF&amp;E Schedule'!AA34</f>
        <v/>
      </c>
      <c r="J34" s="12" t="n"/>
    </row>
    <row r="35">
      <c r="A35">
        <f>'Master FF&amp;E Schedule'!B35</f>
        <v/>
      </c>
      <c r="B35">
        <f>'Master FF&amp;E Schedule'!D35</f>
        <v/>
      </c>
      <c r="C35">
        <f>'Master FF&amp;E Schedule'!E35</f>
        <v/>
      </c>
      <c r="D35">
        <f>'Master FF&amp;E Schedule'!F35</f>
        <v/>
      </c>
      <c r="E35">
        <f>'Master FF&amp;E Schedule'!K35</f>
        <v/>
      </c>
      <c r="F35">
        <f>'Master FF&amp;E Schedule'!M35</f>
        <v/>
      </c>
      <c r="G35">
        <f>'Master FF&amp;E Schedule'!T35</f>
        <v/>
      </c>
      <c r="H35">
        <f>'Master FF&amp;E Schedule'!W35</f>
        <v/>
      </c>
      <c r="I35">
        <f>'Master FF&amp;E Schedule'!AA35</f>
        <v/>
      </c>
    </row>
    <row r="36">
      <c r="A36" s="12">
        <f>'Master FF&amp;E Schedule'!B36</f>
        <v/>
      </c>
      <c r="B36" s="12">
        <f>'Master FF&amp;E Schedule'!D36</f>
        <v/>
      </c>
      <c r="C36" s="12">
        <f>'Master FF&amp;E Schedule'!E36</f>
        <v/>
      </c>
      <c r="D36" s="12">
        <f>'Master FF&amp;E Schedule'!F36</f>
        <v/>
      </c>
      <c r="E36" s="12">
        <f>'Master FF&amp;E Schedule'!K36</f>
        <v/>
      </c>
      <c r="F36" s="12">
        <f>'Master FF&amp;E Schedule'!M36</f>
        <v/>
      </c>
      <c r="G36" s="12">
        <f>'Master FF&amp;E Schedule'!T36</f>
        <v/>
      </c>
      <c r="H36" s="12">
        <f>'Master FF&amp;E Schedule'!W36</f>
        <v/>
      </c>
      <c r="I36" s="12">
        <f>'Master FF&amp;E Schedule'!AA36</f>
        <v/>
      </c>
      <c r="J36" s="12" t="n"/>
    </row>
    <row r="37">
      <c r="A37">
        <f>'Master FF&amp;E Schedule'!B37</f>
        <v/>
      </c>
      <c r="B37">
        <f>'Master FF&amp;E Schedule'!D37</f>
        <v/>
      </c>
      <c r="C37">
        <f>'Master FF&amp;E Schedule'!E37</f>
        <v/>
      </c>
      <c r="D37">
        <f>'Master FF&amp;E Schedule'!F37</f>
        <v/>
      </c>
      <c r="E37">
        <f>'Master FF&amp;E Schedule'!K37</f>
        <v/>
      </c>
      <c r="F37">
        <f>'Master FF&amp;E Schedule'!M37</f>
        <v/>
      </c>
      <c r="G37">
        <f>'Master FF&amp;E Schedule'!T37</f>
        <v/>
      </c>
      <c r="H37">
        <f>'Master FF&amp;E Schedule'!W37</f>
        <v/>
      </c>
      <c r="I37">
        <f>'Master FF&amp;E Schedule'!AA37</f>
        <v/>
      </c>
    </row>
    <row r="38">
      <c r="A38" s="12">
        <f>'Master FF&amp;E Schedule'!B38</f>
        <v/>
      </c>
      <c r="B38" s="12">
        <f>'Master FF&amp;E Schedule'!D38</f>
        <v/>
      </c>
      <c r="C38" s="12">
        <f>'Master FF&amp;E Schedule'!E38</f>
        <v/>
      </c>
      <c r="D38" s="12">
        <f>'Master FF&amp;E Schedule'!F38</f>
        <v/>
      </c>
      <c r="E38" s="12">
        <f>'Master FF&amp;E Schedule'!K38</f>
        <v/>
      </c>
      <c r="F38" s="12">
        <f>'Master FF&amp;E Schedule'!M38</f>
        <v/>
      </c>
      <c r="G38" s="12">
        <f>'Master FF&amp;E Schedule'!T38</f>
        <v/>
      </c>
      <c r="H38" s="12">
        <f>'Master FF&amp;E Schedule'!W38</f>
        <v/>
      </c>
      <c r="I38" s="12">
        <f>'Master FF&amp;E Schedule'!AA38</f>
        <v/>
      </c>
      <c r="J38" s="12" t="n"/>
    </row>
    <row r="39">
      <c r="A39">
        <f>'Master FF&amp;E Schedule'!B39</f>
        <v/>
      </c>
      <c r="B39">
        <f>'Master FF&amp;E Schedule'!D39</f>
        <v/>
      </c>
      <c r="C39">
        <f>'Master FF&amp;E Schedule'!E39</f>
        <v/>
      </c>
      <c r="D39">
        <f>'Master FF&amp;E Schedule'!F39</f>
        <v/>
      </c>
      <c r="E39">
        <f>'Master FF&amp;E Schedule'!K39</f>
        <v/>
      </c>
      <c r="F39">
        <f>'Master FF&amp;E Schedule'!M39</f>
        <v/>
      </c>
      <c r="G39">
        <f>'Master FF&amp;E Schedule'!T39</f>
        <v/>
      </c>
      <c r="H39">
        <f>'Master FF&amp;E Schedule'!W39</f>
        <v/>
      </c>
      <c r="I39">
        <f>'Master FF&amp;E Schedule'!AA39</f>
        <v/>
      </c>
    </row>
    <row r="40">
      <c r="A40" s="12">
        <f>'Master FF&amp;E Schedule'!B40</f>
        <v/>
      </c>
      <c r="B40" s="12">
        <f>'Master FF&amp;E Schedule'!D40</f>
        <v/>
      </c>
      <c r="C40" s="12">
        <f>'Master FF&amp;E Schedule'!E40</f>
        <v/>
      </c>
      <c r="D40" s="12">
        <f>'Master FF&amp;E Schedule'!F40</f>
        <v/>
      </c>
      <c r="E40" s="12">
        <f>'Master FF&amp;E Schedule'!K40</f>
        <v/>
      </c>
      <c r="F40" s="12">
        <f>'Master FF&amp;E Schedule'!M40</f>
        <v/>
      </c>
      <c r="G40" s="12">
        <f>'Master FF&amp;E Schedule'!T40</f>
        <v/>
      </c>
      <c r="H40" s="12">
        <f>'Master FF&amp;E Schedule'!W40</f>
        <v/>
      </c>
      <c r="I40" s="12">
        <f>'Master FF&amp;E Schedule'!AA40</f>
        <v/>
      </c>
      <c r="J40" s="12" t="n"/>
    </row>
    <row r="41">
      <c r="A41">
        <f>'Master FF&amp;E Schedule'!B41</f>
        <v/>
      </c>
      <c r="B41">
        <f>'Master FF&amp;E Schedule'!D41</f>
        <v/>
      </c>
      <c r="C41">
        <f>'Master FF&amp;E Schedule'!E41</f>
        <v/>
      </c>
      <c r="D41">
        <f>'Master FF&amp;E Schedule'!F41</f>
        <v/>
      </c>
      <c r="E41">
        <f>'Master FF&amp;E Schedule'!K41</f>
        <v/>
      </c>
      <c r="F41">
        <f>'Master FF&amp;E Schedule'!M41</f>
        <v/>
      </c>
      <c r="G41">
        <f>'Master FF&amp;E Schedule'!T41</f>
        <v/>
      </c>
      <c r="H41">
        <f>'Master FF&amp;E Schedule'!W41</f>
        <v/>
      </c>
      <c r="I41">
        <f>'Master FF&amp;E Schedule'!AA41</f>
        <v/>
      </c>
    </row>
    <row r="42">
      <c r="A42" s="12">
        <f>'Master FF&amp;E Schedule'!B42</f>
        <v/>
      </c>
      <c r="B42" s="12">
        <f>'Master FF&amp;E Schedule'!D42</f>
        <v/>
      </c>
      <c r="C42" s="12">
        <f>'Master FF&amp;E Schedule'!E42</f>
        <v/>
      </c>
      <c r="D42" s="12">
        <f>'Master FF&amp;E Schedule'!F42</f>
        <v/>
      </c>
      <c r="E42" s="12">
        <f>'Master FF&amp;E Schedule'!K42</f>
        <v/>
      </c>
      <c r="F42" s="12">
        <f>'Master FF&amp;E Schedule'!M42</f>
        <v/>
      </c>
      <c r="G42" s="12">
        <f>'Master FF&amp;E Schedule'!T42</f>
        <v/>
      </c>
      <c r="H42" s="12">
        <f>'Master FF&amp;E Schedule'!W42</f>
        <v/>
      </c>
      <c r="I42" s="12">
        <f>'Master FF&amp;E Schedule'!AA42</f>
        <v/>
      </c>
      <c r="J42" s="12" t="n"/>
    </row>
    <row r="43">
      <c r="A43">
        <f>'Master FF&amp;E Schedule'!B43</f>
        <v/>
      </c>
      <c r="B43">
        <f>'Master FF&amp;E Schedule'!D43</f>
        <v/>
      </c>
      <c r="C43">
        <f>'Master FF&amp;E Schedule'!E43</f>
        <v/>
      </c>
      <c r="D43">
        <f>'Master FF&amp;E Schedule'!F43</f>
        <v/>
      </c>
      <c r="E43">
        <f>'Master FF&amp;E Schedule'!K43</f>
        <v/>
      </c>
      <c r="F43">
        <f>'Master FF&amp;E Schedule'!M43</f>
        <v/>
      </c>
      <c r="G43">
        <f>'Master FF&amp;E Schedule'!T43</f>
        <v/>
      </c>
      <c r="H43">
        <f>'Master FF&amp;E Schedule'!W43</f>
        <v/>
      </c>
      <c r="I43">
        <f>'Master FF&amp;E Schedule'!AA43</f>
        <v/>
      </c>
    </row>
    <row r="44">
      <c r="A44" s="12">
        <f>'Master FF&amp;E Schedule'!B44</f>
        <v/>
      </c>
      <c r="B44" s="12">
        <f>'Master FF&amp;E Schedule'!D44</f>
        <v/>
      </c>
      <c r="C44" s="12">
        <f>'Master FF&amp;E Schedule'!E44</f>
        <v/>
      </c>
      <c r="D44" s="12">
        <f>'Master FF&amp;E Schedule'!F44</f>
        <v/>
      </c>
      <c r="E44" s="12">
        <f>'Master FF&amp;E Schedule'!K44</f>
        <v/>
      </c>
      <c r="F44" s="12">
        <f>'Master FF&amp;E Schedule'!M44</f>
        <v/>
      </c>
      <c r="G44" s="12">
        <f>'Master FF&amp;E Schedule'!T44</f>
        <v/>
      </c>
      <c r="H44" s="12">
        <f>'Master FF&amp;E Schedule'!W44</f>
        <v/>
      </c>
      <c r="I44" s="12">
        <f>'Master FF&amp;E Schedule'!AA44</f>
        <v/>
      </c>
      <c r="J44" s="12" t="n"/>
    </row>
    <row r="45">
      <c r="A45">
        <f>'Master FF&amp;E Schedule'!B45</f>
        <v/>
      </c>
      <c r="B45">
        <f>'Master FF&amp;E Schedule'!D45</f>
        <v/>
      </c>
      <c r="C45">
        <f>'Master FF&amp;E Schedule'!E45</f>
        <v/>
      </c>
      <c r="D45">
        <f>'Master FF&amp;E Schedule'!F45</f>
        <v/>
      </c>
      <c r="E45">
        <f>'Master FF&amp;E Schedule'!K45</f>
        <v/>
      </c>
      <c r="F45">
        <f>'Master FF&amp;E Schedule'!M45</f>
        <v/>
      </c>
      <c r="G45">
        <f>'Master FF&amp;E Schedule'!T45</f>
        <v/>
      </c>
      <c r="H45">
        <f>'Master FF&amp;E Schedule'!W45</f>
        <v/>
      </c>
      <c r="I45">
        <f>'Master FF&amp;E Schedule'!AA45</f>
        <v/>
      </c>
    </row>
    <row r="46">
      <c r="A46" s="12">
        <f>'Master FF&amp;E Schedule'!B46</f>
        <v/>
      </c>
      <c r="B46" s="12">
        <f>'Master FF&amp;E Schedule'!D46</f>
        <v/>
      </c>
      <c r="C46" s="12">
        <f>'Master FF&amp;E Schedule'!E46</f>
        <v/>
      </c>
      <c r="D46" s="12">
        <f>'Master FF&amp;E Schedule'!F46</f>
        <v/>
      </c>
      <c r="E46" s="12">
        <f>'Master FF&amp;E Schedule'!K46</f>
        <v/>
      </c>
      <c r="F46" s="12">
        <f>'Master FF&amp;E Schedule'!M46</f>
        <v/>
      </c>
      <c r="G46" s="12">
        <f>'Master FF&amp;E Schedule'!T46</f>
        <v/>
      </c>
      <c r="H46" s="12">
        <f>'Master FF&amp;E Schedule'!W46</f>
        <v/>
      </c>
      <c r="I46" s="12">
        <f>'Master FF&amp;E Schedule'!AA46</f>
        <v/>
      </c>
      <c r="J46" s="12" t="n"/>
    </row>
    <row r="47">
      <c r="A47">
        <f>'Master FF&amp;E Schedule'!B47</f>
        <v/>
      </c>
      <c r="B47">
        <f>'Master FF&amp;E Schedule'!D47</f>
        <v/>
      </c>
      <c r="C47">
        <f>'Master FF&amp;E Schedule'!E47</f>
        <v/>
      </c>
      <c r="D47">
        <f>'Master FF&amp;E Schedule'!F47</f>
        <v/>
      </c>
      <c r="E47">
        <f>'Master FF&amp;E Schedule'!K47</f>
        <v/>
      </c>
      <c r="F47">
        <f>'Master FF&amp;E Schedule'!M47</f>
        <v/>
      </c>
      <c r="G47">
        <f>'Master FF&amp;E Schedule'!T47</f>
        <v/>
      </c>
      <c r="H47">
        <f>'Master FF&amp;E Schedule'!W47</f>
        <v/>
      </c>
      <c r="I47">
        <f>'Master FF&amp;E Schedule'!AA47</f>
        <v/>
      </c>
    </row>
    <row r="48">
      <c r="A48" s="12">
        <f>'Master FF&amp;E Schedule'!B48</f>
        <v/>
      </c>
      <c r="B48" s="12">
        <f>'Master FF&amp;E Schedule'!D48</f>
        <v/>
      </c>
      <c r="C48" s="12">
        <f>'Master FF&amp;E Schedule'!E48</f>
        <v/>
      </c>
      <c r="D48" s="12">
        <f>'Master FF&amp;E Schedule'!F48</f>
        <v/>
      </c>
      <c r="E48" s="12">
        <f>'Master FF&amp;E Schedule'!K48</f>
        <v/>
      </c>
      <c r="F48" s="12">
        <f>'Master FF&amp;E Schedule'!M48</f>
        <v/>
      </c>
      <c r="G48" s="12">
        <f>'Master FF&amp;E Schedule'!T48</f>
        <v/>
      </c>
      <c r="H48" s="12">
        <f>'Master FF&amp;E Schedule'!W48</f>
        <v/>
      </c>
      <c r="I48" s="12">
        <f>'Master FF&amp;E Schedule'!AA48</f>
        <v/>
      </c>
      <c r="J48" s="12" t="n"/>
    </row>
    <row r="49">
      <c r="A49">
        <f>'Master FF&amp;E Schedule'!B49</f>
        <v/>
      </c>
      <c r="B49">
        <f>'Master FF&amp;E Schedule'!D49</f>
        <v/>
      </c>
      <c r="C49">
        <f>'Master FF&amp;E Schedule'!E49</f>
        <v/>
      </c>
      <c r="D49">
        <f>'Master FF&amp;E Schedule'!F49</f>
        <v/>
      </c>
      <c r="E49">
        <f>'Master FF&amp;E Schedule'!K49</f>
        <v/>
      </c>
      <c r="F49">
        <f>'Master FF&amp;E Schedule'!M49</f>
        <v/>
      </c>
      <c r="G49">
        <f>'Master FF&amp;E Schedule'!T49</f>
        <v/>
      </c>
      <c r="H49">
        <f>'Master FF&amp;E Schedule'!W49</f>
        <v/>
      </c>
      <c r="I49">
        <f>'Master FF&amp;E Schedule'!AA49</f>
        <v/>
      </c>
    </row>
    <row r="50">
      <c r="A50" s="12">
        <f>'Master FF&amp;E Schedule'!B50</f>
        <v/>
      </c>
      <c r="B50" s="12">
        <f>'Master FF&amp;E Schedule'!D50</f>
        <v/>
      </c>
      <c r="C50" s="12">
        <f>'Master FF&amp;E Schedule'!E50</f>
        <v/>
      </c>
      <c r="D50" s="12">
        <f>'Master FF&amp;E Schedule'!F50</f>
        <v/>
      </c>
      <c r="E50" s="12">
        <f>'Master FF&amp;E Schedule'!K50</f>
        <v/>
      </c>
      <c r="F50" s="12">
        <f>'Master FF&amp;E Schedule'!M50</f>
        <v/>
      </c>
      <c r="G50" s="12">
        <f>'Master FF&amp;E Schedule'!T50</f>
        <v/>
      </c>
      <c r="H50" s="12">
        <f>'Master FF&amp;E Schedule'!W50</f>
        <v/>
      </c>
      <c r="I50" s="12">
        <f>'Master FF&amp;E Schedule'!AA50</f>
        <v/>
      </c>
      <c r="J50" s="12" t="n"/>
    </row>
    <row r="51">
      <c r="A51">
        <f>'Master FF&amp;E Schedule'!B51</f>
        <v/>
      </c>
      <c r="B51">
        <f>'Master FF&amp;E Schedule'!D51</f>
        <v/>
      </c>
      <c r="C51">
        <f>'Master FF&amp;E Schedule'!E51</f>
        <v/>
      </c>
      <c r="D51">
        <f>'Master FF&amp;E Schedule'!F51</f>
        <v/>
      </c>
      <c r="E51">
        <f>'Master FF&amp;E Schedule'!K51</f>
        <v/>
      </c>
      <c r="F51">
        <f>'Master FF&amp;E Schedule'!M51</f>
        <v/>
      </c>
      <c r="G51">
        <f>'Master FF&amp;E Schedule'!T51</f>
        <v/>
      </c>
      <c r="H51">
        <f>'Master FF&amp;E Schedule'!W51</f>
        <v/>
      </c>
      <c r="I51">
        <f>'Master FF&amp;E Schedule'!AA51</f>
        <v/>
      </c>
    </row>
    <row r="52">
      <c r="A52" s="12">
        <f>'Master FF&amp;E Schedule'!B52</f>
        <v/>
      </c>
      <c r="B52" s="12">
        <f>'Master FF&amp;E Schedule'!D52</f>
        <v/>
      </c>
      <c r="C52" s="12">
        <f>'Master FF&amp;E Schedule'!E52</f>
        <v/>
      </c>
      <c r="D52" s="12">
        <f>'Master FF&amp;E Schedule'!F52</f>
        <v/>
      </c>
      <c r="E52" s="12">
        <f>'Master FF&amp;E Schedule'!K52</f>
        <v/>
      </c>
      <c r="F52" s="12">
        <f>'Master FF&amp;E Schedule'!M52</f>
        <v/>
      </c>
      <c r="G52" s="12">
        <f>'Master FF&amp;E Schedule'!T52</f>
        <v/>
      </c>
      <c r="H52" s="12">
        <f>'Master FF&amp;E Schedule'!W52</f>
        <v/>
      </c>
      <c r="I52" s="12">
        <f>'Master FF&amp;E Schedule'!AA52</f>
        <v/>
      </c>
      <c r="J52" s="12" t="n"/>
    </row>
    <row r="53">
      <c r="A53">
        <f>'Master FF&amp;E Schedule'!B53</f>
        <v/>
      </c>
      <c r="B53">
        <f>'Master FF&amp;E Schedule'!D53</f>
        <v/>
      </c>
      <c r="C53">
        <f>'Master FF&amp;E Schedule'!E53</f>
        <v/>
      </c>
      <c r="D53">
        <f>'Master FF&amp;E Schedule'!F53</f>
        <v/>
      </c>
      <c r="E53">
        <f>'Master FF&amp;E Schedule'!K53</f>
        <v/>
      </c>
      <c r="F53">
        <f>'Master FF&amp;E Schedule'!M53</f>
        <v/>
      </c>
      <c r="G53">
        <f>'Master FF&amp;E Schedule'!T53</f>
        <v/>
      </c>
      <c r="H53">
        <f>'Master FF&amp;E Schedule'!W53</f>
        <v/>
      </c>
      <c r="I53">
        <f>'Master FF&amp;E Schedule'!AA53</f>
        <v/>
      </c>
    </row>
    <row r="54">
      <c r="A54" s="12">
        <f>'Master FF&amp;E Schedule'!B54</f>
        <v/>
      </c>
      <c r="B54" s="12">
        <f>'Master FF&amp;E Schedule'!D54</f>
        <v/>
      </c>
      <c r="C54" s="12">
        <f>'Master FF&amp;E Schedule'!E54</f>
        <v/>
      </c>
      <c r="D54" s="12">
        <f>'Master FF&amp;E Schedule'!F54</f>
        <v/>
      </c>
      <c r="E54" s="12">
        <f>'Master FF&amp;E Schedule'!K54</f>
        <v/>
      </c>
      <c r="F54" s="12">
        <f>'Master FF&amp;E Schedule'!M54</f>
        <v/>
      </c>
      <c r="G54" s="12">
        <f>'Master FF&amp;E Schedule'!T54</f>
        <v/>
      </c>
      <c r="H54" s="12">
        <f>'Master FF&amp;E Schedule'!W54</f>
        <v/>
      </c>
      <c r="I54" s="12">
        <f>'Master FF&amp;E Schedule'!AA54</f>
        <v/>
      </c>
      <c r="J54" s="12" t="n"/>
    </row>
    <row r="55">
      <c r="A55">
        <f>'Master FF&amp;E Schedule'!B55</f>
        <v/>
      </c>
      <c r="B55">
        <f>'Master FF&amp;E Schedule'!D55</f>
        <v/>
      </c>
      <c r="C55">
        <f>'Master FF&amp;E Schedule'!E55</f>
        <v/>
      </c>
      <c r="D55">
        <f>'Master FF&amp;E Schedule'!F55</f>
        <v/>
      </c>
      <c r="E55">
        <f>'Master FF&amp;E Schedule'!K55</f>
        <v/>
      </c>
      <c r="F55">
        <f>'Master FF&amp;E Schedule'!M55</f>
        <v/>
      </c>
      <c r="G55">
        <f>'Master FF&amp;E Schedule'!T55</f>
        <v/>
      </c>
      <c r="H55">
        <f>'Master FF&amp;E Schedule'!W55</f>
        <v/>
      </c>
      <c r="I55">
        <f>'Master FF&amp;E Schedule'!AA55</f>
        <v/>
      </c>
    </row>
    <row r="56">
      <c r="A56" s="12">
        <f>'Master FF&amp;E Schedule'!B56</f>
        <v/>
      </c>
      <c r="B56" s="12">
        <f>'Master FF&amp;E Schedule'!D56</f>
        <v/>
      </c>
      <c r="C56" s="12">
        <f>'Master FF&amp;E Schedule'!E56</f>
        <v/>
      </c>
      <c r="D56" s="12">
        <f>'Master FF&amp;E Schedule'!F56</f>
        <v/>
      </c>
      <c r="E56" s="12">
        <f>'Master FF&amp;E Schedule'!K56</f>
        <v/>
      </c>
      <c r="F56" s="12">
        <f>'Master FF&amp;E Schedule'!M56</f>
        <v/>
      </c>
      <c r="G56" s="12">
        <f>'Master FF&amp;E Schedule'!T56</f>
        <v/>
      </c>
      <c r="H56" s="12">
        <f>'Master FF&amp;E Schedule'!W56</f>
        <v/>
      </c>
      <c r="I56" s="12">
        <f>'Master FF&amp;E Schedule'!AA56</f>
        <v/>
      </c>
      <c r="J56" s="12" t="n"/>
    </row>
    <row r="57">
      <c r="A57">
        <f>'Master FF&amp;E Schedule'!B57</f>
        <v/>
      </c>
      <c r="B57">
        <f>'Master FF&amp;E Schedule'!D57</f>
        <v/>
      </c>
      <c r="C57">
        <f>'Master FF&amp;E Schedule'!E57</f>
        <v/>
      </c>
      <c r="D57">
        <f>'Master FF&amp;E Schedule'!F57</f>
        <v/>
      </c>
      <c r="E57">
        <f>'Master FF&amp;E Schedule'!K57</f>
        <v/>
      </c>
      <c r="F57">
        <f>'Master FF&amp;E Schedule'!M57</f>
        <v/>
      </c>
      <c r="G57">
        <f>'Master FF&amp;E Schedule'!T57</f>
        <v/>
      </c>
      <c r="H57">
        <f>'Master FF&amp;E Schedule'!W57</f>
        <v/>
      </c>
      <c r="I57">
        <f>'Master FF&amp;E Schedule'!AA57</f>
        <v/>
      </c>
    </row>
    <row r="58">
      <c r="A58" s="12">
        <f>'Master FF&amp;E Schedule'!B58</f>
        <v/>
      </c>
      <c r="B58" s="12">
        <f>'Master FF&amp;E Schedule'!D58</f>
        <v/>
      </c>
      <c r="C58" s="12">
        <f>'Master FF&amp;E Schedule'!E58</f>
        <v/>
      </c>
      <c r="D58" s="12">
        <f>'Master FF&amp;E Schedule'!F58</f>
        <v/>
      </c>
      <c r="E58" s="12">
        <f>'Master FF&amp;E Schedule'!K58</f>
        <v/>
      </c>
      <c r="F58" s="12">
        <f>'Master FF&amp;E Schedule'!M58</f>
        <v/>
      </c>
      <c r="G58" s="12">
        <f>'Master FF&amp;E Schedule'!T58</f>
        <v/>
      </c>
      <c r="H58" s="12">
        <f>'Master FF&amp;E Schedule'!W58</f>
        <v/>
      </c>
      <c r="I58" s="12">
        <f>'Master FF&amp;E Schedule'!AA58</f>
        <v/>
      </c>
      <c r="J58" s="12" t="n"/>
    </row>
    <row r="59">
      <c r="A59">
        <f>'Master FF&amp;E Schedule'!B59</f>
        <v/>
      </c>
      <c r="B59">
        <f>'Master FF&amp;E Schedule'!D59</f>
        <v/>
      </c>
      <c r="C59">
        <f>'Master FF&amp;E Schedule'!E59</f>
        <v/>
      </c>
      <c r="D59">
        <f>'Master FF&amp;E Schedule'!F59</f>
        <v/>
      </c>
      <c r="E59">
        <f>'Master FF&amp;E Schedule'!K59</f>
        <v/>
      </c>
      <c r="F59">
        <f>'Master FF&amp;E Schedule'!M59</f>
        <v/>
      </c>
      <c r="G59">
        <f>'Master FF&amp;E Schedule'!T59</f>
        <v/>
      </c>
      <c r="H59">
        <f>'Master FF&amp;E Schedule'!W59</f>
        <v/>
      </c>
      <c r="I59">
        <f>'Master FF&amp;E Schedule'!AA59</f>
        <v/>
      </c>
    </row>
    <row r="60">
      <c r="A60" s="12">
        <f>'Master FF&amp;E Schedule'!B60</f>
        <v/>
      </c>
      <c r="B60" s="12">
        <f>'Master FF&amp;E Schedule'!D60</f>
        <v/>
      </c>
      <c r="C60" s="12">
        <f>'Master FF&amp;E Schedule'!E60</f>
        <v/>
      </c>
      <c r="D60" s="12">
        <f>'Master FF&amp;E Schedule'!F60</f>
        <v/>
      </c>
      <c r="E60" s="12">
        <f>'Master FF&amp;E Schedule'!K60</f>
        <v/>
      </c>
      <c r="F60" s="12">
        <f>'Master FF&amp;E Schedule'!M60</f>
        <v/>
      </c>
      <c r="G60" s="12">
        <f>'Master FF&amp;E Schedule'!T60</f>
        <v/>
      </c>
      <c r="H60" s="12">
        <f>'Master FF&amp;E Schedule'!W60</f>
        <v/>
      </c>
      <c r="I60" s="12">
        <f>'Master FF&amp;E Schedule'!AA60</f>
        <v/>
      </c>
      <c r="J60" s="12" t="n"/>
    </row>
    <row r="61">
      <c r="A61">
        <f>'Master FF&amp;E Schedule'!B61</f>
        <v/>
      </c>
      <c r="B61">
        <f>'Master FF&amp;E Schedule'!D61</f>
        <v/>
      </c>
      <c r="C61">
        <f>'Master FF&amp;E Schedule'!E61</f>
        <v/>
      </c>
      <c r="D61">
        <f>'Master FF&amp;E Schedule'!F61</f>
        <v/>
      </c>
      <c r="E61">
        <f>'Master FF&amp;E Schedule'!K61</f>
        <v/>
      </c>
      <c r="F61">
        <f>'Master FF&amp;E Schedule'!M61</f>
        <v/>
      </c>
      <c r="G61">
        <f>'Master FF&amp;E Schedule'!T61</f>
        <v/>
      </c>
      <c r="H61">
        <f>'Master FF&amp;E Schedule'!W61</f>
        <v/>
      </c>
      <c r="I61">
        <f>'Master FF&amp;E Schedule'!AA61</f>
        <v/>
      </c>
    </row>
    <row r="62">
      <c r="A62" s="12">
        <f>'Master FF&amp;E Schedule'!B62</f>
        <v/>
      </c>
      <c r="B62" s="12">
        <f>'Master FF&amp;E Schedule'!D62</f>
        <v/>
      </c>
      <c r="C62" s="12">
        <f>'Master FF&amp;E Schedule'!E62</f>
        <v/>
      </c>
      <c r="D62" s="12">
        <f>'Master FF&amp;E Schedule'!F62</f>
        <v/>
      </c>
      <c r="E62" s="12">
        <f>'Master FF&amp;E Schedule'!K62</f>
        <v/>
      </c>
      <c r="F62" s="12">
        <f>'Master FF&amp;E Schedule'!M62</f>
        <v/>
      </c>
      <c r="G62" s="12">
        <f>'Master FF&amp;E Schedule'!T62</f>
        <v/>
      </c>
      <c r="H62" s="12">
        <f>'Master FF&amp;E Schedule'!W62</f>
        <v/>
      </c>
      <c r="I62" s="12">
        <f>'Master FF&amp;E Schedule'!AA62</f>
        <v/>
      </c>
      <c r="J62" s="12" t="n"/>
    </row>
    <row r="63">
      <c r="A63">
        <f>'Master FF&amp;E Schedule'!B63</f>
        <v/>
      </c>
      <c r="B63">
        <f>'Master FF&amp;E Schedule'!D63</f>
        <v/>
      </c>
      <c r="C63">
        <f>'Master FF&amp;E Schedule'!E63</f>
        <v/>
      </c>
      <c r="D63">
        <f>'Master FF&amp;E Schedule'!F63</f>
        <v/>
      </c>
      <c r="E63">
        <f>'Master FF&amp;E Schedule'!K63</f>
        <v/>
      </c>
      <c r="F63">
        <f>'Master FF&amp;E Schedule'!M63</f>
        <v/>
      </c>
      <c r="G63">
        <f>'Master FF&amp;E Schedule'!T63</f>
        <v/>
      </c>
      <c r="H63">
        <f>'Master FF&amp;E Schedule'!W63</f>
        <v/>
      </c>
      <c r="I63">
        <f>'Master FF&amp;E Schedule'!AA63</f>
        <v/>
      </c>
    </row>
    <row r="64">
      <c r="A64" s="12">
        <f>'Master FF&amp;E Schedule'!B64</f>
        <v/>
      </c>
      <c r="B64" s="12">
        <f>'Master FF&amp;E Schedule'!D64</f>
        <v/>
      </c>
      <c r="C64" s="12">
        <f>'Master FF&amp;E Schedule'!E64</f>
        <v/>
      </c>
      <c r="D64" s="12">
        <f>'Master FF&amp;E Schedule'!F64</f>
        <v/>
      </c>
      <c r="E64" s="12">
        <f>'Master FF&amp;E Schedule'!K64</f>
        <v/>
      </c>
      <c r="F64" s="12">
        <f>'Master FF&amp;E Schedule'!M64</f>
        <v/>
      </c>
      <c r="G64" s="12">
        <f>'Master FF&amp;E Schedule'!T64</f>
        <v/>
      </c>
      <c r="H64" s="12">
        <f>'Master FF&amp;E Schedule'!W64</f>
        <v/>
      </c>
      <c r="I64" s="12">
        <f>'Master FF&amp;E Schedule'!AA64</f>
        <v/>
      </c>
      <c r="J64" s="12" t="n"/>
    </row>
    <row r="65">
      <c r="A65">
        <f>'Master FF&amp;E Schedule'!B65</f>
        <v/>
      </c>
      <c r="B65">
        <f>'Master FF&amp;E Schedule'!D65</f>
        <v/>
      </c>
      <c r="C65">
        <f>'Master FF&amp;E Schedule'!E65</f>
        <v/>
      </c>
      <c r="D65">
        <f>'Master FF&amp;E Schedule'!F65</f>
        <v/>
      </c>
      <c r="E65">
        <f>'Master FF&amp;E Schedule'!K65</f>
        <v/>
      </c>
      <c r="F65">
        <f>'Master FF&amp;E Schedule'!M65</f>
        <v/>
      </c>
      <c r="G65">
        <f>'Master FF&amp;E Schedule'!T65</f>
        <v/>
      </c>
      <c r="H65">
        <f>'Master FF&amp;E Schedule'!W65</f>
        <v/>
      </c>
      <c r="I65">
        <f>'Master FF&amp;E Schedule'!AA65</f>
        <v/>
      </c>
    </row>
    <row r="66">
      <c r="A66" s="12">
        <f>'Master FF&amp;E Schedule'!B66</f>
        <v/>
      </c>
      <c r="B66" s="12">
        <f>'Master FF&amp;E Schedule'!D66</f>
        <v/>
      </c>
      <c r="C66" s="12">
        <f>'Master FF&amp;E Schedule'!E66</f>
        <v/>
      </c>
      <c r="D66" s="12">
        <f>'Master FF&amp;E Schedule'!F66</f>
        <v/>
      </c>
      <c r="E66" s="12">
        <f>'Master FF&amp;E Schedule'!K66</f>
        <v/>
      </c>
      <c r="F66" s="12">
        <f>'Master FF&amp;E Schedule'!M66</f>
        <v/>
      </c>
      <c r="G66" s="12">
        <f>'Master FF&amp;E Schedule'!T66</f>
        <v/>
      </c>
      <c r="H66" s="12">
        <f>'Master FF&amp;E Schedule'!W66</f>
        <v/>
      </c>
      <c r="I66" s="12">
        <f>'Master FF&amp;E Schedule'!AA66</f>
        <v/>
      </c>
      <c r="J66" s="12" t="n"/>
    </row>
    <row r="67">
      <c r="A67">
        <f>'Master FF&amp;E Schedule'!B67</f>
        <v/>
      </c>
      <c r="B67">
        <f>'Master FF&amp;E Schedule'!D67</f>
        <v/>
      </c>
      <c r="C67">
        <f>'Master FF&amp;E Schedule'!E67</f>
        <v/>
      </c>
      <c r="D67">
        <f>'Master FF&amp;E Schedule'!F67</f>
        <v/>
      </c>
      <c r="E67">
        <f>'Master FF&amp;E Schedule'!K67</f>
        <v/>
      </c>
      <c r="F67">
        <f>'Master FF&amp;E Schedule'!M67</f>
        <v/>
      </c>
      <c r="G67">
        <f>'Master FF&amp;E Schedule'!T67</f>
        <v/>
      </c>
      <c r="H67">
        <f>'Master FF&amp;E Schedule'!W67</f>
        <v/>
      </c>
      <c r="I67">
        <f>'Master FF&amp;E Schedule'!AA67</f>
        <v/>
      </c>
    </row>
    <row r="68">
      <c r="A68" s="12">
        <f>'Master FF&amp;E Schedule'!B68</f>
        <v/>
      </c>
      <c r="B68" s="12">
        <f>'Master FF&amp;E Schedule'!D68</f>
        <v/>
      </c>
      <c r="C68" s="12">
        <f>'Master FF&amp;E Schedule'!E68</f>
        <v/>
      </c>
      <c r="D68" s="12">
        <f>'Master FF&amp;E Schedule'!F68</f>
        <v/>
      </c>
      <c r="E68" s="12">
        <f>'Master FF&amp;E Schedule'!K68</f>
        <v/>
      </c>
      <c r="F68" s="12">
        <f>'Master FF&amp;E Schedule'!M68</f>
        <v/>
      </c>
      <c r="G68" s="12">
        <f>'Master FF&amp;E Schedule'!T68</f>
        <v/>
      </c>
      <c r="H68" s="12">
        <f>'Master FF&amp;E Schedule'!W68</f>
        <v/>
      </c>
      <c r="I68" s="12">
        <f>'Master FF&amp;E Schedule'!AA68</f>
        <v/>
      </c>
      <c r="J68" s="12" t="n"/>
    </row>
    <row r="69">
      <c r="A69">
        <f>'Master FF&amp;E Schedule'!B69</f>
        <v/>
      </c>
      <c r="B69">
        <f>'Master FF&amp;E Schedule'!D69</f>
        <v/>
      </c>
      <c r="C69">
        <f>'Master FF&amp;E Schedule'!E69</f>
        <v/>
      </c>
      <c r="D69">
        <f>'Master FF&amp;E Schedule'!F69</f>
        <v/>
      </c>
      <c r="E69">
        <f>'Master FF&amp;E Schedule'!K69</f>
        <v/>
      </c>
      <c r="F69">
        <f>'Master FF&amp;E Schedule'!M69</f>
        <v/>
      </c>
      <c r="G69">
        <f>'Master FF&amp;E Schedule'!T69</f>
        <v/>
      </c>
      <c r="H69">
        <f>'Master FF&amp;E Schedule'!W69</f>
        <v/>
      </c>
      <c r="I69">
        <f>'Master FF&amp;E Schedule'!AA69</f>
        <v/>
      </c>
    </row>
    <row r="70">
      <c r="A70" s="12">
        <f>'Master FF&amp;E Schedule'!B70</f>
        <v/>
      </c>
      <c r="B70" s="12">
        <f>'Master FF&amp;E Schedule'!D70</f>
        <v/>
      </c>
      <c r="C70" s="12">
        <f>'Master FF&amp;E Schedule'!E70</f>
        <v/>
      </c>
      <c r="D70" s="12">
        <f>'Master FF&amp;E Schedule'!F70</f>
        <v/>
      </c>
      <c r="E70" s="12">
        <f>'Master FF&amp;E Schedule'!K70</f>
        <v/>
      </c>
      <c r="F70" s="12">
        <f>'Master FF&amp;E Schedule'!M70</f>
        <v/>
      </c>
      <c r="G70" s="12">
        <f>'Master FF&amp;E Schedule'!T70</f>
        <v/>
      </c>
      <c r="H70" s="12">
        <f>'Master FF&amp;E Schedule'!W70</f>
        <v/>
      </c>
      <c r="I70" s="12">
        <f>'Master FF&amp;E Schedule'!AA70</f>
        <v/>
      </c>
      <c r="J70" s="12" t="n"/>
    </row>
    <row r="71">
      <c r="A71">
        <f>'Master FF&amp;E Schedule'!B71</f>
        <v/>
      </c>
      <c r="B71">
        <f>'Master FF&amp;E Schedule'!D71</f>
        <v/>
      </c>
      <c r="C71">
        <f>'Master FF&amp;E Schedule'!E71</f>
        <v/>
      </c>
      <c r="D71">
        <f>'Master FF&amp;E Schedule'!F71</f>
        <v/>
      </c>
      <c r="E71">
        <f>'Master FF&amp;E Schedule'!K71</f>
        <v/>
      </c>
      <c r="F71">
        <f>'Master FF&amp;E Schedule'!M71</f>
        <v/>
      </c>
      <c r="G71">
        <f>'Master FF&amp;E Schedule'!T71</f>
        <v/>
      </c>
      <c r="H71">
        <f>'Master FF&amp;E Schedule'!W71</f>
        <v/>
      </c>
      <c r="I71">
        <f>'Master FF&amp;E Schedule'!AA71</f>
        <v/>
      </c>
    </row>
    <row r="72">
      <c r="A72" s="12">
        <f>'Master FF&amp;E Schedule'!B72</f>
        <v/>
      </c>
      <c r="B72" s="12">
        <f>'Master FF&amp;E Schedule'!D72</f>
        <v/>
      </c>
      <c r="C72" s="12">
        <f>'Master FF&amp;E Schedule'!E72</f>
        <v/>
      </c>
      <c r="D72" s="12">
        <f>'Master FF&amp;E Schedule'!F72</f>
        <v/>
      </c>
      <c r="E72" s="12">
        <f>'Master FF&amp;E Schedule'!K72</f>
        <v/>
      </c>
      <c r="F72" s="12">
        <f>'Master FF&amp;E Schedule'!M72</f>
        <v/>
      </c>
      <c r="G72" s="12">
        <f>'Master FF&amp;E Schedule'!T72</f>
        <v/>
      </c>
      <c r="H72" s="12">
        <f>'Master FF&amp;E Schedule'!W72</f>
        <v/>
      </c>
      <c r="I72" s="12">
        <f>'Master FF&amp;E Schedule'!AA72</f>
        <v/>
      </c>
      <c r="J72" s="12" t="n"/>
    </row>
    <row r="73">
      <c r="A73">
        <f>'Master FF&amp;E Schedule'!B73</f>
        <v/>
      </c>
      <c r="B73">
        <f>'Master FF&amp;E Schedule'!D73</f>
        <v/>
      </c>
      <c r="C73">
        <f>'Master FF&amp;E Schedule'!E73</f>
        <v/>
      </c>
      <c r="D73">
        <f>'Master FF&amp;E Schedule'!F73</f>
        <v/>
      </c>
      <c r="E73">
        <f>'Master FF&amp;E Schedule'!K73</f>
        <v/>
      </c>
      <c r="F73">
        <f>'Master FF&amp;E Schedule'!M73</f>
        <v/>
      </c>
      <c r="G73">
        <f>'Master FF&amp;E Schedule'!T73</f>
        <v/>
      </c>
      <c r="H73">
        <f>'Master FF&amp;E Schedule'!W73</f>
        <v/>
      </c>
      <c r="I73">
        <f>'Master FF&amp;E Schedule'!AA73</f>
        <v/>
      </c>
    </row>
    <row r="74">
      <c r="A74" s="12">
        <f>'Master FF&amp;E Schedule'!B74</f>
        <v/>
      </c>
      <c r="B74" s="12">
        <f>'Master FF&amp;E Schedule'!D74</f>
        <v/>
      </c>
      <c r="C74" s="12">
        <f>'Master FF&amp;E Schedule'!E74</f>
        <v/>
      </c>
      <c r="D74" s="12">
        <f>'Master FF&amp;E Schedule'!F74</f>
        <v/>
      </c>
      <c r="E74" s="12">
        <f>'Master FF&amp;E Schedule'!K74</f>
        <v/>
      </c>
      <c r="F74" s="12">
        <f>'Master FF&amp;E Schedule'!M74</f>
        <v/>
      </c>
      <c r="G74" s="12">
        <f>'Master FF&amp;E Schedule'!T74</f>
        <v/>
      </c>
      <c r="H74" s="12">
        <f>'Master FF&amp;E Schedule'!W74</f>
        <v/>
      </c>
      <c r="I74" s="12">
        <f>'Master FF&amp;E Schedule'!AA74</f>
        <v/>
      </c>
      <c r="J74" s="12" t="n"/>
    </row>
    <row r="75">
      <c r="A75">
        <f>'Master FF&amp;E Schedule'!B75</f>
        <v/>
      </c>
      <c r="B75">
        <f>'Master FF&amp;E Schedule'!D75</f>
        <v/>
      </c>
      <c r="C75">
        <f>'Master FF&amp;E Schedule'!E75</f>
        <v/>
      </c>
      <c r="D75">
        <f>'Master FF&amp;E Schedule'!F75</f>
        <v/>
      </c>
      <c r="E75">
        <f>'Master FF&amp;E Schedule'!K75</f>
        <v/>
      </c>
      <c r="F75">
        <f>'Master FF&amp;E Schedule'!M75</f>
        <v/>
      </c>
      <c r="G75">
        <f>'Master FF&amp;E Schedule'!T75</f>
        <v/>
      </c>
      <c r="H75">
        <f>'Master FF&amp;E Schedule'!W75</f>
        <v/>
      </c>
      <c r="I75">
        <f>'Master FF&amp;E Schedule'!AA75</f>
        <v/>
      </c>
    </row>
    <row r="76">
      <c r="A76" s="12">
        <f>'Master FF&amp;E Schedule'!B76</f>
        <v/>
      </c>
      <c r="B76" s="12">
        <f>'Master FF&amp;E Schedule'!D76</f>
        <v/>
      </c>
      <c r="C76" s="12">
        <f>'Master FF&amp;E Schedule'!E76</f>
        <v/>
      </c>
      <c r="D76" s="12">
        <f>'Master FF&amp;E Schedule'!F76</f>
        <v/>
      </c>
      <c r="E76" s="12">
        <f>'Master FF&amp;E Schedule'!K76</f>
        <v/>
      </c>
      <c r="F76" s="12">
        <f>'Master FF&amp;E Schedule'!M76</f>
        <v/>
      </c>
      <c r="G76" s="12">
        <f>'Master FF&amp;E Schedule'!T76</f>
        <v/>
      </c>
      <c r="H76" s="12">
        <f>'Master FF&amp;E Schedule'!W76</f>
        <v/>
      </c>
      <c r="I76" s="12">
        <f>'Master FF&amp;E Schedule'!AA76</f>
        <v/>
      </c>
      <c r="J76" s="12" t="n"/>
    </row>
    <row r="77">
      <c r="A77">
        <f>'Master FF&amp;E Schedule'!B77</f>
        <v/>
      </c>
      <c r="B77">
        <f>'Master FF&amp;E Schedule'!D77</f>
        <v/>
      </c>
      <c r="C77">
        <f>'Master FF&amp;E Schedule'!E77</f>
        <v/>
      </c>
      <c r="D77">
        <f>'Master FF&amp;E Schedule'!F77</f>
        <v/>
      </c>
      <c r="E77">
        <f>'Master FF&amp;E Schedule'!K77</f>
        <v/>
      </c>
      <c r="F77">
        <f>'Master FF&amp;E Schedule'!M77</f>
        <v/>
      </c>
      <c r="G77">
        <f>'Master FF&amp;E Schedule'!T77</f>
        <v/>
      </c>
      <c r="H77">
        <f>'Master FF&amp;E Schedule'!W77</f>
        <v/>
      </c>
      <c r="I77">
        <f>'Master FF&amp;E Schedule'!AA77</f>
        <v/>
      </c>
    </row>
    <row r="78">
      <c r="A78" s="12">
        <f>'Master FF&amp;E Schedule'!B78</f>
        <v/>
      </c>
      <c r="B78" s="12">
        <f>'Master FF&amp;E Schedule'!D78</f>
        <v/>
      </c>
      <c r="C78" s="12">
        <f>'Master FF&amp;E Schedule'!E78</f>
        <v/>
      </c>
      <c r="D78" s="12">
        <f>'Master FF&amp;E Schedule'!F78</f>
        <v/>
      </c>
      <c r="E78" s="12">
        <f>'Master FF&amp;E Schedule'!K78</f>
        <v/>
      </c>
      <c r="F78" s="12">
        <f>'Master FF&amp;E Schedule'!M78</f>
        <v/>
      </c>
      <c r="G78" s="12">
        <f>'Master FF&amp;E Schedule'!T78</f>
        <v/>
      </c>
      <c r="H78" s="12">
        <f>'Master FF&amp;E Schedule'!W78</f>
        <v/>
      </c>
      <c r="I78" s="12">
        <f>'Master FF&amp;E Schedule'!AA78</f>
        <v/>
      </c>
      <c r="J78" s="12" t="n"/>
    </row>
    <row r="79">
      <c r="A79">
        <f>'Master FF&amp;E Schedule'!B79</f>
        <v/>
      </c>
      <c r="B79">
        <f>'Master FF&amp;E Schedule'!D79</f>
        <v/>
      </c>
      <c r="C79">
        <f>'Master FF&amp;E Schedule'!E79</f>
        <v/>
      </c>
      <c r="D79">
        <f>'Master FF&amp;E Schedule'!F79</f>
        <v/>
      </c>
      <c r="E79">
        <f>'Master FF&amp;E Schedule'!K79</f>
        <v/>
      </c>
      <c r="F79">
        <f>'Master FF&amp;E Schedule'!M79</f>
        <v/>
      </c>
      <c r="G79">
        <f>'Master FF&amp;E Schedule'!T79</f>
        <v/>
      </c>
      <c r="H79">
        <f>'Master FF&amp;E Schedule'!W79</f>
        <v/>
      </c>
      <c r="I79">
        <f>'Master FF&amp;E Schedule'!AA79</f>
        <v/>
      </c>
    </row>
    <row r="80">
      <c r="A80" s="12">
        <f>'Master FF&amp;E Schedule'!B80</f>
        <v/>
      </c>
      <c r="B80" s="12">
        <f>'Master FF&amp;E Schedule'!D80</f>
        <v/>
      </c>
      <c r="C80" s="12">
        <f>'Master FF&amp;E Schedule'!E80</f>
        <v/>
      </c>
      <c r="D80" s="12">
        <f>'Master FF&amp;E Schedule'!F80</f>
        <v/>
      </c>
      <c r="E80" s="12">
        <f>'Master FF&amp;E Schedule'!K80</f>
        <v/>
      </c>
      <c r="F80" s="12">
        <f>'Master FF&amp;E Schedule'!M80</f>
        <v/>
      </c>
      <c r="G80" s="12">
        <f>'Master FF&amp;E Schedule'!T80</f>
        <v/>
      </c>
      <c r="H80" s="12">
        <f>'Master FF&amp;E Schedule'!W80</f>
        <v/>
      </c>
      <c r="I80" s="12">
        <f>'Master FF&amp;E Schedule'!AA80</f>
        <v/>
      </c>
      <c r="J80" s="12" t="n"/>
    </row>
    <row r="81">
      <c r="A81">
        <f>'Master FF&amp;E Schedule'!B81</f>
        <v/>
      </c>
      <c r="B81">
        <f>'Master FF&amp;E Schedule'!D81</f>
        <v/>
      </c>
      <c r="C81">
        <f>'Master FF&amp;E Schedule'!E81</f>
        <v/>
      </c>
      <c r="D81">
        <f>'Master FF&amp;E Schedule'!F81</f>
        <v/>
      </c>
      <c r="E81">
        <f>'Master FF&amp;E Schedule'!K81</f>
        <v/>
      </c>
      <c r="F81">
        <f>'Master FF&amp;E Schedule'!M81</f>
        <v/>
      </c>
      <c r="G81">
        <f>'Master FF&amp;E Schedule'!T81</f>
        <v/>
      </c>
      <c r="H81">
        <f>'Master FF&amp;E Schedule'!W81</f>
        <v/>
      </c>
      <c r="I81">
        <f>'Master FF&amp;E Schedule'!AA81</f>
        <v/>
      </c>
    </row>
    <row r="82">
      <c r="A82" s="12">
        <f>'Master FF&amp;E Schedule'!B82</f>
        <v/>
      </c>
      <c r="B82" s="12">
        <f>'Master FF&amp;E Schedule'!D82</f>
        <v/>
      </c>
      <c r="C82" s="12">
        <f>'Master FF&amp;E Schedule'!E82</f>
        <v/>
      </c>
      <c r="D82" s="12">
        <f>'Master FF&amp;E Schedule'!F82</f>
        <v/>
      </c>
      <c r="E82" s="12">
        <f>'Master FF&amp;E Schedule'!K82</f>
        <v/>
      </c>
      <c r="F82" s="12">
        <f>'Master FF&amp;E Schedule'!M82</f>
        <v/>
      </c>
      <c r="G82" s="12">
        <f>'Master FF&amp;E Schedule'!T82</f>
        <v/>
      </c>
      <c r="H82" s="12">
        <f>'Master FF&amp;E Schedule'!W82</f>
        <v/>
      </c>
      <c r="I82" s="12">
        <f>'Master FF&amp;E Schedule'!AA82</f>
        <v/>
      </c>
      <c r="J82" s="12" t="n"/>
    </row>
    <row r="83">
      <c r="A83">
        <f>'Master FF&amp;E Schedule'!B83</f>
        <v/>
      </c>
      <c r="B83">
        <f>'Master FF&amp;E Schedule'!D83</f>
        <v/>
      </c>
      <c r="C83">
        <f>'Master FF&amp;E Schedule'!E83</f>
        <v/>
      </c>
      <c r="D83">
        <f>'Master FF&amp;E Schedule'!F83</f>
        <v/>
      </c>
      <c r="E83">
        <f>'Master FF&amp;E Schedule'!K83</f>
        <v/>
      </c>
      <c r="F83">
        <f>'Master FF&amp;E Schedule'!M83</f>
        <v/>
      </c>
      <c r="G83">
        <f>'Master FF&amp;E Schedule'!T83</f>
        <v/>
      </c>
      <c r="H83">
        <f>'Master FF&amp;E Schedule'!W83</f>
        <v/>
      </c>
      <c r="I83">
        <f>'Master FF&amp;E Schedule'!AA83</f>
        <v/>
      </c>
    </row>
    <row r="84">
      <c r="A84" s="12">
        <f>'Master FF&amp;E Schedule'!B84</f>
        <v/>
      </c>
      <c r="B84" s="12">
        <f>'Master FF&amp;E Schedule'!D84</f>
        <v/>
      </c>
      <c r="C84" s="12">
        <f>'Master FF&amp;E Schedule'!E84</f>
        <v/>
      </c>
      <c r="D84" s="12">
        <f>'Master FF&amp;E Schedule'!F84</f>
        <v/>
      </c>
      <c r="E84" s="12">
        <f>'Master FF&amp;E Schedule'!K84</f>
        <v/>
      </c>
      <c r="F84" s="12">
        <f>'Master FF&amp;E Schedule'!M84</f>
        <v/>
      </c>
      <c r="G84" s="12">
        <f>'Master FF&amp;E Schedule'!T84</f>
        <v/>
      </c>
      <c r="H84" s="12">
        <f>'Master FF&amp;E Schedule'!W84</f>
        <v/>
      </c>
      <c r="I84" s="12">
        <f>'Master FF&amp;E Schedule'!AA84</f>
        <v/>
      </c>
      <c r="J84" s="12" t="n"/>
    </row>
    <row r="85">
      <c r="A85">
        <f>'Master FF&amp;E Schedule'!B85</f>
        <v/>
      </c>
      <c r="B85">
        <f>'Master FF&amp;E Schedule'!D85</f>
        <v/>
      </c>
      <c r="C85">
        <f>'Master FF&amp;E Schedule'!E85</f>
        <v/>
      </c>
      <c r="D85">
        <f>'Master FF&amp;E Schedule'!F85</f>
        <v/>
      </c>
      <c r="E85">
        <f>'Master FF&amp;E Schedule'!K85</f>
        <v/>
      </c>
      <c r="F85">
        <f>'Master FF&amp;E Schedule'!M85</f>
        <v/>
      </c>
      <c r="G85">
        <f>'Master FF&amp;E Schedule'!T85</f>
        <v/>
      </c>
      <c r="H85">
        <f>'Master FF&amp;E Schedule'!W85</f>
        <v/>
      </c>
      <c r="I85">
        <f>'Master FF&amp;E Schedule'!AA85</f>
        <v/>
      </c>
    </row>
    <row r="86">
      <c r="A86" s="12">
        <f>'Master FF&amp;E Schedule'!B86</f>
        <v/>
      </c>
      <c r="B86" s="12">
        <f>'Master FF&amp;E Schedule'!D86</f>
        <v/>
      </c>
      <c r="C86" s="12">
        <f>'Master FF&amp;E Schedule'!E86</f>
        <v/>
      </c>
      <c r="D86" s="12">
        <f>'Master FF&amp;E Schedule'!F86</f>
        <v/>
      </c>
      <c r="E86" s="12">
        <f>'Master FF&amp;E Schedule'!K86</f>
        <v/>
      </c>
      <c r="F86" s="12">
        <f>'Master FF&amp;E Schedule'!M86</f>
        <v/>
      </c>
      <c r="G86" s="12">
        <f>'Master FF&amp;E Schedule'!T86</f>
        <v/>
      </c>
      <c r="H86" s="12">
        <f>'Master FF&amp;E Schedule'!W86</f>
        <v/>
      </c>
      <c r="I86" s="12">
        <f>'Master FF&amp;E Schedule'!AA86</f>
        <v/>
      </c>
      <c r="J86" s="12" t="n"/>
    </row>
    <row r="87">
      <c r="A87">
        <f>'Master FF&amp;E Schedule'!B87</f>
        <v/>
      </c>
      <c r="B87">
        <f>'Master FF&amp;E Schedule'!D87</f>
        <v/>
      </c>
      <c r="C87">
        <f>'Master FF&amp;E Schedule'!E87</f>
        <v/>
      </c>
      <c r="D87">
        <f>'Master FF&amp;E Schedule'!F87</f>
        <v/>
      </c>
      <c r="E87">
        <f>'Master FF&amp;E Schedule'!K87</f>
        <v/>
      </c>
      <c r="F87">
        <f>'Master FF&amp;E Schedule'!M87</f>
        <v/>
      </c>
      <c r="G87">
        <f>'Master FF&amp;E Schedule'!T87</f>
        <v/>
      </c>
      <c r="H87">
        <f>'Master FF&amp;E Schedule'!W87</f>
        <v/>
      </c>
      <c r="I87">
        <f>'Master FF&amp;E Schedule'!AA87</f>
        <v/>
      </c>
    </row>
    <row r="88">
      <c r="A88" s="12">
        <f>'Master FF&amp;E Schedule'!B88</f>
        <v/>
      </c>
      <c r="B88" s="12">
        <f>'Master FF&amp;E Schedule'!D88</f>
        <v/>
      </c>
      <c r="C88" s="12">
        <f>'Master FF&amp;E Schedule'!E88</f>
        <v/>
      </c>
      <c r="D88" s="12">
        <f>'Master FF&amp;E Schedule'!F88</f>
        <v/>
      </c>
      <c r="E88" s="12">
        <f>'Master FF&amp;E Schedule'!K88</f>
        <v/>
      </c>
      <c r="F88" s="12">
        <f>'Master FF&amp;E Schedule'!M88</f>
        <v/>
      </c>
      <c r="G88" s="12">
        <f>'Master FF&amp;E Schedule'!T88</f>
        <v/>
      </c>
      <c r="H88" s="12">
        <f>'Master FF&amp;E Schedule'!W88</f>
        <v/>
      </c>
      <c r="I88" s="12">
        <f>'Master FF&amp;E Schedule'!AA88</f>
        <v/>
      </c>
      <c r="J88" s="12" t="n"/>
    </row>
    <row r="89">
      <c r="A89">
        <f>'Master FF&amp;E Schedule'!B89</f>
        <v/>
      </c>
      <c r="B89">
        <f>'Master FF&amp;E Schedule'!D89</f>
        <v/>
      </c>
      <c r="C89">
        <f>'Master FF&amp;E Schedule'!E89</f>
        <v/>
      </c>
      <c r="D89">
        <f>'Master FF&amp;E Schedule'!F89</f>
        <v/>
      </c>
      <c r="E89">
        <f>'Master FF&amp;E Schedule'!K89</f>
        <v/>
      </c>
      <c r="F89">
        <f>'Master FF&amp;E Schedule'!M89</f>
        <v/>
      </c>
      <c r="G89">
        <f>'Master FF&amp;E Schedule'!T89</f>
        <v/>
      </c>
      <c r="H89">
        <f>'Master FF&amp;E Schedule'!W89</f>
        <v/>
      </c>
      <c r="I89">
        <f>'Master FF&amp;E Schedule'!AA89</f>
        <v/>
      </c>
    </row>
    <row r="90">
      <c r="A90" s="12">
        <f>'Master FF&amp;E Schedule'!B90</f>
        <v/>
      </c>
      <c r="B90" s="12">
        <f>'Master FF&amp;E Schedule'!D90</f>
        <v/>
      </c>
      <c r="C90" s="12">
        <f>'Master FF&amp;E Schedule'!E90</f>
        <v/>
      </c>
      <c r="D90" s="12">
        <f>'Master FF&amp;E Schedule'!F90</f>
        <v/>
      </c>
      <c r="E90" s="12">
        <f>'Master FF&amp;E Schedule'!K90</f>
        <v/>
      </c>
      <c r="F90" s="12">
        <f>'Master FF&amp;E Schedule'!M90</f>
        <v/>
      </c>
      <c r="G90" s="12">
        <f>'Master FF&amp;E Schedule'!T90</f>
        <v/>
      </c>
      <c r="H90" s="12">
        <f>'Master FF&amp;E Schedule'!W90</f>
        <v/>
      </c>
      <c r="I90" s="12">
        <f>'Master FF&amp;E Schedule'!AA90</f>
        <v/>
      </c>
      <c r="J90" s="12" t="n"/>
    </row>
    <row r="91">
      <c r="A91">
        <f>'Master FF&amp;E Schedule'!B91</f>
        <v/>
      </c>
      <c r="B91">
        <f>'Master FF&amp;E Schedule'!D91</f>
        <v/>
      </c>
      <c r="C91">
        <f>'Master FF&amp;E Schedule'!E91</f>
        <v/>
      </c>
      <c r="D91">
        <f>'Master FF&amp;E Schedule'!F91</f>
        <v/>
      </c>
      <c r="E91">
        <f>'Master FF&amp;E Schedule'!K91</f>
        <v/>
      </c>
      <c r="F91">
        <f>'Master FF&amp;E Schedule'!M91</f>
        <v/>
      </c>
      <c r="G91">
        <f>'Master FF&amp;E Schedule'!T91</f>
        <v/>
      </c>
      <c r="H91">
        <f>'Master FF&amp;E Schedule'!W91</f>
        <v/>
      </c>
      <c r="I91">
        <f>'Master FF&amp;E Schedule'!AA91</f>
        <v/>
      </c>
    </row>
    <row r="92">
      <c r="A92" s="12">
        <f>'Master FF&amp;E Schedule'!B92</f>
        <v/>
      </c>
      <c r="B92" s="12">
        <f>'Master FF&amp;E Schedule'!D92</f>
        <v/>
      </c>
      <c r="C92" s="12">
        <f>'Master FF&amp;E Schedule'!E92</f>
        <v/>
      </c>
      <c r="D92" s="12">
        <f>'Master FF&amp;E Schedule'!F92</f>
        <v/>
      </c>
      <c r="E92" s="12">
        <f>'Master FF&amp;E Schedule'!K92</f>
        <v/>
      </c>
      <c r="F92" s="12">
        <f>'Master FF&amp;E Schedule'!M92</f>
        <v/>
      </c>
      <c r="G92" s="12">
        <f>'Master FF&amp;E Schedule'!T92</f>
        <v/>
      </c>
      <c r="H92" s="12">
        <f>'Master FF&amp;E Schedule'!W92</f>
        <v/>
      </c>
      <c r="I92" s="12">
        <f>'Master FF&amp;E Schedule'!AA92</f>
        <v/>
      </c>
      <c r="J92" s="12" t="n"/>
    </row>
    <row r="93">
      <c r="A93">
        <f>'Master FF&amp;E Schedule'!B93</f>
        <v/>
      </c>
      <c r="B93">
        <f>'Master FF&amp;E Schedule'!D93</f>
        <v/>
      </c>
      <c r="C93">
        <f>'Master FF&amp;E Schedule'!E93</f>
        <v/>
      </c>
      <c r="D93">
        <f>'Master FF&amp;E Schedule'!F93</f>
        <v/>
      </c>
      <c r="E93">
        <f>'Master FF&amp;E Schedule'!K93</f>
        <v/>
      </c>
      <c r="F93">
        <f>'Master FF&amp;E Schedule'!M93</f>
        <v/>
      </c>
      <c r="G93">
        <f>'Master FF&amp;E Schedule'!T93</f>
        <v/>
      </c>
      <c r="H93">
        <f>'Master FF&amp;E Schedule'!W93</f>
        <v/>
      </c>
      <c r="I93">
        <f>'Master FF&amp;E Schedule'!AA93</f>
        <v/>
      </c>
    </row>
    <row r="94">
      <c r="A94" s="12">
        <f>'Master FF&amp;E Schedule'!B94</f>
        <v/>
      </c>
      <c r="B94" s="12">
        <f>'Master FF&amp;E Schedule'!D94</f>
        <v/>
      </c>
      <c r="C94" s="12">
        <f>'Master FF&amp;E Schedule'!E94</f>
        <v/>
      </c>
      <c r="D94" s="12">
        <f>'Master FF&amp;E Schedule'!F94</f>
        <v/>
      </c>
      <c r="E94" s="12">
        <f>'Master FF&amp;E Schedule'!K94</f>
        <v/>
      </c>
      <c r="F94" s="12">
        <f>'Master FF&amp;E Schedule'!M94</f>
        <v/>
      </c>
      <c r="G94" s="12">
        <f>'Master FF&amp;E Schedule'!T94</f>
        <v/>
      </c>
      <c r="H94" s="12">
        <f>'Master FF&amp;E Schedule'!W94</f>
        <v/>
      </c>
      <c r="I94" s="12">
        <f>'Master FF&amp;E Schedule'!AA94</f>
        <v/>
      </c>
      <c r="J94" s="12" t="n"/>
    </row>
    <row r="95">
      <c r="A95">
        <f>'Master FF&amp;E Schedule'!B95</f>
        <v/>
      </c>
      <c r="B95">
        <f>'Master FF&amp;E Schedule'!D95</f>
        <v/>
      </c>
      <c r="C95">
        <f>'Master FF&amp;E Schedule'!E95</f>
        <v/>
      </c>
      <c r="D95">
        <f>'Master FF&amp;E Schedule'!F95</f>
        <v/>
      </c>
      <c r="E95">
        <f>'Master FF&amp;E Schedule'!K95</f>
        <v/>
      </c>
      <c r="F95">
        <f>'Master FF&amp;E Schedule'!M95</f>
        <v/>
      </c>
      <c r="G95">
        <f>'Master FF&amp;E Schedule'!T95</f>
        <v/>
      </c>
      <c r="H95">
        <f>'Master FF&amp;E Schedule'!W95</f>
        <v/>
      </c>
      <c r="I95">
        <f>'Master FF&amp;E Schedule'!AA95</f>
        <v/>
      </c>
    </row>
    <row r="96">
      <c r="A96" s="12">
        <f>'Master FF&amp;E Schedule'!B96</f>
        <v/>
      </c>
      <c r="B96" s="12">
        <f>'Master FF&amp;E Schedule'!D96</f>
        <v/>
      </c>
      <c r="C96" s="12">
        <f>'Master FF&amp;E Schedule'!E96</f>
        <v/>
      </c>
      <c r="D96" s="12">
        <f>'Master FF&amp;E Schedule'!F96</f>
        <v/>
      </c>
      <c r="E96" s="12">
        <f>'Master FF&amp;E Schedule'!K96</f>
        <v/>
      </c>
      <c r="F96" s="12">
        <f>'Master FF&amp;E Schedule'!M96</f>
        <v/>
      </c>
      <c r="G96" s="12">
        <f>'Master FF&amp;E Schedule'!T96</f>
        <v/>
      </c>
      <c r="H96" s="12">
        <f>'Master FF&amp;E Schedule'!W96</f>
        <v/>
      </c>
      <c r="I96" s="12">
        <f>'Master FF&amp;E Schedule'!AA96</f>
        <v/>
      </c>
      <c r="J96" s="12" t="n"/>
    </row>
    <row r="97">
      <c r="A97">
        <f>'Master FF&amp;E Schedule'!B97</f>
        <v/>
      </c>
      <c r="B97">
        <f>'Master FF&amp;E Schedule'!D97</f>
        <v/>
      </c>
      <c r="C97">
        <f>'Master FF&amp;E Schedule'!E97</f>
        <v/>
      </c>
      <c r="D97">
        <f>'Master FF&amp;E Schedule'!F97</f>
        <v/>
      </c>
      <c r="E97">
        <f>'Master FF&amp;E Schedule'!K97</f>
        <v/>
      </c>
      <c r="F97">
        <f>'Master FF&amp;E Schedule'!M97</f>
        <v/>
      </c>
      <c r="G97">
        <f>'Master FF&amp;E Schedule'!T97</f>
        <v/>
      </c>
      <c r="H97">
        <f>'Master FF&amp;E Schedule'!W97</f>
        <v/>
      </c>
      <c r="I97">
        <f>'Master FF&amp;E Schedule'!AA97</f>
        <v/>
      </c>
    </row>
    <row r="98">
      <c r="A98" s="12">
        <f>'Master FF&amp;E Schedule'!B98</f>
        <v/>
      </c>
      <c r="B98" s="12">
        <f>'Master FF&amp;E Schedule'!D98</f>
        <v/>
      </c>
      <c r="C98" s="12">
        <f>'Master FF&amp;E Schedule'!E98</f>
        <v/>
      </c>
      <c r="D98" s="12">
        <f>'Master FF&amp;E Schedule'!F98</f>
        <v/>
      </c>
      <c r="E98" s="12">
        <f>'Master FF&amp;E Schedule'!K98</f>
        <v/>
      </c>
      <c r="F98" s="12">
        <f>'Master FF&amp;E Schedule'!M98</f>
        <v/>
      </c>
      <c r="G98" s="12">
        <f>'Master FF&amp;E Schedule'!T98</f>
        <v/>
      </c>
      <c r="H98" s="12">
        <f>'Master FF&amp;E Schedule'!W98</f>
        <v/>
      </c>
      <c r="I98" s="12">
        <f>'Master FF&amp;E Schedule'!AA98</f>
        <v/>
      </c>
      <c r="J98" s="12" t="n"/>
    </row>
    <row r="99">
      <c r="A99">
        <f>'Master FF&amp;E Schedule'!B99</f>
        <v/>
      </c>
      <c r="B99">
        <f>'Master FF&amp;E Schedule'!D99</f>
        <v/>
      </c>
      <c r="C99">
        <f>'Master FF&amp;E Schedule'!E99</f>
        <v/>
      </c>
      <c r="D99">
        <f>'Master FF&amp;E Schedule'!F99</f>
        <v/>
      </c>
      <c r="E99">
        <f>'Master FF&amp;E Schedule'!K99</f>
        <v/>
      </c>
      <c r="F99">
        <f>'Master FF&amp;E Schedule'!M99</f>
        <v/>
      </c>
      <c r="G99">
        <f>'Master FF&amp;E Schedule'!T99</f>
        <v/>
      </c>
      <c r="H99">
        <f>'Master FF&amp;E Schedule'!W99</f>
        <v/>
      </c>
      <c r="I99">
        <f>'Master FF&amp;E Schedule'!AA99</f>
        <v/>
      </c>
    </row>
    <row r="100">
      <c r="A100" s="12">
        <f>'Master FF&amp;E Schedule'!B100</f>
        <v/>
      </c>
      <c r="B100" s="12">
        <f>'Master FF&amp;E Schedule'!D100</f>
        <v/>
      </c>
      <c r="C100" s="12">
        <f>'Master FF&amp;E Schedule'!E100</f>
        <v/>
      </c>
      <c r="D100" s="12">
        <f>'Master FF&amp;E Schedule'!F100</f>
        <v/>
      </c>
      <c r="E100" s="12">
        <f>'Master FF&amp;E Schedule'!K100</f>
        <v/>
      </c>
      <c r="F100" s="12">
        <f>'Master FF&amp;E Schedule'!M100</f>
        <v/>
      </c>
      <c r="G100" s="12">
        <f>'Master FF&amp;E Schedule'!T100</f>
        <v/>
      </c>
      <c r="H100" s="12">
        <f>'Master FF&amp;E Schedule'!W100</f>
        <v/>
      </c>
      <c r="I100" s="12">
        <f>'Master FF&amp;E Schedule'!AA100</f>
        <v/>
      </c>
      <c r="J100" s="12" t="n"/>
    </row>
    <row r="101">
      <c r="A101">
        <f>'Master FF&amp;E Schedule'!B101</f>
        <v/>
      </c>
      <c r="B101">
        <f>'Master FF&amp;E Schedule'!D101</f>
        <v/>
      </c>
      <c r="C101">
        <f>'Master FF&amp;E Schedule'!E101</f>
        <v/>
      </c>
      <c r="D101">
        <f>'Master FF&amp;E Schedule'!F101</f>
        <v/>
      </c>
      <c r="E101">
        <f>'Master FF&amp;E Schedule'!K101</f>
        <v/>
      </c>
      <c r="F101">
        <f>'Master FF&amp;E Schedule'!M101</f>
        <v/>
      </c>
      <c r="G101">
        <f>'Master FF&amp;E Schedule'!T101</f>
        <v/>
      </c>
      <c r="H101">
        <f>'Master FF&amp;E Schedule'!W101</f>
        <v/>
      </c>
      <c r="I101">
        <f>'Master FF&amp;E Schedule'!AA101</f>
        <v/>
      </c>
    </row>
    <row r="102">
      <c r="A102" s="12">
        <f>'Master FF&amp;E Schedule'!B102</f>
        <v/>
      </c>
      <c r="B102" s="12">
        <f>'Master FF&amp;E Schedule'!D102</f>
        <v/>
      </c>
      <c r="C102" s="12">
        <f>'Master FF&amp;E Schedule'!E102</f>
        <v/>
      </c>
      <c r="D102" s="12">
        <f>'Master FF&amp;E Schedule'!F102</f>
        <v/>
      </c>
      <c r="E102" s="12">
        <f>'Master FF&amp;E Schedule'!K102</f>
        <v/>
      </c>
      <c r="F102" s="12">
        <f>'Master FF&amp;E Schedule'!M102</f>
        <v/>
      </c>
      <c r="G102" s="12">
        <f>'Master FF&amp;E Schedule'!T102</f>
        <v/>
      </c>
      <c r="H102" s="12">
        <f>'Master FF&amp;E Schedule'!W102</f>
        <v/>
      </c>
      <c r="I102" s="12">
        <f>'Master FF&amp;E Schedule'!AA102</f>
        <v/>
      </c>
      <c r="J102" s="12" t="n"/>
    </row>
    <row r="103">
      <c r="A103">
        <f>'Master FF&amp;E Schedule'!B103</f>
        <v/>
      </c>
      <c r="B103">
        <f>'Master FF&amp;E Schedule'!D103</f>
        <v/>
      </c>
      <c r="C103">
        <f>'Master FF&amp;E Schedule'!E103</f>
        <v/>
      </c>
      <c r="D103">
        <f>'Master FF&amp;E Schedule'!F103</f>
        <v/>
      </c>
      <c r="E103">
        <f>'Master FF&amp;E Schedule'!K103</f>
        <v/>
      </c>
      <c r="F103">
        <f>'Master FF&amp;E Schedule'!M103</f>
        <v/>
      </c>
      <c r="G103">
        <f>'Master FF&amp;E Schedule'!T103</f>
        <v/>
      </c>
      <c r="H103">
        <f>'Master FF&amp;E Schedule'!W103</f>
        <v/>
      </c>
      <c r="I103">
        <f>'Master FF&amp;E Schedule'!AA103</f>
        <v/>
      </c>
    </row>
    <row r="104">
      <c r="A104" s="12">
        <f>'Master FF&amp;E Schedule'!B104</f>
        <v/>
      </c>
      <c r="B104" s="12">
        <f>'Master FF&amp;E Schedule'!D104</f>
        <v/>
      </c>
      <c r="C104" s="12">
        <f>'Master FF&amp;E Schedule'!E104</f>
        <v/>
      </c>
      <c r="D104" s="12">
        <f>'Master FF&amp;E Schedule'!F104</f>
        <v/>
      </c>
      <c r="E104" s="12">
        <f>'Master FF&amp;E Schedule'!K104</f>
        <v/>
      </c>
      <c r="F104" s="12">
        <f>'Master FF&amp;E Schedule'!M104</f>
        <v/>
      </c>
      <c r="G104" s="12">
        <f>'Master FF&amp;E Schedule'!T104</f>
        <v/>
      </c>
      <c r="H104" s="12">
        <f>'Master FF&amp;E Schedule'!W104</f>
        <v/>
      </c>
      <c r="I104" s="12">
        <f>'Master FF&amp;E Schedule'!AA104</f>
        <v/>
      </c>
      <c r="J104" s="12" t="n"/>
    </row>
    <row r="105">
      <c r="A105">
        <f>'Master FF&amp;E Schedule'!B105</f>
        <v/>
      </c>
      <c r="B105">
        <f>'Master FF&amp;E Schedule'!D105</f>
        <v/>
      </c>
      <c r="C105">
        <f>'Master FF&amp;E Schedule'!E105</f>
        <v/>
      </c>
      <c r="D105">
        <f>'Master FF&amp;E Schedule'!F105</f>
        <v/>
      </c>
      <c r="E105">
        <f>'Master FF&amp;E Schedule'!K105</f>
        <v/>
      </c>
      <c r="F105">
        <f>'Master FF&amp;E Schedule'!M105</f>
        <v/>
      </c>
      <c r="G105">
        <f>'Master FF&amp;E Schedule'!T105</f>
        <v/>
      </c>
      <c r="H105">
        <f>'Master FF&amp;E Schedule'!W105</f>
        <v/>
      </c>
      <c r="I105">
        <f>'Master FF&amp;E Schedule'!AA105</f>
        <v/>
      </c>
    </row>
    <row r="106">
      <c r="A106" s="12">
        <f>'Master FF&amp;E Schedule'!B106</f>
        <v/>
      </c>
      <c r="B106" s="12">
        <f>'Master FF&amp;E Schedule'!D106</f>
        <v/>
      </c>
      <c r="C106" s="12">
        <f>'Master FF&amp;E Schedule'!E106</f>
        <v/>
      </c>
      <c r="D106" s="12">
        <f>'Master FF&amp;E Schedule'!F106</f>
        <v/>
      </c>
      <c r="E106" s="12">
        <f>'Master FF&amp;E Schedule'!K106</f>
        <v/>
      </c>
      <c r="F106" s="12">
        <f>'Master FF&amp;E Schedule'!M106</f>
        <v/>
      </c>
      <c r="G106" s="12">
        <f>'Master FF&amp;E Schedule'!T106</f>
        <v/>
      </c>
      <c r="H106" s="12">
        <f>'Master FF&amp;E Schedule'!W106</f>
        <v/>
      </c>
      <c r="I106" s="12">
        <f>'Master FF&amp;E Schedule'!AA106</f>
        <v/>
      </c>
      <c r="J106" s="12" t="n"/>
    </row>
    <row r="107">
      <c r="A107">
        <f>'Master FF&amp;E Schedule'!B107</f>
        <v/>
      </c>
      <c r="B107">
        <f>'Master FF&amp;E Schedule'!D107</f>
        <v/>
      </c>
      <c r="C107">
        <f>'Master FF&amp;E Schedule'!E107</f>
        <v/>
      </c>
      <c r="D107">
        <f>'Master FF&amp;E Schedule'!F107</f>
        <v/>
      </c>
      <c r="E107">
        <f>'Master FF&amp;E Schedule'!K107</f>
        <v/>
      </c>
      <c r="F107">
        <f>'Master FF&amp;E Schedule'!M107</f>
        <v/>
      </c>
      <c r="G107">
        <f>'Master FF&amp;E Schedule'!T107</f>
        <v/>
      </c>
      <c r="H107">
        <f>'Master FF&amp;E Schedule'!W107</f>
        <v/>
      </c>
      <c r="I107">
        <f>'Master FF&amp;E Schedule'!AA107</f>
        <v/>
      </c>
    </row>
    <row r="108">
      <c r="A108" s="12">
        <f>'Master FF&amp;E Schedule'!B108</f>
        <v/>
      </c>
      <c r="B108" s="12">
        <f>'Master FF&amp;E Schedule'!D108</f>
        <v/>
      </c>
      <c r="C108" s="12">
        <f>'Master FF&amp;E Schedule'!E108</f>
        <v/>
      </c>
      <c r="D108" s="12">
        <f>'Master FF&amp;E Schedule'!F108</f>
        <v/>
      </c>
      <c r="E108" s="12">
        <f>'Master FF&amp;E Schedule'!K108</f>
        <v/>
      </c>
      <c r="F108" s="12">
        <f>'Master FF&amp;E Schedule'!M108</f>
        <v/>
      </c>
      <c r="G108" s="12">
        <f>'Master FF&amp;E Schedule'!T108</f>
        <v/>
      </c>
      <c r="H108" s="12">
        <f>'Master FF&amp;E Schedule'!W108</f>
        <v/>
      </c>
      <c r="I108" s="12">
        <f>'Master FF&amp;E Schedule'!AA108</f>
        <v/>
      </c>
      <c r="J108" s="12" t="n"/>
    </row>
    <row r="109">
      <c r="A109">
        <f>'Master FF&amp;E Schedule'!B109</f>
        <v/>
      </c>
      <c r="B109">
        <f>'Master FF&amp;E Schedule'!D109</f>
        <v/>
      </c>
      <c r="C109">
        <f>'Master FF&amp;E Schedule'!E109</f>
        <v/>
      </c>
      <c r="D109">
        <f>'Master FF&amp;E Schedule'!F109</f>
        <v/>
      </c>
      <c r="E109">
        <f>'Master FF&amp;E Schedule'!K109</f>
        <v/>
      </c>
      <c r="F109">
        <f>'Master FF&amp;E Schedule'!M109</f>
        <v/>
      </c>
      <c r="G109">
        <f>'Master FF&amp;E Schedule'!T109</f>
        <v/>
      </c>
      <c r="H109">
        <f>'Master FF&amp;E Schedule'!W109</f>
        <v/>
      </c>
      <c r="I109">
        <f>'Master FF&amp;E Schedule'!AA109</f>
        <v/>
      </c>
    </row>
    <row r="110">
      <c r="A110" s="12">
        <f>'Master FF&amp;E Schedule'!B110</f>
        <v/>
      </c>
      <c r="B110" s="12">
        <f>'Master FF&amp;E Schedule'!D110</f>
        <v/>
      </c>
      <c r="C110" s="12">
        <f>'Master FF&amp;E Schedule'!E110</f>
        <v/>
      </c>
      <c r="D110" s="12">
        <f>'Master FF&amp;E Schedule'!F110</f>
        <v/>
      </c>
      <c r="E110" s="12">
        <f>'Master FF&amp;E Schedule'!K110</f>
        <v/>
      </c>
      <c r="F110" s="12">
        <f>'Master FF&amp;E Schedule'!M110</f>
        <v/>
      </c>
      <c r="G110" s="12">
        <f>'Master FF&amp;E Schedule'!T110</f>
        <v/>
      </c>
      <c r="H110" s="12">
        <f>'Master FF&amp;E Schedule'!W110</f>
        <v/>
      </c>
      <c r="I110" s="12">
        <f>'Master FF&amp;E Schedule'!AA110</f>
        <v/>
      </c>
      <c r="J110" s="12" t="n"/>
    </row>
    <row r="111">
      <c r="A111">
        <f>'Master FF&amp;E Schedule'!B111</f>
        <v/>
      </c>
      <c r="B111">
        <f>'Master FF&amp;E Schedule'!D111</f>
        <v/>
      </c>
      <c r="C111">
        <f>'Master FF&amp;E Schedule'!E111</f>
        <v/>
      </c>
      <c r="D111">
        <f>'Master FF&amp;E Schedule'!F111</f>
        <v/>
      </c>
      <c r="E111">
        <f>'Master FF&amp;E Schedule'!K111</f>
        <v/>
      </c>
      <c r="F111">
        <f>'Master FF&amp;E Schedule'!M111</f>
        <v/>
      </c>
      <c r="G111">
        <f>'Master FF&amp;E Schedule'!T111</f>
        <v/>
      </c>
      <c r="H111">
        <f>'Master FF&amp;E Schedule'!W111</f>
        <v/>
      </c>
      <c r="I111">
        <f>'Master FF&amp;E Schedule'!AA111</f>
        <v/>
      </c>
    </row>
    <row r="112">
      <c r="A112" s="12">
        <f>'Master FF&amp;E Schedule'!B112</f>
        <v/>
      </c>
      <c r="B112" s="12">
        <f>'Master FF&amp;E Schedule'!D112</f>
        <v/>
      </c>
      <c r="C112" s="12">
        <f>'Master FF&amp;E Schedule'!E112</f>
        <v/>
      </c>
      <c r="D112" s="12">
        <f>'Master FF&amp;E Schedule'!F112</f>
        <v/>
      </c>
      <c r="E112" s="12">
        <f>'Master FF&amp;E Schedule'!K112</f>
        <v/>
      </c>
      <c r="F112" s="12">
        <f>'Master FF&amp;E Schedule'!M112</f>
        <v/>
      </c>
      <c r="G112" s="12">
        <f>'Master FF&amp;E Schedule'!T112</f>
        <v/>
      </c>
      <c r="H112" s="12">
        <f>'Master FF&amp;E Schedule'!W112</f>
        <v/>
      </c>
      <c r="I112" s="12">
        <f>'Master FF&amp;E Schedule'!AA112</f>
        <v/>
      </c>
      <c r="J112" s="12" t="n"/>
    </row>
    <row r="113">
      <c r="A113">
        <f>'Master FF&amp;E Schedule'!B113</f>
        <v/>
      </c>
      <c r="B113">
        <f>'Master FF&amp;E Schedule'!D113</f>
        <v/>
      </c>
      <c r="C113">
        <f>'Master FF&amp;E Schedule'!E113</f>
        <v/>
      </c>
      <c r="D113">
        <f>'Master FF&amp;E Schedule'!F113</f>
        <v/>
      </c>
      <c r="E113">
        <f>'Master FF&amp;E Schedule'!K113</f>
        <v/>
      </c>
      <c r="F113">
        <f>'Master FF&amp;E Schedule'!M113</f>
        <v/>
      </c>
      <c r="G113">
        <f>'Master FF&amp;E Schedule'!T113</f>
        <v/>
      </c>
      <c r="H113">
        <f>'Master FF&amp;E Schedule'!W113</f>
        <v/>
      </c>
      <c r="I113">
        <f>'Master FF&amp;E Schedule'!AA113</f>
        <v/>
      </c>
    </row>
    <row r="114">
      <c r="A114" s="12">
        <f>'Master FF&amp;E Schedule'!B114</f>
        <v/>
      </c>
      <c r="B114" s="12">
        <f>'Master FF&amp;E Schedule'!D114</f>
        <v/>
      </c>
      <c r="C114" s="12">
        <f>'Master FF&amp;E Schedule'!E114</f>
        <v/>
      </c>
      <c r="D114" s="12">
        <f>'Master FF&amp;E Schedule'!F114</f>
        <v/>
      </c>
      <c r="E114" s="12">
        <f>'Master FF&amp;E Schedule'!K114</f>
        <v/>
      </c>
      <c r="F114" s="12">
        <f>'Master FF&amp;E Schedule'!M114</f>
        <v/>
      </c>
      <c r="G114" s="12">
        <f>'Master FF&amp;E Schedule'!T114</f>
        <v/>
      </c>
      <c r="H114" s="12">
        <f>'Master FF&amp;E Schedule'!W114</f>
        <v/>
      </c>
      <c r="I114" s="12">
        <f>'Master FF&amp;E Schedule'!AA114</f>
        <v/>
      </c>
      <c r="J114" s="12" t="n"/>
    </row>
    <row r="115">
      <c r="A115">
        <f>'Master FF&amp;E Schedule'!B115</f>
        <v/>
      </c>
      <c r="B115">
        <f>'Master FF&amp;E Schedule'!D115</f>
        <v/>
      </c>
      <c r="C115">
        <f>'Master FF&amp;E Schedule'!E115</f>
        <v/>
      </c>
      <c r="D115">
        <f>'Master FF&amp;E Schedule'!F115</f>
        <v/>
      </c>
      <c r="E115">
        <f>'Master FF&amp;E Schedule'!K115</f>
        <v/>
      </c>
      <c r="F115">
        <f>'Master FF&amp;E Schedule'!M115</f>
        <v/>
      </c>
      <c r="G115">
        <f>'Master FF&amp;E Schedule'!T115</f>
        <v/>
      </c>
      <c r="H115">
        <f>'Master FF&amp;E Schedule'!W115</f>
        <v/>
      </c>
      <c r="I115">
        <f>'Master FF&amp;E Schedule'!AA115</f>
        <v/>
      </c>
    </row>
    <row r="116">
      <c r="A116" s="12">
        <f>'Master FF&amp;E Schedule'!B116</f>
        <v/>
      </c>
      <c r="B116" s="12">
        <f>'Master FF&amp;E Schedule'!D116</f>
        <v/>
      </c>
      <c r="C116" s="12">
        <f>'Master FF&amp;E Schedule'!E116</f>
        <v/>
      </c>
      <c r="D116" s="12">
        <f>'Master FF&amp;E Schedule'!F116</f>
        <v/>
      </c>
      <c r="E116" s="12">
        <f>'Master FF&amp;E Schedule'!K116</f>
        <v/>
      </c>
      <c r="F116" s="12">
        <f>'Master FF&amp;E Schedule'!M116</f>
        <v/>
      </c>
      <c r="G116" s="12">
        <f>'Master FF&amp;E Schedule'!T116</f>
        <v/>
      </c>
      <c r="H116" s="12">
        <f>'Master FF&amp;E Schedule'!W116</f>
        <v/>
      </c>
      <c r="I116" s="12">
        <f>'Master FF&amp;E Schedule'!AA116</f>
        <v/>
      </c>
      <c r="J116" s="12" t="n"/>
    </row>
    <row r="117">
      <c r="A117">
        <f>'Master FF&amp;E Schedule'!B117</f>
        <v/>
      </c>
      <c r="B117">
        <f>'Master FF&amp;E Schedule'!D117</f>
        <v/>
      </c>
      <c r="C117">
        <f>'Master FF&amp;E Schedule'!E117</f>
        <v/>
      </c>
      <c r="D117">
        <f>'Master FF&amp;E Schedule'!F117</f>
        <v/>
      </c>
      <c r="E117">
        <f>'Master FF&amp;E Schedule'!K117</f>
        <v/>
      </c>
      <c r="F117">
        <f>'Master FF&amp;E Schedule'!M117</f>
        <v/>
      </c>
      <c r="G117">
        <f>'Master FF&amp;E Schedule'!T117</f>
        <v/>
      </c>
      <c r="H117">
        <f>'Master FF&amp;E Schedule'!W117</f>
        <v/>
      </c>
      <c r="I117">
        <f>'Master FF&amp;E Schedule'!AA117</f>
        <v/>
      </c>
    </row>
    <row r="118">
      <c r="A118" s="12">
        <f>'Master FF&amp;E Schedule'!B118</f>
        <v/>
      </c>
      <c r="B118" s="12">
        <f>'Master FF&amp;E Schedule'!D118</f>
        <v/>
      </c>
      <c r="C118" s="12">
        <f>'Master FF&amp;E Schedule'!E118</f>
        <v/>
      </c>
      <c r="D118" s="12">
        <f>'Master FF&amp;E Schedule'!F118</f>
        <v/>
      </c>
      <c r="E118" s="12">
        <f>'Master FF&amp;E Schedule'!K118</f>
        <v/>
      </c>
      <c r="F118" s="12">
        <f>'Master FF&amp;E Schedule'!M118</f>
        <v/>
      </c>
      <c r="G118" s="12">
        <f>'Master FF&amp;E Schedule'!T118</f>
        <v/>
      </c>
      <c r="H118" s="12">
        <f>'Master FF&amp;E Schedule'!W118</f>
        <v/>
      </c>
      <c r="I118" s="12">
        <f>'Master FF&amp;E Schedule'!AA118</f>
        <v/>
      </c>
      <c r="J118" s="12" t="n"/>
    </row>
    <row r="119">
      <c r="A119">
        <f>'Master FF&amp;E Schedule'!B119</f>
        <v/>
      </c>
      <c r="B119">
        <f>'Master FF&amp;E Schedule'!D119</f>
        <v/>
      </c>
      <c r="C119">
        <f>'Master FF&amp;E Schedule'!E119</f>
        <v/>
      </c>
      <c r="D119">
        <f>'Master FF&amp;E Schedule'!F119</f>
        <v/>
      </c>
      <c r="E119">
        <f>'Master FF&amp;E Schedule'!K119</f>
        <v/>
      </c>
      <c r="F119">
        <f>'Master FF&amp;E Schedule'!M119</f>
        <v/>
      </c>
      <c r="G119">
        <f>'Master FF&amp;E Schedule'!T119</f>
        <v/>
      </c>
      <c r="H119">
        <f>'Master FF&amp;E Schedule'!W119</f>
        <v/>
      </c>
      <c r="I119">
        <f>'Master FF&amp;E Schedule'!AA119</f>
        <v/>
      </c>
    </row>
    <row r="120">
      <c r="A120" s="12">
        <f>'Master FF&amp;E Schedule'!B120</f>
        <v/>
      </c>
      <c r="B120" s="12">
        <f>'Master FF&amp;E Schedule'!D120</f>
        <v/>
      </c>
      <c r="C120" s="12">
        <f>'Master FF&amp;E Schedule'!E120</f>
        <v/>
      </c>
      <c r="D120" s="12">
        <f>'Master FF&amp;E Schedule'!F120</f>
        <v/>
      </c>
      <c r="E120" s="12">
        <f>'Master FF&amp;E Schedule'!K120</f>
        <v/>
      </c>
      <c r="F120" s="12">
        <f>'Master FF&amp;E Schedule'!M120</f>
        <v/>
      </c>
      <c r="G120" s="12">
        <f>'Master FF&amp;E Schedule'!T120</f>
        <v/>
      </c>
      <c r="H120" s="12">
        <f>'Master FF&amp;E Schedule'!W120</f>
        <v/>
      </c>
      <c r="I120" s="12">
        <f>'Master FF&amp;E Schedule'!AA120</f>
        <v/>
      </c>
      <c r="J120" s="12" t="n"/>
    </row>
    <row r="121">
      <c r="A121">
        <f>'Master FF&amp;E Schedule'!B121</f>
        <v/>
      </c>
      <c r="B121">
        <f>'Master FF&amp;E Schedule'!D121</f>
        <v/>
      </c>
      <c r="C121">
        <f>'Master FF&amp;E Schedule'!E121</f>
        <v/>
      </c>
      <c r="D121">
        <f>'Master FF&amp;E Schedule'!F121</f>
        <v/>
      </c>
      <c r="E121">
        <f>'Master FF&amp;E Schedule'!K121</f>
        <v/>
      </c>
      <c r="F121">
        <f>'Master FF&amp;E Schedule'!M121</f>
        <v/>
      </c>
      <c r="G121">
        <f>'Master FF&amp;E Schedule'!T121</f>
        <v/>
      </c>
      <c r="H121">
        <f>'Master FF&amp;E Schedule'!W121</f>
        <v/>
      </c>
      <c r="I121">
        <f>'Master FF&amp;E Schedule'!AA121</f>
        <v/>
      </c>
    </row>
    <row r="122">
      <c r="A122" s="12">
        <f>'Master FF&amp;E Schedule'!B122</f>
        <v/>
      </c>
      <c r="B122" s="12">
        <f>'Master FF&amp;E Schedule'!D122</f>
        <v/>
      </c>
      <c r="C122" s="12">
        <f>'Master FF&amp;E Schedule'!E122</f>
        <v/>
      </c>
      <c r="D122" s="12">
        <f>'Master FF&amp;E Schedule'!F122</f>
        <v/>
      </c>
      <c r="E122" s="12">
        <f>'Master FF&amp;E Schedule'!K122</f>
        <v/>
      </c>
      <c r="F122" s="12">
        <f>'Master FF&amp;E Schedule'!M122</f>
        <v/>
      </c>
      <c r="G122" s="12">
        <f>'Master FF&amp;E Schedule'!T122</f>
        <v/>
      </c>
      <c r="H122" s="12">
        <f>'Master FF&amp;E Schedule'!W122</f>
        <v/>
      </c>
      <c r="I122" s="12">
        <f>'Master FF&amp;E Schedule'!AA122</f>
        <v/>
      </c>
      <c r="J122" s="12" t="n"/>
    </row>
    <row r="123">
      <c r="A123">
        <f>'Master FF&amp;E Schedule'!B123</f>
        <v/>
      </c>
      <c r="B123">
        <f>'Master FF&amp;E Schedule'!D123</f>
        <v/>
      </c>
      <c r="C123">
        <f>'Master FF&amp;E Schedule'!E123</f>
        <v/>
      </c>
      <c r="D123">
        <f>'Master FF&amp;E Schedule'!F123</f>
        <v/>
      </c>
      <c r="E123">
        <f>'Master FF&amp;E Schedule'!K123</f>
        <v/>
      </c>
      <c r="F123">
        <f>'Master FF&amp;E Schedule'!M123</f>
        <v/>
      </c>
      <c r="G123">
        <f>'Master FF&amp;E Schedule'!T123</f>
        <v/>
      </c>
      <c r="H123">
        <f>'Master FF&amp;E Schedule'!W123</f>
        <v/>
      </c>
      <c r="I123">
        <f>'Master FF&amp;E Schedule'!AA123</f>
        <v/>
      </c>
    </row>
    <row r="124">
      <c r="A124" s="12">
        <f>'Master FF&amp;E Schedule'!B124</f>
        <v/>
      </c>
      <c r="B124" s="12">
        <f>'Master FF&amp;E Schedule'!D124</f>
        <v/>
      </c>
      <c r="C124" s="12">
        <f>'Master FF&amp;E Schedule'!E124</f>
        <v/>
      </c>
      <c r="D124" s="12">
        <f>'Master FF&amp;E Schedule'!F124</f>
        <v/>
      </c>
      <c r="E124" s="12">
        <f>'Master FF&amp;E Schedule'!K124</f>
        <v/>
      </c>
      <c r="F124" s="12">
        <f>'Master FF&amp;E Schedule'!M124</f>
        <v/>
      </c>
      <c r="G124" s="12">
        <f>'Master FF&amp;E Schedule'!T124</f>
        <v/>
      </c>
      <c r="H124" s="12">
        <f>'Master FF&amp;E Schedule'!W124</f>
        <v/>
      </c>
      <c r="I124" s="12">
        <f>'Master FF&amp;E Schedule'!AA124</f>
        <v/>
      </c>
      <c r="J124" s="12" t="n"/>
    </row>
    <row r="125">
      <c r="A125">
        <f>'Master FF&amp;E Schedule'!B125</f>
        <v/>
      </c>
      <c r="B125">
        <f>'Master FF&amp;E Schedule'!D125</f>
        <v/>
      </c>
      <c r="C125">
        <f>'Master FF&amp;E Schedule'!E125</f>
        <v/>
      </c>
      <c r="D125">
        <f>'Master FF&amp;E Schedule'!F125</f>
        <v/>
      </c>
      <c r="E125">
        <f>'Master FF&amp;E Schedule'!K125</f>
        <v/>
      </c>
      <c r="F125">
        <f>'Master FF&amp;E Schedule'!M125</f>
        <v/>
      </c>
      <c r="G125">
        <f>'Master FF&amp;E Schedule'!T125</f>
        <v/>
      </c>
      <c r="H125">
        <f>'Master FF&amp;E Schedule'!W125</f>
        <v/>
      </c>
      <c r="I125">
        <f>'Master FF&amp;E Schedule'!AA125</f>
        <v/>
      </c>
    </row>
    <row r="126">
      <c r="A126" s="12">
        <f>'Master FF&amp;E Schedule'!B126</f>
        <v/>
      </c>
      <c r="B126" s="12">
        <f>'Master FF&amp;E Schedule'!D126</f>
        <v/>
      </c>
      <c r="C126" s="12">
        <f>'Master FF&amp;E Schedule'!E126</f>
        <v/>
      </c>
      <c r="D126" s="12">
        <f>'Master FF&amp;E Schedule'!F126</f>
        <v/>
      </c>
      <c r="E126" s="12">
        <f>'Master FF&amp;E Schedule'!K126</f>
        <v/>
      </c>
      <c r="F126" s="12">
        <f>'Master FF&amp;E Schedule'!M126</f>
        <v/>
      </c>
      <c r="G126" s="12">
        <f>'Master FF&amp;E Schedule'!T126</f>
        <v/>
      </c>
      <c r="H126" s="12">
        <f>'Master FF&amp;E Schedule'!W126</f>
        <v/>
      </c>
      <c r="I126" s="12">
        <f>'Master FF&amp;E Schedule'!AA126</f>
        <v/>
      </c>
      <c r="J126" s="12" t="n"/>
    </row>
    <row r="127">
      <c r="A127">
        <f>'Master FF&amp;E Schedule'!B127</f>
        <v/>
      </c>
      <c r="B127">
        <f>'Master FF&amp;E Schedule'!D127</f>
        <v/>
      </c>
      <c r="C127">
        <f>'Master FF&amp;E Schedule'!E127</f>
        <v/>
      </c>
      <c r="D127">
        <f>'Master FF&amp;E Schedule'!F127</f>
        <v/>
      </c>
      <c r="E127">
        <f>'Master FF&amp;E Schedule'!K127</f>
        <v/>
      </c>
      <c r="F127">
        <f>'Master FF&amp;E Schedule'!M127</f>
        <v/>
      </c>
      <c r="G127">
        <f>'Master FF&amp;E Schedule'!T127</f>
        <v/>
      </c>
      <c r="H127">
        <f>'Master FF&amp;E Schedule'!W127</f>
        <v/>
      </c>
      <c r="I127">
        <f>'Master FF&amp;E Schedule'!AA127</f>
        <v/>
      </c>
    </row>
    <row r="128">
      <c r="A128" s="12">
        <f>'Master FF&amp;E Schedule'!B128</f>
        <v/>
      </c>
      <c r="B128" s="12">
        <f>'Master FF&amp;E Schedule'!D128</f>
        <v/>
      </c>
      <c r="C128" s="12">
        <f>'Master FF&amp;E Schedule'!E128</f>
        <v/>
      </c>
      <c r="D128" s="12">
        <f>'Master FF&amp;E Schedule'!F128</f>
        <v/>
      </c>
      <c r="E128" s="12">
        <f>'Master FF&amp;E Schedule'!K128</f>
        <v/>
      </c>
      <c r="F128" s="12">
        <f>'Master FF&amp;E Schedule'!M128</f>
        <v/>
      </c>
      <c r="G128" s="12">
        <f>'Master FF&amp;E Schedule'!T128</f>
        <v/>
      </c>
      <c r="H128" s="12">
        <f>'Master FF&amp;E Schedule'!W128</f>
        <v/>
      </c>
      <c r="I128" s="12">
        <f>'Master FF&amp;E Schedule'!AA128</f>
        <v/>
      </c>
      <c r="J128" s="12" t="n"/>
    </row>
    <row r="129">
      <c r="A129">
        <f>'Master FF&amp;E Schedule'!B129</f>
        <v/>
      </c>
      <c r="B129">
        <f>'Master FF&amp;E Schedule'!D129</f>
        <v/>
      </c>
      <c r="C129">
        <f>'Master FF&amp;E Schedule'!E129</f>
        <v/>
      </c>
      <c r="D129">
        <f>'Master FF&amp;E Schedule'!F129</f>
        <v/>
      </c>
      <c r="E129">
        <f>'Master FF&amp;E Schedule'!K129</f>
        <v/>
      </c>
      <c r="F129">
        <f>'Master FF&amp;E Schedule'!M129</f>
        <v/>
      </c>
      <c r="G129">
        <f>'Master FF&amp;E Schedule'!T129</f>
        <v/>
      </c>
      <c r="H129">
        <f>'Master FF&amp;E Schedule'!W129</f>
        <v/>
      </c>
      <c r="I129">
        <f>'Master FF&amp;E Schedule'!AA129</f>
        <v/>
      </c>
    </row>
    <row r="130">
      <c r="A130" s="12">
        <f>'Master FF&amp;E Schedule'!B130</f>
        <v/>
      </c>
      <c r="B130" s="12">
        <f>'Master FF&amp;E Schedule'!D130</f>
        <v/>
      </c>
      <c r="C130" s="12">
        <f>'Master FF&amp;E Schedule'!E130</f>
        <v/>
      </c>
      <c r="D130" s="12">
        <f>'Master FF&amp;E Schedule'!F130</f>
        <v/>
      </c>
      <c r="E130" s="12">
        <f>'Master FF&amp;E Schedule'!K130</f>
        <v/>
      </c>
      <c r="F130" s="12">
        <f>'Master FF&amp;E Schedule'!M130</f>
        <v/>
      </c>
      <c r="G130" s="12">
        <f>'Master FF&amp;E Schedule'!T130</f>
        <v/>
      </c>
      <c r="H130" s="12">
        <f>'Master FF&amp;E Schedule'!W130</f>
        <v/>
      </c>
      <c r="I130" s="12">
        <f>'Master FF&amp;E Schedule'!AA130</f>
        <v/>
      </c>
      <c r="J130" s="12" t="n"/>
    </row>
    <row r="131">
      <c r="A131">
        <f>'Master FF&amp;E Schedule'!B131</f>
        <v/>
      </c>
      <c r="B131">
        <f>'Master FF&amp;E Schedule'!D131</f>
        <v/>
      </c>
      <c r="C131">
        <f>'Master FF&amp;E Schedule'!E131</f>
        <v/>
      </c>
      <c r="D131">
        <f>'Master FF&amp;E Schedule'!F131</f>
        <v/>
      </c>
      <c r="E131">
        <f>'Master FF&amp;E Schedule'!K131</f>
        <v/>
      </c>
      <c r="F131">
        <f>'Master FF&amp;E Schedule'!M131</f>
        <v/>
      </c>
      <c r="G131">
        <f>'Master FF&amp;E Schedule'!T131</f>
        <v/>
      </c>
      <c r="H131">
        <f>'Master FF&amp;E Schedule'!W131</f>
        <v/>
      </c>
      <c r="I131">
        <f>'Master FF&amp;E Schedule'!AA131</f>
        <v/>
      </c>
    </row>
    <row r="132">
      <c r="A132" s="12">
        <f>'Master FF&amp;E Schedule'!B132</f>
        <v/>
      </c>
      <c r="B132" s="12">
        <f>'Master FF&amp;E Schedule'!D132</f>
        <v/>
      </c>
      <c r="C132" s="12">
        <f>'Master FF&amp;E Schedule'!E132</f>
        <v/>
      </c>
      <c r="D132" s="12">
        <f>'Master FF&amp;E Schedule'!F132</f>
        <v/>
      </c>
      <c r="E132" s="12">
        <f>'Master FF&amp;E Schedule'!K132</f>
        <v/>
      </c>
      <c r="F132" s="12">
        <f>'Master FF&amp;E Schedule'!M132</f>
        <v/>
      </c>
      <c r="G132" s="12">
        <f>'Master FF&amp;E Schedule'!T132</f>
        <v/>
      </c>
      <c r="H132" s="12">
        <f>'Master FF&amp;E Schedule'!W132</f>
        <v/>
      </c>
      <c r="I132" s="12">
        <f>'Master FF&amp;E Schedule'!AA132</f>
        <v/>
      </c>
      <c r="J132" s="12" t="n"/>
    </row>
    <row r="133">
      <c r="A133">
        <f>'Master FF&amp;E Schedule'!B133</f>
        <v/>
      </c>
      <c r="B133">
        <f>'Master FF&amp;E Schedule'!D133</f>
        <v/>
      </c>
      <c r="C133">
        <f>'Master FF&amp;E Schedule'!E133</f>
        <v/>
      </c>
      <c r="D133">
        <f>'Master FF&amp;E Schedule'!F133</f>
        <v/>
      </c>
      <c r="E133">
        <f>'Master FF&amp;E Schedule'!K133</f>
        <v/>
      </c>
      <c r="F133">
        <f>'Master FF&amp;E Schedule'!M133</f>
        <v/>
      </c>
      <c r="G133">
        <f>'Master FF&amp;E Schedule'!T133</f>
        <v/>
      </c>
      <c r="H133">
        <f>'Master FF&amp;E Schedule'!W133</f>
        <v/>
      </c>
      <c r="I133">
        <f>'Master FF&amp;E Schedule'!AA133</f>
        <v/>
      </c>
    </row>
    <row r="134">
      <c r="A134" s="12">
        <f>'Master FF&amp;E Schedule'!B134</f>
        <v/>
      </c>
      <c r="B134" s="12">
        <f>'Master FF&amp;E Schedule'!D134</f>
        <v/>
      </c>
      <c r="C134" s="12">
        <f>'Master FF&amp;E Schedule'!E134</f>
        <v/>
      </c>
      <c r="D134" s="12">
        <f>'Master FF&amp;E Schedule'!F134</f>
        <v/>
      </c>
      <c r="E134" s="12">
        <f>'Master FF&amp;E Schedule'!K134</f>
        <v/>
      </c>
      <c r="F134" s="12">
        <f>'Master FF&amp;E Schedule'!M134</f>
        <v/>
      </c>
      <c r="G134" s="12">
        <f>'Master FF&amp;E Schedule'!T134</f>
        <v/>
      </c>
      <c r="H134" s="12">
        <f>'Master FF&amp;E Schedule'!W134</f>
        <v/>
      </c>
      <c r="I134" s="12">
        <f>'Master FF&amp;E Schedule'!AA134</f>
        <v/>
      </c>
      <c r="J134" s="12" t="n"/>
    </row>
    <row r="135">
      <c r="A135">
        <f>'Master FF&amp;E Schedule'!B135</f>
        <v/>
      </c>
      <c r="B135">
        <f>'Master FF&amp;E Schedule'!D135</f>
        <v/>
      </c>
      <c r="C135">
        <f>'Master FF&amp;E Schedule'!E135</f>
        <v/>
      </c>
      <c r="D135">
        <f>'Master FF&amp;E Schedule'!F135</f>
        <v/>
      </c>
      <c r="E135">
        <f>'Master FF&amp;E Schedule'!K135</f>
        <v/>
      </c>
      <c r="F135">
        <f>'Master FF&amp;E Schedule'!M135</f>
        <v/>
      </c>
      <c r="G135">
        <f>'Master FF&amp;E Schedule'!T135</f>
        <v/>
      </c>
      <c r="H135">
        <f>'Master FF&amp;E Schedule'!W135</f>
        <v/>
      </c>
      <c r="I135">
        <f>'Master FF&amp;E Schedule'!AA135</f>
        <v/>
      </c>
    </row>
    <row r="136">
      <c r="A136" s="12">
        <f>'Master FF&amp;E Schedule'!B136</f>
        <v/>
      </c>
      <c r="B136" s="12">
        <f>'Master FF&amp;E Schedule'!D136</f>
        <v/>
      </c>
      <c r="C136" s="12">
        <f>'Master FF&amp;E Schedule'!E136</f>
        <v/>
      </c>
      <c r="D136" s="12">
        <f>'Master FF&amp;E Schedule'!F136</f>
        <v/>
      </c>
      <c r="E136" s="12">
        <f>'Master FF&amp;E Schedule'!K136</f>
        <v/>
      </c>
      <c r="F136" s="12">
        <f>'Master FF&amp;E Schedule'!M136</f>
        <v/>
      </c>
      <c r="G136" s="12">
        <f>'Master FF&amp;E Schedule'!T136</f>
        <v/>
      </c>
      <c r="H136" s="12">
        <f>'Master FF&amp;E Schedule'!W136</f>
        <v/>
      </c>
      <c r="I136" s="12">
        <f>'Master FF&amp;E Schedule'!AA136</f>
        <v/>
      </c>
      <c r="J136" s="12" t="n"/>
    </row>
    <row r="137">
      <c r="A137">
        <f>'Master FF&amp;E Schedule'!B137</f>
        <v/>
      </c>
      <c r="B137">
        <f>'Master FF&amp;E Schedule'!D137</f>
        <v/>
      </c>
      <c r="C137">
        <f>'Master FF&amp;E Schedule'!E137</f>
        <v/>
      </c>
      <c r="D137">
        <f>'Master FF&amp;E Schedule'!F137</f>
        <v/>
      </c>
      <c r="E137">
        <f>'Master FF&amp;E Schedule'!K137</f>
        <v/>
      </c>
      <c r="F137">
        <f>'Master FF&amp;E Schedule'!M137</f>
        <v/>
      </c>
      <c r="G137">
        <f>'Master FF&amp;E Schedule'!T137</f>
        <v/>
      </c>
      <c r="H137">
        <f>'Master FF&amp;E Schedule'!W137</f>
        <v/>
      </c>
      <c r="I137">
        <f>'Master FF&amp;E Schedule'!AA137</f>
        <v/>
      </c>
    </row>
    <row r="138">
      <c r="A138" s="12">
        <f>'Master FF&amp;E Schedule'!B138</f>
        <v/>
      </c>
      <c r="B138" s="12">
        <f>'Master FF&amp;E Schedule'!D138</f>
        <v/>
      </c>
      <c r="C138" s="12">
        <f>'Master FF&amp;E Schedule'!E138</f>
        <v/>
      </c>
      <c r="D138" s="12">
        <f>'Master FF&amp;E Schedule'!F138</f>
        <v/>
      </c>
      <c r="E138" s="12">
        <f>'Master FF&amp;E Schedule'!K138</f>
        <v/>
      </c>
      <c r="F138" s="12">
        <f>'Master FF&amp;E Schedule'!M138</f>
        <v/>
      </c>
      <c r="G138" s="12">
        <f>'Master FF&amp;E Schedule'!T138</f>
        <v/>
      </c>
      <c r="H138" s="12">
        <f>'Master FF&amp;E Schedule'!W138</f>
        <v/>
      </c>
      <c r="I138" s="12">
        <f>'Master FF&amp;E Schedule'!AA138</f>
        <v/>
      </c>
      <c r="J138" s="12" t="n"/>
    </row>
    <row r="139">
      <c r="A139">
        <f>'Master FF&amp;E Schedule'!B139</f>
        <v/>
      </c>
      <c r="B139">
        <f>'Master FF&amp;E Schedule'!D139</f>
        <v/>
      </c>
      <c r="C139">
        <f>'Master FF&amp;E Schedule'!E139</f>
        <v/>
      </c>
      <c r="D139">
        <f>'Master FF&amp;E Schedule'!F139</f>
        <v/>
      </c>
      <c r="E139">
        <f>'Master FF&amp;E Schedule'!K139</f>
        <v/>
      </c>
      <c r="F139">
        <f>'Master FF&amp;E Schedule'!M139</f>
        <v/>
      </c>
      <c r="G139">
        <f>'Master FF&amp;E Schedule'!T139</f>
        <v/>
      </c>
      <c r="H139">
        <f>'Master FF&amp;E Schedule'!W139</f>
        <v/>
      </c>
      <c r="I139">
        <f>'Master FF&amp;E Schedule'!AA139</f>
        <v/>
      </c>
    </row>
    <row r="140">
      <c r="A140" s="12">
        <f>'Master FF&amp;E Schedule'!B140</f>
        <v/>
      </c>
      <c r="B140" s="12">
        <f>'Master FF&amp;E Schedule'!D140</f>
        <v/>
      </c>
      <c r="C140" s="12">
        <f>'Master FF&amp;E Schedule'!E140</f>
        <v/>
      </c>
      <c r="D140" s="12">
        <f>'Master FF&amp;E Schedule'!F140</f>
        <v/>
      </c>
      <c r="E140" s="12">
        <f>'Master FF&amp;E Schedule'!K140</f>
        <v/>
      </c>
      <c r="F140" s="12">
        <f>'Master FF&amp;E Schedule'!M140</f>
        <v/>
      </c>
      <c r="G140" s="12">
        <f>'Master FF&amp;E Schedule'!T140</f>
        <v/>
      </c>
      <c r="H140" s="12">
        <f>'Master FF&amp;E Schedule'!W140</f>
        <v/>
      </c>
      <c r="I140" s="12">
        <f>'Master FF&amp;E Schedule'!AA140</f>
        <v/>
      </c>
      <c r="J140" s="12" t="n"/>
    </row>
    <row r="141">
      <c r="A141">
        <f>'Master FF&amp;E Schedule'!B141</f>
        <v/>
      </c>
      <c r="B141">
        <f>'Master FF&amp;E Schedule'!D141</f>
        <v/>
      </c>
      <c r="C141">
        <f>'Master FF&amp;E Schedule'!E141</f>
        <v/>
      </c>
      <c r="D141">
        <f>'Master FF&amp;E Schedule'!F141</f>
        <v/>
      </c>
      <c r="E141">
        <f>'Master FF&amp;E Schedule'!K141</f>
        <v/>
      </c>
      <c r="F141">
        <f>'Master FF&amp;E Schedule'!M141</f>
        <v/>
      </c>
      <c r="G141">
        <f>'Master FF&amp;E Schedule'!T141</f>
        <v/>
      </c>
      <c r="H141">
        <f>'Master FF&amp;E Schedule'!W141</f>
        <v/>
      </c>
      <c r="I141">
        <f>'Master FF&amp;E Schedule'!AA141</f>
        <v/>
      </c>
    </row>
    <row r="142">
      <c r="A142" s="12">
        <f>'Master FF&amp;E Schedule'!B142</f>
        <v/>
      </c>
      <c r="B142" s="12">
        <f>'Master FF&amp;E Schedule'!D142</f>
        <v/>
      </c>
      <c r="C142" s="12">
        <f>'Master FF&amp;E Schedule'!E142</f>
        <v/>
      </c>
      <c r="D142" s="12">
        <f>'Master FF&amp;E Schedule'!F142</f>
        <v/>
      </c>
      <c r="E142" s="12">
        <f>'Master FF&amp;E Schedule'!K142</f>
        <v/>
      </c>
      <c r="F142" s="12">
        <f>'Master FF&amp;E Schedule'!M142</f>
        <v/>
      </c>
      <c r="G142" s="12">
        <f>'Master FF&amp;E Schedule'!T142</f>
        <v/>
      </c>
      <c r="H142" s="12">
        <f>'Master FF&amp;E Schedule'!W142</f>
        <v/>
      </c>
      <c r="I142" s="12">
        <f>'Master FF&amp;E Schedule'!AA142</f>
        <v/>
      </c>
      <c r="J142" s="12" t="n"/>
    </row>
    <row r="143">
      <c r="A143">
        <f>'Master FF&amp;E Schedule'!B143</f>
        <v/>
      </c>
      <c r="B143">
        <f>'Master FF&amp;E Schedule'!D143</f>
        <v/>
      </c>
      <c r="C143">
        <f>'Master FF&amp;E Schedule'!E143</f>
        <v/>
      </c>
      <c r="D143">
        <f>'Master FF&amp;E Schedule'!F143</f>
        <v/>
      </c>
      <c r="E143">
        <f>'Master FF&amp;E Schedule'!K143</f>
        <v/>
      </c>
      <c r="F143">
        <f>'Master FF&amp;E Schedule'!M143</f>
        <v/>
      </c>
      <c r="G143">
        <f>'Master FF&amp;E Schedule'!T143</f>
        <v/>
      </c>
      <c r="H143">
        <f>'Master FF&amp;E Schedule'!W143</f>
        <v/>
      </c>
      <c r="I143">
        <f>'Master FF&amp;E Schedule'!AA143</f>
        <v/>
      </c>
    </row>
    <row r="144">
      <c r="A144" s="12">
        <f>'Master FF&amp;E Schedule'!B144</f>
        <v/>
      </c>
      <c r="B144" s="12">
        <f>'Master FF&amp;E Schedule'!D144</f>
        <v/>
      </c>
      <c r="C144" s="12">
        <f>'Master FF&amp;E Schedule'!E144</f>
        <v/>
      </c>
      <c r="D144" s="12">
        <f>'Master FF&amp;E Schedule'!F144</f>
        <v/>
      </c>
      <c r="E144" s="12">
        <f>'Master FF&amp;E Schedule'!K144</f>
        <v/>
      </c>
      <c r="F144" s="12">
        <f>'Master FF&amp;E Schedule'!M144</f>
        <v/>
      </c>
      <c r="G144" s="12">
        <f>'Master FF&amp;E Schedule'!T144</f>
        <v/>
      </c>
      <c r="H144" s="12">
        <f>'Master FF&amp;E Schedule'!W144</f>
        <v/>
      </c>
      <c r="I144" s="12">
        <f>'Master FF&amp;E Schedule'!AA144</f>
        <v/>
      </c>
      <c r="J144" s="12" t="n"/>
    </row>
    <row r="145">
      <c r="A145">
        <f>'Master FF&amp;E Schedule'!B145</f>
        <v/>
      </c>
      <c r="B145">
        <f>'Master FF&amp;E Schedule'!D145</f>
        <v/>
      </c>
      <c r="C145">
        <f>'Master FF&amp;E Schedule'!E145</f>
        <v/>
      </c>
      <c r="D145">
        <f>'Master FF&amp;E Schedule'!F145</f>
        <v/>
      </c>
      <c r="E145">
        <f>'Master FF&amp;E Schedule'!K145</f>
        <v/>
      </c>
      <c r="F145">
        <f>'Master FF&amp;E Schedule'!M145</f>
        <v/>
      </c>
      <c r="G145">
        <f>'Master FF&amp;E Schedule'!T145</f>
        <v/>
      </c>
      <c r="H145">
        <f>'Master FF&amp;E Schedule'!W145</f>
        <v/>
      </c>
      <c r="I145">
        <f>'Master FF&amp;E Schedule'!AA145</f>
        <v/>
      </c>
    </row>
    <row r="146">
      <c r="A146" s="12">
        <f>'Master FF&amp;E Schedule'!B146</f>
        <v/>
      </c>
      <c r="B146" s="12">
        <f>'Master FF&amp;E Schedule'!D146</f>
        <v/>
      </c>
      <c r="C146" s="12">
        <f>'Master FF&amp;E Schedule'!E146</f>
        <v/>
      </c>
      <c r="D146" s="12">
        <f>'Master FF&amp;E Schedule'!F146</f>
        <v/>
      </c>
      <c r="E146" s="12">
        <f>'Master FF&amp;E Schedule'!K146</f>
        <v/>
      </c>
      <c r="F146" s="12">
        <f>'Master FF&amp;E Schedule'!M146</f>
        <v/>
      </c>
      <c r="G146" s="12">
        <f>'Master FF&amp;E Schedule'!T146</f>
        <v/>
      </c>
      <c r="H146" s="12">
        <f>'Master FF&amp;E Schedule'!W146</f>
        <v/>
      </c>
      <c r="I146" s="12">
        <f>'Master FF&amp;E Schedule'!AA146</f>
        <v/>
      </c>
      <c r="J146" s="12" t="n"/>
    </row>
    <row r="147">
      <c r="A147">
        <f>'Master FF&amp;E Schedule'!B147</f>
        <v/>
      </c>
      <c r="B147">
        <f>'Master FF&amp;E Schedule'!D147</f>
        <v/>
      </c>
      <c r="C147">
        <f>'Master FF&amp;E Schedule'!E147</f>
        <v/>
      </c>
      <c r="D147">
        <f>'Master FF&amp;E Schedule'!F147</f>
        <v/>
      </c>
      <c r="E147">
        <f>'Master FF&amp;E Schedule'!K147</f>
        <v/>
      </c>
      <c r="F147">
        <f>'Master FF&amp;E Schedule'!M147</f>
        <v/>
      </c>
      <c r="G147">
        <f>'Master FF&amp;E Schedule'!T147</f>
        <v/>
      </c>
      <c r="H147">
        <f>'Master FF&amp;E Schedule'!W147</f>
        <v/>
      </c>
      <c r="I147">
        <f>'Master FF&amp;E Schedule'!AA147</f>
        <v/>
      </c>
    </row>
    <row r="148">
      <c r="A148" s="12">
        <f>'Master FF&amp;E Schedule'!B148</f>
        <v/>
      </c>
      <c r="B148" s="12">
        <f>'Master FF&amp;E Schedule'!D148</f>
        <v/>
      </c>
      <c r="C148" s="12">
        <f>'Master FF&amp;E Schedule'!E148</f>
        <v/>
      </c>
      <c r="D148" s="12">
        <f>'Master FF&amp;E Schedule'!F148</f>
        <v/>
      </c>
      <c r="E148" s="12">
        <f>'Master FF&amp;E Schedule'!K148</f>
        <v/>
      </c>
      <c r="F148" s="12">
        <f>'Master FF&amp;E Schedule'!M148</f>
        <v/>
      </c>
      <c r="G148" s="12">
        <f>'Master FF&amp;E Schedule'!T148</f>
        <v/>
      </c>
      <c r="H148" s="12">
        <f>'Master FF&amp;E Schedule'!W148</f>
        <v/>
      </c>
      <c r="I148" s="12">
        <f>'Master FF&amp;E Schedule'!AA148</f>
        <v/>
      </c>
      <c r="J148" s="12" t="n"/>
    </row>
    <row r="149">
      <c r="A149">
        <f>'Master FF&amp;E Schedule'!B149</f>
        <v/>
      </c>
      <c r="B149">
        <f>'Master FF&amp;E Schedule'!D149</f>
        <v/>
      </c>
      <c r="C149">
        <f>'Master FF&amp;E Schedule'!E149</f>
        <v/>
      </c>
      <c r="D149">
        <f>'Master FF&amp;E Schedule'!F149</f>
        <v/>
      </c>
      <c r="E149">
        <f>'Master FF&amp;E Schedule'!K149</f>
        <v/>
      </c>
      <c r="F149">
        <f>'Master FF&amp;E Schedule'!M149</f>
        <v/>
      </c>
      <c r="G149">
        <f>'Master FF&amp;E Schedule'!T149</f>
        <v/>
      </c>
      <c r="H149">
        <f>'Master FF&amp;E Schedule'!W149</f>
        <v/>
      </c>
      <c r="I149">
        <f>'Master FF&amp;E Schedule'!AA149</f>
        <v/>
      </c>
    </row>
    <row r="150">
      <c r="A150" s="12">
        <f>'Master FF&amp;E Schedule'!B150</f>
        <v/>
      </c>
      <c r="B150" s="12">
        <f>'Master FF&amp;E Schedule'!D150</f>
        <v/>
      </c>
      <c r="C150" s="12">
        <f>'Master FF&amp;E Schedule'!E150</f>
        <v/>
      </c>
      <c r="D150" s="12">
        <f>'Master FF&amp;E Schedule'!F150</f>
        <v/>
      </c>
      <c r="E150" s="12">
        <f>'Master FF&amp;E Schedule'!K150</f>
        <v/>
      </c>
      <c r="F150" s="12">
        <f>'Master FF&amp;E Schedule'!M150</f>
        <v/>
      </c>
      <c r="G150" s="12">
        <f>'Master FF&amp;E Schedule'!T150</f>
        <v/>
      </c>
      <c r="H150" s="12">
        <f>'Master FF&amp;E Schedule'!W150</f>
        <v/>
      </c>
      <c r="I150" s="12">
        <f>'Master FF&amp;E Schedule'!AA150</f>
        <v/>
      </c>
      <c r="J150" s="12" t="n"/>
    </row>
    <row r="151">
      <c r="A151">
        <f>'Master FF&amp;E Schedule'!B151</f>
        <v/>
      </c>
      <c r="B151">
        <f>'Master FF&amp;E Schedule'!D151</f>
        <v/>
      </c>
      <c r="C151">
        <f>'Master FF&amp;E Schedule'!E151</f>
        <v/>
      </c>
      <c r="D151">
        <f>'Master FF&amp;E Schedule'!F151</f>
        <v/>
      </c>
      <c r="E151">
        <f>'Master FF&amp;E Schedule'!K151</f>
        <v/>
      </c>
      <c r="F151">
        <f>'Master FF&amp;E Schedule'!M151</f>
        <v/>
      </c>
      <c r="G151">
        <f>'Master FF&amp;E Schedule'!T151</f>
        <v/>
      </c>
      <c r="H151">
        <f>'Master FF&amp;E Schedule'!W151</f>
        <v/>
      </c>
      <c r="I151">
        <f>'Master FF&amp;E Schedule'!AA151</f>
        <v/>
      </c>
    </row>
    <row r="152">
      <c r="A152" s="12">
        <f>'Master FF&amp;E Schedule'!B152</f>
        <v/>
      </c>
      <c r="B152" s="12">
        <f>'Master FF&amp;E Schedule'!D152</f>
        <v/>
      </c>
      <c r="C152" s="12">
        <f>'Master FF&amp;E Schedule'!E152</f>
        <v/>
      </c>
      <c r="D152" s="12">
        <f>'Master FF&amp;E Schedule'!F152</f>
        <v/>
      </c>
      <c r="E152" s="12">
        <f>'Master FF&amp;E Schedule'!K152</f>
        <v/>
      </c>
      <c r="F152" s="12">
        <f>'Master FF&amp;E Schedule'!M152</f>
        <v/>
      </c>
      <c r="G152" s="12">
        <f>'Master FF&amp;E Schedule'!T152</f>
        <v/>
      </c>
      <c r="H152" s="12">
        <f>'Master FF&amp;E Schedule'!W152</f>
        <v/>
      </c>
      <c r="I152" s="12">
        <f>'Master FF&amp;E Schedule'!AA152</f>
        <v/>
      </c>
      <c r="J152" s="12" t="n"/>
    </row>
    <row r="153">
      <c r="A153">
        <f>'Master FF&amp;E Schedule'!B153</f>
        <v/>
      </c>
      <c r="B153">
        <f>'Master FF&amp;E Schedule'!D153</f>
        <v/>
      </c>
      <c r="C153">
        <f>'Master FF&amp;E Schedule'!E153</f>
        <v/>
      </c>
      <c r="D153">
        <f>'Master FF&amp;E Schedule'!F153</f>
        <v/>
      </c>
      <c r="E153">
        <f>'Master FF&amp;E Schedule'!K153</f>
        <v/>
      </c>
      <c r="F153">
        <f>'Master FF&amp;E Schedule'!M153</f>
        <v/>
      </c>
      <c r="G153">
        <f>'Master FF&amp;E Schedule'!T153</f>
        <v/>
      </c>
      <c r="H153">
        <f>'Master FF&amp;E Schedule'!W153</f>
        <v/>
      </c>
      <c r="I153">
        <f>'Master FF&amp;E Schedule'!AA153</f>
        <v/>
      </c>
    </row>
    <row r="154">
      <c r="A154" s="12">
        <f>'Master FF&amp;E Schedule'!B154</f>
        <v/>
      </c>
      <c r="B154" s="12">
        <f>'Master FF&amp;E Schedule'!D154</f>
        <v/>
      </c>
      <c r="C154" s="12">
        <f>'Master FF&amp;E Schedule'!E154</f>
        <v/>
      </c>
      <c r="D154" s="12">
        <f>'Master FF&amp;E Schedule'!F154</f>
        <v/>
      </c>
      <c r="E154" s="12">
        <f>'Master FF&amp;E Schedule'!K154</f>
        <v/>
      </c>
      <c r="F154" s="12">
        <f>'Master FF&amp;E Schedule'!M154</f>
        <v/>
      </c>
      <c r="G154" s="12">
        <f>'Master FF&amp;E Schedule'!T154</f>
        <v/>
      </c>
      <c r="H154" s="12">
        <f>'Master FF&amp;E Schedule'!W154</f>
        <v/>
      </c>
      <c r="I154" s="12">
        <f>'Master FF&amp;E Schedule'!AA154</f>
        <v/>
      </c>
      <c r="J154" s="12" t="n"/>
    </row>
    <row r="155">
      <c r="A155">
        <f>'Master FF&amp;E Schedule'!B155</f>
        <v/>
      </c>
      <c r="B155">
        <f>'Master FF&amp;E Schedule'!D155</f>
        <v/>
      </c>
      <c r="C155">
        <f>'Master FF&amp;E Schedule'!E155</f>
        <v/>
      </c>
      <c r="D155">
        <f>'Master FF&amp;E Schedule'!F155</f>
        <v/>
      </c>
      <c r="E155">
        <f>'Master FF&amp;E Schedule'!K155</f>
        <v/>
      </c>
      <c r="F155">
        <f>'Master FF&amp;E Schedule'!M155</f>
        <v/>
      </c>
      <c r="G155">
        <f>'Master FF&amp;E Schedule'!T155</f>
        <v/>
      </c>
      <c r="H155">
        <f>'Master FF&amp;E Schedule'!W155</f>
        <v/>
      </c>
      <c r="I155">
        <f>'Master FF&amp;E Schedule'!AA155</f>
        <v/>
      </c>
    </row>
    <row r="156">
      <c r="A156" s="12">
        <f>'Master FF&amp;E Schedule'!B156</f>
        <v/>
      </c>
      <c r="B156" s="12">
        <f>'Master FF&amp;E Schedule'!D156</f>
        <v/>
      </c>
      <c r="C156" s="12">
        <f>'Master FF&amp;E Schedule'!E156</f>
        <v/>
      </c>
      <c r="D156" s="12">
        <f>'Master FF&amp;E Schedule'!F156</f>
        <v/>
      </c>
      <c r="E156" s="12">
        <f>'Master FF&amp;E Schedule'!K156</f>
        <v/>
      </c>
      <c r="F156" s="12">
        <f>'Master FF&amp;E Schedule'!M156</f>
        <v/>
      </c>
      <c r="G156" s="12">
        <f>'Master FF&amp;E Schedule'!T156</f>
        <v/>
      </c>
      <c r="H156" s="12">
        <f>'Master FF&amp;E Schedule'!W156</f>
        <v/>
      </c>
      <c r="I156" s="12">
        <f>'Master FF&amp;E Schedule'!AA156</f>
        <v/>
      </c>
      <c r="J156" s="12" t="n"/>
    </row>
    <row r="157">
      <c r="A157">
        <f>'Master FF&amp;E Schedule'!B157</f>
        <v/>
      </c>
      <c r="B157">
        <f>'Master FF&amp;E Schedule'!D157</f>
        <v/>
      </c>
      <c r="C157">
        <f>'Master FF&amp;E Schedule'!E157</f>
        <v/>
      </c>
      <c r="D157">
        <f>'Master FF&amp;E Schedule'!F157</f>
        <v/>
      </c>
      <c r="E157">
        <f>'Master FF&amp;E Schedule'!K157</f>
        <v/>
      </c>
      <c r="F157">
        <f>'Master FF&amp;E Schedule'!M157</f>
        <v/>
      </c>
      <c r="G157">
        <f>'Master FF&amp;E Schedule'!T157</f>
        <v/>
      </c>
      <c r="H157">
        <f>'Master FF&amp;E Schedule'!W157</f>
        <v/>
      </c>
      <c r="I157">
        <f>'Master FF&amp;E Schedule'!AA157</f>
        <v/>
      </c>
    </row>
    <row r="158">
      <c r="A158" s="12">
        <f>'Master FF&amp;E Schedule'!B158</f>
        <v/>
      </c>
      <c r="B158" s="12">
        <f>'Master FF&amp;E Schedule'!D158</f>
        <v/>
      </c>
      <c r="C158" s="12">
        <f>'Master FF&amp;E Schedule'!E158</f>
        <v/>
      </c>
      <c r="D158" s="12">
        <f>'Master FF&amp;E Schedule'!F158</f>
        <v/>
      </c>
      <c r="E158" s="12">
        <f>'Master FF&amp;E Schedule'!K158</f>
        <v/>
      </c>
      <c r="F158" s="12">
        <f>'Master FF&amp;E Schedule'!M158</f>
        <v/>
      </c>
      <c r="G158" s="12">
        <f>'Master FF&amp;E Schedule'!T158</f>
        <v/>
      </c>
      <c r="H158" s="12">
        <f>'Master FF&amp;E Schedule'!W158</f>
        <v/>
      </c>
      <c r="I158" s="12">
        <f>'Master FF&amp;E Schedule'!AA158</f>
        <v/>
      </c>
      <c r="J158" s="12" t="n"/>
    </row>
    <row r="159">
      <c r="A159">
        <f>'Master FF&amp;E Schedule'!B159</f>
        <v/>
      </c>
      <c r="B159">
        <f>'Master FF&amp;E Schedule'!D159</f>
        <v/>
      </c>
      <c r="C159">
        <f>'Master FF&amp;E Schedule'!E159</f>
        <v/>
      </c>
      <c r="D159">
        <f>'Master FF&amp;E Schedule'!F159</f>
        <v/>
      </c>
      <c r="E159">
        <f>'Master FF&amp;E Schedule'!K159</f>
        <v/>
      </c>
      <c r="F159">
        <f>'Master FF&amp;E Schedule'!M159</f>
        <v/>
      </c>
      <c r="G159">
        <f>'Master FF&amp;E Schedule'!T159</f>
        <v/>
      </c>
      <c r="H159">
        <f>'Master FF&amp;E Schedule'!W159</f>
        <v/>
      </c>
      <c r="I159">
        <f>'Master FF&amp;E Schedule'!AA159</f>
        <v/>
      </c>
    </row>
    <row r="160">
      <c r="A160" s="12">
        <f>'Master FF&amp;E Schedule'!B160</f>
        <v/>
      </c>
      <c r="B160" s="12">
        <f>'Master FF&amp;E Schedule'!D160</f>
        <v/>
      </c>
      <c r="C160" s="12">
        <f>'Master FF&amp;E Schedule'!E160</f>
        <v/>
      </c>
      <c r="D160" s="12">
        <f>'Master FF&amp;E Schedule'!F160</f>
        <v/>
      </c>
      <c r="E160" s="12">
        <f>'Master FF&amp;E Schedule'!K160</f>
        <v/>
      </c>
      <c r="F160" s="12">
        <f>'Master FF&amp;E Schedule'!M160</f>
        <v/>
      </c>
      <c r="G160" s="12">
        <f>'Master FF&amp;E Schedule'!T160</f>
        <v/>
      </c>
      <c r="H160" s="12">
        <f>'Master FF&amp;E Schedule'!W160</f>
        <v/>
      </c>
      <c r="I160" s="12">
        <f>'Master FF&amp;E Schedule'!AA160</f>
        <v/>
      </c>
      <c r="J160" s="12" t="n"/>
    </row>
    <row r="161">
      <c r="A161">
        <f>'Master FF&amp;E Schedule'!B161</f>
        <v/>
      </c>
      <c r="B161">
        <f>'Master FF&amp;E Schedule'!D161</f>
        <v/>
      </c>
      <c r="C161">
        <f>'Master FF&amp;E Schedule'!E161</f>
        <v/>
      </c>
      <c r="D161">
        <f>'Master FF&amp;E Schedule'!F161</f>
        <v/>
      </c>
      <c r="E161">
        <f>'Master FF&amp;E Schedule'!K161</f>
        <v/>
      </c>
      <c r="F161">
        <f>'Master FF&amp;E Schedule'!M161</f>
        <v/>
      </c>
      <c r="G161">
        <f>'Master FF&amp;E Schedule'!T161</f>
        <v/>
      </c>
      <c r="H161">
        <f>'Master FF&amp;E Schedule'!W161</f>
        <v/>
      </c>
      <c r="I161">
        <f>'Master FF&amp;E Schedule'!AA161</f>
        <v/>
      </c>
    </row>
    <row r="162">
      <c r="A162" s="12">
        <f>'Master FF&amp;E Schedule'!B162</f>
        <v/>
      </c>
      <c r="B162" s="12">
        <f>'Master FF&amp;E Schedule'!D162</f>
        <v/>
      </c>
      <c r="C162" s="12">
        <f>'Master FF&amp;E Schedule'!E162</f>
        <v/>
      </c>
      <c r="D162" s="12">
        <f>'Master FF&amp;E Schedule'!F162</f>
        <v/>
      </c>
      <c r="E162" s="12">
        <f>'Master FF&amp;E Schedule'!K162</f>
        <v/>
      </c>
      <c r="F162" s="12">
        <f>'Master FF&amp;E Schedule'!M162</f>
        <v/>
      </c>
      <c r="G162" s="12">
        <f>'Master FF&amp;E Schedule'!T162</f>
        <v/>
      </c>
      <c r="H162" s="12">
        <f>'Master FF&amp;E Schedule'!W162</f>
        <v/>
      </c>
      <c r="I162" s="12">
        <f>'Master FF&amp;E Schedule'!AA162</f>
        <v/>
      </c>
      <c r="J162" s="12" t="n"/>
    </row>
    <row r="163">
      <c r="A163">
        <f>'Master FF&amp;E Schedule'!B163</f>
        <v/>
      </c>
      <c r="B163">
        <f>'Master FF&amp;E Schedule'!D163</f>
        <v/>
      </c>
      <c r="C163">
        <f>'Master FF&amp;E Schedule'!E163</f>
        <v/>
      </c>
      <c r="D163">
        <f>'Master FF&amp;E Schedule'!F163</f>
        <v/>
      </c>
      <c r="E163">
        <f>'Master FF&amp;E Schedule'!K163</f>
        <v/>
      </c>
      <c r="F163">
        <f>'Master FF&amp;E Schedule'!M163</f>
        <v/>
      </c>
      <c r="G163">
        <f>'Master FF&amp;E Schedule'!T163</f>
        <v/>
      </c>
      <c r="H163">
        <f>'Master FF&amp;E Schedule'!W163</f>
        <v/>
      </c>
      <c r="I163">
        <f>'Master FF&amp;E Schedule'!AA163</f>
        <v/>
      </c>
    </row>
    <row r="164">
      <c r="A164" s="12">
        <f>'Master FF&amp;E Schedule'!B164</f>
        <v/>
      </c>
      <c r="B164" s="12">
        <f>'Master FF&amp;E Schedule'!D164</f>
        <v/>
      </c>
      <c r="C164" s="12">
        <f>'Master FF&amp;E Schedule'!E164</f>
        <v/>
      </c>
      <c r="D164" s="12">
        <f>'Master FF&amp;E Schedule'!F164</f>
        <v/>
      </c>
      <c r="E164" s="12">
        <f>'Master FF&amp;E Schedule'!K164</f>
        <v/>
      </c>
      <c r="F164" s="12">
        <f>'Master FF&amp;E Schedule'!M164</f>
        <v/>
      </c>
      <c r="G164" s="12">
        <f>'Master FF&amp;E Schedule'!T164</f>
        <v/>
      </c>
      <c r="H164" s="12">
        <f>'Master FF&amp;E Schedule'!W164</f>
        <v/>
      </c>
      <c r="I164" s="12">
        <f>'Master FF&amp;E Schedule'!AA164</f>
        <v/>
      </c>
      <c r="J164" s="12" t="n"/>
    </row>
    <row r="165">
      <c r="A165">
        <f>'Master FF&amp;E Schedule'!B165</f>
        <v/>
      </c>
      <c r="B165">
        <f>'Master FF&amp;E Schedule'!D165</f>
        <v/>
      </c>
      <c r="C165">
        <f>'Master FF&amp;E Schedule'!E165</f>
        <v/>
      </c>
      <c r="D165">
        <f>'Master FF&amp;E Schedule'!F165</f>
        <v/>
      </c>
      <c r="E165">
        <f>'Master FF&amp;E Schedule'!K165</f>
        <v/>
      </c>
      <c r="F165">
        <f>'Master FF&amp;E Schedule'!M165</f>
        <v/>
      </c>
      <c r="G165">
        <f>'Master FF&amp;E Schedule'!T165</f>
        <v/>
      </c>
      <c r="H165">
        <f>'Master FF&amp;E Schedule'!W165</f>
        <v/>
      </c>
      <c r="I165">
        <f>'Master FF&amp;E Schedule'!AA165</f>
        <v/>
      </c>
    </row>
    <row r="166">
      <c r="A166" s="12">
        <f>'Master FF&amp;E Schedule'!B166</f>
        <v/>
      </c>
      <c r="B166" s="12">
        <f>'Master FF&amp;E Schedule'!D166</f>
        <v/>
      </c>
      <c r="C166" s="12">
        <f>'Master FF&amp;E Schedule'!E166</f>
        <v/>
      </c>
      <c r="D166" s="12">
        <f>'Master FF&amp;E Schedule'!F166</f>
        <v/>
      </c>
      <c r="E166" s="12">
        <f>'Master FF&amp;E Schedule'!K166</f>
        <v/>
      </c>
      <c r="F166" s="12">
        <f>'Master FF&amp;E Schedule'!M166</f>
        <v/>
      </c>
      <c r="G166" s="12">
        <f>'Master FF&amp;E Schedule'!T166</f>
        <v/>
      </c>
      <c r="H166" s="12">
        <f>'Master FF&amp;E Schedule'!W166</f>
        <v/>
      </c>
      <c r="I166" s="12">
        <f>'Master FF&amp;E Schedule'!AA166</f>
        <v/>
      </c>
      <c r="J166" s="12" t="n"/>
    </row>
    <row r="167">
      <c r="A167">
        <f>'Master FF&amp;E Schedule'!B167</f>
        <v/>
      </c>
      <c r="B167">
        <f>'Master FF&amp;E Schedule'!D167</f>
        <v/>
      </c>
      <c r="C167">
        <f>'Master FF&amp;E Schedule'!E167</f>
        <v/>
      </c>
      <c r="D167">
        <f>'Master FF&amp;E Schedule'!F167</f>
        <v/>
      </c>
      <c r="E167">
        <f>'Master FF&amp;E Schedule'!K167</f>
        <v/>
      </c>
      <c r="F167">
        <f>'Master FF&amp;E Schedule'!M167</f>
        <v/>
      </c>
      <c r="G167">
        <f>'Master FF&amp;E Schedule'!T167</f>
        <v/>
      </c>
      <c r="H167">
        <f>'Master FF&amp;E Schedule'!W167</f>
        <v/>
      </c>
      <c r="I167">
        <f>'Master FF&amp;E Schedule'!AA167</f>
        <v/>
      </c>
    </row>
    <row r="168">
      <c r="A168" s="12">
        <f>'Master FF&amp;E Schedule'!B168</f>
        <v/>
      </c>
      <c r="B168" s="12">
        <f>'Master FF&amp;E Schedule'!D168</f>
        <v/>
      </c>
      <c r="C168" s="12">
        <f>'Master FF&amp;E Schedule'!E168</f>
        <v/>
      </c>
      <c r="D168" s="12">
        <f>'Master FF&amp;E Schedule'!F168</f>
        <v/>
      </c>
      <c r="E168" s="12">
        <f>'Master FF&amp;E Schedule'!K168</f>
        <v/>
      </c>
      <c r="F168" s="12">
        <f>'Master FF&amp;E Schedule'!M168</f>
        <v/>
      </c>
      <c r="G168" s="12">
        <f>'Master FF&amp;E Schedule'!T168</f>
        <v/>
      </c>
      <c r="H168" s="12">
        <f>'Master FF&amp;E Schedule'!W168</f>
        <v/>
      </c>
      <c r="I168" s="12">
        <f>'Master FF&amp;E Schedule'!AA168</f>
        <v/>
      </c>
      <c r="J168" s="12" t="n"/>
    </row>
    <row r="169">
      <c r="A169">
        <f>'Master FF&amp;E Schedule'!B169</f>
        <v/>
      </c>
      <c r="B169">
        <f>'Master FF&amp;E Schedule'!D169</f>
        <v/>
      </c>
      <c r="C169">
        <f>'Master FF&amp;E Schedule'!E169</f>
        <v/>
      </c>
      <c r="D169">
        <f>'Master FF&amp;E Schedule'!F169</f>
        <v/>
      </c>
      <c r="E169">
        <f>'Master FF&amp;E Schedule'!K169</f>
        <v/>
      </c>
      <c r="F169">
        <f>'Master FF&amp;E Schedule'!M169</f>
        <v/>
      </c>
      <c r="G169">
        <f>'Master FF&amp;E Schedule'!T169</f>
        <v/>
      </c>
      <c r="H169">
        <f>'Master FF&amp;E Schedule'!W169</f>
        <v/>
      </c>
      <c r="I169">
        <f>'Master FF&amp;E Schedule'!AA169</f>
        <v/>
      </c>
    </row>
    <row r="170">
      <c r="A170" s="12">
        <f>'Master FF&amp;E Schedule'!B170</f>
        <v/>
      </c>
      <c r="B170" s="12">
        <f>'Master FF&amp;E Schedule'!D170</f>
        <v/>
      </c>
      <c r="C170" s="12">
        <f>'Master FF&amp;E Schedule'!E170</f>
        <v/>
      </c>
      <c r="D170" s="12">
        <f>'Master FF&amp;E Schedule'!F170</f>
        <v/>
      </c>
      <c r="E170" s="12">
        <f>'Master FF&amp;E Schedule'!K170</f>
        <v/>
      </c>
      <c r="F170" s="12">
        <f>'Master FF&amp;E Schedule'!M170</f>
        <v/>
      </c>
      <c r="G170" s="12">
        <f>'Master FF&amp;E Schedule'!T170</f>
        <v/>
      </c>
      <c r="H170" s="12">
        <f>'Master FF&amp;E Schedule'!W170</f>
        <v/>
      </c>
      <c r="I170" s="12">
        <f>'Master FF&amp;E Schedule'!AA170</f>
        <v/>
      </c>
      <c r="J170" s="12" t="n"/>
    </row>
    <row r="171">
      <c r="A171">
        <f>'Master FF&amp;E Schedule'!B171</f>
        <v/>
      </c>
      <c r="B171">
        <f>'Master FF&amp;E Schedule'!D171</f>
        <v/>
      </c>
      <c r="C171">
        <f>'Master FF&amp;E Schedule'!E171</f>
        <v/>
      </c>
      <c r="D171">
        <f>'Master FF&amp;E Schedule'!F171</f>
        <v/>
      </c>
      <c r="E171">
        <f>'Master FF&amp;E Schedule'!K171</f>
        <v/>
      </c>
      <c r="F171">
        <f>'Master FF&amp;E Schedule'!M171</f>
        <v/>
      </c>
      <c r="G171">
        <f>'Master FF&amp;E Schedule'!T171</f>
        <v/>
      </c>
      <c r="H171">
        <f>'Master FF&amp;E Schedule'!W171</f>
        <v/>
      </c>
      <c r="I171">
        <f>'Master FF&amp;E Schedule'!AA171</f>
        <v/>
      </c>
    </row>
    <row r="172">
      <c r="A172" s="12">
        <f>'Master FF&amp;E Schedule'!B172</f>
        <v/>
      </c>
      <c r="B172" s="12">
        <f>'Master FF&amp;E Schedule'!D172</f>
        <v/>
      </c>
      <c r="C172" s="12">
        <f>'Master FF&amp;E Schedule'!E172</f>
        <v/>
      </c>
      <c r="D172" s="12">
        <f>'Master FF&amp;E Schedule'!F172</f>
        <v/>
      </c>
      <c r="E172" s="12">
        <f>'Master FF&amp;E Schedule'!K172</f>
        <v/>
      </c>
      <c r="F172" s="12">
        <f>'Master FF&amp;E Schedule'!M172</f>
        <v/>
      </c>
      <c r="G172" s="12">
        <f>'Master FF&amp;E Schedule'!T172</f>
        <v/>
      </c>
      <c r="H172" s="12">
        <f>'Master FF&amp;E Schedule'!W172</f>
        <v/>
      </c>
      <c r="I172" s="12">
        <f>'Master FF&amp;E Schedule'!AA172</f>
        <v/>
      </c>
      <c r="J172" s="12" t="n"/>
    </row>
    <row r="173">
      <c r="A173">
        <f>'Master FF&amp;E Schedule'!B173</f>
        <v/>
      </c>
      <c r="B173">
        <f>'Master FF&amp;E Schedule'!D173</f>
        <v/>
      </c>
      <c r="C173">
        <f>'Master FF&amp;E Schedule'!E173</f>
        <v/>
      </c>
      <c r="D173">
        <f>'Master FF&amp;E Schedule'!F173</f>
        <v/>
      </c>
      <c r="E173">
        <f>'Master FF&amp;E Schedule'!K173</f>
        <v/>
      </c>
      <c r="F173">
        <f>'Master FF&amp;E Schedule'!M173</f>
        <v/>
      </c>
      <c r="G173">
        <f>'Master FF&amp;E Schedule'!T173</f>
        <v/>
      </c>
      <c r="H173">
        <f>'Master FF&amp;E Schedule'!W173</f>
        <v/>
      </c>
      <c r="I173">
        <f>'Master FF&amp;E Schedule'!AA173</f>
        <v/>
      </c>
    </row>
    <row r="174">
      <c r="A174" s="12">
        <f>'Master FF&amp;E Schedule'!B174</f>
        <v/>
      </c>
      <c r="B174" s="12">
        <f>'Master FF&amp;E Schedule'!D174</f>
        <v/>
      </c>
      <c r="C174" s="12">
        <f>'Master FF&amp;E Schedule'!E174</f>
        <v/>
      </c>
      <c r="D174" s="12">
        <f>'Master FF&amp;E Schedule'!F174</f>
        <v/>
      </c>
      <c r="E174" s="12">
        <f>'Master FF&amp;E Schedule'!K174</f>
        <v/>
      </c>
      <c r="F174" s="12">
        <f>'Master FF&amp;E Schedule'!M174</f>
        <v/>
      </c>
      <c r="G174" s="12">
        <f>'Master FF&amp;E Schedule'!T174</f>
        <v/>
      </c>
      <c r="H174" s="12">
        <f>'Master FF&amp;E Schedule'!W174</f>
        <v/>
      </c>
      <c r="I174" s="12">
        <f>'Master FF&amp;E Schedule'!AA174</f>
        <v/>
      </c>
      <c r="J174" s="12" t="n"/>
    </row>
    <row r="175">
      <c r="A175">
        <f>'Master FF&amp;E Schedule'!B175</f>
        <v/>
      </c>
      <c r="B175">
        <f>'Master FF&amp;E Schedule'!D175</f>
        <v/>
      </c>
      <c r="C175">
        <f>'Master FF&amp;E Schedule'!E175</f>
        <v/>
      </c>
      <c r="D175">
        <f>'Master FF&amp;E Schedule'!F175</f>
        <v/>
      </c>
      <c r="E175">
        <f>'Master FF&amp;E Schedule'!K175</f>
        <v/>
      </c>
      <c r="F175">
        <f>'Master FF&amp;E Schedule'!M175</f>
        <v/>
      </c>
      <c r="G175">
        <f>'Master FF&amp;E Schedule'!T175</f>
        <v/>
      </c>
      <c r="H175">
        <f>'Master FF&amp;E Schedule'!W175</f>
        <v/>
      </c>
      <c r="I175">
        <f>'Master FF&amp;E Schedule'!AA175</f>
        <v/>
      </c>
    </row>
    <row r="176">
      <c r="A176" s="12">
        <f>'Master FF&amp;E Schedule'!B176</f>
        <v/>
      </c>
      <c r="B176" s="12">
        <f>'Master FF&amp;E Schedule'!D176</f>
        <v/>
      </c>
      <c r="C176" s="12">
        <f>'Master FF&amp;E Schedule'!E176</f>
        <v/>
      </c>
      <c r="D176" s="12">
        <f>'Master FF&amp;E Schedule'!F176</f>
        <v/>
      </c>
      <c r="E176" s="12">
        <f>'Master FF&amp;E Schedule'!K176</f>
        <v/>
      </c>
      <c r="F176" s="12">
        <f>'Master FF&amp;E Schedule'!M176</f>
        <v/>
      </c>
      <c r="G176" s="12">
        <f>'Master FF&amp;E Schedule'!T176</f>
        <v/>
      </c>
      <c r="H176" s="12">
        <f>'Master FF&amp;E Schedule'!W176</f>
        <v/>
      </c>
      <c r="I176" s="12">
        <f>'Master FF&amp;E Schedule'!AA176</f>
        <v/>
      </c>
      <c r="J176" s="12" t="n"/>
    </row>
    <row r="177">
      <c r="A177">
        <f>'Master FF&amp;E Schedule'!B177</f>
        <v/>
      </c>
      <c r="B177">
        <f>'Master FF&amp;E Schedule'!D177</f>
        <v/>
      </c>
      <c r="C177">
        <f>'Master FF&amp;E Schedule'!E177</f>
        <v/>
      </c>
      <c r="D177">
        <f>'Master FF&amp;E Schedule'!F177</f>
        <v/>
      </c>
      <c r="E177">
        <f>'Master FF&amp;E Schedule'!K177</f>
        <v/>
      </c>
      <c r="F177">
        <f>'Master FF&amp;E Schedule'!M177</f>
        <v/>
      </c>
      <c r="G177">
        <f>'Master FF&amp;E Schedule'!T177</f>
        <v/>
      </c>
      <c r="H177">
        <f>'Master FF&amp;E Schedule'!W177</f>
        <v/>
      </c>
      <c r="I177">
        <f>'Master FF&amp;E Schedule'!AA177</f>
        <v/>
      </c>
    </row>
    <row r="178">
      <c r="A178" s="12">
        <f>'Master FF&amp;E Schedule'!B178</f>
        <v/>
      </c>
      <c r="B178" s="12">
        <f>'Master FF&amp;E Schedule'!D178</f>
        <v/>
      </c>
      <c r="C178" s="12">
        <f>'Master FF&amp;E Schedule'!E178</f>
        <v/>
      </c>
      <c r="D178" s="12">
        <f>'Master FF&amp;E Schedule'!F178</f>
        <v/>
      </c>
      <c r="E178" s="12">
        <f>'Master FF&amp;E Schedule'!K178</f>
        <v/>
      </c>
      <c r="F178" s="12">
        <f>'Master FF&amp;E Schedule'!M178</f>
        <v/>
      </c>
      <c r="G178" s="12">
        <f>'Master FF&amp;E Schedule'!T178</f>
        <v/>
      </c>
      <c r="H178" s="12">
        <f>'Master FF&amp;E Schedule'!W178</f>
        <v/>
      </c>
      <c r="I178" s="12">
        <f>'Master FF&amp;E Schedule'!AA178</f>
        <v/>
      </c>
      <c r="J178" s="12" t="n"/>
    </row>
    <row r="179">
      <c r="A179">
        <f>'Master FF&amp;E Schedule'!B179</f>
        <v/>
      </c>
      <c r="B179">
        <f>'Master FF&amp;E Schedule'!D179</f>
        <v/>
      </c>
      <c r="C179">
        <f>'Master FF&amp;E Schedule'!E179</f>
        <v/>
      </c>
      <c r="D179">
        <f>'Master FF&amp;E Schedule'!F179</f>
        <v/>
      </c>
      <c r="E179">
        <f>'Master FF&amp;E Schedule'!K179</f>
        <v/>
      </c>
      <c r="F179">
        <f>'Master FF&amp;E Schedule'!M179</f>
        <v/>
      </c>
      <c r="G179">
        <f>'Master FF&amp;E Schedule'!T179</f>
        <v/>
      </c>
      <c r="H179">
        <f>'Master FF&amp;E Schedule'!W179</f>
        <v/>
      </c>
      <c r="I179">
        <f>'Master FF&amp;E Schedule'!AA179</f>
        <v/>
      </c>
    </row>
    <row r="180">
      <c r="A180" s="12">
        <f>'Master FF&amp;E Schedule'!B180</f>
        <v/>
      </c>
      <c r="B180" s="12">
        <f>'Master FF&amp;E Schedule'!D180</f>
        <v/>
      </c>
      <c r="C180" s="12">
        <f>'Master FF&amp;E Schedule'!E180</f>
        <v/>
      </c>
      <c r="D180" s="12">
        <f>'Master FF&amp;E Schedule'!F180</f>
        <v/>
      </c>
      <c r="E180" s="12">
        <f>'Master FF&amp;E Schedule'!K180</f>
        <v/>
      </c>
      <c r="F180" s="12">
        <f>'Master FF&amp;E Schedule'!M180</f>
        <v/>
      </c>
      <c r="G180" s="12">
        <f>'Master FF&amp;E Schedule'!T180</f>
        <v/>
      </c>
      <c r="H180" s="12">
        <f>'Master FF&amp;E Schedule'!W180</f>
        <v/>
      </c>
      <c r="I180" s="12">
        <f>'Master FF&amp;E Schedule'!AA180</f>
        <v/>
      </c>
      <c r="J180" s="12" t="n"/>
    </row>
    <row r="181">
      <c r="A181">
        <f>'Master FF&amp;E Schedule'!B181</f>
        <v/>
      </c>
      <c r="B181">
        <f>'Master FF&amp;E Schedule'!D181</f>
        <v/>
      </c>
      <c r="C181">
        <f>'Master FF&amp;E Schedule'!E181</f>
        <v/>
      </c>
      <c r="D181">
        <f>'Master FF&amp;E Schedule'!F181</f>
        <v/>
      </c>
      <c r="E181">
        <f>'Master FF&amp;E Schedule'!K181</f>
        <v/>
      </c>
      <c r="F181">
        <f>'Master FF&amp;E Schedule'!M181</f>
        <v/>
      </c>
      <c r="G181">
        <f>'Master FF&amp;E Schedule'!T181</f>
        <v/>
      </c>
      <c r="H181">
        <f>'Master FF&amp;E Schedule'!W181</f>
        <v/>
      </c>
      <c r="I181">
        <f>'Master FF&amp;E Schedule'!AA181</f>
        <v/>
      </c>
    </row>
    <row r="182">
      <c r="A182" s="12">
        <f>'Master FF&amp;E Schedule'!B182</f>
        <v/>
      </c>
      <c r="B182" s="12">
        <f>'Master FF&amp;E Schedule'!D182</f>
        <v/>
      </c>
      <c r="C182" s="12">
        <f>'Master FF&amp;E Schedule'!E182</f>
        <v/>
      </c>
      <c r="D182" s="12">
        <f>'Master FF&amp;E Schedule'!F182</f>
        <v/>
      </c>
      <c r="E182" s="12">
        <f>'Master FF&amp;E Schedule'!K182</f>
        <v/>
      </c>
      <c r="F182" s="12">
        <f>'Master FF&amp;E Schedule'!M182</f>
        <v/>
      </c>
      <c r="G182" s="12">
        <f>'Master FF&amp;E Schedule'!T182</f>
        <v/>
      </c>
      <c r="H182" s="12">
        <f>'Master FF&amp;E Schedule'!W182</f>
        <v/>
      </c>
      <c r="I182" s="12">
        <f>'Master FF&amp;E Schedule'!AA182</f>
        <v/>
      </c>
      <c r="J182" s="12" t="n"/>
    </row>
    <row r="183">
      <c r="A183">
        <f>'Master FF&amp;E Schedule'!B183</f>
        <v/>
      </c>
      <c r="B183">
        <f>'Master FF&amp;E Schedule'!D183</f>
        <v/>
      </c>
      <c r="C183">
        <f>'Master FF&amp;E Schedule'!E183</f>
        <v/>
      </c>
      <c r="D183">
        <f>'Master FF&amp;E Schedule'!F183</f>
        <v/>
      </c>
      <c r="E183">
        <f>'Master FF&amp;E Schedule'!K183</f>
        <v/>
      </c>
      <c r="F183">
        <f>'Master FF&amp;E Schedule'!M183</f>
        <v/>
      </c>
      <c r="G183">
        <f>'Master FF&amp;E Schedule'!T183</f>
        <v/>
      </c>
      <c r="H183">
        <f>'Master FF&amp;E Schedule'!W183</f>
        <v/>
      </c>
      <c r="I183">
        <f>'Master FF&amp;E Schedule'!AA183</f>
        <v/>
      </c>
    </row>
    <row r="184">
      <c r="A184" s="12">
        <f>'Master FF&amp;E Schedule'!B184</f>
        <v/>
      </c>
      <c r="B184" s="12">
        <f>'Master FF&amp;E Schedule'!D184</f>
        <v/>
      </c>
      <c r="C184" s="12">
        <f>'Master FF&amp;E Schedule'!E184</f>
        <v/>
      </c>
      <c r="D184" s="12">
        <f>'Master FF&amp;E Schedule'!F184</f>
        <v/>
      </c>
      <c r="E184" s="12">
        <f>'Master FF&amp;E Schedule'!K184</f>
        <v/>
      </c>
      <c r="F184" s="12">
        <f>'Master FF&amp;E Schedule'!M184</f>
        <v/>
      </c>
      <c r="G184" s="12">
        <f>'Master FF&amp;E Schedule'!T184</f>
        <v/>
      </c>
      <c r="H184" s="12">
        <f>'Master FF&amp;E Schedule'!W184</f>
        <v/>
      </c>
      <c r="I184" s="12">
        <f>'Master FF&amp;E Schedule'!AA184</f>
        <v/>
      </c>
      <c r="J184" s="12" t="n"/>
    </row>
    <row r="185">
      <c r="A185">
        <f>'Master FF&amp;E Schedule'!B185</f>
        <v/>
      </c>
      <c r="B185">
        <f>'Master FF&amp;E Schedule'!D185</f>
        <v/>
      </c>
      <c r="C185">
        <f>'Master FF&amp;E Schedule'!E185</f>
        <v/>
      </c>
      <c r="D185">
        <f>'Master FF&amp;E Schedule'!F185</f>
        <v/>
      </c>
      <c r="E185">
        <f>'Master FF&amp;E Schedule'!K185</f>
        <v/>
      </c>
      <c r="F185">
        <f>'Master FF&amp;E Schedule'!M185</f>
        <v/>
      </c>
      <c r="G185">
        <f>'Master FF&amp;E Schedule'!T185</f>
        <v/>
      </c>
      <c r="H185">
        <f>'Master FF&amp;E Schedule'!W185</f>
        <v/>
      </c>
      <c r="I185">
        <f>'Master FF&amp;E Schedule'!AA185</f>
        <v/>
      </c>
    </row>
    <row r="186">
      <c r="A186" s="12">
        <f>'Master FF&amp;E Schedule'!B186</f>
        <v/>
      </c>
      <c r="B186" s="12">
        <f>'Master FF&amp;E Schedule'!D186</f>
        <v/>
      </c>
      <c r="C186" s="12">
        <f>'Master FF&amp;E Schedule'!E186</f>
        <v/>
      </c>
      <c r="D186" s="12">
        <f>'Master FF&amp;E Schedule'!F186</f>
        <v/>
      </c>
      <c r="E186" s="12">
        <f>'Master FF&amp;E Schedule'!K186</f>
        <v/>
      </c>
      <c r="F186" s="12">
        <f>'Master FF&amp;E Schedule'!M186</f>
        <v/>
      </c>
      <c r="G186" s="12">
        <f>'Master FF&amp;E Schedule'!T186</f>
        <v/>
      </c>
      <c r="H186" s="12">
        <f>'Master FF&amp;E Schedule'!W186</f>
        <v/>
      </c>
      <c r="I186" s="12">
        <f>'Master FF&amp;E Schedule'!AA186</f>
        <v/>
      </c>
      <c r="J186" s="12" t="n"/>
    </row>
    <row r="187">
      <c r="A187">
        <f>'Master FF&amp;E Schedule'!B187</f>
        <v/>
      </c>
      <c r="B187">
        <f>'Master FF&amp;E Schedule'!D187</f>
        <v/>
      </c>
      <c r="C187">
        <f>'Master FF&amp;E Schedule'!E187</f>
        <v/>
      </c>
      <c r="D187">
        <f>'Master FF&amp;E Schedule'!F187</f>
        <v/>
      </c>
      <c r="E187">
        <f>'Master FF&amp;E Schedule'!K187</f>
        <v/>
      </c>
      <c r="F187">
        <f>'Master FF&amp;E Schedule'!M187</f>
        <v/>
      </c>
      <c r="G187">
        <f>'Master FF&amp;E Schedule'!T187</f>
        <v/>
      </c>
      <c r="H187">
        <f>'Master FF&amp;E Schedule'!W187</f>
        <v/>
      </c>
      <c r="I187">
        <f>'Master FF&amp;E Schedule'!AA187</f>
        <v/>
      </c>
    </row>
    <row r="188">
      <c r="A188" s="12">
        <f>'Master FF&amp;E Schedule'!B188</f>
        <v/>
      </c>
      <c r="B188" s="12">
        <f>'Master FF&amp;E Schedule'!D188</f>
        <v/>
      </c>
      <c r="C188" s="12">
        <f>'Master FF&amp;E Schedule'!E188</f>
        <v/>
      </c>
      <c r="D188" s="12">
        <f>'Master FF&amp;E Schedule'!F188</f>
        <v/>
      </c>
      <c r="E188" s="12">
        <f>'Master FF&amp;E Schedule'!K188</f>
        <v/>
      </c>
      <c r="F188" s="12">
        <f>'Master FF&amp;E Schedule'!M188</f>
        <v/>
      </c>
      <c r="G188" s="12">
        <f>'Master FF&amp;E Schedule'!T188</f>
        <v/>
      </c>
      <c r="H188" s="12">
        <f>'Master FF&amp;E Schedule'!W188</f>
        <v/>
      </c>
      <c r="I188" s="12">
        <f>'Master FF&amp;E Schedule'!AA188</f>
        <v/>
      </c>
      <c r="J188" s="12" t="n"/>
    </row>
    <row r="189">
      <c r="A189">
        <f>'Master FF&amp;E Schedule'!B189</f>
        <v/>
      </c>
      <c r="B189">
        <f>'Master FF&amp;E Schedule'!D189</f>
        <v/>
      </c>
      <c r="C189">
        <f>'Master FF&amp;E Schedule'!E189</f>
        <v/>
      </c>
      <c r="D189">
        <f>'Master FF&amp;E Schedule'!F189</f>
        <v/>
      </c>
      <c r="E189">
        <f>'Master FF&amp;E Schedule'!K189</f>
        <v/>
      </c>
      <c r="F189">
        <f>'Master FF&amp;E Schedule'!M189</f>
        <v/>
      </c>
      <c r="G189">
        <f>'Master FF&amp;E Schedule'!T189</f>
        <v/>
      </c>
      <c r="H189">
        <f>'Master FF&amp;E Schedule'!W189</f>
        <v/>
      </c>
      <c r="I189">
        <f>'Master FF&amp;E Schedule'!AA189</f>
        <v/>
      </c>
    </row>
    <row r="190">
      <c r="A190" s="12">
        <f>'Master FF&amp;E Schedule'!B190</f>
        <v/>
      </c>
      <c r="B190" s="12">
        <f>'Master FF&amp;E Schedule'!D190</f>
        <v/>
      </c>
      <c r="C190" s="12">
        <f>'Master FF&amp;E Schedule'!E190</f>
        <v/>
      </c>
      <c r="D190" s="12">
        <f>'Master FF&amp;E Schedule'!F190</f>
        <v/>
      </c>
      <c r="E190" s="12">
        <f>'Master FF&amp;E Schedule'!K190</f>
        <v/>
      </c>
      <c r="F190" s="12">
        <f>'Master FF&amp;E Schedule'!M190</f>
        <v/>
      </c>
      <c r="G190" s="12">
        <f>'Master FF&amp;E Schedule'!T190</f>
        <v/>
      </c>
      <c r="H190" s="12">
        <f>'Master FF&amp;E Schedule'!W190</f>
        <v/>
      </c>
      <c r="I190" s="12">
        <f>'Master FF&amp;E Schedule'!AA190</f>
        <v/>
      </c>
      <c r="J190" s="12" t="n"/>
    </row>
    <row r="191">
      <c r="A191">
        <f>'Master FF&amp;E Schedule'!B191</f>
        <v/>
      </c>
      <c r="B191">
        <f>'Master FF&amp;E Schedule'!D191</f>
        <v/>
      </c>
      <c r="C191">
        <f>'Master FF&amp;E Schedule'!E191</f>
        <v/>
      </c>
      <c r="D191">
        <f>'Master FF&amp;E Schedule'!F191</f>
        <v/>
      </c>
      <c r="E191">
        <f>'Master FF&amp;E Schedule'!K191</f>
        <v/>
      </c>
      <c r="F191">
        <f>'Master FF&amp;E Schedule'!M191</f>
        <v/>
      </c>
      <c r="G191">
        <f>'Master FF&amp;E Schedule'!T191</f>
        <v/>
      </c>
      <c r="H191">
        <f>'Master FF&amp;E Schedule'!W191</f>
        <v/>
      </c>
      <c r="I191">
        <f>'Master FF&amp;E Schedule'!AA191</f>
        <v/>
      </c>
    </row>
    <row r="192">
      <c r="A192" s="12">
        <f>'Master FF&amp;E Schedule'!B192</f>
        <v/>
      </c>
      <c r="B192" s="12">
        <f>'Master FF&amp;E Schedule'!D192</f>
        <v/>
      </c>
      <c r="C192" s="12">
        <f>'Master FF&amp;E Schedule'!E192</f>
        <v/>
      </c>
      <c r="D192" s="12">
        <f>'Master FF&amp;E Schedule'!F192</f>
        <v/>
      </c>
      <c r="E192" s="12">
        <f>'Master FF&amp;E Schedule'!K192</f>
        <v/>
      </c>
      <c r="F192" s="12">
        <f>'Master FF&amp;E Schedule'!M192</f>
        <v/>
      </c>
      <c r="G192" s="12">
        <f>'Master FF&amp;E Schedule'!T192</f>
        <v/>
      </c>
      <c r="H192" s="12">
        <f>'Master FF&amp;E Schedule'!W192</f>
        <v/>
      </c>
      <c r="I192" s="12">
        <f>'Master FF&amp;E Schedule'!AA192</f>
        <v/>
      </c>
      <c r="J192" s="12" t="n"/>
    </row>
    <row r="193">
      <c r="A193">
        <f>'Master FF&amp;E Schedule'!B193</f>
        <v/>
      </c>
      <c r="B193">
        <f>'Master FF&amp;E Schedule'!D193</f>
        <v/>
      </c>
      <c r="C193">
        <f>'Master FF&amp;E Schedule'!E193</f>
        <v/>
      </c>
      <c r="D193">
        <f>'Master FF&amp;E Schedule'!F193</f>
        <v/>
      </c>
      <c r="E193">
        <f>'Master FF&amp;E Schedule'!K193</f>
        <v/>
      </c>
      <c r="F193">
        <f>'Master FF&amp;E Schedule'!M193</f>
        <v/>
      </c>
      <c r="G193">
        <f>'Master FF&amp;E Schedule'!T193</f>
        <v/>
      </c>
      <c r="H193">
        <f>'Master FF&amp;E Schedule'!W193</f>
        <v/>
      </c>
      <c r="I193">
        <f>'Master FF&amp;E Schedule'!AA193</f>
        <v/>
      </c>
    </row>
    <row r="194">
      <c r="A194" s="12">
        <f>'Master FF&amp;E Schedule'!B194</f>
        <v/>
      </c>
      <c r="B194" s="12">
        <f>'Master FF&amp;E Schedule'!D194</f>
        <v/>
      </c>
      <c r="C194" s="12">
        <f>'Master FF&amp;E Schedule'!E194</f>
        <v/>
      </c>
      <c r="D194" s="12">
        <f>'Master FF&amp;E Schedule'!F194</f>
        <v/>
      </c>
      <c r="E194" s="12">
        <f>'Master FF&amp;E Schedule'!K194</f>
        <v/>
      </c>
      <c r="F194" s="12">
        <f>'Master FF&amp;E Schedule'!M194</f>
        <v/>
      </c>
      <c r="G194" s="12">
        <f>'Master FF&amp;E Schedule'!T194</f>
        <v/>
      </c>
      <c r="H194" s="12">
        <f>'Master FF&amp;E Schedule'!W194</f>
        <v/>
      </c>
      <c r="I194" s="12">
        <f>'Master FF&amp;E Schedule'!AA194</f>
        <v/>
      </c>
      <c r="J194" s="12" t="n"/>
    </row>
    <row r="195">
      <c r="A195">
        <f>'Master FF&amp;E Schedule'!B195</f>
        <v/>
      </c>
      <c r="B195">
        <f>'Master FF&amp;E Schedule'!D195</f>
        <v/>
      </c>
      <c r="C195">
        <f>'Master FF&amp;E Schedule'!E195</f>
        <v/>
      </c>
      <c r="D195">
        <f>'Master FF&amp;E Schedule'!F195</f>
        <v/>
      </c>
      <c r="E195">
        <f>'Master FF&amp;E Schedule'!K195</f>
        <v/>
      </c>
      <c r="F195">
        <f>'Master FF&amp;E Schedule'!M195</f>
        <v/>
      </c>
      <c r="G195">
        <f>'Master FF&amp;E Schedule'!T195</f>
        <v/>
      </c>
      <c r="H195">
        <f>'Master FF&amp;E Schedule'!W195</f>
        <v/>
      </c>
      <c r="I195">
        <f>'Master FF&amp;E Schedule'!AA195</f>
        <v/>
      </c>
    </row>
    <row r="196">
      <c r="A196" s="12">
        <f>'Master FF&amp;E Schedule'!B196</f>
        <v/>
      </c>
      <c r="B196" s="12">
        <f>'Master FF&amp;E Schedule'!D196</f>
        <v/>
      </c>
      <c r="C196" s="12">
        <f>'Master FF&amp;E Schedule'!E196</f>
        <v/>
      </c>
      <c r="D196" s="12">
        <f>'Master FF&amp;E Schedule'!F196</f>
        <v/>
      </c>
      <c r="E196" s="12">
        <f>'Master FF&amp;E Schedule'!K196</f>
        <v/>
      </c>
      <c r="F196" s="12">
        <f>'Master FF&amp;E Schedule'!M196</f>
        <v/>
      </c>
      <c r="G196" s="12">
        <f>'Master FF&amp;E Schedule'!T196</f>
        <v/>
      </c>
      <c r="H196" s="12">
        <f>'Master FF&amp;E Schedule'!W196</f>
        <v/>
      </c>
      <c r="I196" s="12">
        <f>'Master FF&amp;E Schedule'!AA196</f>
        <v/>
      </c>
      <c r="J196" s="12" t="n"/>
    </row>
    <row r="197">
      <c r="A197">
        <f>'Master FF&amp;E Schedule'!B197</f>
        <v/>
      </c>
      <c r="B197">
        <f>'Master FF&amp;E Schedule'!D197</f>
        <v/>
      </c>
      <c r="C197">
        <f>'Master FF&amp;E Schedule'!E197</f>
        <v/>
      </c>
      <c r="D197">
        <f>'Master FF&amp;E Schedule'!F197</f>
        <v/>
      </c>
      <c r="E197">
        <f>'Master FF&amp;E Schedule'!K197</f>
        <v/>
      </c>
      <c r="F197">
        <f>'Master FF&amp;E Schedule'!M197</f>
        <v/>
      </c>
      <c r="G197">
        <f>'Master FF&amp;E Schedule'!T197</f>
        <v/>
      </c>
      <c r="H197">
        <f>'Master FF&amp;E Schedule'!W197</f>
        <v/>
      </c>
      <c r="I197">
        <f>'Master FF&amp;E Schedule'!AA197</f>
        <v/>
      </c>
    </row>
    <row r="198">
      <c r="A198" s="12">
        <f>'Master FF&amp;E Schedule'!B198</f>
        <v/>
      </c>
      <c r="B198" s="12">
        <f>'Master FF&amp;E Schedule'!D198</f>
        <v/>
      </c>
      <c r="C198" s="12">
        <f>'Master FF&amp;E Schedule'!E198</f>
        <v/>
      </c>
      <c r="D198" s="12">
        <f>'Master FF&amp;E Schedule'!F198</f>
        <v/>
      </c>
      <c r="E198" s="12">
        <f>'Master FF&amp;E Schedule'!K198</f>
        <v/>
      </c>
      <c r="F198" s="12">
        <f>'Master FF&amp;E Schedule'!M198</f>
        <v/>
      </c>
      <c r="G198" s="12">
        <f>'Master FF&amp;E Schedule'!T198</f>
        <v/>
      </c>
      <c r="H198" s="12">
        <f>'Master FF&amp;E Schedule'!W198</f>
        <v/>
      </c>
      <c r="I198" s="12">
        <f>'Master FF&amp;E Schedule'!AA198</f>
        <v/>
      </c>
      <c r="J198" s="12" t="n"/>
    </row>
    <row r="199">
      <c r="A199">
        <f>'Master FF&amp;E Schedule'!B199</f>
        <v/>
      </c>
      <c r="B199">
        <f>'Master FF&amp;E Schedule'!D199</f>
        <v/>
      </c>
      <c r="C199">
        <f>'Master FF&amp;E Schedule'!E199</f>
        <v/>
      </c>
      <c r="D199">
        <f>'Master FF&amp;E Schedule'!F199</f>
        <v/>
      </c>
      <c r="E199">
        <f>'Master FF&amp;E Schedule'!K199</f>
        <v/>
      </c>
      <c r="F199">
        <f>'Master FF&amp;E Schedule'!M199</f>
        <v/>
      </c>
      <c r="G199">
        <f>'Master FF&amp;E Schedule'!T199</f>
        <v/>
      </c>
      <c r="H199">
        <f>'Master FF&amp;E Schedule'!W199</f>
        <v/>
      </c>
      <c r="I199">
        <f>'Master FF&amp;E Schedule'!AA199</f>
        <v/>
      </c>
    </row>
    <row r="200">
      <c r="A200" s="12">
        <f>'Master FF&amp;E Schedule'!B200</f>
        <v/>
      </c>
      <c r="B200" s="12">
        <f>'Master FF&amp;E Schedule'!D200</f>
        <v/>
      </c>
      <c r="C200" s="12">
        <f>'Master FF&amp;E Schedule'!E200</f>
        <v/>
      </c>
      <c r="D200" s="12">
        <f>'Master FF&amp;E Schedule'!F200</f>
        <v/>
      </c>
      <c r="E200" s="12">
        <f>'Master FF&amp;E Schedule'!K200</f>
        <v/>
      </c>
      <c r="F200" s="12">
        <f>'Master FF&amp;E Schedule'!M200</f>
        <v/>
      </c>
      <c r="G200" s="12">
        <f>'Master FF&amp;E Schedule'!T200</f>
        <v/>
      </c>
      <c r="H200" s="12">
        <f>'Master FF&amp;E Schedule'!W200</f>
        <v/>
      </c>
      <c r="I200" s="12">
        <f>'Master FF&amp;E Schedule'!AA200</f>
        <v/>
      </c>
      <c r="J200" s="12" t="n"/>
    </row>
    <row r="201">
      <c r="A201">
        <f>'Master FF&amp;E Schedule'!B201</f>
        <v/>
      </c>
      <c r="B201">
        <f>'Master FF&amp;E Schedule'!D201</f>
        <v/>
      </c>
      <c r="C201">
        <f>'Master FF&amp;E Schedule'!E201</f>
        <v/>
      </c>
      <c r="D201">
        <f>'Master FF&amp;E Schedule'!F201</f>
        <v/>
      </c>
      <c r="E201">
        <f>'Master FF&amp;E Schedule'!K201</f>
        <v/>
      </c>
      <c r="F201">
        <f>'Master FF&amp;E Schedule'!M201</f>
        <v/>
      </c>
      <c r="G201">
        <f>'Master FF&amp;E Schedule'!T201</f>
        <v/>
      </c>
      <c r="H201">
        <f>'Master FF&amp;E Schedule'!W201</f>
        <v/>
      </c>
      <c r="I201">
        <f>'Master FF&amp;E Schedule'!AA201</f>
        <v/>
      </c>
    </row>
    <row r="202">
      <c r="A202" s="12">
        <f>'Master FF&amp;E Schedule'!B202</f>
        <v/>
      </c>
      <c r="B202" s="12">
        <f>'Master FF&amp;E Schedule'!D202</f>
        <v/>
      </c>
      <c r="C202" s="12">
        <f>'Master FF&amp;E Schedule'!E202</f>
        <v/>
      </c>
      <c r="D202" s="12">
        <f>'Master FF&amp;E Schedule'!F202</f>
        <v/>
      </c>
      <c r="E202" s="12">
        <f>'Master FF&amp;E Schedule'!K202</f>
        <v/>
      </c>
      <c r="F202" s="12">
        <f>'Master FF&amp;E Schedule'!M202</f>
        <v/>
      </c>
      <c r="G202" s="12">
        <f>'Master FF&amp;E Schedule'!T202</f>
        <v/>
      </c>
      <c r="H202" s="12">
        <f>'Master FF&amp;E Schedule'!W202</f>
        <v/>
      </c>
      <c r="I202" s="12">
        <f>'Master FF&amp;E Schedule'!AA202</f>
        <v/>
      </c>
      <c r="J202" s="12" t="n"/>
    </row>
    <row r="203">
      <c r="A203">
        <f>'Master FF&amp;E Schedule'!B203</f>
        <v/>
      </c>
      <c r="B203">
        <f>'Master FF&amp;E Schedule'!D203</f>
        <v/>
      </c>
      <c r="C203">
        <f>'Master FF&amp;E Schedule'!E203</f>
        <v/>
      </c>
      <c r="D203">
        <f>'Master FF&amp;E Schedule'!F203</f>
        <v/>
      </c>
      <c r="E203">
        <f>'Master FF&amp;E Schedule'!K203</f>
        <v/>
      </c>
      <c r="F203">
        <f>'Master FF&amp;E Schedule'!M203</f>
        <v/>
      </c>
      <c r="G203">
        <f>'Master FF&amp;E Schedule'!T203</f>
        <v/>
      </c>
      <c r="H203">
        <f>'Master FF&amp;E Schedule'!W203</f>
        <v/>
      </c>
      <c r="I203">
        <f>'Master FF&amp;E Schedule'!AA203</f>
        <v/>
      </c>
    </row>
    <row r="204">
      <c r="A204" s="12">
        <f>'Master FF&amp;E Schedule'!B204</f>
        <v/>
      </c>
      <c r="B204" s="12">
        <f>'Master FF&amp;E Schedule'!D204</f>
        <v/>
      </c>
      <c r="C204" s="12">
        <f>'Master FF&amp;E Schedule'!E204</f>
        <v/>
      </c>
      <c r="D204" s="12">
        <f>'Master FF&amp;E Schedule'!F204</f>
        <v/>
      </c>
      <c r="E204" s="12">
        <f>'Master FF&amp;E Schedule'!K204</f>
        <v/>
      </c>
      <c r="F204" s="12">
        <f>'Master FF&amp;E Schedule'!M204</f>
        <v/>
      </c>
      <c r="G204" s="12">
        <f>'Master FF&amp;E Schedule'!T204</f>
        <v/>
      </c>
      <c r="H204" s="12">
        <f>'Master FF&amp;E Schedule'!W204</f>
        <v/>
      </c>
      <c r="I204" s="12">
        <f>'Master FF&amp;E Schedule'!AA204</f>
        <v/>
      </c>
      <c r="J204" s="12" t="n"/>
    </row>
    <row r="205">
      <c r="A205">
        <f>'Master FF&amp;E Schedule'!B205</f>
        <v/>
      </c>
      <c r="B205">
        <f>'Master FF&amp;E Schedule'!D205</f>
        <v/>
      </c>
      <c r="C205">
        <f>'Master FF&amp;E Schedule'!E205</f>
        <v/>
      </c>
      <c r="D205">
        <f>'Master FF&amp;E Schedule'!F205</f>
        <v/>
      </c>
      <c r="E205">
        <f>'Master FF&amp;E Schedule'!K205</f>
        <v/>
      </c>
      <c r="F205">
        <f>'Master FF&amp;E Schedule'!M205</f>
        <v/>
      </c>
      <c r="G205">
        <f>'Master FF&amp;E Schedule'!T205</f>
        <v/>
      </c>
      <c r="H205">
        <f>'Master FF&amp;E Schedule'!W205</f>
        <v/>
      </c>
      <c r="I205">
        <f>'Master FF&amp;E Schedule'!AA205</f>
        <v/>
      </c>
    </row>
    <row r="206">
      <c r="A206" s="12">
        <f>'Master FF&amp;E Schedule'!B206</f>
        <v/>
      </c>
      <c r="B206" s="12">
        <f>'Master FF&amp;E Schedule'!D206</f>
        <v/>
      </c>
      <c r="C206" s="12">
        <f>'Master FF&amp;E Schedule'!E206</f>
        <v/>
      </c>
      <c r="D206" s="12">
        <f>'Master FF&amp;E Schedule'!F206</f>
        <v/>
      </c>
      <c r="E206" s="12">
        <f>'Master FF&amp;E Schedule'!K206</f>
        <v/>
      </c>
      <c r="F206" s="12">
        <f>'Master FF&amp;E Schedule'!M206</f>
        <v/>
      </c>
      <c r="G206" s="12">
        <f>'Master FF&amp;E Schedule'!T206</f>
        <v/>
      </c>
      <c r="H206" s="12">
        <f>'Master FF&amp;E Schedule'!W206</f>
        <v/>
      </c>
      <c r="I206" s="12">
        <f>'Master FF&amp;E Schedule'!AA206</f>
        <v/>
      </c>
      <c r="J206" s="12" t="n"/>
    </row>
    <row r="207">
      <c r="A207">
        <f>'Master FF&amp;E Schedule'!B207</f>
        <v/>
      </c>
      <c r="B207">
        <f>'Master FF&amp;E Schedule'!D207</f>
        <v/>
      </c>
      <c r="C207">
        <f>'Master FF&amp;E Schedule'!E207</f>
        <v/>
      </c>
      <c r="D207">
        <f>'Master FF&amp;E Schedule'!F207</f>
        <v/>
      </c>
      <c r="E207">
        <f>'Master FF&amp;E Schedule'!K207</f>
        <v/>
      </c>
      <c r="F207">
        <f>'Master FF&amp;E Schedule'!M207</f>
        <v/>
      </c>
      <c r="G207">
        <f>'Master FF&amp;E Schedule'!T207</f>
        <v/>
      </c>
      <c r="H207">
        <f>'Master FF&amp;E Schedule'!W207</f>
        <v/>
      </c>
      <c r="I207">
        <f>'Master FF&amp;E Schedule'!AA207</f>
        <v/>
      </c>
    </row>
    <row r="208">
      <c r="A208" s="12">
        <f>'Master FF&amp;E Schedule'!B208</f>
        <v/>
      </c>
      <c r="B208" s="12">
        <f>'Master FF&amp;E Schedule'!D208</f>
        <v/>
      </c>
      <c r="C208" s="12">
        <f>'Master FF&amp;E Schedule'!E208</f>
        <v/>
      </c>
      <c r="D208" s="12">
        <f>'Master FF&amp;E Schedule'!F208</f>
        <v/>
      </c>
      <c r="E208" s="12">
        <f>'Master FF&amp;E Schedule'!K208</f>
        <v/>
      </c>
      <c r="F208" s="12">
        <f>'Master FF&amp;E Schedule'!M208</f>
        <v/>
      </c>
      <c r="G208" s="12">
        <f>'Master FF&amp;E Schedule'!T208</f>
        <v/>
      </c>
      <c r="H208" s="12">
        <f>'Master FF&amp;E Schedule'!W208</f>
        <v/>
      </c>
      <c r="I208" s="12">
        <f>'Master FF&amp;E Schedule'!AA208</f>
        <v/>
      </c>
      <c r="J208" s="12" t="n"/>
    </row>
    <row r="209">
      <c r="A209">
        <f>'Master FF&amp;E Schedule'!B209</f>
        <v/>
      </c>
      <c r="B209">
        <f>'Master FF&amp;E Schedule'!D209</f>
        <v/>
      </c>
      <c r="C209">
        <f>'Master FF&amp;E Schedule'!E209</f>
        <v/>
      </c>
      <c r="D209">
        <f>'Master FF&amp;E Schedule'!F209</f>
        <v/>
      </c>
      <c r="E209">
        <f>'Master FF&amp;E Schedule'!K209</f>
        <v/>
      </c>
      <c r="F209">
        <f>'Master FF&amp;E Schedule'!M209</f>
        <v/>
      </c>
      <c r="G209">
        <f>'Master FF&amp;E Schedule'!T209</f>
        <v/>
      </c>
      <c r="H209">
        <f>'Master FF&amp;E Schedule'!W209</f>
        <v/>
      </c>
      <c r="I209">
        <f>'Master FF&amp;E Schedule'!AA209</f>
        <v/>
      </c>
    </row>
    <row r="210">
      <c r="A210" s="12">
        <f>'Master FF&amp;E Schedule'!B210</f>
        <v/>
      </c>
      <c r="B210" s="12">
        <f>'Master FF&amp;E Schedule'!D210</f>
        <v/>
      </c>
      <c r="C210" s="12">
        <f>'Master FF&amp;E Schedule'!E210</f>
        <v/>
      </c>
      <c r="D210" s="12">
        <f>'Master FF&amp;E Schedule'!F210</f>
        <v/>
      </c>
      <c r="E210" s="12">
        <f>'Master FF&amp;E Schedule'!K210</f>
        <v/>
      </c>
      <c r="F210" s="12">
        <f>'Master FF&amp;E Schedule'!M210</f>
        <v/>
      </c>
      <c r="G210" s="12">
        <f>'Master FF&amp;E Schedule'!T210</f>
        <v/>
      </c>
      <c r="H210" s="12">
        <f>'Master FF&amp;E Schedule'!W210</f>
        <v/>
      </c>
      <c r="I210" s="12">
        <f>'Master FF&amp;E Schedule'!AA210</f>
        <v/>
      </c>
      <c r="J210" s="12" t="n"/>
    </row>
    <row r="211">
      <c r="A211">
        <f>'Master FF&amp;E Schedule'!B211</f>
        <v/>
      </c>
      <c r="B211">
        <f>'Master FF&amp;E Schedule'!D211</f>
        <v/>
      </c>
      <c r="C211">
        <f>'Master FF&amp;E Schedule'!E211</f>
        <v/>
      </c>
      <c r="D211">
        <f>'Master FF&amp;E Schedule'!F211</f>
        <v/>
      </c>
      <c r="E211">
        <f>'Master FF&amp;E Schedule'!K211</f>
        <v/>
      </c>
      <c r="F211">
        <f>'Master FF&amp;E Schedule'!M211</f>
        <v/>
      </c>
      <c r="G211">
        <f>'Master FF&amp;E Schedule'!T211</f>
        <v/>
      </c>
      <c r="H211">
        <f>'Master FF&amp;E Schedule'!W211</f>
        <v/>
      </c>
      <c r="I211">
        <f>'Master FF&amp;E Schedule'!AA211</f>
        <v/>
      </c>
    </row>
    <row r="212">
      <c r="A212" s="12">
        <f>'Master FF&amp;E Schedule'!B212</f>
        <v/>
      </c>
      <c r="B212" s="12">
        <f>'Master FF&amp;E Schedule'!D212</f>
        <v/>
      </c>
      <c r="C212" s="12">
        <f>'Master FF&amp;E Schedule'!E212</f>
        <v/>
      </c>
      <c r="D212" s="12">
        <f>'Master FF&amp;E Schedule'!F212</f>
        <v/>
      </c>
      <c r="E212" s="12">
        <f>'Master FF&amp;E Schedule'!K212</f>
        <v/>
      </c>
      <c r="F212" s="12">
        <f>'Master FF&amp;E Schedule'!M212</f>
        <v/>
      </c>
      <c r="G212" s="12">
        <f>'Master FF&amp;E Schedule'!T212</f>
        <v/>
      </c>
      <c r="H212" s="12">
        <f>'Master FF&amp;E Schedule'!W212</f>
        <v/>
      </c>
      <c r="I212" s="12">
        <f>'Master FF&amp;E Schedule'!AA212</f>
        <v/>
      </c>
      <c r="J212" s="12" t="n"/>
    </row>
    <row r="213">
      <c r="A213">
        <f>'Master FF&amp;E Schedule'!B213</f>
        <v/>
      </c>
      <c r="B213">
        <f>'Master FF&amp;E Schedule'!D213</f>
        <v/>
      </c>
      <c r="C213">
        <f>'Master FF&amp;E Schedule'!E213</f>
        <v/>
      </c>
      <c r="D213">
        <f>'Master FF&amp;E Schedule'!F213</f>
        <v/>
      </c>
      <c r="E213">
        <f>'Master FF&amp;E Schedule'!K213</f>
        <v/>
      </c>
      <c r="F213">
        <f>'Master FF&amp;E Schedule'!M213</f>
        <v/>
      </c>
      <c r="G213">
        <f>'Master FF&amp;E Schedule'!T213</f>
        <v/>
      </c>
      <c r="H213">
        <f>'Master FF&amp;E Schedule'!W213</f>
        <v/>
      </c>
      <c r="I213">
        <f>'Master FF&amp;E Schedule'!AA213</f>
        <v/>
      </c>
    </row>
    <row r="214">
      <c r="A214" s="12">
        <f>'Master FF&amp;E Schedule'!B214</f>
        <v/>
      </c>
      <c r="B214" s="12">
        <f>'Master FF&amp;E Schedule'!D214</f>
        <v/>
      </c>
      <c r="C214" s="12">
        <f>'Master FF&amp;E Schedule'!E214</f>
        <v/>
      </c>
      <c r="D214" s="12">
        <f>'Master FF&amp;E Schedule'!F214</f>
        <v/>
      </c>
      <c r="E214" s="12">
        <f>'Master FF&amp;E Schedule'!K214</f>
        <v/>
      </c>
      <c r="F214" s="12">
        <f>'Master FF&amp;E Schedule'!M214</f>
        <v/>
      </c>
      <c r="G214" s="12">
        <f>'Master FF&amp;E Schedule'!T214</f>
        <v/>
      </c>
      <c r="H214" s="12">
        <f>'Master FF&amp;E Schedule'!W214</f>
        <v/>
      </c>
      <c r="I214" s="12">
        <f>'Master FF&amp;E Schedule'!AA214</f>
        <v/>
      </c>
      <c r="J214" s="12" t="n"/>
    </row>
    <row r="215">
      <c r="A215">
        <f>'Master FF&amp;E Schedule'!B215</f>
        <v/>
      </c>
      <c r="B215">
        <f>'Master FF&amp;E Schedule'!D215</f>
        <v/>
      </c>
      <c r="C215">
        <f>'Master FF&amp;E Schedule'!E215</f>
        <v/>
      </c>
      <c r="D215">
        <f>'Master FF&amp;E Schedule'!F215</f>
        <v/>
      </c>
      <c r="E215">
        <f>'Master FF&amp;E Schedule'!K215</f>
        <v/>
      </c>
      <c r="F215">
        <f>'Master FF&amp;E Schedule'!M215</f>
        <v/>
      </c>
      <c r="G215">
        <f>'Master FF&amp;E Schedule'!T215</f>
        <v/>
      </c>
      <c r="H215">
        <f>'Master FF&amp;E Schedule'!W215</f>
        <v/>
      </c>
      <c r="I215">
        <f>'Master FF&amp;E Schedule'!AA215</f>
        <v/>
      </c>
    </row>
    <row r="216">
      <c r="A216" s="12">
        <f>'Master FF&amp;E Schedule'!B216</f>
        <v/>
      </c>
      <c r="B216" s="12">
        <f>'Master FF&amp;E Schedule'!D216</f>
        <v/>
      </c>
      <c r="C216" s="12">
        <f>'Master FF&amp;E Schedule'!E216</f>
        <v/>
      </c>
      <c r="D216" s="12">
        <f>'Master FF&amp;E Schedule'!F216</f>
        <v/>
      </c>
      <c r="E216" s="12">
        <f>'Master FF&amp;E Schedule'!K216</f>
        <v/>
      </c>
      <c r="F216" s="12">
        <f>'Master FF&amp;E Schedule'!M216</f>
        <v/>
      </c>
      <c r="G216" s="12">
        <f>'Master FF&amp;E Schedule'!T216</f>
        <v/>
      </c>
      <c r="H216" s="12">
        <f>'Master FF&amp;E Schedule'!W216</f>
        <v/>
      </c>
      <c r="I216" s="12">
        <f>'Master FF&amp;E Schedule'!AA216</f>
        <v/>
      </c>
      <c r="J216" s="12" t="n"/>
    </row>
    <row r="217">
      <c r="A217">
        <f>'Master FF&amp;E Schedule'!B217</f>
        <v/>
      </c>
      <c r="B217">
        <f>'Master FF&amp;E Schedule'!D217</f>
        <v/>
      </c>
      <c r="C217">
        <f>'Master FF&amp;E Schedule'!E217</f>
        <v/>
      </c>
      <c r="D217">
        <f>'Master FF&amp;E Schedule'!F217</f>
        <v/>
      </c>
      <c r="E217">
        <f>'Master FF&amp;E Schedule'!K217</f>
        <v/>
      </c>
      <c r="F217">
        <f>'Master FF&amp;E Schedule'!M217</f>
        <v/>
      </c>
      <c r="G217">
        <f>'Master FF&amp;E Schedule'!T217</f>
        <v/>
      </c>
      <c r="H217">
        <f>'Master FF&amp;E Schedule'!W217</f>
        <v/>
      </c>
      <c r="I217">
        <f>'Master FF&amp;E Schedule'!AA217</f>
        <v/>
      </c>
    </row>
    <row r="218">
      <c r="A218" s="12">
        <f>'Master FF&amp;E Schedule'!B218</f>
        <v/>
      </c>
      <c r="B218" s="12">
        <f>'Master FF&amp;E Schedule'!D218</f>
        <v/>
      </c>
      <c r="C218" s="12">
        <f>'Master FF&amp;E Schedule'!E218</f>
        <v/>
      </c>
      <c r="D218" s="12">
        <f>'Master FF&amp;E Schedule'!F218</f>
        <v/>
      </c>
      <c r="E218" s="12">
        <f>'Master FF&amp;E Schedule'!K218</f>
        <v/>
      </c>
      <c r="F218" s="12">
        <f>'Master FF&amp;E Schedule'!M218</f>
        <v/>
      </c>
      <c r="G218" s="12">
        <f>'Master FF&amp;E Schedule'!T218</f>
        <v/>
      </c>
      <c r="H218" s="12">
        <f>'Master FF&amp;E Schedule'!W218</f>
        <v/>
      </c>
      <c r="I218" s="12">
        <f>'Master FF&amp;E Schedule'!AA218</f>
        <v/>
      </c>
      <c r="J218" s="12" t="n"/>
    </row>
    <row r="219">
      <c r="A219">
        <f>'Master FF&amp;E Schedule'!B219</f>
        <v/>
      </c>
      <c r="B219">
        <f>'Master FF&amp;E Schedule'!D219</f>
        <v/>
      </c>
      <c r="C219">
        <f>'Master FF&amp;E Schedule'!E219</f>
        <v/>
      </c>
      <c r="D219">
        <f>'Master FF&amp;E Schedule'!F219</f>
        <v/>
      </c>
      <c r="E219">
        <f>'Master FF&amp;E Schedule'!K219</f>
        <v/>
      </c>
      <c r="F219">
        <f>'Master FF&amp;E Schedule'!M219</f>
        <v/>
      </c>
      <c r="G219">
        <f>'Master FF&amp;E Schedule'!T219</f>
        <v/>
      </c>
      <c r="H219">
        <f>'Master FF&amp;E Schedule'!W219</f>
        <v/>
      </c>
      <c r="I219">
        <f>'Master FF&amp;E Schedule'!AA219</f>
        <v/>
      </c>
    </row>
    <row r="220">
      <c r="A220" s="12">
        <f>'Master FF&amp;E Schedule'!B220</f>
        <v/>
      </c>
      <c r="B220" s="12">
        <f>'Master FF&amp;E Schedule'!D220</f>
        <v/>
      </c>
      <c r="C220" s="12">
        <f>'Master FF&amp;E Schedule'!E220</f>
        <v/>
      </c>
      <c r="D220" s="12">
        <f>'Master FF&amp;E Schedule'!F220</f>
        <v/>
      </c>
      <c r="E220" s="12">
        <f>'Master FF&amp;E Schedule'!K220</f>
        <v/>
      </c>
      <c r="F220" s="12">
        <f>'Master FF&amp;E Schedule'!M220</f>
        <v/>
      </c>
      <c r="G220" s="12">
        <f>'Master FF&amp;E Schedule'!T220</f>
        <v/>
      </c>
      <c r="H220" s="12">
        <f>'Master FF&amp;E Schedule'!W220</f>
        <v/>
      </c>
      <c r="I220" s="12">
        <f>'Master FF&amp;E Schedule'!AA220</f>
        <v/>
      </c>
      <c r="J220" s="12" t="n"/>
    </row>
    <row r="221">
      <c r="A221">
        <f>'Master FF&amp;E Schedule'!B221</f>
        <v/>
      </c>
      <c r="B221">
        <f>'Master FF&amp;E Schedule'!D221</f>
        <v/>
      </c>
      <c r="C221">
        <f>'Master FF&amp;E Schedule'!E221</f>
        <v/>
      </c>
      <c r="D221">
        <f>'Master FF&amp;E Schedule'!F221</f>
        <v/>
      </c>
      <c r="E221">
        <f>'Master FF&amp;E Schedule'!K221</f>
        <v/>
      </c>
      <c r="F221">
        <f>'Master FF&amp;E Schedule'!M221</f>
        <v/>
      </c>
      <c r="G221">
        <f>'Master FF&amp;E Schedule'!T221</f>
        <v/>
      </c>
      <c r="H221">
        <f>'Master FF&amp;E Schedule'!W221</f>
        <v/>
      </c>
      <c r="I221">
        <f>'Master FF&amp;E Schedule'!AA221</f>
        <v/>
      </c>
    </row>
    <row r="222">
      <c r="A222" s="12">
        <f>'Master FF&amp;E Schedule'!B222</f>
        <v/>
      </c>
      <c r="B222" s="12">
        <f>'Master FF&amp;E Schedule'!D222</f>
        <v/>
      </c>
      <c r="C222" s="12">
        <f>'Master FF&amp;E Schedule'!E222</f>
        <v/>
      </c>
      <c r="D222" s="12">
        <f>'Master FF&amp;E Schedule'!F222</f>
        <v/>
      </c>
      <c r="E222" s="12">
        <f>'Master FF&amp;E Schedule'!K222</f>
        <v/>
      </c>
      <c r="F222" s="12">
        <f>'Master FF&amp;E Schedule'!M222</f>
        <v/>
      </c>
      <c r="G222" s="12">
        <f>'Master FF&amp;E Schedule'!T222</f>
        <v/>
      </c>
      <c r="H222" s="12">
        <f>'Master FF&amp;E Schedule'!W222</f>
        <v/>
      </c>
      <c r="I222" s="12">
        <f>'Master FF&amp;E Schedule'!AA222</f>
        <v/>
      </c>
      <c r="J222" s="12" t="n"/>
    </row>
    <row r="223">
      <c r="A223">
        <f>'Master FF&amp;E Schedule'!B223</f>
        <v/>
      </c>
      <c r="B223">
        <f>'Master FF&amp;E Schedule'!D223</f>
        <v/>
      </c>
      <c r="C223">
        <f>'Master FF&amp;E Schedule'!E223</f>
        <v/>
      </c>
      <c r="D223">
        <f>'Master FF&amp;E Schedule'!F223</f>
        <v/>
      </c>
      <c r="E223">
        <f>'Master FF&amp;E Schedule'!K223</f>
        <v/>
      </c>
      <c r="F223">
        <f>'Master FF&amp;E Schedule'!M223</f>
        <v/>
      </c>
      <c r="G223">
        <f>'Master FF&amp;E Schedule'!T223</f>
        <v/>
      </c>
      <c r="H223">
        <f>'Master FF&amp;E Schedule'!W223</f>
        <v/>
      </c>
      <c r="I223">
        <f>'Master FF&amp;E Schedule'!AA223</f>
        <v/>
      </c>
    </row>
    <row r="224">
      <c r="A224" s="12">
        <f>'Master FF&amp;E Schedule'!B224</f>
        <v/>
      </c>
      <c r="B224" s="12">
        <f>'Master FF&amp;E Schedule'!D224</f>
        <v/>
      </c>
      <c r="C224" s="12">
        <f>'Master FF&amp;E Schedule'!E224</f>
        <v/>
      </c>
      <c r="D224" s="12">
        <f>'Master FF&amp;E Schedule'!F224</f>
        <v/>
      </c>
      <c r="E224" s="12">
        <f>'Master FF&amp;E Schedule'!K224</f>
        <v/>
      </c>
      <c r="F224" s="12">
        <f>'Master FF&amp;E Schedule'!M224</f>
        <v/>
      </c>
      <c r="G224" s="12">
        <f>'Master FF&amp;E Schedule'!T224</f>
        <v/>
      </c>
      <c r="H224" s="12">
        <f>'Master FF&amp;E Schedule'!W224</f>
        <v/>
      </c>
      <c r="I224" s="12">
        <f>'Master FF&amp;E Schedule'!AA224</f>
        <v/>
      </c>
      <c r="J224" s="12" t="n"/>
    </row>
    <row r="225">
      <c r="A225">
        <f>'Master FF&amp;E Schedule'!B225</f>
        <v/>
      </c>
      <c r="B225">
        <f>'Master FF&amp;E Schedule'!D225</f>
        <v/>
      </c>
      <c r="C225">
        <f>'Master FF&amp;E Schedule'!E225</f>
        <v/>
      </c>
      <c r="D225">
        <f>'Master FF&amp;E Schedule'!F225</f>
        <v/>
      </c>
      <c r="E225">
        <f>'Master FF&amp;E Schedule'!K225</f>
        <v/>
      </c>
      <c r="F225">
        <f>'Master FF&amp;E Schedule'!M225</f>
        <v/>
      </c>
      <c r="G225">
        <f>'Master FF&amp;E Schedule'!T225</f>
        <v/>
      </c>
      <c r="H225">
        <f>'Master FF&amp;E Schedule'!W225</f>
        <v/>
      </c>
      <c r="I225">
        <f>'Master FF&amp;E Schedule'!AA225</f>
        <v/>
      </c>
    </row>
    <row r="226">
      <c r="A226" s="12">
        <f>'Master FF&amp;E Schedule'!B226</f>
        <v/>
      </c>
      <c r="B226" s="12">
        <f>'Master FF&amp;E Schedule'!D226</f>
        <v/>
      </c>
      <c r="C226" s="12">
        <f>'Master FF&amp;E Schedule'!E226</f>
        <v/>
      </c>
      <c r="D226" s="12">
        <f>'Master FF&amp;E Schedule'!F226</f>
        <v/>
      </c>
      <c r="E226" s="12">
        <f>'Master FF&amp;E Schedule'!K226</f>
        <v/>
      </c>
      <c r="F226" s="12">
        <f>'Master FF&amp;E Schedule'!M226</f>
        <v/>
      </c>
      <c r="G226" s="12">
        <f>'Master FF&amp;E Schedule'!T226</f>
        <v/>
      </c>
      <c r="H226" s="12">
        <f>'Master FF&amp;E Schedule'!W226</f>
        <v/>
      </c>
      <c r="I226" s="12">
        <f>'Master FF&amp;E Schedule'!AA226</f>
        <v/>
      </c>
      <c r="J226" s="12" t="n"/>
    </row>
    <row r="227">
      <c r="A227">
        <f>'Master FF&amp;E Schedule'!B227</f>
        <v/>
      </c>
      <c r="B227">
        <f>'Master FF&amp;E Schedule'!D227</f>
        <v/>
      </c>
      <c r="C227">
        <f>'Master FF&amp;E Schedule'!E227</f>
        <v/>
      </c>
      <c r="D227">
        <f>'Master FF&amp;E Schedule'!F227</f>
        <v/>
      </c>
      <c r="E227">
        <f>'Master FF&amp;E Schedule'!K227</f>
        <v/>
      </c>
      <c r="F227">
        <f>'Master FF&amp;E Schedule'!M227</f>
        <v/>
      </c>
      <c r="G227">
        <f>'Master FF&amp;E Schedule'!T227</f>
        <v/>
      </c>
      <c r="H227">
        <f>'Master FF&amp;E Schedule'!W227</f>
        <v/>
      </c>
      <c r="I227">
        <f>'Master FF&amp;E Schedule'!AA227</f>
        <v/>
      </c>
    </row>
    <row r="228">
      <c r="A228" s="12">
        <f>'Master FF&amp;E Schedule'!B228</f>
        <v/>
      </c>
      <c r="B228" s="12">
        <f>'Master FF&amp;E Schedule'!D228</f>
        <v/>
      </c>
      <c r="C228" s="12">
        <f>'Master FF&amp;E Schedule'!E228</f>
        <v/>
      </c>
      <c r="D228" s="12">
        <f>'Master FF&amp;E Schedule'!F228</f>
        <v/>
      </c>
      <c r="E228" s="12">
        <f>'Master FF&amp;E Schedule'!K228</f>
        <v/>
      </c>
      <c r="F228" s="12">
        <f>'Master FF&amp;E Schedule'!M228</f>
        <v/>
      </c>
      <c r="G228" s="12">
        <f>'Master FF&amp;E Schedule'!T228</f>
        <v/>
      </c>
      <c r="H228" s="12">
        <f>'Master FF&amp;E Schedule'!W228</f>
        <v/>
      </c>
      <c r="I228" s="12">
        <f>'Master FF&amp;E Schedule'!AA228</f>
        <v/>
      </c>
      <c r="J228" s="12" t="n"/>
    </row>
    <row r="229">
      <c r="A229">
        <f>'Master FF&amp;E Schedule'!B229</f>
        <v/>
      </c>
      <c r="B229">
        <f>'Master FF&amp;E Schedule'!D229</f>
        <v/>
      </c>
      <c r="C229">
        <f>'Master FF&amp;E Schedule'!E229</f>
        <v/>
      </c>
      <c r="D229">
        <f>'Master FF&amp;E Schedule'!F229</f>
        <v/>
      </c>
      <c r="E229">
        <f>'Master FF&amp;E Schedule'!K229</f>
        <v/>
      </c>
      <c r="F229">
        <f>'Master FF&amp;E Schedule'!M229</f>
        <v/>
      </c>
      <c r="G229">
        <f>'Master FF&amp;E Schedule'!T229</f>
        <v/>
      </c>
      <c r="H229">
        <f>'Master FF&amp;E Schedule'!W229</f>
        <v/>
      </c>
      <c r="I229">
        <f>'Master FF&amp;E Schedule'!AA229</f>
        <v/>
      </c>
    </row>
    <row r="230">
      <c r="A230" s="12">
        <f>'Master FF&amp;E Schedule'!B230</f>
        <v/>
      </c>
      <c r="B230" s="12">
        <f>'Master FF&amp;E Schedule'!D230</f>
        <v/>
      </c>
      <c r="C230" s="12">
        <f>'Master FF&amp;E Schedule'!E230</f>
        <v/>
      </c>
      <c r="D230" s="12">
        <f>'Master FF&amp;E Schedule'!F230</f>
        <v/>
      </c>
      <c r="E230" s="12">
        <f>'Master FF&amp;E Schedule'!K230</f>
        <v/>
      </c>
      <c r="F230" s="12">
        <f>'Master FF&amp;E Schedule'!M230</f>
        <v/>
      </c>
      <c r="G230" s="12">
        <f>'Master FF&amp;E Schedule'!T230</f>
        <v/>
      </c>
      <c r="H230" s="12">
        <f>'Master FF&amp;E Schedule'!W230</f>
        <v/>
      </c>
      <c r="I230" s="12">
        <f>'Master FF&amp;E Schedule'!AA230</f>
        <v/>
      </c>
      <c r="J230" s="12" t="n"/>
    </row>
    <row r="231">
      <c r="A231">
        <f>'Master FF&amp;E Schedule'!B231</f>
        <v/>
      </c>
      <c r="B231">
        <f>'Master FF&amp;E Schedule'!D231</f>
        <v/>
      </c>
      <c r="C231">
        <f>'Master FF&amp;E Schedule'!E231</f>
        <v/>
      </c>
      <c r="D231">
        <f>'Master FF&amp;E Schedule'!F231</f>
        <v/>
      </c>
      <c r="E231">
        <f>'Master FF&amp;E Schedule'!K231</f>
        <v/>
      </c>
      <c r="F231">
        <f>'Master FF&amp;E Schedule'!M231</f>
        <v/>
      </c>
      <c r="G231">
        <f>'Master FF&amp;E Schedule'!T231</f>
        <v/>
      </c>
      <c r="H231">
        <f>'Master FF&amp;E Schedule'!W231</f>
        <v/>
      </c>
      <c r="I231">
        <f>'Master FF&amp;E Schedule'!AA231</f>
        <v/>
      </c>
    </row>
    <row r="232">
      <c r="A232" s="12">
        <f>'Master FF&amp;E Schedule'!B232</f>
        <v/>
      </c>
      <c r="B232" s="12">
        <f>'Master FF&amp;E Schedule'!D232</f>
        <v/>
      </c>
      <c r="C232" s="12">
        <f>'Master FF&amp;E Schedule'!E232</f>
        <v/>
      </c>
      <c r="D232" s="12">
        <f>'Master FF&amp;E Schedule'!F232</f>
        <v/>
      </c>
      <c r="E232" s="12">
        <f>'Master FF&amp;E Schedule'!K232</f>
        <v/>
      </c>
      <c r="F232" s="12">
        <f>'Master FF&amp;E Schedule'!M232</f>
        <v/>
      </c>
      <c r="G232" s="12">
        <f>'Master FF&amp;E Schedule'!T232</f>
        <v/>
      </c>
      <c r="H232" s="12">
        <f>'Master FF&amp;E Schedule'!W232</f>
        <v/>
      </c>
      <c r="I232" s="12">
        <f>'Master FF&amp;E Schedule'!AA232</f>
        <v/>
      </c>
      <c r="J232" s="12" t="n"/>
    </row>
    <row r="233">
      <c r="A233">
        <f>'Master FF&amp;E Schedule'!B233</f>
        <v/>
      </c>
      <c r="B233">
        <f>'Master FF&amp;E Schedule'!D233</f>
        <v/>
      </c>
      <c r="C233">
        <f>'Master FF&amp;E Schedule'!E233</f>
        <v/>
      </c>
      <c r="D233">
        <f>'Master FF&amp;E Schedule'!F233</f>
        <v/>
      </c>
      <c r="E233">
        <f>'Master FF&amp;E Schedule'!K233</f>
        <v/>
      </c>
      <c r="F233">
        <f>'Master FF&amp;E Schedule'!M233</f>
        <v/>
      </c>
      <c r="G233">
        <f>'Master FF&amp;E Schedule'!T233</f>
        <v/>
      </c>
      <c r="H233">
        <f>'Master FF&amp;E Schedule'!W233</f>
        <v/>
      </c>
      <c r="I233">
        <f>'Master FF&amp;E Schedule'!AA233</f>
        <v/>
      </c>
    </row>
    <row r="234">
      <c r="A234" s="12">
        <f>'Master FF&amp;E Schedule'!B234</f>
        <v/>
      </c>
      <c r="B234" s="12">
        <f>'Master FF&amp;E Schedule'!D234</f>
        <v/>
      </c>
      <c r="C234" s="12">
        <f>'Master FF&amp;E Schedule'!E234</f>
        <v/>
      </c>
      <c r="D234" s="12">
        <f>'Master FF&amp;E Schedule'!F234</f>
        <v/>
      </c>
      <c r="E234" s="12">
        <f>'Master FF&amp;E Schedule'!K234</f>
        <v/>
      </c>
      <c r="F234" s="12">
        <f>'Master FF&amp;E Schedule'!M234</f>
        <v/>
      </c>
      <c r="G234" s="12">
        <f>'Master FF&amp;E Schedule'!T234</f>
        <v/>
      </c>
      <c r="H234" s="12">
        <f>'Master FF&amp;E Schedule'!W234</f>
        <v/>
      </c>
      <c r="I234" s="12">
        <f>'Master FF&amp;E Schedule'!AA234</f>
        <v/>
      </c>
      <c r="J234" s="12" t="n"/>
    </row>
    <row r="235">
      <c r="A235">
        <f>'Master FF&amp;E Schedule'!B235</f>
        <v/>
      </c>
      <c r="B235">
        <f>'Master FF&amp;E Schedule'!D235</f>
        <v/>
      </c>
      <c r="C235">
        <f>'Master FF&amp;E Schedule'!E235</f>
        <v/>
      </c>
      <c r="D235">
        <f>'Master FF&amp;E Schedule'!F235</f>
        <v/>
      </c>
      <c r="E235">
        <f>'Master FF&amp;E Schedule'!K235</f>
        <v/>
      </c>
      <c r="F235">
        <f>'Master FF&amp;E Schedule'!M235</f>
        <v/>
      </c>
      <c r="G235">
        <f>'Master FF&amp;E Schedule'!T235</f>
        <v/>
      </c>
      <c r="H235">
        <f>'Master FF&amp;E Schedule'!W235</f>
        <v/>
      </c>
      <c r="I235">
        <f>'Master FF&amp;E Schedule'!AA235</f>
        <v/>
      </c>
    </row>
    <row r="236">
      <c r="A236" s="12">
        <f>'Master FF&amp;E Schedule'!B236</f>
        <v/>
      </c>
      <c r="B236" s="12">
        <f>'Master FF&amp;E Schedule'!D236</f>
        <v/>
      </c>
      <c r="C236" s="12">
        <f>'Master FF&amp;E Schedule'!E236</f>
        <v/>
      </c>
      <c r="D236" s="12">
        <f>'Master FF&amp;E Schedule'!F236</f>
        <v/>
      </c>
      <c r="E236" s="12">
        <f>'Master FF&amp;E Schedule'!K236</f>
        <v/>
      </c>
      <c r="F236" s="12">
        <f>'Master FF&amp;E Schedule'!M236</f>
        <v/>
      </c>
      <c r="G236" s="12">
        <f>'Master FF&amp;E Schedule'!T236</f>
        <v/>
      </c>
      <c r="H236" s="12">
        <f>'Master FF&amp;E Schedule'!W236</f>
        <v/>
      </c>
      <c r="I236" s="12">
        <f>'Master FF&amp;E Schedule'!AA236</f>
        <v/>
      </c>
      <c r="J236" s="12" t="n"/>
    </row>
    <row r="237">
      <c r="A237">
        <f>'Master FF&amp;E Schedule'!B237</f>
        <v/>
      </c>
      <c r="B237">
        <f>'Master FF&amp;E Schedule'!D237</f>
        <v/>
      </c>
      <c r="C237">
        <f>'Master FF&amp;E Schedule'!E237</f>
        <v/>
      </c>
      <c r="D237">
        <f>'Master FF&amp;E Schedule'!F237</f>
        <v/>
      </c>
      <c r="E237">
        <f>'Master FF&amp;E Schedule'!K237</f>
        <v/>
      </c>
      <c r="F237">
        <f>'Master FF&amp;E Schedule'!M237</f>
        <v/>
      </c>
      <c r="G237">
        <f>'Master FF&amp;E Schedule'!T237</f>
        <v/>
      </c>
      <c r="H237">
        <f>'Master FF&amp;E Schedule'!W237</f>
        <v/>
      </c>
      <c r="I237">
        <f>'Master FF&amp;E Schedule'!AA237</f>
        <v/>
      </c>
    </row>
    <row r="238">
      <c r="A238" s="12">
        <f>'Master FF&amp;E Schedule'!B238</f>
        <v/>
      </c>
      <c r="B238" s="12">
        <f>'Master FF&amp;E Schedule'!D238</f>
        <v/>
      </c>
      <c r="C238" s="12">
        <f>'Master FF&amp;E Schedule'!E238</f>
        <v/>
      </c>
      <c r="D238" s="12">
        <f>'Master FF&amp;E Schedule'!F238</f>
        <v/>
      </c>
      <c r="E238" s="12">
        <f>'Master FF&amp;E Schedule'!K238</f>
        <v/>
      </c>
      <c r="F238" s="12">
        <f>'Master FF&amp;E Schedule'!M238</f>
        <v/>
      </c>
      <c r="G238" s="12">
        <f>'Master FF&amp;E Schedule'!T238</f>
        <v/>
      </c>
      <c r="H238" s="12">
        <f>'Master FF&amp;E Schedule'!W238</f>
        <v/>
      </c>
      <c r="I238" s="12">
        <f>'Master FF&amp;E Schedule'!AA238</f>
        <v/>
      </c>
      <c r="J238" s="12" t="n"/>
    </row>
    <row r="239">
      <c r="A239">
        <f>'Master FF&amp;E Schedule'!B239</f>
        <v/>
      </c>
      <c r="B239">
        <f>'Master FF&amp;E Schedule'!D239</f>
        <v/>
      </c>
      <c r="C239">
        <f>'Master FF&amp;E Schedule'!E239</f>
        <v/>
      </c>
      <c r="D239">
        <f>'Master FF&amp;E Schedule'!F239</f>
        <v/>
      </c>
      <c r="E239">
        <f>'Master FF&amp;E Schedule'!K239</f>
        <v/>
      </c>
      <c r="F239">
        <f>'Master FF&amp;E Schedule'!M239</f>
        <v/>
      </c>
      <c r="G239">
        <f>'Master FF&amp;E Schedule'!T239</f>
        <v/>
      </c>
      <c r="H239">
        <f>'Master FF&amp;E Schedule'!W239</f>
        <v/>
      </c>
      <c r="I239">
        <f>'Master FF&amp;E Schedule'!AA239</f>
        <v/>
      </c>
    </row>
    <row r="240">
      <c r="A240" s="12">
        <f>'Master FF&amp;E Schedule'!B240</f>
        <v/>
      </c>
      <c r="B240" s="12">
        <f>'Master FF&amp;E Schedule'!D240</f>
        <v/>
      </c>
      <c r="C240" s="12">
        <f>'Master FF&amp;E Schedule'!E240</f>
        <v/>
      </c>
      <c r="D240" s="12">
        <f>'Master FF&amp;E Schedule'!F240</f>
        <v/>
      </c>
      <c r="E240" s="12">
        <f>'Master FF&amp;E Schedule'!K240</f>
        <v/>
      </c>
      <c r="F240" s="12">
        <f>'Master FF&amp;E Schedule'!M240</f>
        <v/>
      </c>
      <c r="G240" s="12">
        <f>'Master FF&amp;E Schedule'!T240</f>
        <v/>
      </c>
      <c r="H240" s="12">
        <f>'Master FF&amp;E Schedule'!W240</f>
        <v/>
      </c>
      <c r="I240" s="12">
        <f>'Master FF&amp;E Schedule'!AA240</f>
        <v/>
      </c>
      <c r="J240" s="12" t="n"/>
    </row>
    <row r="241">
      <c r="A241">
        <f>'Master FF&amp;E Schedule'!B241</f>
        <v/>
      </c>
      <c r="B241">
        <f>'Master FF&amp;E Schedule'!D241</f>
        <v/>
      </c>
      <c r="C241">
        <f>'Master FF&amp;E Schedule'!E241</f>
        <v/>
      </c>
      <c r="D241">
        <f>'Master FF&amp;E Schedule'!F241</f>
        <v/>
      </c>
      <c r="E241">
        <f>'Master FF&amp;E Schedule'!K241</f>
        <v/>
      </c>
      <c r="F241">
        <f>'Master FF&amp;E Schedule'!M241</f>
        <v/>
      </c>
      <c r="G241">
        <f>'Master FF&amp;E Schedule'!T241</f>
        <v/>
      </c>
      <c r="H241">
        <f>'Master FF&amp;E Schedule'!W241</f>
        <v/>
      </c>
      <c r="I241">
        <f>'Master FF&amp;E Schedule'!AA241</f>
        <v/>
      </c>
    </row>
    <row r="242">
      <c r="A242" s="12">
        <f>'Master FF&amp;E Schedule'!B242</f>
        <v/>
      </c>
      <c r="B242" s="12">
        <f>'Master FF&amp;E Schedule'!D242</f>
        <v/>
      </c>
      <c r="C242" s="12">
        <f>'Master FF&amp;E Schedule'!E242</f>
        <v/>
      </c>
      <c r="D242" s="12">
        <f>'Master FF&amp;E Schedule'!F242</f>
        <v/>
      </c>
      <c r="E242" s="12">
        <f>'Master FF&amp;E Schedule'!K242</f>
        <v/>
      </c>
      <c r="F242" s="12">
        <f>'Master FF&amp;E Schedule'!M242</f>
        <v/>
      </c>
      <c r="G242" s="12">
        <f>'Master FF&amp;E Schedule'!T242</f>
        <v/>
      </c>
      <c r="H242" s="12">
        <f>'Master FF&amp;E Schedule'!W242</f>
        <v/>
      </c>
      <c r="I242" s="12">
        <f>'Master FF&amp;E Schedule'!AA242</f>
        <v/>
      </c>
      <c r="J242" s="12" t="n"/>
    </row>
    <row r="243">
      <c r="A243">
        <f>'Master FF&amp;E Schedule'!B243</f>
        <v/>
      </c>
      <c r="B243">
        <f>'Master FF&amp;E Schedule'!D243</f>
        <v/>
      </c>
      <c r="C243">
        <f>'Master FF&amp;E Schedule'!E243</f>
        <v/>
      </c>
      <c r="D243">
        <f>'Master FF&amp;E Schedule'!F243</f>
        <v/>
      </c>
      <c r="E243">
        <f>'Master FF&amp;E Schedule'!K243</f>
        <v/>
      </c>
      <c r="F243">
        <f>'Master FF&amp;E Schedule'!M243</f>
        <v/>
      </c>
      <c r="G243">
        <f>'Master FF&amp;E Schedule'!T243</f>
        <v/>
      </c>
      <c r="H243">
        <f>'Master FF&amp;E Schedule'!W243</f>
        <v/>
      </c>
      <c r="I243">
        <f>'Master FF&amp;E Schedule'!AA243</f>
        <v/>
      </c>
    </row>
    <row r="244">
      <c r="A244" s="12">
        <f>'Master FF&amp;E Schedule'!B244</f>
        <v/>
      </c>
      <c r="B244" s="12">
        <f>'Master FF&amp;E Schedule'!D244</f>
        <v/>
      </c>
      <c r="C244" s="12">
        <f>'Master FF&amp;E Schedule'!E244</f>
        <v/>
      </c>
      <c r="D244" s="12">
        <f>'Master FF&amp;E Schedule'!F244</f>
        <v/>
      </c>
      <c r="E244" s="12">
        <f>'Master FF&amp;E Schedule'!K244</f>
        <v/>
      </c>
      <c r="F244" s="12">
        <f>'Master FF&amp;E Schedule'!M244</f>
        <v/>
      </c>
      <c r="G244" s="12">
        <f>'Master FF&amp;E Schedule'!T244</f>
        <v/>
      </c>
      <c r="H244" s="12">
        <f>'Master FF&amp;E Schedule'!W244</f>
        <v/>
      </c>
      <c r="I244" s="12">
        <f>'Master FF&amp;E Schedule'!AA244</f>
        <v/>
      </c>
      <c r="J244" s="12" t="n"/>
    </row>
    <row r="245">
      <c r="A245">
        <f>'Master FF&amp;E Schedule'!B245</f>
        <v/>
      </c>
      <c r="B245">
        <f>'Master FF&amp;E Schedule'!D245</f>
        <v/>
      </c>
      <c r="C245">
        <f>'Master FF&amp;E Schedule'!E245</f>
        <v/>
      </c>
      <c r="D245">
        <f>'Master FF&amp;E Schedule'!F245</f>
        <v/>
      </c>
      <c r="E245">
        <f>'Master FF&amp;E Schedule'!K245</f>
        <v/>
      </c>
      <c r="F245">
        <f>'Master FF&amp;E Schedule'!M245</f>
        <v/>
      </c>
      <c r="G245">
        <f>'Master FF&amp;E Schedule'!T245</f>
        <v/>
      </c>
      <c r="H245">
        <f>'Master FF&amp;E Schedule'!W245</f>
        <v/>
      </c>
      <c r="I245">
        <f>'Master FF&amp;E Schedule'!AA245</f>
        <v/>
      </c>
    </row>
    <row r="246">
      <c r="A246" s="12">
        <f>'Master FF&amp;E Schedule'!B246</f>
        <v/>
      </c>
      <c r="B246" s="12">
        <f>'Master FF&amp;E Schedule'!D246</f>
        <v/>
      </c>
      <c r="C246" s="12">
        <f>'Master FF&amp;E Schedule'!E246</f>
        <v/>
      </c>
      <c r="D246" s="12">
        <f>'Master FF&amp;E Schedule'!F246</f>
        <v/>
      </c>
      <c r="E246" s="12">
        <f>'Master FF&amp;E Schedule'!K246</f>
        <v/>
      </c>
      <c r="F246" s="12">
        <f>'Master FF&amp;E Schedule'!M246</f>
        <v/>
      </c>
      <c r="G246" s="12">
        <f>'Master FF&amp;E Schedule'!T246</f>
        <v/>
      </c>
      <c r="H246" s="12">
        <f>'Master FF&amp;E Schedule'!W246</f>
        <v/>
      </c>
      <c r="I246" s="12">
        <f>'Master FF&amp;E Schedule'!AA246</f>
        <v/>
      </c>
      <c r="J246" s="12" t="n"/>
    </row>
    <row r="247">
      <c r="A247">
        <f>'Master FF&amp;E Schedule'!B247</f>
        <v/>
      </c>
      <c r="B247">
        <f>'Master FF&amp;E Schedule'!D247</f>
        <v/>
      </c>
      <c r="C247">
        <f>'Master FF&amp;E Schedule'!E247</f>
        <v/>
      </c>
      <c r="D247">
        <f>'Master FF&amp;E Schedule'!F247</f>
        <v/>
      </c>
      <c r="E247">
        <f>'Master FF&amp;E Schedule'!K247</f>
        <v/>
      </c>
      <c r="F247">
        <f>'Master FF&amp;E Schedule'!M247</f>
        <v/>
      </c>
      <c r="G247">
        <f>'Master FF&amp;E Schedule'!T247</f>
        <v/>
      </c>
      <c r="H247">
        <f>'Master FF&amp;E Schedule'!W247</f>
        <v/>
      </c>
      <c r="I247">
        <f>'Master FF&amp;E Schedule'!AA247</f>
        <v/>
      </c>
    </row>
    <row r="248">
      <c r="A248" s="12">
        <f>'Master FF&amp;E Schedule'!B248</f>
        <v/>
      </c>
      <c r="B248" s="12">
        <f>'Master FF&amp;E Schedule'!D248</f>
        <v/>
      </c>
      <c r="C248" s="12">
        <f>'Master FF&amp;E Schedule'!E248</f>
        <v/>
      </c>
      <c r="D248" s="12">
        <f>'Master FF&amp;E Schedule'!F248</f>
        <v/>
      </c>
      <c r="E248" s="12">
        <f>'Master FF&amp;E Schedule'!K248</f>
        <v/>
      </c>
      <c r="F248" s="12">
        <f>'Master FF&amp;E Schedule'!M248</f>
        <v/>
      </c>
      <c r="G248" s="12">
        <f>'Master FF&amp;E Schedule'!T248</f>
        <v/>
      </c>
      <c r="H248" s="12">
        <f>'Master FF&amp;E Schedule'!W248</f>
        <v/>
      </c>
      <c r="I248" s="12">
        <f>'Master FF&amp;E Schedule'!AA248</f>
        <v/>
      </c>
      <c r="J248" s="12" t="n"/>
    </row>
    <row r="249">
      <c r="A249">
        <f>'Master FF&amp;E Schedule'!B249</f>
        <v/>
      </c>
      <c r="B249">
        <f>'Master FF&amp;E Schedule'!D249</f>
        <v/>
      </c>
      <c r="C249">
        <f>'Master FF&amp;E Schedule'!E249</f>
        <v/>
      </c>
      <c r="D249">
        <f>'Master FF&amp;E Schedule'!F249</f>
        <v/>
      </c>
      <c r="E249">
        <f>'Master FF&amp;E Schedule'!K249</f>
        <v/>
      </c>
      <c r="F249">
        <f>'Master FF&amp;E Schedule'!M249</f>
        <v/>
      </c>
      <c r="G249">
        <f>'Master FF&amp;E Schedule'!T249</f>
        <v/>
      </c>
      <c r="H249">
        <f>'Master FF&amp;E Schedule'!W249</f>
        <v/>
      </c>
      <c r="I249">
        <f>'Master FF&amp;E Schedule'!AA249</f>
        <v/>
      </c>
    </row>
    <row r="250">
      <c r="A250" s="12">
        <f>'Master FF&amp;E Schedule'!B250</f>
        <v/>
      </c>
      <c r="B250" s="12">
        <f>'Master FF&amp;E Schedule'!D250</f>
        <v/>
      </c>
      <c r="C250" s="12">
        <f>'Master FF&amp;E Schedule'!E250</f>
        <v/>
      </c>
      <c r="D250" s="12">
        <f>'Master FF&amp;E Schedule'!F250</f>
        <v/>
      </c>
      <c r="E250" s="12">
        <f>'Master FF&amp;E Schedule'!K250</f>
        <v/>
      </c>
      <c r="F250" s="12">
        <f>'Master FF&amp;E Schedule'!M250</f>
        <v/>
      </c>
      <c r="G250" s="12">
        <f>'Master FF&amp;E Schedule'!T250</f>
        <v/>
      </c>
      <c r="H250" s="12">
        <f>'Master FF&amp;E Schedule'!W250</f>
        <v/>
      </c>
      <c r="I250" s="12">
        <f>'Master FF&amp;E Schedule'!AA250</f>
        <v/>
      </c>
      <c r="J250" s="12" t="n"/>
    </row>
    <row r="251">
      <c r="A251">
        <f>'Master FF&amp;E Schedule'!B251</f>
        <v/>
      </c>
      <c r="B251">
        <f>'Master FF&amp;E Schedule'!D251</f>
        <v/>
      </c>
      <c r="C251">
        <f>'Master FF&amp;E Schedule'!E251</f>
        <v/>
      </c>
      <c r="D251">
        <f>'Master FF&amp;E Schedule'!F251</f>
        <v/>
      </c>
      <c r="E251">
        <f>'Master FF&amp;E Schedule'!K251</f>
        <v/>
      </c>
      <c r="F251">
        <f>'Master FF&amp;E Schedule'!M251</f>
        <v/>
      </c>
      <c r="G251">
        <f>'Master FF&amp;E Schedule'!T251</f>
        <v/>
      </c>
      <c r="H251">
        <f>'Master FF&amp;E Schedule'!W251</f>
        <v/>
      </c>
      <c r="I251">
        <f>'Master FF&amp;E Schedule'!AA251</f>
        <v/>
      </c>
    </row>
  </sheetData>
  <autoFilter ref="A1:J251"/>
  <conditionalFormatting sqref="A2:J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2" customHeight="1">
      <c r="A1" s="11" t="inlineStr">
        <is>
          <t>Room</t>
        </is>
      </c>
      <c r="B1" s="11" t="inlineStr">
        <is>
          <t>Budget allocation</t>
        </is>
      </c>
      <c r="C1" s="11" t="inlineStr">
        <is>
          <t>Estimated spend</t>
        </is>
      </c>
      <c r="D1" s="11" t="inlineStr">
        <is>
          <t>Actual spend</t>
        </is>
      </c>
      <c r="E1" s="11" t="inlineStr">
        <is>
          <t>Remaining budget</t>
        </is>
      </c>
      <c r="F1" s="11" t="inlineStr">
        <is>
          <t>Budget used %</t>
        </is>
      </c>
      <c r="G1" s="11" t="inlineStr">
        <is>
          <t>Status</t>
        </is>
      </c>
    </row>
    <row r="2">
      <c r="A2" s="12">
        <f>'Room List'!A2</f>
        <v/>
      </c>
      <c r="B2" s="12">
        <f>'Room List'!F2</f>
        <v/>
      </c>
      <c r="C2" s="12">
        <f>'Room List'!G2</f>
        <v/>
      </c>
      <c r="D2" s="12">
        <f>'Room List'!H2</f>
        <v/>
      </c>
      <c r="E2" s="12">
        <f>'Room List'!I2</f>
        <v/>
      </c>
      <c r="F2" s="12">
        <f>IFERROR(D2/B2,0)</f>
        <v/>
      </c>
      <c r="G2" s="12">
        <f>IF(E2&gt;=0,"On budget","Over budget")</f>
        <v/>
      </c>
    </row>
    <row r="3">
      <c r="A3">
        <f>'Room List'!A3</f>
        <v/>
      </c>
      <c r="B3">
        <f>'Room List'!F3</f>
        <v/>
      </c>
      <c r="C3">
        <f>'Room List'!G3</f>
        <v/>
      </c>
      <c r="D3">
        <f>'Room List'!H3</f>
        <v/>
      </c>
      <c r="E3">
        <f>'Room List'!I3</f>
        <v/>
      </c>
      <c r="F3">
        <f>IFERROR(D3/B3,0)</f>
        <v/>
      </c>
      <c r="G3">
        <f>IF(E3&gt;=0,"On budget","Over budget")</f>
        <v/>
      </c>
    </row>
    <row r="4">
      <c r="A4" s="12">
        <f>'Room List'!A4</f>
        <v/>
      </c>
      <c r="B4" s="12">
        <f>'Room List'!F4</f>
        <v/>
      </c>
      <c r="C4" s="12">
        <f>'Room List'!G4</f>
        <v/>
      </c>
      <c r="D4" s="12">
        <f>'Room List'!H4</f>
        <v/>
      </c>
      <c r="E4" s="12">
        <f>'Room List'!I4</f>
        <v/>
      </c>
      <c r="F4" s="12">
        <f>IFERROR(D4/B4,0)</f>
        <v/>
      </c>
      <c r="G4" s="12">
        <f>IF(E4&gt;=0,"On budget","Over budget")</f>
        <v/>
      </c>
    </row>
    <row r="5">
      <c r="A5">
        <f>'Room List'!A5</f>
        <v/>
      </c>
      <c r="B5">
        <f>'Room List'!F5</f>
        <v/>
      </c>
      <c r="C5">
        <f>'Room List'!G5</f>
        <v/>
      </c>
      <c r="D5">
        <f>'Room List'!H5</f>
        <v/>
      </c>
      <c r="E5">
        <f>'Room List'!I5</f>
        <v/>
      </c>
      <c r="F5">
        <f>IFERROR(D5/B5,0)</f>
        <v/>
      </c>
      <c r="G5">
        <f>IF(E5&gt;=0,"On budget","Over budget")</f>
        <v/>
      </c>
    </row>
    <row r="6">
      <c r="A6" s="12">
        <f>'Room List'!A6</f>
        <v/>
      </c>
      <c r="B6" s="12">
        <f>'Room List'!F6</f>
        <v/>
      </c>
      <c r="C6" s="12">
        <f>'Room List'!G6</f>
        <v/>
      </c>
      <c r="D6" s="12">
        <f>'Room List'!H6</f>
        <v/>
      </c>
      <c r="E6" s="12">
        <f>'Room List'!I6</f>
        <v/>
      </c>
      <c r="F6" s="12">
        <f>IFERROR(D6/B6,0)</f>
        <v/>
      </c>
      <c r="G6" s="12">
        <f>IF(E6&gt;=0,"On budget","Over budget")</f>
        <v/>
      </c>
    </row>
    <row r="7">
      <c r="A7">
        <f>'Room List'!A7</f>
        <v/>
      </c>
      <c r="B7">
        <f>'Room List'!F7</f>
        <v/>
      </c>
      <c r="C7">
        <f>'Room List'!G7</f>
        <v/>
      </c>
      <c r="D7">
        <f>'Room List'!H7</f>
        <v/>
      </c>
      <c r="E7">
        <f>'Room List'!I7</f>
        <v/>
      </c>
      <c r="F7">
        <f>IFERROR(D7/B7,0)</f>
        <v/>
      </c>
      <c r="G7">
        <f>IF(E7&gt;=0,"On budget","Over budget")</f>
        <v/>
      </c>
    </row>
    <row r="8">
      <c r="A8" s="12">
        <f>'Room List'!A8</f>
        <v/>
      </c>
      <c r="B8" s="12">
        <f>'Room List'!F8</f>
        <v/>
      </c>
      <c r="C8" s="12">
        <f>'Room List'!G8</f>
        <v/>
      </c>
      <c r="D8" s="12">
        <f>'Room List'!H8</f>
        <v/>
      </c>
      <c r="E8" s="12">
        <f>'Room List'!I8</f>
        <v/>
      </c>
      <c r="F8" s="12">
        <f>IFERROR(D8/B8,0)</f>
        <v/>
      </c>
      <c r="G8" s="12">
        <f>IF(E8&gt;=0,"On budget","Over budget")</f>
        <v/>
      </c>
    </row>
    <row r="9">
      <c r="A9">
        <f>'Room List'!A9</f>
        <v/>
      </c>
      <c r="B9">
        <f>'Room List'!F9</f>
        <v/>
      </c>
      <c r="C9">
        <f>'Room List'!G9</f>
        <v/>
      </c>
      <c r="D9">
        <f>'Room List'!H9</f>
        <v/>
      </c>
      <c r="E9">
        <f>'Room List'!I9</f>
        <v/>
      </c>
      <c r="F9">
        <f>IFERROR(D9/B9,0)</f>
        <v/>
      </c>
      <c r="G9">
        <f>IF(E9&gt;=0,"On budget","Over budget")</f>
        <v/>
      </c>
    </row>
    <row r="10">
      <c r="A10" s="12">
        <f>'Room List'!A10</f>
        <v/>
      </c>
      <c r="B10" s="12">
        <f>'Room List'!F10</f>
        <v/>
      </c>
      <c r="C10" s="12">
        <f>'Room List'!G10</f>
        <v/>
      </c>
      <c r="D10" s="12">
        <f>'Room List'!H10</f>
        <v/>
      </c>
      <c r="E10" s="12">
        <f>'Room List'!I10</f>
        <v/>
      </c>
      <c r="F10" s="12">
        <f>IFERROR(D10/B10,0)</f>
        <v/>
      </c>
      <c r="G10" s="12">
        <f>IF(E10&gt;=0,"On budget","Over budget")</f>
        <v/>
      </c>
    </row>
    <row r="11">
      <c r="A11">
        <f>'Room List'!A11</f>
        <v/>
      </c>
      <c r="B11">
        <f>'Room List'!F11</f>
        <v/>
      </c>
      <c r="C11">
        <f>'Room List'!G11</f>
        <v/>
      </c>
      <c r="D11">
        <f>'Room List'!H11</f>
        <v/>
      </c>
      <c r="E11">
        <f>'Room List'!I11</f>
        <v/>
      </c>
      <c r="F11">
        <f>IFERROR(D11/B11,0)</f>
        <v/>
      </c>
      <c r="G11">
        <f>IF(E11&gt;=0,"On budget","Over budget")</f>
        <v/>
      </c>
    </row>
    <row r="12">
      <c r="A12" s="12">
        <f>'Room List'!A12</f>
        <v/>
      </c>
      <c r="B12" s="12">
        <f>'Room List'!F12</f>
        <v/>
      </c>
      <c r="C12" s="12">
        <f>'Room List'!G12</f>
        <v/>
      </c>
      <c r="D12" s="12">
        <f>'Room List'!H12</f>
        <v/>
      </c>
      <c r="E12" s="12">
        <f>'Room List'!I12</f>
        <v/>
      </c>
      <c r="F12" s="12">
        <f>IFERROR(D12/B12,0)</f>
        <v/>
      </c>
      <c r="G12" s="12">
        <f>IF(E12&gt;=0,"On budget","Over budget")</f>
        <v/>
      </c>
    </row>
    <row r="13">
      <c r="A13">
        <f>'Room List'!A13</f>
        <v/>
      </c>
      <c r="B13">
        <f>'Room List'!F13</f>
        <v/>
      </c>
      <c r="C13">
        <f>'Room List'!G13</f>
        <v/>
      </c>
      <c r="D13">
        <f>'Room List'!H13</f>
        <v/>
      </c>
      <c r="E13">
        <f>'Room List'!I13</f>
        <v/>
      </c>
      <c r="F13">
        <f>IFERROR(D13/B13,0)</f>
        <v/>
      </c>
      <c r="G13">
        <f>IF(E13&gt;=0,"On budget","Over budget")</f>
        <v/>
      </c>
    </row>
    <row r="14">
      <c r="A14" s="12">
        <f>'Room List'!A14</f>
        <v/>
      </c>
      <c r="B14" s="12">
        <f>'Room List'!F14</f>
        <v/>
      </c>
      <c r="C14" s="12">
        <f>'Room List'!G14</f>
        <v/>
      </c>
      <c r="D14" s="12">
        <f>'Room List'!H14</f>
        <v/>
      </c>
      <c r="E14" s="12">
        <f>'Room List'!I14</f>
        <v/>
      </c>
      <c r="F14" s="12">
        <f>IFERROR(D14/B14,0)</f>
        <v/>
      </c>
      <c r="G14" s="12">
        <f>IF(E14&gt;=0,"On budget","Over budget")</f>
        <v/>
      </c>
    </row>
    <row r="15">
      <c r="A15">
        <f>'Room List'!A15</f>
        <v/>
      </c>
      <c r="B15">
        <f>'Room List'!F15</f>
        <v/>
      </c>
      <c r="C15">
        <f>'Room List'!G15</f>
        <v/>
      </c>
      <c r="D15">
        <f>'Room List'!H15</f>
        <v/>
      </c>
      <c r="E15">
        <f>'Room List'!I15</f>
        <v/>
      </c>
      <c r="F15">
        <f>IFERROR(D15/B15,0)</f>
        <v/>
      </c>
      <c r="G15">
        <f>IF(E15&gt;=0,"On budget","Over budget")</f>
        <v/>
      </c>
    </row>
    <row r="16">
      <c r="A16" s="12">
        <f>'Room List'!A16</f>
        <v/>
      </c>
      <c r="B16" s="12">
        <f>'Room List'!F16</f>
        <v/>
      </c>
      <c r="C16" s="12">
        <f>'Room List'!G16</f>
        <v/>
      </c>
      <c r="D16" s="12">
        <f>'Room List'!H16</f>
        <v/>
      </c>
      <c r="E16" s="12">
        <f>'Room List'!I16</f>
        <v/>
      </c>
      <c r="F16" s="12">
        <f>IFERROR(D16/B16,0)</f>
        <v/>
      </c>
      <c r="G16" s="12">
        <f>IF(E16&gt;=0,"On budget","Over budget")</f>
        <v/>
      </c>
    </row>
    <row r="17">
      <c r="A17">
        <f>'Room List'!A17</f>
        <v/>
      </c>
      <c r="B17">
        <f>'Room List'!F17</f>
        <v/>
      </c>
      <c r="C17">
        <f>'Room List'!G17</f>
        <v/>
      </c>
      <c r="D17">
        <f>'Room List'!H17</f>
        <v/>
      </c>
      <c r="E17">
        <f>'Room List'!I17</f>
        <v/>
      </c>
      <c r="F17">
        <f>IFERROR(D17/B17,0)</f>
        <v/>
      </c>
      <c r="G17">
        <f>IF(E17&gt;=0,"On budget","Over budget")</f>
        <v/>
      </c>
    </row>
    <row r="18">
      <c r="A18" s="12">
        <f>'Room List'!A18</f>
        <v/>
      </c>
      <c r="B18" s="12">
        <f>'Room List'!F18</f>
        <v/>
      </c>
      <c r="C18" s="12">
        <f>'Room List'!G18</f>
        <v/>
      </c>
      <c r="D18" s="12">
        <f>'Room List'!H18</f>
        <v/>
      </c>
      <c r="E18" s="12">
        <f>'Room List'!I18</f>
        <v/>
      </c>
      <c r="F18" s="12">
        <f>IFERROR(D18/B18,0)</f>
        <v/>
      </c>
      <c r="G18" s="12">
        <f>IF(E18&gt;=0,"On budget","Over budget")</f>
        <v/>
      </c>
    </row>
    <row r="19">
      <c r="A19">
        <f>'Room List'!A19</f>
        <v/>
      </c>
      <c r="B19">
        <f>'Room List'!F19</f>
        <v/>
      </c>
      <c r="C19">
        <f>'Room List'!G19</f>
        <v/>
      </c>
      <c r="D19">
        <f>'Room List'!H19</f>
        <v/>
      </c>
      <c r="E19">
        <f>'Room List'!I19</f>
        <v/>
      </c>
      <c r="F19">
        <f>IFERROR(D19/B19,0)</f>
        <v/>
      </c>
      <c r="G19">
        <f>IF(E19&gt;=0,"On budget","Over budget")</f>
        <v/>
      </c>
    </row>
    <row r="20">
      <c r="A20" s="12">
        <f>'Room List'!A20</f>
        <v/>
      </c>
      <c r="B20" s="12">
        <f>'Room List'!F20</f>
        <v/>
      </c>
      <c r="C20" s="12">
        <f>'Room List'!G20</f>
        <v/>
      </c>
      <c r="D20" s="12">
        <f>'Room List'!H20</f>
        <v/>
      </c>
      <c r="E20" s="12">
        <f>'Room List'!I20</f>
        <v/>
      </c>
      <c r="F20" s="12">
        <f>IFERROR(D20/B20,0)</f>
        <v/>
      </c>
      <c r="G20" s="12">
        <f>IF(E20&gt;=0,"On budget","Over budget")</f>
        <v/>
      </c>
    </row>
    <row r="21">
      <c r="A21">
        <f>'Room List'!A21</f>
        <v/>
      </c>
      <c r="B21">
        <f>'Room List'!F21</f>
        <v/>
      </c>
      <c r="C21">
        <f>'Room List'!G21</f>
        <v/>
      </c>
      <c r="D21">
        <f>'Room List'!H21</f>
        <v/>
      </c>
      <c r="E21">
        <f>'Room List'!I21</f>
        <v/>
      </c>
      <c r="F21">
        <f>IFERROR(D21/B21,0)</f>
        <v/>
      </c>
      <c r="G21">
        <f>IF(E21&gt;=0,"On budget","Over budget")</f>
        <v/>
      </c>
    </row>
    <row r="22">
      <c r="A22" s="12">
        <f>'Room List'!A22</f>
        <v/>
      </c>
      <c r="B22" s="12">
        <f>'Room List'!F22</f>
        <v/>
      </c>
      <c r="C22" s="12">
        <f>'Room List'!G22</f>
        <v/>
      </c>
      <c r="D22" s="12">
        <f>'Room List'!H22</f>
        <v/>
      </c>
      <c r="E22" s="12">
        <f>'Room List'!I22</f>
        <v/>
      </c>
      <c r="F22" s="12">
        <f>IFERROR(D22/B22,0)</f>
        <v/>
      </c>
      <c r="G22" s="12">
        <f>IF(E22&gt;=0,"On budget","Over budget")</f>
        <v/>
      </c>
    </row>
    <row r="23">
      <c r="A23">
        <f>'Room List'!A23</f>
        <v/>
      </c>
      <c r="B23">
        <f>'Room List'!F23</f>
        <v/>
      </c>
      <c r="C23">
        <f>'Room List'!G23</f>
        <v/>
      </c>
      <c r="D23">
        <f>'Room List'!H23</f>
        <v/>
      </c>
      <c r="E23">
        <f>'Room List'!I23</f>
        <v/>
      </c>
      <c r="F23">
        <f>IFERROR(D23/B23,0)</f>
        <v/>
      </c>
      <c r="G23">
        <f>IF(E23&gt;=0,"On budget","Over budget")</f>
        <v/>
      </c>
    </row>
    <row r="24">
      <c r="A24" s="12">
        <f>'Room List'!A24</f>
        <v/>
      </c>
      <c r="B24" s="12">
        <f>'Room List'!F24</f>
        <v/>
      </c>
      <c r="C24" s="12">
        <f>'Room List'!G24</f>
        <v/>
      </c>
      <c r="D24" s="12">
        <f>'Room List'!H24</f>
        <v/>
      </c>
      <c r="E24" s="12">
        <f>'Room List'!I24</f>
        <v/>
      </c>
      <c r="F24" s="12">
        <f>IFERROR(D24/B24,0)</f>
        <v/>
      </c>
      <c r="G24" s="12">
        <f>IF(E24&gt;=0,"On budget","Over budget")</f>
        <v/>
      </c>
    </row>
    <row r="25">
      <c r="A25">
        <f>'Room List'!A25</f>
        <v/>
      </c>
      <c r="B25">
        <f>'Room List'!F25</f>
        <v/>
      </c>
      <c r="C25">
        <f>'Room List'!G25</f>
        <v/>
      </c>
      <c r="D25">
        <f>'Room List'!H25</f>
        <v/>
      </c>
      <c r="E25">
        <f>'Room List'!I25</f>
        <v/>
      </c>
      <c r="F25">
        <f>IFERROR(D25/B25,0)</f>
        <v/>
      </c>
      <c r="G25">
        <f>IF(E25&gt;=0,"On budget","Over budget")</f>
        <v/>
      </c>
    </row>
    <row r="26">
      <c r="A26" s="12">
        <f>'Room List'!A26</f>
        <v/>
      </c>
      <c r="B26" s="12">
        <f>'Room List'!F26</f>
        <v/>
      </c>
      <c r="C26" s="12">
        <f>'Room List'!G26</f>
        <v/>
      </c>
      <c r="D26" s="12">
        <f>'Room List'!H26</f>
        <v/>
      </c>
      <c r="E26" s="12">
        <f>'Room List'!I26</f>
        <v/>
      </c>
      <c r="F26" s="12">
        <f>IFERROR(D26/B26,0)</f>
        <v/>
      </c>
      <c r="G26" s="12">
        <f>IF(E26&gt;=0,"On budget","Over budget")</f>
        <v/>
      </c>
    </row>
    <row r="27">
      <c r="A27">
        <f>'Room List'!A27</f>
        <v/>
      </c>
      <c r="B27">
        <f>'Room List'!F27</f>
        <v/>
      </c>
      <c r="C27">
        <f>'Room List'!G27</f>
        <v/>
      </c>
      <c r="D27">
        <f>'Room List'!H27</f>
        <v/>
      </c>
      <c r="E27">
        <f>'Room List'!I27</f>
        <v/>
      </c>
      <c r="F27">
        <f>IFERROR(D27/B27,0)</f>
        <v/>
      </c>
      <c r="G27">
        <f>IF(E27&gt;=0,"On budget","Over budget")</f>
        <v/>
      </c>
    </row>
    <row r="28">
      <c r="A28" s="12">
        <f>'Room List'!A28</f>
        <v/>
      </c>
      <c r="B28" s="12">
        <f>'Room List'!F28</f>
        <v/>
      </c>
      <c r="C28" s="12">
        <f>'Room List'!G28</f>
        <v/>
      </c>
      <c r="D28" s="12">
        <f>'Room List'!H28</f>
        <v/>
      </c>
      <c r="E28" s="12">
        <f>'Room List'!I28</f>
        <v/>
      </c>
      <c r="F28" s="12">
        <f>IFERROR(D28/B28,0)</f>
        <v/>
      </c>
      <c r="G28" s="12">
        <f>IF(E28&gt;=0,"On budget","Over budget")</f>
        <v/>
      </c>
    </row>
    <row r="29">
      <c r="A29">
        <f>'Room List'!A29</f>
        <v/>
      </c>
      <c r="B29">
        <f>'Room List'!F29</f>
        <v/>
      </c>
      <c r="C29">
        <f>'Room List'!G29</f>
        <v/>
      </c>
      <c r="D29">
        <f>'Room List'!H29</f>
        <v/>
      </c>
      <c r="E29">
        <f>'Room List'!I29</f>
        <v/>
      </c>
      <c r="F29">
        <f>IFERROR(D29/B29,0)</f>
        <v/>
      </c>
      <c r="G29">
        <f>IF(E29&gt;=0,"On budget","Over budget")</f>
        <v/>
      </c>
    </row>
    <row r="30">
      <c r="A30" s="12">
        <f>'Room List'!A30</f>
        <v/>
      </c>
      <c r="B30" s="12">
        <f>'Room List'!F30</f>
        <v/>
      </c>
      <c r="C30" s="12">
        <f>'Room List'!G30</f>
        <v/>
      </c>
      <c r="D30" s="12">
        <f>'Room List'!H30</f>
        <v/>
      </c>
      <c r="E30" s="12">
        <f>'Room List'!I30</f>
        <v/>
      </c>
      <c r="F30" s="12">
        <f>IFERROR(D30/B30,0)</f>
        <v/>
      </c>
      <c r="G30" s="12">
        <f>IF(E30&gt;=0,"On budget","Over budget")</f>
        <v/>
      </c>
    </row>
    <row r="31">
      <c r="A31">
        <f>'Room List'!A31</f>
        <v/>
      </c>
      <c r="B31">
        <f>'Room List'!F31</f>
        <v/>
      </c>
      <c r="C31">
        <f>'Room List'!G31</f>
        <v/>
      </c>
      <c r="D31">
        <f>'Room List'!H31</f>
        <v/>
      </c>
      <c r="E31">
        <f>'Room List'!I31</f>
        <v/>
      </c>
      <c r="F31">
        <f>IFERROR(D31/B31,0)</f>
        <v/>
      </c>
      <c r="G31">
        <f>IF(E31&gt;=0,"On budget","Over budget")</f>
        <v/>
      </c>
    </row>
    <row r="32">
      <c r="A32" s="12">
        <f>'Room List'!A32</f>
        <v/>
      </c>
      <c r="B32" s="12">
        <f>'Room List'!F32</f>
        <v/>
      </c>
      <c r="C32" s="12">
        <f>'Room List'!G32</f>
        <v/>
      </c>
      <c r="D32" s="12">
        <f>'Room List'!H32</f>
        <v/>
      </c>
      <c r="E32" s="12">
        <f>'Room List'!I32</f>
        <v/>
      </c>
      <c r="F32" s="12">
        <f>IFERROR(D32/B32,0)</f>
        <v/>
      </c>
      <c r="G32" s="12">
        <f>IF(E32&gt;=0,"On budget","Over budget")</f>
        <v/>
      </c>
    </row>
    <row r="33">
      <c r="A33">
        <f>'Room List'!A33</f>
        <v/>
      </c>
      <c r="B33">
        <f>'Room List'!F33</f>
        <v/>
      </c>
      <c r="C33">
        <f>'Room List'!G33</f>
        <v/>
      </c>
      <c r="D33">
        <f>'Room List'!H33</f>
        <v/>
      </c>
      <c r="E33">
        <f>'Room List'!I33</f>
        <v/>
      </c>
      <c r="F33">
        <f>IFERROR(D33/B33,0)</f>
        <v/>
      </c>
      <c r="G33">
        <f>IF(E33&gt;=0,"On budget","Over budget")</f>
        <v/>
      </c>
    </row>
    <row r="34">
      <c r="A34" s="12">
        <f>'Room List'!A34</f>
        <v/>
      </c>
      <c r="B34" s="12">
        <f>'Room List'!F34</f>
        <v/>
      </c>
      <c r="C34" s="12">
        <f>'Room List'!G34</f>
        <v/>
      </c>
      <c r="D34" s="12">
        <f>'Room List'!H34</f>
        <v/>
      </c>
      <c r="E34" s="12">
        <f>'Room List'!I34</f>
        <v/>
      </c>
      <c r="F34" s="12">
        <f>IFERROR(D34/B34,0)</f>
        <v/>
      </c>
      <c r="G34" s="12">
        <f>IF(E34&gt;=0,"On budget","Over budget")</f>
        <v/>
      </c>
    </row>
    <row r="35">
      <c r="A35">
        <f>'Room List'!A35</f>
        <v/>
      </c>
      <c r="B35">
        <f>'Room List'!F35</f>
        <v/>
      </c>
      <c r="C35">
        <f>'Room List'!G35</f>
        <v/>
      </c>
      <c r="D35">
        <f>'Room List'!H35</f>
        <v/>
      </c>
      <c r="E35">
        <f>'Room List'!I35</f>
        <v/>
      </c>
      <c r="F35">
        <f>IFERROR(D35/B35,0)</f>
        <v/>
      </c>
      <c r="G35">
        <f>IF(E35&gt;=0,"On budget","Over budget")</f>
        <v/>
      </c>
    </row>
    <row r="36">
      <c r="A36" s="12">
        <f>'Room List'!A36</f>
        <v/>
      </c>
      <c r="B36" s="12">
        <f>'Room List'!F36</f>
        <v/>
      </c>
      <c r="C36" s="12">
        <f>'Room List'!G36</f>
        <v/>
      </c>
      <c r="D36" s="12">
        <f>'Room List'!H36</f>
        <v/>
      </c>
      <c r="E36" s="12">
        <f>'Room List'!I36</f>
        <v/>
      </c>
      <c r="F36" s="12">
        <f>IFERROR(D36/B36,0)</f>
        <v/>
      </c>
      <c r="G36" s="12">
        <f>IF(E36&gt;=0,"On budget","Over budget")</f>
        <v/>
      </c>
    </row>
    <row r="37">
      <c r="A37">
        <f>'Room List'!A37</f>
        <v/>
      </c>
      <c r="B37">
        <f>'Room List'!F37</f>
        <v/>
      </c>
      <c r="C37">
        <f>'Room List'!G37</f>
        <v/>
      </c>
      <c r="D37">
        <f>'Room List'!H37</f>
        <v/>
      </c>
      <c r="E37">
        <f>'Room List'!I37</f>
        <v/>
      </c>
      <c r="F37">
        <f>IFERROR(D37/B37,0)</f>
        <v/>
      </c>
      <c r="G37">
        <f>IF(E37&gt;=0,"On budget","Over budget")</f>
        <v/>
      </c>
    </row>
    <row r="38">
      <c r="A38" s="12">
        <f>'Room List'!A38</f>
        <v/>
      </c>
      <c r="B38" s="12">
        <f>'Room List'!F38</f>
        <v/>
      </c>
      <c r="C38" s="12">
        <f>'Room List'!G38</f>
        <v/>
      </c>
      <c r="D38" s="12">
        <f>'Room List'!H38</f>
        <v/>
      </c>
      <c r="E38" s="12">
        <f>'Room List'!I38</f>
        <v/>
      </c>
      <c r="F38" s="12">
        <f>IFERROR(D38/B38,0)</f>
        <v/>
      </c>
      <c r="G38" s="12">
        <f>IF(E38&gt;=0,"On budget","Over budget")</f>
        <v/>
      </c>
    </row>
    <row r="39">
      <c r="A39">
        <f>'Room List'!A39</f>
        <v/>
      </c>
      <c r="B39">
        <f>'Room List'!F39</f>
        <v/>
      </c>
      <c r="C39">
        <f>'Room List'!G39</f>
        <v/>
      </c>
      <c r="D39">
        <f>'Room List'!H39</f>
        <v/>
      </c>
      <c r="E39">
        <f>'Room List'!I39</f>
        <v/>
      </c>
      <c r="F39">
        <f>IFERROR(D39/B39,0)</f>
        <v/>
      </c>
      <c r="G39">
        <f>IF(E39&gt;=0,"On budget","Over budget")</f>
        <v/>
      </c>
    </row>
    <row r="40">
      <c r="A40" s="12">
        <f>'Room List'!A40</f>
        <v/>
      </c>
      <c r="B40" s="12">
        <f>'Room List'!F40</f>
        <v/>
      </c>
      <c r="C40" s="12">
        <f>'Room List'!G40</f>
        <v/>
      </c>
      <c r="D40" s="12">
        <f>'Room List'!H40</f>
        <v/>
      </c>
      <c r="E40" s="12">
        <f>'Room List'!I40</f>
        <v/>
      </c>
      <c r="F40" s="12">
        <f>IFERROR(D40/B40,0)</f>
        <v/>
      </c>
      <c r="G40" s="12">
        <f>IF(E40&gt;=0,"On budget","Over budget")</f>
        <v/>
      </c>
    </row>
    <row r="41">
      <c r="A41">
        <f>'Room List'!A41</f>
        <v/>
      </c>
      <c r="B41">
        <f>'Room List'!F41</f>
        <v/>
      </c>
      <c r="C41">
        <f>'Room List'!G41</f>
        <v/>
      </c>
      <c r="D41">
        <f>'Room List'!H41</f>
        <v/>
      </c>
      <c r="E41">
        <f>'Room List'!I41</f>
        <v/>
      </c>
      <c r="F41">
        <f>IFERROR(D41/B41,0)</f>
        <v/>
      </c>
      <c r="G41">
        <f>IF(E41&gt;=0,"On budget","Over budget")</f>
        <v/>
      </c>
    </row>
    <row r="42">
      <c r="A42" s="12">
        <f>'Room List'!A42</f>
        <v/>
      </c>
      <c r="B42" s="12">
        <f>'Room List'!F42</f>
        <v/>
      </c>
      <c r="C42" s="12">
        <f>'Room List'!G42</f>
        <v/>
      </c>
      <c r="D42" s="12">
        <f>'Room List'!H42</f>
        <v/>
      </c>
      <c r="E42" s="12">
        <f>'Room List'!I42</f>
        <v/>
      </c>
      <c r="F42" s="12">
        <f>IFERROR(D42/B42,0)</f>
        <v/>
      </c>
      <c r="G42" s="12">
        <f>IF(E42&gt;=0,"On budget","Over budget")</f>
        <v/>
      </c>
    </row>
    <row r="43">
      <c r="A43">
        <f>'Room List'!A43</f>
        <v/>
      </c>
      <c r="B43">
        <f>'Room List'!F43</f>
        <v/>
      </c>
      <c r="C43">
        <f>'Room List'!G43</f>
        <v/>
      </c>
      <c r="D43">
        <f>'Room List'!H43</f>
        <v/>
      </c>
      <c r="E43">
        <f>'Room List'!I43</f>
        <v/>
      </c>
      <c r="F43">
        <f>IFERROR(D43/B43,0)</f>
        <v/>
      </c>
      <c r="G43">
        <f>IF(E43&gt;=0,"On budget","Over budget")</f>
        <v/>
      </c>
    </row>
    <row r="44">
      <c r="A44" s="12">
        <f>'Room List'!A44</f>
        <v/>
      </c>
      <c r="B44" s="12">
        <f>'Room List'!F44</f>
        <v/>
      </c>
      <c r="C44" s="12">
        <f>'Room List'!G44</f>
        <v/>
      </c>
      <c r="D44" s="12">
        <f>'Room List'!H44</f>
        <v/>
      </c>
      <c r="E44" s="12">
        <f>'Room List'!I44</f>
        <v/>
      </c>
      <c r="F44" s="12">
        <f>IFERROR(D44/B44,0)</f>
        <v/>
      </c>
      <c r="G44" s="12">
        <f>IF(E44&gt;=0,"On budget","Over budget")</f>
        <v/>
      </c>
    </row>
    <row r="45">
      <c r="A45">
        <f>'Room List'!A45</f>
        <v/>
      </c>
      <c r="B45">
        <f>'Room List'!F45</f>
        <v/>
      </c>
      <c r="C45">
        <f>'Room List'!G45</f>
        <v/>
      </c>
      <c r="D45">
        <f>'Room List'!H45</f>
        <v/>
      </c>
      <c r="E45">
        <f>'Room List'!I45</f>
        <v/>
      </c>
      <c r="F45">
        <f>IFERROR(D45/B45,0)</f>
        <v/>
      </c>
      <c r="G45">
        <f>IF(E45&gt;=0,"On budget","Over budget")</f>
        <v/>
      </c>
    </row>
    <row r="46">
      <c r="A46" s="12">
        <f>'Room List'!A46</f>
        <v/>
      </c>
      <c r="B46" s="12">
        <f>'Room List'!F46</f>
        <v/>
      </c>
      <c r="C46" s="12">
        <f>'Room List'!G46</f>
        <v/>
      </c>
      <c r="D46" s="12">
        <f>'Room List'!H46</f>
        <v/>
      </c>
      <c r="E46" s="12">
        <f>'Room List'!I46</f>
        <v/>
      </c>
      <c r="F46" s="12">
        <f>IFERROR(D46/B46,0)</f>
        <v/>
      </c>
      <c r="G46" s="12">
        <f>IF(E46&gt;=0,"On budget","Over budget")</f>
        <v/>
      </c>
    </row>
    <row r="47">
      <c r="A47">
        <f>'Room List'!A47</f>
        <v/>
      </c>
      <c r="B47">
        <f>'Room List'!F47</f>
        <v/>
      </c>
      <c r="C47">
        <f>'Room List'!G47</f>
        <v/>
      </c>
      <c r="D47">
        <f>'Room List'!H47</f>
        <v/>
      </c>
      <c r="E47">
        <f>'Room List'!I47</f>
        <v/>
      </c>
      <c r="F47">
        <f>IFERROR(D47/B47,0)</f>
        <v/>
      </c>
      <c r="G47">
        <f>IF(E47&gt;=0,"On budget","Over budget")</f>
        <v/>
      </c>
    </row>
    <row r="48">
      <c r="A48" s="12">
        <f>'Room List'!A48</f>
        <v/>
      </c>
      <c r="B48" s="12">
        <f>'Room List'!F48</f>
        <v/>
      </c>
      <c r="C48" s="12">
        <f>'Room List'!G48</f>
        <v/>
      </c>
      <c r="D48" s="12">
        <f>'Room List'!H48</f>
        <v/>
      </c>
      <c r="E48" s="12">
        <f>'Room List'!I48</f>
        <v/>
      </c>
      <c r="F48" s="12">
        <f>IFERROR(D48/B48,0)</f>
        <v/>
      </c>
      <c r="G48" s="12">
        <f>IF(E48&gt;=0,"On budget","Over budget")</f>
        <v/>
      </c>
    </row>
    <row r="49">
      <c r="A49">
        <f>'Room List'!A49</f>
        <v/>
      </c>
      <c r="B49">
        <f>'Room List'!F49</f>
        <v/>
      </c>
      <c r="C49">
        <f>'Room List'!G49</f>
        <v/>
      </c>
      <c r="D49">
        <f>'Room List'!H49</f>
        <v/>
      </c>
      <c r="E49">
        <f>'Room List'!I49</f>
        <v/>
      </c>
      <c r="F49">
        <f>IFERROR(D49/B49,0)</f>
        <v/>
      </c>
      <c r="G49">
        <f>IF(E49&gt;=0,"On budget","Over budget")</f>
        <v/>
      </c>
    </row>
    <row r="50">
      <c r="A50" s="12">
        <f>'Room List'!A50</f>
        <v/>
      </c>
      <c r="B50" s="12">
        <f>'Room List'!F50</f>
        <v/>
      </c>
      <c r="C50" s="12">
        <f>'Room List'!G50</f>
        <v/>
      </c>
      <c r="D50" s="12">
        <f>'Room List'!H50</f>
        <v/>
      </c>
      <c r="E50" s="12">
        <f>'Room List'!I50</f>
        <v/>
      </c>
      <c r="F50" s="12">
        <f>IFERROR(D50/B50,0)</f>
        <v/>
      </c>
      <c r="G50" s="12">
        <f>IF(E50&gt;=0,"On budget","Over budget")</f>
        <v/>
      </c>
    </row>
    <row r="51">
      <c r="A51">
        <f>'Room List'!A51</f>
        <v/>
      </c>
      <c r="B51">
        <f>'Room List'!F51</f>
        <v/>
      </c>
      <c r="C51">
        <f>'Room List'!G51</f>
        <v/>
      </c>
      <c r="D51">
        <f>'Room List'!H51</f>
        <v/>
      </c>
      <c r="E51">
        <f>'Room List'!I51</f>
        <v/>
      </c>
      <c r="F51">
        <f>IFERROR(D51/B51,0)</f>
        <v/>
      </c>
      <c r="G51">
        <f>IF(E51&gt;=0,"On budget","Over budget")</f>
        <v/>
      </c>
    </row>
    <row r="52">
      <c r="A52" s="12">
        <f>'Room List'!A52</f>
        <v/>
      </c>
      <c r="B52" s="12">
        <f>'Room List'!F52</f>
        <v/>
      </c>
      <c r="C52" s="12">
        <f>'Room List'!G52</f>
        <v/>
      </c>
      <c r="D52" s="12">
        <f>'Room List'!H52</f>
        <v/>
      </c>
      <c r="E52" s="12">
        <f>'Room List'!I52</f>
        <v/>
      </c>
      <c r="F52" s="12">
        <f>IFERROR(D52/B52,0)</f>
        <v/>
      </c>
      <c r="G52" s="12">
        <f>IF(E52&gt;=0,"On budget","Over budget")</f>
        <v/>
      </c>
    </row>
    <row r="53">
      <c r="A53">
        <f>'Room List'!A53</f>
        <v/>
      </c>
      <c r="B53">
        <f>'Room List'!F53</f>
        <v/>
      </c>
      <c r="C53">
        <f>'Room List'!G53</f>
        <v/>
      </c>
      <c r="D53">
        <f>'Room List'!H53</f>
        <v/>
      </c>
      <c r="E53">
        <f>'Room List'!I53</f>
        <v/>
      </c>
      <c r="F53">
        <f>IFERROR(D53/B53,0)</f>
        <v/>
      </c>
      <c r="G53">
        <f>IF(E53&gt;=0,"On budget","Over budget")</f>
        <v/>
      </c>
    </row>
    <row r="54">
      <c r="A54" s="12">
        <f>'Room List'!A54</f>
        <v/>
      </c>
      <c r="B54" s="12">
        <f>'Room List'!F54</f>
        <v/>
      </c>
      <c r="C54" s="12">
        <f>'Room List'!G54</f>
        <v/>
      </c>
      <c r="D54" s="12">
        <f>'Room List'!H54</f>
        <v/>
      </c>
      <c r="E54" s="12">
        <f>'Room List'!I54</f>
        <v/>
      </c>
      <c r="F54" s="12">
        <f>IFERROR(D54/B54,0)</f>
        <v/>
      </c>
      <c r="G54" s="12">
        <f>IF(E54&gt;=0,"On budget","Over budget")</f>
        <v/>
      </c>
    </row>
    <row r="55">
      <c r="A55">
        <f>'Room List'!A55</f>
        <v/>
      </c>
      <c r="B55">
        <f>'Room List'!F55</f>
        <v/>
      </c>
      <c r="C55">
        <f>'Room List'!G55</f>
        <v/>
      </c>
      <c r="D55">
        <f>'Room List'!H55</f>
        <v/>
      </c>
      <c r="E55">
        <f>'Room List'!I55</f>
        <v/>
      </c>
      <c r="F55">
        <f>IFERROR(D55/B55,0)</f>
        <v/>
      </c>
      <c r="G55">
        <f>IF(E55&gt;=0,"On budget","Over budget")</f>
        <v/>
      </c>
    </row>
    <row r="56">
      <c r="A56" s="12">
        <f>'Room List'!A56</f>
        <v/>
      </c>
      <c r="B56" s="12">
        <f>'Room List'!F56</f>
        <v/>
      </c>
      <c r="C56" s="12">
        <f>'Room List'!G56</f>
        <v/>
      </c>
      <c r="D56" s="12">
        <f>'Room List'!H56</f>
        <v/>
      </c>
      <c r="E56" s="12">
        <f>'Room List'!I56</f>
        <v/>
      </c>
      <c r="F56" s="12">
        <f>IFERROR(D56/B56,0)</f>
        <v/>
      </c>
      <c r="G56" s="12">
        <f>IF(E56&gt;=0,"On budget","Over budget")</f>
        <v/>
      </c>
    </row>
    <row r="57">
      <c r="A57">
        <f>'Room List'!A57</f>
        <v/>
      </c>
      <c r="B57">
        <f>'Room List'!F57</f>
        <v/>
      </c>
      <c r="C57">
        <f>'Room List'!G57</f>
        <v/>
      </c>
      <c r="D57">
        <f>'Room List'!H57</f>
        <v/>
      </c>
      <c r="E57">
        <f>'Room List'!I57</f>
        <v/>
      </c>
      <c r="F57">
        <f>IFERROR(D57/B57,0)</f>
        <v/>
      </c>
      <c r="G57">
        <f>IF(E57&gt;=0,"On budget","Over budget")</f>
        <v/>
      </c>
    </row>
    <row r="58">
      <c r="A58" s="12">
        <f>'Room List'!A58</f>
        <v/>
      </c>
      <c r="B58" s="12">
        <f>'Room List'!F58</f>
        <v/>
      </c>
      <c r="C58" s="12">
        <f>'Room List'!G58</f>
        <v/>
      </c>
      <c r="D58" s="12">
        <f>'Room List'!H58</f>
        <v/>
      </c>
      <c r="E58" s="12">
        <f>'Room List'!I58</f>
        <v/>
      </c>
      <c r="F58" s="12">
        <f>IFERROR(D58/B58,0)</f>
        <v/>
      </c>
      <c r="G58" s="12">
        <f>IF(E58&gt;=0,"On budget","Over budget")</f>
        <v/>
      </c>
    </row>
    <row r="59">
      <c r="A59">
        <f>'Room List'!A59</f>
        <v/>
      </c>
      <c r="B59">
        <f>'Room List'!F59</f>
        <v/>
      </c>
      <c r="C59">
        <f>'Room List'!G59</f>
        <v/>
      </c>
      <c r="D59">
        <f>'Room List'!H59</f>
        <v/>
      </c>
      <c r="E59">
        <f>'Room List'!I59</f>
        <v/>
      </c>
      <c r="F59">
        <f>IFERROR(D59/B59,0)</f>
        <v/>
      </c>
      <c r="G59">
        <f>IF(E59&gt;=0,"On budget","Over budget")</f>
        <v/>
      </c>
    </row>
    <row r="60">
      <c r="A60" s="12">
        <f>'Room List'!A60</f>
        <v/>
      </c>
      <c r="B60" s="12">
        <f>'Room List'!F60</f>
        <v/>
      </c>
      <c r="C60" s="12">
        <f>'Room List'!G60</f>
        <v/>
      </c>
      <c r="D60" s="12">
        <f>'Room List'!H60</f>
        <v/>
      </c>
      <c r="E60" s="12">
        <f>'Room List'!I60</f>
        <v/>
      </c>
      <c r="F60" s="12">
        <f>IFERROR(D60/B60,0)</f>
        <v/>
      </c>
      <c r="G60" s="12">
        <f>IF(E60&gt;=0,"On budget","Over budget")</f>
        <v/>
      </c>
    </row>
    <row r="61">
      <c r="A61">
        <f>'Room List'!A61</f>
        <v/>
      </c>
      <c r="B61">
        <f>'Room List'!F61</f>
        <v/>
      </c>
      <c r="C61">
        <f>'Room List'!G61</f>
        <v/>
      </c>
      <c r="D61">
        <f>'Room List'!H61</f>
        <v/>
      </c>
      <c r="E61">
        <f>'Room List'!I61</f>
        <v/>
      </c>
      <c r="F61">
        <f>IFERROR(D61/B61,0)</f>
        <v/>
      </c>
      <c r="G61">
        <f>IF(E61&gt;=0,"On budget","Over budget")</f>
        <v/>
      </c>
    </row>
    <row r="62">
      <c r="A62" s="12">
        <f>'Room List'!A62</f>
        <v/>
      </c>
      <c r="B62" s="12">
        <f>'Room List'!F62</f>
        <v/>
      </c>
      <c r="C62" s="12">
        <f>'Room List'!G62</f>
        <v/>
      </c>
      <c r="D62" s="12">
        <f>'Room List'!H62</f>
        <v/>
      </c>
      <c r="E62" s="12">
        <f>'Room List'!I62</f>
        <v/>
      </c>
      <c r="F62" s="12">
        <f>IFERROR(D62/B62,0)</f>
        <v/>
      </c>
      <c r="G62" s="12">
        <f>IF(E62&gt;=0,"On budget","Over budget")</f>
        <v/>
      </c>
    </row>
    <row r="63">
      <c r="A63">
        <f>'Room List'!A63</f>
        <v/>
      </c>
      <c r="B63">
        <f>'Room List'!F63</f>
        <v/>
      </c>
      <c r="C63">
        <f>'Room List'!G63</f>
        <v/>
      </c>
      <c r="D63">
        <f>'Room List'!H63</f>
        <v/>
      </c>
      <c r="E63">
        <f>'Room List'!I63</f>
        <v/>
      </c>
      <c r="F63">
        <f>IFERROR(D63/B63,0)</f>
        <v/>
      </c>
      <c r="G63">
        <f>IF(E63&gt;=0,"On budget","Over budget")</f>
        <v/>
      </c>
    </row>
    <row r="64">
      <c r="A64" s="12">
        <f>'Room List'!A64</f>
        <v/>
      </c>
      <c r="B64" s="12">
        <f>'Room List'!F64</f>
        <v/>
      </c>
      <c r="C64" s="12">
        <f>'Room List'!G64</f>
        <v/>
      </c>
      <c r="D64" s="12">
        <f>'Room List'!H64</f>
        <v/>
      </c>
      <c r="E64" s="12">
        <f>'Room List'!I64</f>
        <v/>
      </c>
      <c r="F64" s="12">
        <f>IFERROR(D64/B64,0)</f>
        <v/>
      </c>
      <c r="G64" s="12">
        <f>IF(E64&gt;=0,"On budget","Over budget")</f>
        <v/>
      </c>
    </row>
    <row r="65">
      <c r="A65">
        <f>'Room List'!A65</f>
        <v/>
      </c>
      <c r="B65">
        <f>'Room List'!F65</f>
        <v/>
      </c>
      <c r="C65">
        <f>'Room List'!G65</f>
        <v/>
      </c>
      <c r="D65">
        <f>'Room List'!H65</f>
        <v/>
      </c>
      <c r="E65">
        <f>'Room List'!I65</f>
        <v/>
      </c>
      <c r="F65">
        <f>IFERROR(D65/B65,0)</f>
        <v/>
      </c>
      <c r="G65">
        <f>IF(E65&gt;=0,"On budget","Over budget")</f>
        <v/>
      </c>
    </row>
    <row r="66">
      <c r="A66" s="12">
        <f>'Room List'!A66</f>
        <v/>
      </c>
      <c r="B66" s="12">
        <f>'Room List'!F66</f>
        <v/>
      </c>
      <c r="C66" s="12">
        <f>'Room List'!G66</f>
        <v/>
      </c>
      <c r="D66" s="12">
        <f>'Room List'!H66</f>
        <v/>
      </c>
      <c r="E66" s="12">
        <f>'Room List'!I66</f>
        <v/>
      </c>
      <c r="F66" s="12">
        <f>IFERROR(D66/B66,0)</f>
        <v/>
      </c>
      <c r="G66" s="12">
        <f>IF(E66&gt;=0,"On budget","Over budget")</f>
        <v/>
      </c>
    </row>
    <row r="67">
      <c r="A67">
        <f>'Room List'!A67</f>
        <v/>
      </c>
      <c r="B67">
        <f>'Room List'!F67</f>
        <v/>
      </c>
      <c r="C67">
        <f>'Room List'!G67</f>
        <v/>
      </c>
      <c r="D67">
        <f>'Room List'!H67</f>
        <v/>
      </c>
      <c r="E67">
        <f>'Room List'!I67</f>
        <v/>
      </c>
      <c r="F67">
        <f>IFERROR(D67/B67,0)</f>
        <v/>
      </c>
      <c r="G67">
        <f>IF(E67&gt;=0,"On budget","Over budget")</f>
        <v/>
      </c>
    </row>
    <row r="68">
      <c r="A68" s="12">
        <f>'Room List'!A68</f>
        <v/>
      </c>
      <c r="B68" s="12">
        <f>'Room List'!F68</f>
        <v/>
      </c>
      <c r="C68" s="12">
        <f>'Room List'!G68</f>
        <v/>
      </c>
      <c r="D68" s="12">
        <f>'Room List'!H68</f>
        <v/>
      </c>
      <c r="E68" s="12">
        <f>'Room List'!I68</f>
        <v/>
      </c>
      <c r="F68" s="12">
        <f>IFERROR(D68/B68,0)</f>
        <v/>
      </c>
      <c r="G68" s="12">
        <f>IF(E68&gt;=0,"On budget","Over budget")</f>
        <v/>
      </c>
    </row>
    <row r="69">
      <c r="A69">
        <f>'Room List'!A69</f>
        <v/>
      </c>
      <c r="B69">
        <f>'Room List'!F69</f>
        <v/>
      </c>
      <c r="C69">
        <f>'Room List'!G69</f>
        <v/>
      </c>
      <c r="D69">
        <f>'Room List'!H69</f>
        <v/>
      </c>
      <c r="E69">
        <f>'Room List'!I69</f>
        <v/>
      </c>
      <c r="F69">
        <f>IFERROR(D69/B69,0)</f>
        <v/>
      </c>
      <c r="G69">
        <f>IF(E69&gt;=0,"On budget","Over budget")</f>
        <v/>
      </c>
    </row>
    <row r="70">
      <c r="A70" s="12">
        <f>'Room List'!A70</f>
        <v/>
      </c>
      <c r="B70" s="12">
        <f>'Room List'!F70</f>
        <v/>
      </c>
      <c r="C70" s="12">
        <f>'Room List'!G70</f>
        <v/>
      </c>
      <c r="D70" s="12">
        <f>'Room List'!H70</f>
        <v/>
      </c>
      <c r="E70" s="12">
        <f>'Room List'!I70</f>
        <v/>
      </c>
      <c r="F70" s="12">
        <f>IFERROR(D70/B70,0)</f>
        <v/>
      </c>
      <c r="G70" s="12">
        <f>IF(E70&gt;=0,"On budget","Over budget")</f>
        <v/>
      </c>
    </row>
    <row r="71">
      <c r="A71">
        <f>'Room List'!A71</f>
        <v/>
      </c>
      <c r="B71">
        <f>'Room List'!F71</f>
        <v/>
      </c>
      <c r="C71">
        <f>'Room List'!G71</f>
        <v/>
      </c>
      <c r="D71">
        <f>'Room List'!H71</f>
        <v/>
      </c>
      <c r="E71">
        <f>'Room List'!I71</f>
        <v/>
      </c>
      <c r="F71">
        <f>IFERROR(D71/B71,0)</f>
        <v/>
      </c>
      <c r="G71">
        <f>IF(E71&gt;=0,"On budget","Over budget")</f>
        <v/>
      </c>
    </row>
    <row r="72">
      <c r="A72" s="12">
        <f>'Room List'!A72</f>
        <v/>
      </c>
      <c r="B72" s="12">
        <f>'Room List'!F72</f>
        <v/>
      </c>
      <c r="C72" s="12">
        <f>'Room List'!G72</f>
        <v/>
      </c>
      <c r="D72" s="12">
        <f>'Room List'!H72</f>
        <v/>
      </c>
      <c r="E72" s="12">
        <f>'Room List'!I72</f>
        <v/>
      </c>
      <c r="F72" s="12">
        <f>IFERROR(D72/B72,0)</f>
        <v/>
      </c>
      <c r="G72" s="12">
        <f>IF(E72&gt;=0,"On budget","Over budget")</f>
        <v/>
      </c>
    </row>
    <row r="73">
      <c r="A73">
        <f>'Room List'!A73</f>
        <v/>
      </c>
      <c r="B73">
        <f>'Room List'!F73</f>
        <v/>
      </c>
      <c r="C73">
        <f>'Room List'!G73</f>
        <v/>
      </c>
      <c r="D73">
        <f>'Room List'!H73</f>
        <v/>
      </c>
      <c r="E73">
        <f>'Room List'!I73</f>
        <v/>
      </c>
      <c r="F73">
        <f>IFERROR(D73/B73,0)</f>
        <v/>
      </c>
      <c r="G73">
        <f>IF(E73&gt;=0,"On budget","Over budget")</f>
        <v/>
      </c>
    </row>
    <row r="74">
      <c r="A74" s="12">
        <f>'Room List'!A74</f>
        <v/>
      </c>
      <c r="B74" s="12">
        <f>'Room List'!F74</f>
        <v/>
      </c>
      <c r="C74" s="12">
        <f>'Room List'!G74</f>
        <v/>
      </c>
      <c r="D74" s="12">
        <f>'Room List'!H74</f>
        <v/>
      </c>
      <c r="E74" s="12">
        <f>'Room List'!I74</f>
        <v/>
      </c>
      <c r="F74" s="12">
        <f>IFERROR(D74/B74,0)</f>
        <v/>
      </c>
      <c r="G74" s="12">
        <f>IF(E74&gt;=0,"On budget","Over budget")</f>
        <v/>
      </c>
    </row>
    <row r="75">
      <c r="A75">
        <f>'Room List'!A75</f>
        <v/>
      </c>
      <c r="B75">
        <f>'Room List'!F75</f>
        <v/>
      </c>
      <c r="C75">
        <f>'Room List'!G75</f>
        <v/>
      </c>
      <c r="D75">
        <f>'Room List'!H75</f>
        <v/>
      </c>
      <c r="E75">
        <f>'Room List'!I75</f>
        <v/>
      </c>
      <c r="F75">
        <f>IFERROR(D75/B75,0)</f>
        <v/>
      </c>
      <c r="G75">
        <f>IF(E75&gt;=0,"On budget","Over budget")</f>
        <v/>
      </c>
    </row>
    <row r="76">
      <c r="A76" s="12">
        <f>'Room List'!A76</f>
        <v/>
      </c>
      <c r="B76" s="12">
        <f>'Room List'!F76</f>
        <v/>
      </c>
      <c r="C76" s="12">
        <f>'Room List'!G76</f>
        <v/>
      </c>
      <c r="D76" s="12">
        <f>'Room List'!H76</f>
        <v/>
      </c>
      <c r="E76" s="12">
        <f>'Room List'!I76</f>
        <v/>
      </c>
      <c r="F76" s="12">
        <f>IFERROR(D76/B76,0)</f>
        <v/>
      </c>
      <c r="G76" s="12">
        <f>IF(E76&gt;=0,"On budget","Over budget")</f>
        <v/>
      </c>
    </row>
    <row r="77">
      <c r="A77">
        <f>'Room List'!A77</f>
        <v/>
      </c>
      <c r="B77">
        <f>'Room List'!F77</f>
        <v/>
      </c>
      <c r="C77">
        <f>'Room List'!G77</f>
        <v/>
      </c>
      <c r="D77">
        <f>'Room List'!H77</f>
        <v/>
      </c>
      <c r="E77">
        <f>'Room List'!I77</f>
        <v/>
      </c>
      <c r="F77">
        <f>IFERROR(D77/B77,0)</f>
        <v/>
      </c>
      <c r="G77">
        <f>IF(E77&gt;=0,"On budget","Over budget")</f>
        <v/>
      </c>
    </row>
    <row r="78">
      <c r="A78" s="12">
        <f>'Room List'!A78</f>
        <v/>
      </c>
      <c r="B78" s="12">
        <f>'Room List'!F78</f>
        <v/>
      </c>
      <c r="C78" s="12">
        <f>'Room List'!G78</f>
        <v/>
      </c>
      <c r="D78" s="12">
        <f>'Room List'!H78</f>
        <v/>
      </c>
      <c r="E78" s="12">
        <f>'Room List'!I78</f>
        <v/>
      </c>
      <c r="F78" s="12">
        <f>IFERROR(D78/B78,0)</f>
        <v/>
      </c>
      <c r="G78" s="12">
        <f>IF(E78&gt;=0,"On budget","Over budget")</f>
        <v/>
      </c>
    </row>
    <row r="79">
      <c r="A79">
        <f>'Room List'!A79</f>
        <v/>
      </c>
      <c r="B79">
        <f>'Room List'!F79</f>
        <v/>
      </c>
      <c r="C79">
        <f>'Room List'!G79</f>
        <v/>
      </c>
      <c r="D79">
        <f>'Room List'!H79</f>
        <v/>
      </c>
      <c r="E79">
        <f>'Room List'!I79</f>
        <v/>
      </c>
      <c r="F79">
        <f>IFERROR(D79/B79,0)</f>
        <v/>
      </c>
      <c r="G79">
        <f>IF(E79&gt;=0,"On budget","Over budget")</f>
        <v/>
      </c>
    </row>
    <row r="80">
      <c r="A80" s="12">
        <f>'Room List'!A80</f>
        <v/>
      </c>
      <c r="B80" s="12">
        <f>'Room List'!F80</f>
        <v/>
      </c>
      <c r="C80" s="12">
        <f>'Room List'!G80</f>
        <v/>
      </c>
      <c r="D80" s="12">
        <f>'Room List'!H80</f>
        <v/>
      </c>
      <c r="E80" s="12">
        <f>'Room List'!I80</f>
        <v/>
      </c>
      <c r="F80" s="12">
        <f>IFERROR(D80/B80,0)</f>
        <v/>
      </c>
      <c r="G80" s="12">
        <f>IF(E80&gt;=0,"On budget","Over budget")</f>
        <v/>
      </c>
    </row>
    <row r="81">
      <c r="A81">
        <f>'Room List'!A81</f>
        <v/>
      </c>
      <c r="B81">
        <f>'Room List'!F81</f>
        <v/>
      </c>
      <c r="C81">
        <f>'Room List'!G81</f>
        <v/>
      </c>
      <c r="D81">
        <f>'Room List'!H81</f>
        <v/>
      </c>
      <c r="E81">
        <f>'Room List'!I81</f>
        <v/>
      </c>
      <c r="F81">
        <f>IFERROR(D81/B81,0)</f>
        <v/>
      </c>
      <c r="G81">
        <f>IF(E81&gt;=0,"On budget","Over budget")</f>
        <v/>
      </c>
    </row>
    <row r="82">
      <c r="A82" s="12">
        <f>'Room List'!A82</f>
        <v/>
      </c>
      <c r="B82" s="12">
        <f>'Room List'!F82</f>
        <v/>
      </c>
      <c r="C82" s="12">
        <f>'Room List'!G82</f>
        <v/>
      </c>
      <c r="D82" s="12">
        <f>'Room List'!H82</f>
        <v/>
      </c>
      <c r="E82" s="12">
        <f>'Room List'!I82</f>
        <v/>
      </c>
      <c r="F82" s="12">
        <f>IFERROR(D82/B82,0)</f>
        <v/>
      </c>
      <c r="G82" s="12">
        <f>IF(E82&gt;=0,"On budget","Over budget")</f>
        <v/>
      </c>
    </row>
    <row r="83">
      <c r="A83">
        <f>'Room List'!A83</f>
        <v/>
      </c>
      <c r="B83">
        <f>'Room List'!F83</f>
        <v/>
      </c>
      <c r="C83">
        <f>'Room List'!G83</f>
        <v/>
      </c>
      <c r="D83">
        <f>'Room List'!H83</f>
        <v/>
      </c>
      <c r="E83">
        <f>'Room List'!I83</f>
        <v/>
      </c>
      <c r="F83">
        <f>IFERROR(D83/B83,0)</f>
        <v/>
      </c>
      <c r="G83">
        <f>IF(E83&gt;=0,"On budget","Over budget")</f>
        <v/>
      </c>
    </row>
    <row r="84">
      <c r="A84" s="12">
        <f>'Room List'!A84</f>
        <v/>
      </c>
      <c r="B84" s="12">
        <f>'Room List'!F84</f>
        <v/>
      </c>
      <c r="C84" s="12">
        <f>'Room List'!G84</f>
        <v/>
      </c>
      <c r="D84" s="12">
        <f>'Room List'!H84</f>
        <v/>
      </c>
      <c r="E84" s="12">
        <f>'Room List'!I84</f>
        <v/>
      </c>
      <c r="F84" s="12">
        <f>IFERROR(D84/B84,0)</f>
        <v/>
      </c>
      <c r="G84" s="12">
        <f>IF(E84&gt;=0,"On budget","Over budget")</f>
        <v/>
      </c>
    </row>
    <row r="85">
      <c r="A85">
        <f>'Room List'!A85</f>
        <v/>
      </c>
      <c r="B85">
        <f>'Room List'!F85</f>
        <v/>
      </c>
      <c r="C85">
        <f>'Room List'!G85</f>
        <v/>
      </c>
      <c r="D85">
        <f>'Room List'!H85</f>
        <v/>
      </c>
      <c r="E85">
        <f>'Room List'!I85</f>
        <v/>
      </c>
      <c r="F85">
        <f>IFERROR(D85/B85,0)</f>
        <v/>
      </c>
      <c r="G85">
        <f>IF(E85&gt;=0,"On budget","Over budget")</f>
        <v/>
      </c>
    </row>
    <row r="86">
      <c r="A86" s="12">
        <f>'Room List'!A86</f>
        <v/>
      </c>
      <c r="B86" s="12">
        <f>'Room List'!F86</f>
        <v/>
      </c>
      <c r="C86" s="12">
        <f>'Room List'!G86</f>
        <v/>
      </c>
      <c r="D86" s="12">
        <f>'Room List'!H86</f>
        <v/>
      </c>
      <c r="E86" s="12">
        <f>'Room List'!I86</f>
        <v/>
      </c>
      <c r="F86" s="12">
        <f>IFERROR(D86/B86,0)</f>
        <v/>
      </c>
      <c r="G86" s="12">
        <f>IF(E86&gt;=0,"On budget","Over budget")</f>
        <v/>
      </c>
    </row>
    <row r="87">
      <c r="A87">
        <f>'Room List'!A87</f>
        <v/>
      </c>
      <c r="B87">
        <f>'Room List'!F87</f>
        <v/>
      </c>
      <c r="C87">
        <f>'Room List'!G87</f>
        <v/>
      </c>
      <c r="D87">
        <f>'Room List'!H87</f>
        <v/>
      </c>
      <c r="E87">
        <f>'Room List'!I87</f>
        <v/>
      </c>
      <c r="F87">
        <f>IFERROR(D87/B87,0)</f>
        <v/>
      </c>
      <c r="G87">
        <f>IF(E87&gt;=0,"On budget","Over budget")</f>
        <v/>
      </c>
    </row>
    <row r="88">
      <c r="A88" s="12">
        <f>'Room List'!A88</f>
        <v/>
      </c>
      <c r="B88" s="12">
        <f>'Room List'!F88</f>
        <v/>
      </c>
      <c r="C88" s="12">
        <f>'Room List'!G88</f>
        <v/>
      </c>
      <c r="D88" s="12">
        <f>'Room List'!H88</f>
        <v/>
      </c>
      <c r="E88" s="12">
        <f>'Room List'!I88</f>
        <v/>
      </c>
      <c r="F88" s="12">
        <f>IFERROR(D88/B88,0)</f>
        <v/>
      </c>
      <c r="G88" s="12">
        <f>IF(E88&gt;=0,"On budget","Over budget")</f>
        <v/>
      </c>
    </row>
    <row r="89">
      <c r="A89">
        <f>'Room List'!A89</f>
        <v/>
      </c>
      <c r="B89">
        <f>'Room List'!F89</f>
        <v/>
      </c>
      <c r="C89">
        <f>'Room List'!G89</f>
        <v/>
      </c>
      <c r="D89">
        <f>'Room List'!H89</f>
        <v/>
      </c>
      <c r="E89">
        <f>'Room List'!I89</f>
        <v/>
      </c>
      <c r="F89">
        <f>IFERROR(D89/B89,0)</f>
        <v/>
      </c>
      <c r="G89">
        <f>IF(E89&gt;=0,"On budget","Over budget")</f>
        <v/>
      </c>
    </row>
    <row r="90">
      <c r="A90" s="12">
        <f>'Room List'!A90</f>
        <v/>
      </c>
      <c r="B90" s="12">
        <f>'Room List'!F90</f>
        <v/>
      </c>
      <c r="C90" s="12">
        <f>'Room List'!G90</f>
        <v/>
      </c>
      <c r="D90" s="12">
        <f>'Room List'!H90</f>
        <v/>
      </c>
      <c r="E90" s="12">
        <f>'Room List'!I90</f>
        <v/>
      </c>
      <c r="F90" s="12">
        <f>IFERROR(D90/B90,0)</f>
        <v/>
      </c>
      <c r="G90" s="12">
        <f>IF(E90&gt;=0,"On budget","Over budget")</f>
        <v/>
      </c>
    </row>
    <row r="91">
      <c r="A91">
        <f>'Room List'!A91</f>
        <v/>
      </c>
      <c r="B91">
        <f>'Room List'!F91</f>
        <v/>
      </c>
      <c r="C91">
        <f>'Room List'!G91</f>
        <v/>
      </c>
      <c r="D91">
        <f>'Room List'!H91</f>
        <v/>
      </c>
      <c r="E91">
        <f>'Room List'!I91</f>
        <v/>
      </c>
      <c r="F91">
        <f>IFERROR(D91/B91,0)</f>
        <v/>
      </c>
      <c r="G91">
        <f>IF(E91&gt;=0,"On budget","Over budget")</f>
        <v/>
      </c>
    </row>
    <row r="92">
      <c r="A92" s="12">
        <f>'Room List'!A92</f>
        <v/>
      </c>
      <c r="B92" s="12">
        <f>'Room List'!F92</f>
        <v/>
      </c>
      <c r="C92" s="12">
        <f>'Room List'!G92</f>
        <v/>
      </c>
      <c r="D92" s="12">
        <f>'Room List'!H92</f>
        <v/>
      </c>
      <c r="E92" s="12">
        <f>'Room List'!I92</f>
        <v/>
      </c>
      <c r="F92" s="12">
        <f>IFERROR(D92/B92,0)</f>
        <v/>
      </c>
      <c r="G92" s="12">
        <f>IF(E92&gt;=0,"On budget","Over budget")</f>
        <v/>
      </c>
    </row>
    <row r="93">
      <c r="A93">
        <f>'Room List'!A93</f>
        <v/>
      </c>
      <c r="B93">
        <f>'Room List'!F93</f>
        <v/>
      </c>
      <c r="C93">
        <f>'Room List'!G93</f>
        <v/>
      </c>
      <c r="D93">
        <f>'Room List'!H93</f>
        <v/>
      </c>
      <c r="E93">
        <f>'Room List'!I93</f>
        <v/>
      </c>
      <c r="F93">
        <f>IFERROR(D93/B93,0)</f>
        <v/>
      </c>
      <c r="G93">
        <f>IF(E93&gt;=0,"On budget","Over budget")</f>
        <v/>
      </c>
    </row>
    <row r="94">
      <c r="A94" s="12">
        <f>'Room List'!A94</f>
        <v/>
      </c>
      <c r="B94" s="12">
        <f>'Room List'!F94</f>
        <v/>
      </c>
      <c r="C94" s="12">
        <f>'Room List'!G94</f>
        <v/>
      </c>
      <c r="D94" s="12">
        <f>'Room List'!H94</f>
        <v/>
      </c>
      <c r="E94" s="12">
        <f>'Room List'!I94</f>
        <v/>
      </c>
      <c r="F94" s="12">
        <f>IFERROR(D94/B94,0)</f>
        <v/>
      </c>
      <c r="G94" s="12">
        <f>IF(E94&gt;=0,"On budget","Over budget")</f>
        <v/>
      </c>
    </row>
    <row r="95">
      <c r="A95">
        <f>'Room List'!A95</f>
        <v/>
      </c>
      <c r="B95">
        <f>'Room List'!F95</f>
        <v/>
      </c>
      <c r="C95">
        <f>'Room List'!G95</f>
        <v/>
      </c>
      <c r="D95">
        <f>'Room List'!H95</f>
        <v/>
      </c>
      <c r="E95">
        <f>'Room List'!I95</f>
        <v/>
      </c>
      <c r="F95">
        <f>IFERROR(D95/B95,0)</f>
        <v/>
      </c>
      <c r="G95">
        <f>IF(E95&gt;=0,"On budget","Over budget")</f>
        <v/>
      </c>
    </row>
    <row r="96">
      <c r="A96" s="12">
        <f>'Room List'!A96</f>
        <v/>
      </c>
      <c r="B96" s="12">
        <f>'Room List'!F96</f>
        <v/>
      </c>
      <c r="C96" s="12">
        <f>'Room List'!G96</f>
        <v/>
      </c>
      <c r="D96" s="12">
        <f>'Room List'!H96</f>
        <v/>
      </c>
      <c r="E96" s="12">
        <f>'Room List'!I96</f>
        <v/>
      </c>
      <c r="F96" s="12">
        <f>IFERROR(D96/B96,0)</f>
        <v/>
      </c>
      <c r="G96" s="12">
        <f>IF(E96&gt;=0,"On budget","Over budget")</f>
        <v/>
      </c>
    </row>
    <row r="97">
      <c r="A97">
        <f>'Room List'!A97</f>
        <v/>
      </c>
      <c r="B97">
        <f>'Room List'!F97</f>
        <v/>
      </c>
      <c r="C97">
        <f>'Room List'!G97</f>
        <v/>
      </c>
      <c r="D97">
        <f>'Room List'!H97</f>
        <v/>
      </c>
      <c r="E97">
        <f>'Room List'!I97</f>
        <v/>
      </c>
      <c r="F97">
        <f>IFERROR(D97/B97,0)</f>
        <v/>
      </c>
      <c r="G97">
        <f>IF(E97&gt;=0,"On budget","Over budget")</f>
        <v/>
      </c>
    </row>
    <row r="98">
      <c r="A98" s="12">
        <f>'Room List'!A98</f>
        <v/>
      </c>
      <c r="B98" s="12">
        <f>'Room List'!F98</f>
        <v/>
      </c>
      <c r="C98" s="12">
        <f>'Room List'!G98</f>
        <v/>
      </c>
      <c r="D98" s="12">
        <f>'Room List'!H98</f>
        <v/>
      </c>
      <c r="E98" s="12">
        <f>'Room List'!I98</f>
        <v/>
      </c>
      <c r="F98" s="12">
        <f>IFERROR(D98/B98,0)</f>
        <v/>
      </c>
      <c r="G98" s="12">
        <f>IF(E98&gt;=0,"On budget","Over budget")</f>
        <v/>
      </c>
    </row>
    <row r="99">
      <c r="A99">
        <f>'Room List'!A99</f>
        <v/>
      </c>
      <c r="B99">
        <f>'Room List'!F99</f>
        <v/>
      </c>
      <c r="C99">
        <f>'Room List'!G99</f>
        <v/>
      </c>
      <c r="D99">
        <f>'Room List'!H99</f>
        <v/>
      </c>
      <c r="E99">
        <f>'Room List'!I99</f>
        <v/>
      </c>
      <c r="F99">
        <f>IFERROR(D99/B99,0)</f>
        <v/>
      </c>
      <c r="G99">
        <f>IF(E99&gt;=0,"On budget","Over budget")</f>
        <v/>
      </c>
    </row>
    <row r="100">
      <c r="A100" s="12">
        <f>'Room List'!A100</f>
        <v/>
      </c>
      <c r="B100" s="12">
        <f>'Room List'!F100</f>
        <v/>
      </c>
      <c r="C100" s="12">
        <f>'Room List'!G100</f>
        <v/>
      </c>
      <c r="D100" s="12">
        <f>'Room List'!H100</f>
        <v/>
      </c>
      <c r="E100" s="12">
        <f>'Room List'!I100</f>
        <v/>
      </c>
      <c r="F100" s="12">
        <f>IFERROR(D100/B100,0)</f>
        <v/>
      </c>
      <c r="G100" s="12">
        <f>IF(E100&gt;=0,"On budget","Over budget")</f>
        <v/>
      </c>
    </row>
    <row r="101">
      <c r="A101">
        <f>'Room List'!A101</f>
        <v/>
      </c>
      <c r="B101">
        <f>'Room List'!F101</f>
        <v/>
      </c>
      <c r="C101">
        <f>'Room List'!G101</f>
        <v/>
      </c>
      <c r="D101">
        <f>'Room List'!H101</f>
        <v/>
      </c>
      <c r="E101">
        <f>'Room List'!I101</f>
        <v/>
      </c>
      <c r="F101">
        <f>IFERROR(D101/B101,0)</f>
        <v/>
      </c>
      <c r="G101">
        <f>IF(E101&gt;=0,"On budget","Over budget")</f>
        <v/>
      </c>
    </row>
    <row r="102">
      <c r="A102" s="12">
        <f>'Room List'!A102</f>
        <v/>
      </c>
      <c r="B102" s="12">
        <f>'Room List'!F102</f>
        <v/>
      </c>
      <c r="C102" s="12">
        <f>'Room List'!G102</f>
        <v/>
      </c>
      <c r="D102" s="12">
        <f>'Room List'!H102</f>
        <v/>
      </c>
      <c r="E102" s="12">
        <f>'Room List'!I102</f>
        <v/>
      </c>
      <c r="F102" s="12">
        <f>IFERROR(D102/B102,0)</f>
        <v/>
      </c>
      <c r="G102" s="12">
        <f>IF(E102&gt;=0,"On budget","Over budget")</f>
        <v/>
      </c>
    </row>
    <row r="103">
      <c r="A103">
        <f>'Room List'!A103</f>
        <v/>
      </c>
      <c r="B103">
        <f>'Room List'!F103</f>
        <v/>
      </c>
      <c r="C103">
        <f>'Room List'!G103</f>
        <v/>
      </c>
      <c r="D103">
        <f>'Room List'!H103</f>
        <v/>
      </c>
      <c r="E103">
        <f>'Room List'!I103</f>
        <v/>
      </c>
      <c r="F103">
        <f>IFERROR(D103/B103,0)</f>
        <v/>
      </c>
      <c r="G103">
        <f>IF(E103&gt;=0,"On budget","Over budget")</f>
        <v/>
      </c>
    </row>
    <row r="104">
      <c r="A104" s="12">
        <f>'Room List'!A104</f>
        <v/>
      </c>
      <c r="B104" s="12">
        <f>'Room List'!F104</f>
        <v/>
      </c>
      <c r="C104" s="12">
        <f>'Room List'!G104</f>
        <v/>
      </c>
      <c r="D104" s="12">
        <f>'Room List'!H104</f>
        <v/>
      </c>
      <c r="E104" s="12">
        <f>'Room List'!I104</f>
        <v/>
      </c>
      <c r="F104" s="12">
        <f>IFERROR(D104/B104,0)</f>
        <v/>
      </c>
      <c r="G104" s="12">
        <f>IF(E104&gt;=0,"On budget","Over budget")</f>
        <v/>
      </c>
    </row>
    <row r="105">
      <c r="A105">
        <f>'Room List'!A105</f>
        <v/>
      </c>
      <c r="B105">
        <f>'Room List'!F105</f>
        <v/>
      </c>
      <c r="C105">
        <f>'Room List'!G105</f>
        <v/>
      </c>
      <c r="D105">
        <f>'Room List'!H105</f>
        <v/>
      </c>
      <c r="E105">
        <f>'Room List'!I105</f>
        <v/>
      </c>
      <c r="F105">
        <f>IFERROR(D105/B105,0)</f>
        <v/>
      </c>
      <c r="G105">
        <f>IF(E105&gt;=0,"On budget","Over budget")</f>
        <v/>
      </c>
    </row>
    <row r="106">
      <c r="A106" s="12">
        <f>'Room List'!A106</f>
        <v/>
      </c>
      <c r="B106" s="12">
        <f>'Room List'!F106</f>
        <v/>
      </c>
      <c r="C106" s="12">
        <f>'Room List'!G106</f>
        <v/>
      </c>
      <c r="D106" s="12">
        <f>'Room List'!H106</f>
        <v/>
      </c>
      <c r="E106" s="12">
        <f>'Room List'!I106</f>
        <v/>
      </c>
      <c r="F106" s="12">
        <f>IFERROR(D106/B106,0)</f>
        <v/>
      </c>
      <c r="G106" s="12">
        <f>IF(E106&gt;=0,"On budget","Over budget")</f>
        <v/>
      </c>
    </row>
    <row r="107">
      <c r="A107">
        <f>'Room List'!A107</f>
        <v/>
      </c>
      <c r="B107">
        <f>'Room List'!F107</f>
        <v/>
      </c>
      <c r="C107">
        <f>'Room List'!G107</f>
        <v/>
      </c>
      <c r="D107">
        <f>'Room List'!H107</f>
        <v/>
      </c>
      <c r="E107">
        <f>'Room List'!I107</f>
        <v/>
      </c>
      <c r="F107">
        <f>IFERROR(D107/B107,0)</f>
        <v/>
      </c>
      <c r="G107">
        <f>IF(E107&gt;=0,"On budget","Over budget")</f>
        <v/>
      </c>
    </row>
    <row r="108">
      <c r="A108" s="12">
        <f>'Room List'!A108</f>
        <v/>
      </c>
      <c r="B108" s="12">
        <f>'Room List'!F108</f>
        <v/>
      </c>
      <c r="C108" s="12">
        <f>'Room List'!G108</f>
        <v/>
      </c>
      <c r="D108" s="12">
        <f>'Room List'!H108</f>
        <v/>
      </c>
      <c r="E108" s="12">
        <f>'Room List'!I108</f>
        <v/>
      </c>
      <c r="F108" s="12">
        <f>IFERROR(D108/B108,0)</f>
        <v/>
      </c>
      <c r="G108" s="12">
        <f>IF(E108&gt;=0,"On budget","Over budget")</f>
        <v/>
      </c>
    </row>
    <row r="109">
      <c r="A109">
        <f>'Room List'!A109</f>
        <v/>
      </c>
      <c r="B109">
        <f>'Room List'!F109</f>
        <v/>
      </c>
      <c r="C109">
        <f>'Room List'!G109</f>
        <v/>
      </c>
      <c r="D109">
        <f>'Room List'!H109</f>
        <v/>
      </c>
      <c r="E109">
        <f>'Room List'!I109</f>
        <v/>
      </c>
      <c r="F109">
        <f>IFERROR(D109/B109,0)</f>
        <v/>
      </c>
      <c r="G109">
        <f>IF(E109&gt;=0,"On budget","Over budget")</f>
        <v/>
      </c>
    </row>
    <row r="110">
      <c r="A110" s="12">
        <f>'Room List'!A110</f>
        <v/>
      </c>
      <c r="B110" s="12">
        <f>'Room List'!F110</f>
        <v/>
      </c>
      <c r="C110" s="12">
        <f>'Room List'!G110</f>
        <v/>
      </c>
      <c r="D110" s="12">
        <f>'Room List'!H110</f>
        <v/>
      </c>
      <c r="E110" s="12">
        <f>'Room List'!I110</f>
        <v/>
      </c>
      <c r="F110" s="12">
        <f>IFERROR(D110/B110,0)</f>
        <v/>
      </c>
      <c r="G110" s="12">
        <f>IF(E110&gt;=0,"On budget","Over budget")</f>
        <v/>
      </c>
    </row>
    <row r="111">
      <c r="A111">
        <f>'Room List'!A111</f>
        <v/>
      </c>
      <c r="B111">
        <f>'Room List'!F111</f>
        <v/>
      </c>
      <c r="C111">
        <f>'Room List'!G111</f>
        <v/>
      </c>
      <c r="D111">
        <f>'Room List'!H111</f>
        <v/>
      </c>
      <c r="E111">
        <f>'Room List'!I111</f>
        <v/>
      </c>
      <c r="F111">
        <f>IFERROR(D111/B111,0)</f>
        <v/>
      </c>
      <c r="G111">
        <f>IF(E111&gt;=0,"On budget","Over budget")</f>
        <v/>
      </c>
    </row>
    <row r="112">
      <c r="A112" s="12">
        <f>'Room List'!A112</f>
        <v/>
      </c>
      <c r="B112" s="12">
        <f>'Room List'!F112</f>
        <v/>
      </c>
      <c r="C112" s="12">
        <f>'Room List'!G112</f>
        <v/>
      </c>
      <c r="D112" s="12">
        <f>'Room List'!H112</f>
        <v/>
      </c>
      <c r="E112" s="12">
        <f>'Room List'!I112</f>
        <v/>
      </c>
      <c r="F112" s="12">
        <f>IFERROR(D112/B112,0)</f>
        <v/>
      </c>
      <c r="G112" s="12">
        <f>IF(E112&gt;=0,"On budget","Over budget")</f>
        <v/>
      </c>
    </row>
    <row r="113">
      <c r="A113">
        <f>'Room List'!A113</f>
        <v/>
      </c>
      <c r="B113">
        <f>'Room List'!F113</f>
        <v/>
      </c>
      <c r="C113">
        <f>'Room List'!G113</f>
        <v/>
      </c>
      <c r="D113">
        <f>'Room List'!H113</f>
        <v/>
      </c>
      <c r="E113">
        <f>'Room List'!I113</f>
        <v/>
      </c>
      <c r="F113">
        <f>IFERROR(D113/B113,0)</f>
        <v/>
      </c>
      <c r="G113">
        <f>IF(E113&gt;=0,"On budget","Over budget")</f>
        <v/>
      </c>
    </row>
    <row r="114">
      <c r="A114" s="12">
        <f>'Room List'!A114</f>
        <v/>
      </c>
      <c r="B114" s="12">
        <f>'Room List'!F114</f>
        <v/>
      </c>
      <c r="C114" s="12">
        <f>'Room List'!G114</f>
        <v/>
      </c>
      <c r="D114" s="12">
        <f>'Room List'!H114</f>
        <v/>
      </c>
      <c r="E114" s="12">
        <f>'Room List'!I114</f>
        <v/>
      </c>
      <c r="F114" s="12">
        <f>IFERROR(D114/B114,0)</f>
        <v/>
      </c>
      <c r="G114" s="12">
        <f>IF(E114&gt;=0,"On budget","Over budget")</f>
        <v/>
      </c>
    </row>
    <row r="115">
      <c r="A115">
        <f>'Room List'!A115</f>
        <v/>
      </c>
      <c r="B115">
        <f>'Room List'!F115</f>
        <v/>
      </c>
      <c r="C115">
        <f>'Room List'!G115</f>
        <v/>
      </c>
      <c r="D115">
        <f>'Room List'!H115</f>
        <v/>
      </c>
      <c r="E115">
        <f>'Room List'!I115</f>
        <v/>
      </c>
      <c r="F115">
        <f>IFERROR(D115/B115,0)</f>
        <v/>
      </c>
      <c r="G115">
        <f>IF(E115&gt;=0,"On budget","Over budget")</f>
        <v/>
      </c>
    </row>
    <row r="116">
      <c r="A116" s="12">
        <f>'Room List'!A116</f>
        <v/>
      </c>
      <c r="B116" s="12">
        <f>'Room List'!F116</f>
        <v/>
      </c>
      <c r="C116" s="12">
        <f>'Room List'!G116</f>
        <v/>
      </c>
      <c r="D116" s="12">
        <f>'Room List'!H116</f>
        <v/>
      </c>
      <c r="E116" s="12">
        <f>'Room List'!I116</f>
        <v/>
      </c>
      <c r="F116" s="12">
        <f>IFERROR(D116/B116,0)</f>
        <v/>
      </c>
      <c r="G116" s="12">
        <f>IF(E116&gt;=0,"On budget","Over budget")</f>
        <v/>
      </c>
    </row>
    <row r="117">
      <c r="A117">
        <f>'Room List'!A117</f>
        <v/>
      </c>
      <c r="B117">
        <f>'Room List'!F117</f>
        <v/>
      </c>
      <c r="C117">
        <f>'Room List'!G117</f>
        <v/>
      </c>
      <c r="D117">
        <f>'Room List'!H117</f>
        <v/>
      </c>
      <c r="E117">
        <f>'Room List'!I117</f>
        <v/>
      </c>
      <c r="F117">
        <f>IFERROR(D117/B117,0)</f>
        <v/>
      </c>
      <c r="G117">
        <f>IF(E117&gt;=0,"On budget","Over budget")</f>
        <v/>
      </c>
    </row>
    <row r="118">
      <c r="A118" s="12">
        <f>'Room List'!A118</f>
        <v/>
      </c>
      <c r="B118" s="12">
        <f>'Room List'!F118</f>
        <v/>
      </c>
      <c r="C118" s="12">
        <f>'Room List'!G118</f>
        <v/>
      </c>
      <c r="D118" s="12">
        <f>'Room List'!H118</f>
        <v/>
      </c>
      <c r="E118" s="12">
        <f>'Room List'!I118</f>
        <v/>
      </c>
      <c r="F118" s="12">
        <f>IFERROR(D118/B118,0)</f>
        <v/>
      </c>
      <c r="G118" s="12">
        <f>IF(E118&gt;=0,"On budget","Over budget")</f>
        <v/>
      </c>
    </row>
    <row r="119">
      <c r="A119">
        <f>'Room List'!A119</f>
        <v/>
      </c>
      <c r="B119">
        <f>'Room List'!F119</f>
        <v/>
      </c>
      <c r="C119">
        <f>'Room List'!G119</f>
        <v/>
      </c>
      <c r="D119">
        <f>'Room List'!H119</f>
        <v/>
      </c>
      <c r="E119">
        <f>'Room List'!I119</f>
        <v/>
      </c>
      <c r="F119">
        <f>IFERROR(D119/B119,0)</f>
        <v/>
      </c>
      <c r="G119">
        <f>IF(E119&gt;=0,"On budget","Over budget")</f>
        <v/>
      </c>
    </row>
    <row r="120">
      <c r="A120" s="12">
        <f>'Room List'!A120</f>
        <v/>
      </c>
      <c r="B120" s="12">
        <f>'Room List'!F120</f>
        <v/>
      </c>
      <c r="C120" s="12">
        <f>'Room List'!G120</f>
        <v/>
      </c>
      <c r="D120" s="12">
        <f>'Room List'!H120</f>
        <v/>
      </c>
      <c r="E120" s="12">
        <f>'Room List'!I120</f>
        <v/>
      </c>
      <c r="F120" s="12">
        <f>IFERROR(D120/B120,0)</f>
        <v/>
      </c>
      <c r="G120" s="12">
        <f>IF(E120&gt;=0,"On budget","Over budget")</f>
        <v/>
      </c>
    </row>
    <row r="121">
      <c r="A121">
        <f>'Room List'!A121</f>
        <v/>
      </c>
      <c r="B121">
        <f>'Room List'!F121</f>
        <v/>
      </c>
      <c r="C121">
        <f>'Room List'!G121</f>
        <v/>
      </c>
      <c r="D121">
        <f>'Room List'!H121</f>
        <v/>
      </c>
      <c r="E121">
        <f>'Room List'!I121</f>
        <v/>
      </c>
      <c r="F121">
        <f>IFERROR(D121/B121,0)</f>
        <v/>
      </c>
      <c r="G121">
        <f>IF(E121&gt;=0,"On budget","Over budget")</f>
        <v/>
      </c>
    </row>
    <row r="122">
      <c r="A122" s="12">
        <f>'Room List'!A122</f>
        <v/>
      </c>
      <c r="B122" s="12">
        <f>'Room List'!F122</f>
        <v/>
      </c>
      <c r="C122" s="12">
        <f>'Room List'!G122</f>
        <v/>
      </c>
      <c r="D122" s="12">
        <f>'Room List'!H122</f>
        <v/>
      </c>
      <c r="E122" s="12">
        <f>'Room List'!I122</f>
        <v/>
      </c>
      <c r="F122" s="12">
        <f>IFERROR(D122/B122,0)</f>
        <v/>
      </c>
      <c r="G122" s="12">
        <f>IF(E122&gt;=0,"On budget","Over budget")</f>
        <v/>
      </c>
    </row>
    <row r="123">
      <c r="A123">
        <f>'Room List'!A123</f>
        <v/>
      </c>
      <c r="B123">
        <f>'Room List'!F123</f>
        <v/>
      </c>
      <c r="C123">
        <f>'Room List'!G123</f>
        <v/>
      </c>
      <c r="D123">
        <f>'Room List'!H123</f>
        <v/>
      </c>
      <c r="E123">
        <f>'Room List'!I123</f>
        <v/>
      </c>
      <c r="F123">
        <f>IFERROR(D123/B123,0)</f>
        <v/>
      </c>
      <c r="G123">
        <f>IF(E123&gt;=0,"On budget","Over budget")</f>
        <v/>
      </c>
    </row>
    <row r="124">
      <c r="A124" s="12">
        <f>'Room List'!A124</f>
        <v/>
      </c>
      <c r="B124" s="12">
        <f>'Room List'!F124</f>
        <v/>
      </c>
      <c r="C124" s="12">
        <f>'Room List'!G124</f>
        <v/>
      </c>
      <c r="D124" s="12">
        <f>'Room List'!H124</f>
        <v/>
      </c>
      <c r="E124" s="12">
        <f>'Room List'!I124</f>
        <v/>
      </c>
      <c r="F124" s="12">
        <f>IFERROR(D124/B124,0)</f>
        <v/>
      </c>
      <c r="G124" s="12">
        <f>IF(E124&gt;=0,"On budget","Over budget")</f>
        <v/>
      </c>
    </row>
    <row r="125">
      <c r="A125">
        <f>'Room List'!A125</f>
        <v/>
      </c>
      <c r="B125">
        <f>'Room List'!F125</f>
        <v/>
      </c>
      <c r="C125">
        <f>'Room List'!G125</f>
        <v/>
      </c>
      <c r="D125">
        <f>'Room List'!H125</f>
        <v/>
      </c>
      <c r="E125">
        <f>'Room List'!I125</f>
        <v/>
      </c>
      <c r="F125">
        <f>IFERROR(D125/B125,0)</f>
        <v/>
      </c>
      <c r="G125">
        <f>IF(E125&gt;=0,"On budget","Over budget")</f>
        <v/>
      </c>
    </row>
    <row r="126">
      <c r="A126" s="12">
        <f>'Room List'!A126</f>
        <v/>
      </c>
      <c r="B126" s="12">
        <f>'Room List'!F126</f>
        <v/>
      </c>
      <c r="C126" s="12">
        <f>'Room List'!G126</f>
        <v/>
      </c>
      <c r="D126" s="12">
        <f>'Room List'!H126</f>
        <v/>
      </c>
      <c r="E126" s="12">
        <f>'Room List'!I126</f>
        <v/>
      </c>
      <c r="F126" s="12">
        <f>IFERROR(D126/B126,0)</f>
        <v/>
      </c>
      <c r="G126" s="12">
        <f>IF(E126&gt;=0,"On budget","Over budget")</f>
        <v/>
      </c>
    </row>
    <row r="127">
      <c r="A127">
        <f>'Room List'!A127</f>
        <v/>
      </c>
      <c r="B127">
        <f>'Room List'!F127</f>
        <v/>
      </c>
      <c r="C127">
        <f>'Room List'!G127</f>
        <v/>
      </c>
      <c r="D127">
        <f>'Room List'!H127</f>
        <v/>
      </c>
      <c r="E127">
        <f>'Room List'!I127</f>
        <v/>
      </c>
      <c r="F127">
        <f>IFERROR(D127/B127,0)</f>
        <v/>
      </c>
      <c r="G127">
        <f>IF(E127&gt;=0,"On budget","Over budget")</f>
        <v/>
      </c>
    </row>
    <row r="128">
      <c r="A128" s="12">
        <f>'Room List'!A128</f>
        <v/>
      </c>
      <c r="B128" s="12">
        <f>'Room List'!F128</f>
        <v/>
      </c>
      <c r="C128" s="12">
        <f>'Room List'!G128</f>
        <v/>
      </c>
      <c r="D128" s="12">
        <f>'Room List'!H128</f>
        <v/>
      </c>
      <c r="E128" s="12">
        <f>'Room List'!I128</f>
        <v/>
      </c>
      <c r="F128" s="12">
        <f>IFERROR(D128/B128,0)</f>
        <v/>
      </c>
      <c r="G128" s="12">
        <f>IF(E128&gt;=0,"On budget","Over budget")</f>
        <v/>
      </c>
    </row>
    <row r="129">
      <c r="A129">
        <f>'Room List'!A129</f>
        <v/>
      </c>
      <c r="B129">
        <f>'Room List'!F129</f>
        <v/>
      </c>
      <c r="C129">
        <f>'Room List'!G129</f>
        <v/>
      </c>
      <c r="D129">
        <f>'Room List'!H129</f>
        <v/>
      </c>
      <c r="E129">
        <f>'Room List'!I129</f>
        <v/>
      </c>
      <c r="F129">
        <f>IFERROR(D129/B129,0)</f>
        <v/>
      </c>
      <c r="G129">
        <f>IF(E129&gt;=0,"On budget","Over budget")</f>
        <v/>
      </c>
    </row>
    <row r="130">
      <c r="A130" s="12">
        <f>'Room List'!A130</f>
        <v/>
      </c>
      <c r="B130" s="12">
        <f>'Room List'!F130</f>
        <v/>
      </c>
      <c r="C130" s="12">
        <f>'Room List'!G130</f>
        <v/>
      </c>
      <c r="D130" s="12">
        <f>'Room List'!H130</f>
        <v/>
      </c>
      <c r="E130" s="12">
        <f>'Room List'!I130</f>
        <v/>
      </c>
      <c r="F130" s="12">
        <f>IFERROR(D130/B130,0)</f>
        <v/>
      </c>
      <c r="G130" s="12">
        <f>IF(E130&gt;=0,"On budget","Over budget")</f>
        <v/>
      </c>
    </row>
    <row r="131">
      <c r="A131">
        <f>'Room List'!A131</f>
        <v/>
      </c>
      <c r="B131">
        <f>'Room List'!F131</f>
        <v/>
      </c>
      <c r="C131">
        <f>'Room List'!G131</f>
        <v/>
      </c>
      <c r="D131">
        <f>'Room List'!H131</f>
        <v/>
      </c>
      <c r="E131">
        <f>'Room List'!I131</f>
        <v/>
      </c>
      <c r="F131">
        <f>IFERROR(D131/B131,0)</f>
        <v/>
      </c>
      <c r="G131">
        <f>IF(E131&gt;=0,"On budget","Over budget")</f>
        <v/>
      </c>
    </row>
    <row r="132">
      <c r="A132" s="12">
        <f>'Room List'!A132</f>
        <v/>
      </c>
      <c r="B132" s="12">
        <f>'Room List'!F132</f>
        <v/>
      </c>
      <c r="C132" s="12">
        <f>'Room List'!G132</f>
        <v/>
      </c>
      <c r="D132" s="12">
        <f>'Room List'!H132</f>
        <v/>
      </c>
      <c r="E132" s="12">
        <f>'Room List'!I132</f>
        <v/>
      </c>
      <c r="F132" s="12">
        <f>IFERROR(D132/B132,0)</f>
        <v/>
      </c>
      <c r="G132" s="12">
        <f>IF(E132&gt;=0,"On budget","Over budget")</f>
        <v/>
      </c>
    </row>
    <row r="133">
      <c r="A133">
        <f>'Room List'!A133</f>
        <v/>
      </c>
      <c r="B133">
        <f>'Room List'!F133</f>
        <v/>
      </c>
      <c r="C133">
        <f>'Room List'!G133</f>
        <v/>
      </c>
      <c r="D133">
        <f>'Room List'!H133</f>
        <v/>
      </c>
      <c r="E133">
        <f>'Room List'!I133</f>
        <v/>
      </c>
      <c r="F133">
        <f>IFERROR(D133/B133,0)</f>
        <v/>
      </c>
      <c r="G133">
        <f>IF(E133&gt;=0,"On budget","Over budget")</f>
        <v/>
      </c>
    </row>
    <row r="134">
      <c r="A134" s="12">
        <f>'Room List'!A134</f>
        <v/>
      </c>
      <c r="B134" s="12">
        <f>'Room List'!F134</f>
        <v/>
      </c>
      <c r="C134" s="12">
        <f>'Room List'!G134</f>
        <v/>
      </c>
      <c r="D134" s="12">
        <f>'Room List'!H134</f>
        <v/>
      </c>
      <c r="E134" s="12">
        <f>'Room List'!I134</f>
        <v/>
      </c>
      <c r="F134" s="12">
        <f>IFERROR(D134/B134,0)</f>
        <v/>
      </c>
      <c r="G134" s="12">
        <f>IF(E134&gt;=0,"On budget","Over budget")</f>
        <v/>
      </c>
    </row>
    <row r="135">
      <c r="A135">
        <f>'Room List'!A135</f>
        <v/>
      </c>
      <c r="B135">
        <f>'Room List'!F135</f>
        <v/>
      </c>
      <c r="C135">
        <f>'Room List'!G135</f>
        <v/>
      </c>
      <c r="D135">
        <f>'Room List'!H135</f>
        <v/>
      </c>
      <c r="E135">
        <f>'Room List'!I135</f>
        <v/>
      </c>
      <c r="F135">
        <f>IFERROR(D135/B135,0)</f>
        <v/>
      </c>
      <c r="G135">
        <f>IF(E135&gt;=0,"On budget","Over budget")</f>
        <v/>
      </c>
    </row>
    <row r="136">
      <c r="A136" s="12">
        <f>'Room List'!A136</f>
        <v/>
      </c>
      <c r="B136" s="12">
        <f>'Room List'!F136</f>
        <v/>
      </c>
      <c r="C136" s="12">
        <f>'Room List'!G136</f>
        <v/>
      </c>
      <c r="D136" s="12">
        <f>'Room List'!H136</f>
        <v/>
      </c>
      <c r="E136" s="12">
        <f>'Room List'!I136</f>
        <v/>
      </c>
      <c r="F136" s="12">
        <f>IFERROR(D136/B136,0)</f>
        <v/>
      </c>
      <c r="G136" s="12">
        <f>IF(E136&gt;=0,"On budget","Over budget")</f>
        <v/>
      </c>
    </row>
    <row r="137">
      <c r="A137">
        <f>'Room List'!A137</f>
        <v/>
      </c>
      <c r="B137">
        <f>'Room List'!F137</f>
        <v/>
      </c>
      <c r="C137">
        <f>'Room List'!G137</f>
        <v/>
      </c>
      <c r="D137">
        <f>'Room List'!H137</f>
        <v/>
      </c>
      <c r="E137">
        <f>'Room List'!I137</f>
        <v/>
      </c>
      <c r="F137">
        <f>IFERROR(D137/B137,0)</f>
        <v/>
      </c>
      <c r="G137">
        <f>IF(E137&gt;=0,"On budget","Over budget")</f>
        <v/>
      </c>
    </row>
    <row r="138">
      <c r="A138" s="12">
        <f>'Room List'!A138</f>
        <v/>
      </c>
      <c r="B138" s="12">
        <f>'Room List'!F138</f>
        <v/>
      </c>
      <c r="C138" s="12">
        <f>'Room List'!G138</f>
        <v/>
      </c>
      <c r="D138" s="12">
        <f>'Room List'!H138</f>
        <v/>
      </c>
      <c r="E138" s="12">
        <f>'Room List'!I138</f>
        <v/>
      </c>
      <c r="F138" s="12">
        <f>IFERROR(D138/B138,0)</f>
        <v/>
      </c>
      <c r="G138" s="12">
        <f>IF(E138&gt;=0,"On budget","Over budget")</f>
        <v/>
      </c>
    </row>
    <row r="139">
      <c r="A139">
        <f>'Room List'!A139</f>
        <v/>
      </c>
      <c r="B139">
        <f>'Room List'!F139</f>
        <v/>
      </c>
      <c r="C139">
        <f>'Room List'!G139</f>
        <v/>
      </c>
      <c r="D139">
        <f>'Room List'!H139</f>
        <v/>
      </c>
      <c r="E139">
        <f>'Room List'!I139</f>
        <v/>
      </c>
      <c r="F139">
        <f>IFERROR(D139/B139,0)</f>
        <v/>
      </c>
      <c r="G139">
        <f>IF(E139&gt;=0,"On budget","Over budget")</f>
        <v/>
      </c>
    </row>
    <row r="140">
      <c r="A140" s="12">
        <f>'Room List'!A140</f>
        <v/>
      </c>
      <c r="B140" s="12">
        <f>'Room List'!F140</f>
        <v/>
      </c>
      <c r="C140" s="12">
        <f>'Room List'!G140</f>
        <v/>
      </c>
      <c r="D140" s="12">
        <f>'Room List'!H140</f>
        <v/>
      </c>
      <c r="E140" s="12">
        <f>'Room List'!I140</f>
        <v/>
      </c>
      <c r="F140" s="12">
        <f>IFERROR(D140/B140,0)</f>
        <v/>
      </c>
      <c r="G140" s="12">
        <f>IF(E140&gt;=0,"On budget","Over budget")</f>
        <v/>
      </c>
    </row>
    <row r="141">
      <c r="A141">
        <f>'Room List'!A141</f>
        <v/>
      </c>
      <c r="B141">
        <f>'Room List'!F141</f>
        <v/>
      </c>
      <c r="C141">
        <f>'Room List'!G141</f>
        <v/>
      </c>
      <c r="D141">
        <f>'Room List'!H141</f>
        <v/>
      </c>
      <c r="E141">
        <f>'Room List'!I141</f>
        <v/>
      </c>
      <c r="F141">
        <f>IFERROR(D141/B141,0)</f>
        <v/>
      </c>
      <c r="G141">
        <f>IF(E141&gt;=0,"On budget","Over budget")</f>
        <v/>
      </c>
    </row>
    <row r="142">
      <c r="A142" s="12">
        <f>'Room List'!A142</f>
        <v/>
      </c>
      <c r="B142" s="12">
        <f>'Room List'!F142</f>
        <v/>
      </c>
      <c r="C142" s="12">
        <f>'Room List'!G142</f>
        <v/>
      </c>
      <c r="D142" s="12">
        <f>'Room List'!H142</f>
        <v/>
      </c>
      <c r="E142" s="12">
        <f>'Room List'!I142</f>
        <v/>
      </c>
      <c r="F142" s="12">
        <f>IFERROR(D142/B142,0)</f>
        <v/>
      </c>
      <c r="G142" s="12">
        <f>IF(E142&gt;=0,"On budget","Over budget")</f>
        <v/>
      </c>
    </row>
    <row r="143">
      <c r="A143">
        <f>'Room List'!A143</f>
        <v/>
      </c>
      <c r="B143">
        <f>'Room List'!F143</f>
        <v/>
      </c>
      <c r="C143">
        <f>'Room List'!G143</f>
        <v/>
      </c>
      <c r="D143">
        <f>'Room List'!H143</f>
        <v/>
      </c>
      <c r="E143">
        <f>'Room List'!I143</f>
        <v/>
      </c>
      <c r="F143">
        <f>IFERROR(D143/B143,0)</f>
        <v/>
      </c>
      <c r="G143">
        <f>IF(E143&gt;=0,"On budget","Over budget")</f>
        <v/>
      </c>
    </row>
    <row r="144">
      <c r="A144" s="12">
        <f>'Room List'!A144</f>
        <v/>
      </c>
      <c r="B144" s="12">
        <f>'Room List'!F144</f>
        <v/>
      </c>
      <c r="C144" s="12">
        <f>'Room List'!G144</f>
        <v/>
      </c>
      <c r="D144" s="12">
        <f>'Room List'!H144</f>
        <v/>
      </c>
      <c r="E144" s="12">
        <f>'Room List'!I144</f>
        <v/>
      </c>
      <c r="F144" s="12">
        <f>IFERROR(D144/B144,0)</f>
        <v/>
      </c>
      <c r="G144" s="12">
        <f>IF(E144&gt;=0,"On budget","Over budget")</f>
        <v/>
      </c>
    </row>
    <row r="145">
      <c r="A145">
        <f>'Room List'!A145</f>
        <v/>
      </c>
      <c r="B145">
        <f>'Room List'!F145</f>
        <v/>
      </c>
      <c r="C145">
        <f>'Room List'!G145</f>
        <v/>
      </c>
      <c r="D145">
        <f>'Room List'!H145</f>
        <v/>
      </c>
      <c r="E145">
        <f>'Room List'!I145</f>
        <v/>
      </c>
      <c r="F145">
        <f>IFERROR(D145/B145,0)</f>
        <v/>
      </c>
      <c r="G145">
        <f>IF(E145&gt;=0,"On budget","Over budget")</f>
        <v/>
      </c>
    </row>
    <row r="146">
      <c r="A146" s="12">
        <f>'Room List'!A146</f>
        <v/>
      </c>
      <c r="B146" s="12">
        <f>'Room List'!F146</f>
        <v/>
      </c>
      <c r="C146" s="12">
        <f>'Room List'!G146</f>
        <v/>
      </c>
      <c r="D146" s="12">
        <f>'Room List'!H146</f>
        <v/>
      </c>
      <c r="E146" s="12">
        <f>'Room List'!I146</f>
        <v/>
      </c>
      <c r="F146" s="12">
        <f>IFERROR(D146/B146,0)</f>
        <v/>
      </c>
      <c r="G146" s="12">
        <f>IF(E146&gt;=0,"On budget","Over budget")</f>
        <v/>
      </c>
    </row>
    <row r="147">
      <c r="A147">
        <f>'Room List'!A147</f>
        <v/>
      </c>
      <c r="B147">
        <f>'Room List'!F147</f>
        <v/>
      </c>
      <c r="C147">
        <f>'Room List'!G147</f>
        <v/>
      </c>
      <c r="D147">
        <f>'Room List'!H147</f>
        <v/>
      </c>
      <c r="E147">
        <f>'Room List'!I147</f>
        <v/>
      </c>
      <c r="F147">
        <f>IFERROR(D147/B147,0)</f>
        <v/>
      </c>
      <c r="G147">
        <f>IF(E147&gt;=0,"On budget","Over budget")</f>
        <v/>
      </c>
    </row>
    <row r="148">
      <c r="A148" s="12">
        <f>'Room List'!A148</f>
        <v/>
      </c>
      <c r="B148" s="12">
        <f>'Room List'!F148</f>
        <v/>
      </c>
      <c r="C148" s="12">
        <f>'Room List'!G148</f>
        <v/>
      </c>
      <c r="D148" s="12">
        <f>'Room List'!H148</f>
        <v/>
      </c>
      <c r="E148" s="12">
        <f>'Room List'!I148</f>
        <v/>
      </c>
      <c r="F148" s="12">
        <f>IFERROR(D148/B148,0)</f>
        <v/>
      </c>
      <c r="G148" s="12">
        <f>IF(E148&gt;=0,"On budget","Over budget")</f>
        <v/>
      </c>
    </row>
    <row r="149">
      <c r="A149">
        <f>'Room List'!A149</f>
        <v/>
      </c>
      <c r="B149">
        <f>'Room List'!F149</f>
        <v/>
      </c>
      <c r="C149">
        <f>'Room List'!G149</f>
        <v/>
      </c>
      <c r="D149">
        <f>'Room List'!H149</f>
        <v/>
      </c>
      <c r="E149">
        <f>'Room List'!I149</f>
        <v/>
      </c>
      <c r="F149">
        <f>IFERROR(D149/B149,0)</f>
        <v/>
      </c>
      <c r="G149">
        <f>IF(E149&gt;=0,"On budget","Over budget")</f>
        <v/>
      </c>
    </row>
    <row r="150">
      <c r="A150" s="12">
        <f>'Room List'!A150</f>
        <v/>
      </c>
      <c r="B150" s="12">
        <f>'Room List'!F150</f>
        <v/>
      </c>
      <c r="C150" s="12">
        <f>'Room List'!G150</f>
        <v/>
      </c>
      <c r="D150" s="12">
        <f>'Room List'!H150</f>
        <v/>
      </c>
      <c r="E150" s="12">
        <f>'Room List'!I150</f>
        <v/>
      </c>
      <c r="F150" s="12">
        <f>IFERROR(D150/B150,0)</f>
        <v/>
      </c>
      <c r="G150" s="12">
        <f>IF(E150&gt;=0,"On budget","Over budget")</f>
        <v/>
      </c>
    </row>
    <row r="151">
      <c r="A151">
        <f>'Room List'!A151</f>
        <v/>
      </c>
      <c r="B151">
        <f>'Room List'!F151</f>
        <v/>
      </c>
      <c r="C151">
        <f>'Room List'!G151</f>
        <v/>
      </c>
      <c r="D151">
        <f>'Room List'!H151</f>
        <v/>
      </c>
      <c r="E151">
        <f>'Room List'!I151</f>
        <v/>
      </c>
      <c r="F151">
        <f>IFERROR(D151/B151,0)</f>
        <v/>
      </c>
      <c r="G151">
        <f>IF(E151&gt;=0,"On budget","Over budget")</f>
        <v/>
      </c>
    </row>
    <row r="152">
      <c r="A152" s="12">
        <f>'Room List'!A152</f>
        <v/>
      </c>
      <c r="B152" s="12">
        <f>'Room List'!F152</f>
        <v/>
      </c>
      <c r="C152" s="12">
        <f>'Room List'!G152</f>
        <v/>
      </c>
      <c r="D152" s="12">
        <f>'Room List'!H152</f>
        <v/>
      </c>
      <c r="E152" s="12">
        <f>'Room List'!I152</f>
        <v/>
      </c>
      <c r="F152" s="12">
        <f>IFERROR(D152/B152,0)</f>
        <v/>
      </c>
      <c r="G152" s="12">
        <f>IF(E152&gt;=0,"On budget","Over budget")</f>
        <v/>
      </c>
    </row>
    <row r="153">
      <c r="A153">
        <f>'Room List'!A153</f>
        <v/>
      </c>
      <c r="B153">
        <f>'Room List'!F153</f>
        <v/>
      </c>
      <c r="C153">
        <f>'Room List'!G153</f>
        <v/>
      </c>
      <c r="D153">
        <f>'Room List'!H153</f>
        <v/>
      </c>
      <c r="E153">
        <f>'Room List'!I153</f>
        <v/>
      </c>
      <c r="F153">
        <f>IFERROR(D153/B153,0)</f>
        <v/>
      </c>
      <c r="G153">
        <f>IF(E153&gt;=0,"On budget","Over budget")</f>
        <v/>
      </c>
    </row>
    <row r="154">
      <c r="A154" s="12">
        <f>'Room List'!A154</f>
        <v/>
      </c>
      <c r="B154" s="12">
        <f>'Room List'!F154</f>
        <v/>
      </c>
      <c r="C154" s="12">
        <f>'Room List'!G154</f>
        <v/>
      </c>
      <c r="D154" s="12">
        <f>'Room List'!H154</f>
        <v/>
      </c>
      <c r="E154" s="12">
        <f>'Room List'!I154</f>
        <v/>
      </c>
      <c r="F154" s="12">
        <f>IFERROR(D154/B154,0)</f>
        <v/>
      </c>
      <c r="G154" s="12">
        <f>IF(E154&gt;=0,"On budget","Over budget")</f>
        <v/>
      </c>
    </row>
    <row r="155">
      <c r="A155">
        <f>'Room List'!A155</f>
        <v/>
      </c>
      <c r="B155">
        <f>'Room List'!F155</f>
        <v/>
      </c>
      <c r="C155">
        <f>'Room List'!G155</f>
        <v/>
      </c>
      <c r="D155">
        <f>'Room List'!H155</f>
        <v/>
      </c>
      <c r="E155">
        <f>'Room List'!I155</f>
        <v/>
      </c>
      <c r="F155">
        <f>IFERROR(D155/B155,0)</f>
        <v/>
      </c>
      <c r="G155">
        <f>IF(E155&gt;=0,"On budget","Over budget")</f>
        <v/>
      </c>
    </row>
    <row r="156">
      <c r="A156" s="12">
        <f>'Room List'!A156</f>
        <v/>
      </c>
      <c r="B156" s="12">
        <f>'Room List'!F156</f>
        <v/>
      </c>
      <c r="C156" s="12">
        <f>'Room List'!G156</f>
        <v/>
      </c>
      <c r="D156" s="12">
        <f>'Room List'!H156</f>
        <v/>
      </c>
      <c r="E156" s="12">
        <f>'Room List'!I156</f>
        <v/>
      </c>
      <c r="F156" s="12">
        <f>IFERROR(D156/B156,0)</f>
        <v/>
      </c>
      <c r="G156" s="12">
        <f>IF(E156&gt;=0,"On budget","Over budget")</f>
        <v/>
      </c>
    </row>
    <row r="157">
      <c r="A157">
        <f>'Room List'!A157</f>
        <v/>
      </c>
      <c r="B157">
        <f>'Room List'!F157</f>
        <v/>
      </c>
      <c r="C157">
        <f>'Room List'!G157</f>
        <v/>
      </c>
      <c r="D157">
        <f>'Room List'!H157</f>
        <v/>
      </c>
      <c r="E157">
        <f>'Room List'!I157</f>
        <v/>
      </c>
      <c r="F157">
        <f>IFERROR(D157/B157,0)</f>
        <v/>
      </c>
      <c r="G157">
        <f>IF(E157&gt;=0,"On budget","Over budget")</f>
        <v/>
      </c>
    </row>
    <row r="158">
      <c r="A158" s="12">
        <f>'Room List'!A158</f>
        <v/>
      </c>
      <c r="B158" s="12">
        <f>'Room List'!F158</f>
        <v/>
      </c>
      <c r="C158" s="12">
        <f>'Room List'!G158</f>
        <v/>
      </c>
      <c r="D158" s="12">
        <f>'Room List'!H158</f>
        <v/>
      </c>
      <c r="E158" s="12">
        <f>'Room List'!I158</f>
        <v/>
      </c>
      <c r="F158" s="12">
        <f>IFERROR(D158/B158,0)</f>
        <v/>
      </c>
      <c r="G158" s="12">
        <f>IF(E158&gt;=0,"On budget","Over budget")</f>
        <v/>
      </c>
    </row>
    <row r="159">
      <c r="A159">
        <f>'Room List'!A159</f>
        <v/>
      </c>
      <c r="B159">
        <f>'Room List'!F159</f>
        <v/>
      </c>
      <c r="C159">
        <f>'Room List'!G159</f>
        <v/>
      </c>
      <c r="D159">
        <f>'Room List'!H159</f>
        <v/>
      </c>
      <c r="E159">
        <f>'Room List'!I159</f>
        <v/>
      </c>
      <c r="F159">
        <f>IFERROR(D159/B159,0)</f>
        <v/>
      </c>
      <c r="G159">
        <f>IF(E159&gt;=0,"On budget","Over budget")</f>
        <v/>
      </c>
    </row>
    <row r="160">
      <c r="A160" s="12">
        <f>'Room List'!A160</f>
        <v/>
      </c>
      <c r="B160" s="12">
        <f>'Room List'!F160</f>
        <v/>
      </c>
      <c r="C160" s="12">
        <f>'Room List'!G160</f>
        <v/>
      </c>
      <c r="D160" s="12">
        <f>'Room List'!H160</f>
        <v/>
      </c>
      <c r="E160" s="12">
        <f>'Room List'!I160</f>
        <v/>
      </c>
      <c r="F160" s="12">
        <f>IFERROR(D160/B160,0)</f>
        <v/>
      </c>
      <c r="G160" s="12">
        <f>IF(E160&gt;=0,"On budget","Over budget")</f>
        <v/>
      </c>
    </row>
    <row r="161">
      <c r="A161">
        <f>'Room List'!A161</f>
        <v/>
      </c>
      <c r="B161">
        <f>'Room List'!F161</f>
        <v/>
      </c>
      <c r="C161">
        <f>'Room List'!G161</f>
        <v/>
      </c>
      <c r="D161">
        <f>'Room List'!H161</f>
        <v/>
      </c>
      <c r="E161">
        <f>'Room List'!I161</f>
        <v/>
      </c>
      <c r="F161">
        <f>IFERROR(D161/B161,0)</f>
        <v/>
      </c>
      <c r="G161">
        <f>IF(E161&gt;=0,"On budget","Over budget")</f>
        <v/>
      </c>
    </row>
    <row r="162">
      <c r="A162" s="12">
        <f>'Room List'!A162</f>
        <v/>
      </c>
      <c r="B162" s="12">
        <f>'Room List'!F162</f>
        <v/>
      </c>
      <c r="C162" s="12">
        <f>'Room List'!G162</f>
        <v/>
      </c>
      <c r="D162" s="12">
        <f>'Room List'!H162</f>
        <v/>
      </c>
      <c r="E162" s="12">
        <f>'Room List'!I162</f>
        <v/>
      </c>
      <c r="F162" s="12">
        <f>IFERROR(D162/B162,0)</f>
        <v/>
      </c>
      <c r="G162" s="12">
        <f>IF(E162&gt;=0,"On budget","Over budget")</f>
        <v/>
      </c>
    </row>
    <row r="163">
      <c r="A163">
        <f>'Room List'!A163</f>
        <v/>
      </c>
      <c r="B163">
        <f>'Room List'!F163</f>
        <v/>
      </c>
      <c r="C163">
        <f>'Room List'!G163</f>
        <v/>
      </c>
      <c r="D163">
        <f>'Room List'!H163</f>
        <v/>
      </c>
      <c r="E163">
        <f>'Room List'!I163</f>
        <v/>
      </c>
      <c r="F163">
        <f>IFERROR(D163/B163,0)</f>
        <v/>
      </c>
      <c r="G163">
        <f>IF(E163&gt;=0,"On budget","Over budget")</f>
        <v/>
      </c>
    </row>
    <row r="164">
      <c r="A164" s="12">
        <f>'Room List'!A164</f>
        <v/>
      </c>
      <c r="B164" s="12">
        <f>'Room List'!F164</f>
        <v/>
      </c>
      <c r="C164" s="12">
        <f>'Room List'!G164</f>
        <v/>
      </c>
      <c r="D164" s="12">
        <f>'Room List'!H164</f>
        <v/>
      </c>
      <c r="E164" s="12">
        <f>'Room List'!I164</f>
        <v/>
      </c>
      <c r="F164" s="12">
        <f>IFERROR(D164/B164,0)</f>
        <v/>
      </c>
      <c r="G164" s="12">
        <f>IF(E164&gt;=0,"On budget","Over budget")</f>
        <v/>
      </c>
    </row>
    <row r="165">
      <c r="A165">
        <f>'Room List'!A165</f>
        <v/>
      </c>
      <c r="B165">
        <f>'Room List'!F165</f>
        <v/>
      </c>
      <c r="C165">
        <f>'Room List'!G165</f>
        <v/>
      </c>
      <c r="D165">
        <f>'Room List'!H165</f>
        <v/>
      </c>
      <c r="E165">
        <f>'Room List'!I165</f>
        <v/>
      </c>
      <c r="F165">
        <f>IFERROR(D165/B165,0)</f>
        <v/>
      </c>
      <c r="G165">
        <f>IF(E165&gt;=0,"On budget","Over budget")</f>
        <v/>
      </c>
    </row>
    <row r="166">
      <c r="A166" s="12">
        <f>'Room List'!A166</f>
        <v/>
      </c>
      <c r="B166" s="12">
        <f>'Room List'!F166</f>
        <v/>
      </c>
      <c r="C166" s="12">
        <f>'Room List'!G166</f>
        <v/>
      </c>
      <c r="D166" s="12">
        <f>'Room List'!H166</f>
        <v/>
      </c>
      <c r="E166" s="12">
        <f>'Room List'!I166</f>
        <v/>
      </c>
      <c r="F166" s="12">
        <f>IFERROR(D166/B166,0)</f>
        <v/>
      </c>
      <c r="G166" s="12">
        <f>IF(E166&gt;=0,"On budget","Over budget")</f>
        <v/>
      </c>
    </row>
    <row r="167">
      <c r="A167">
        <f>'Room List'!A167</f>
        <v/>
      </c>
      <c r="B167">
        <f>'Room List'!F167</f>
        <v/>
      </c>
      <c r="C167">
        <f>'Room List'!G167</f>
        <v/>
      </c>
      <c r="D167">
        <f>'Room List'!H167</f>
        <v/>
      </c>
      <c r="E167">
        <f>'Room List'!I167</f>
        <v/>
      </c>
      <c r="F167">
        <f>IFERROR(D167/B167,0)</f>
        <v/>
      </c>
      <c r="G167">
        <f>IF(E167&gt;=0,"On budget","Over budget")</f>
        <v/>
      </c>
    </row>
    <row r="168">
      <c r="A168" s="12">
        <f>'Room List'!A168</f>
        <v/>
      </c>
      <c r="B168" s="12">
        <f>'Room List'!F168</f>
        <v/>
      </c>
      <c r="C168" s="12">
        <f>'Room List'!G168</f>
        <v/>
      </c>
      <c r="D168" s="12">
        <f>'Room List'!H168</f>
        <v/>
      </c>
      <c r="E168" s="12">
        <f>'Room List'!I168</f>
        <v/>
      </c>
      <c r="F168" s="12">
        <f>IFERROR(D168/B168,0)</f>
        <v/>
      </c>
      <c r="G168" s="12">
        <f>IF(E168&gt;=0,"On budget","Over budget")</f>
        <v/>
      </c>
    </row>
    <row r="169">
      <c r="A169">
        <f>'Room List'!A169</f>
        <v/>
      </c>
      <c r="B169">
        <f>'Room List'!F169</f>
        <v/>
      </c>
      <c r="C169">
        <f>'Room List'!G169</f>
        <v/>
      </c>
      <c r="D169">
        <f>'Room List'!H169</f>
        <v/>
      </c>
      <c r="E169">
        <f>'Room List'!I169</f>
        <v/>
      </c>
      <c r="F169">
        <f>IFERROR(D169/B169,0)</f>
        <v/>
      </c>
      <c r="G169">
        <f>IF(E169&gt;=0,"On budget","Over budget")</f>
        <v/>
      </c>
    </row>
    <row r="170">
      <c r="A170" s="12">
        <f>'Room List'!A170</f>
        <v/>
      </c>
      <c r="B170" s="12">
        <f>'Room List'!F170</f>
        <v/>
      </c>
      <c r="C170" s="12">
        <f>'Room List'!G170</f>
        <v/>
      </c>
      <c r="D170" s="12">
        <f>'Room List'!H170</f>
        <v/>
      </c>
      <c r="E170" s="12">
        <f>'Room List'!I170</f>
        <v/>
      </c>
      <c r="F170" s="12">
        <f>IFERROR(D170/B170,0)</f>
        <v/>
      </c>
      <c r="G170" s="12">
        <f>IF(E170&gt;=0,"On budget","Over budget")</f>
        <v/>
      </c>
    </row>
    <row r="171">
      <c r="A171">
        <f>'Room List'!A171</f>
        <v/>
      </c>
      <c r="B171">
        <f>'Room List'!F171</f>
        <v/>
      </c>
      <c r="C171">
        <f>'Room List'!G171</f>
        <v/>
      </c>
      <c r="D171">
        <f>'Room List'!H171</f>
        <v/>
      </c>
      <c r="E171">
        <f>'Room List'!I171</f>
        <v/>
      </c>
      <c r="F171">
        <f>IFERROR(D171/B171,0)</f>
        <v/>
      </c>
      <c r="G171">
        <f>IF(E171&gt;=0,"On budget","Over budget")</f>
        <v/>
      </c>
    </row>
    <row r="172">
      <c r="A172" s="12">
        <f>'Room List'!A172</f>
        <v/>
      </c>
      <c r="B172" s="12">
        <f>'Room List'!F172</f>
        <v/>
      </c>
      <c r="C172" s="12">
        <f>'Room List'!G172</f>
        <v/>
      </c>
      <c r="D172" s="12">
        <f>'Room List'!H172</f>
        <v/>
      </c>
      <c r="E172" s="12">
        <f>'Room List'!I172</f>
        <v/>
      </c>
      <c r="F172" s="12">
        <f>IFERROR(D172/B172,0)</f>
        <v/>
      </c>
      <c r="G172" s="12">
        <f>IF(E172&gt;=0,"On budget","Over budget")</f>
        <v/>
      </c>
    </row>
    <row r="173">
      <c r="A173">
        <f>'Room List'!A173</f>
        <v/>
      </c>
      <c r="B173">
        <f>'Room List'!F173</f>
        <v/>
      </c>
      <c r="C173">
        <f>'Room List'!G173</f>
        <v/>
      </c>
      <c r="D173">
        <f>'Room List'!H173</f>
        <v/>
      </c>
      <c r="E173">
        <f>'Room List'!I173</f>
        <v/>
      </c>
      <c r="F173">
        <f>IFERROR(D173/B173,0)</f>
        <v/>
      </c>
      <c r="G173">
        <f>IF(E173&gt;=0,"On budget","Over budget")</f>
        <v/>
      </c>
    </row>
    <row r="174">
      <c r="A174" s="12">
        <f>'Room List'!A174</f>
        <v/>
      </c>
      <c r="B174" s="12">
        <f>'Room List'!F174</f>
        <v/>
      </c>
      <c r="C174" s="12">
        <f>'Room List'!G174</f>
        <v/>
      </c>
      <c r="D174" s="12">
        <f>'Room List'!H174</f>
        <v/>
      </c>
      <c r="E174" s="12">
        <f>'Room List'!I174</f>
        <v/>
      </c>
      <c r="F174" s="12">
        <f>IFERROR(D174/B174,0)</f>
        <v/>
      </c>
      <c r="G174" s="12">
        <f>IF(E174&gt;=0,"On budget","Over budget")</f>
        <v/>
      </c>
    </row>
    <row r="175">
      <c r="A175">
        <f>'Room List'!A175</f>
        <v/>
      </c>
      <c r="B175">
        <f>'Room List'!F175</f>
        <v/>
      </c>
      <c r="C175">
        <f>'Room List'!G175</f>
        <v/>
      </c>
      <c r="D175">
        <f>'Room List'!H175</f>
        <v/>
      </c>
      <c r="E175">
        <f>'Room List'!I175</f>
        <v/>
      </c>
      <c r="F175">
        <f>IFERROR(D175/B175,0)</f>
        <v/>
      </c>
      <c r="G175">
        <f>IF(E175&gt;=0,"On budget","Over budget")</f>
        <v/>
      </c>
    </row>
    <row r="176">
      <c r="A176" s="12">
        <f>'Room List'!A176</f>
        <v/>
      </c>
      <c r="B176" s="12">
        <f>'Room List'!F176</f>
        <v/>
      </c>
      <c r="C176" s="12">
        <f>'Room List'!G176</f>
        <v/>
      </c>
      <c r="D176" s="12">
        <f>'Room List'!H176</f>
        <v/>
      </c>
      <c r="E176" s="12">
        <f>'Room List'!I176</f>
        <v/>
      </c>
      <c r="F176" s="12">
        <f>IFERROR(D176/B176,0)</f>
        <v/>
      </c>
      <c r="G176" s="12">
        <f>IF(E176&gt;=0,"On budget","Over budget")</f>
        <v/>
      </c>
    </row>
    <row r="177">
      <c r="A177">
        <f>'Room List'!A177</f>
        <v/>
      </c>
      <c r="B177">
        <f>'Room List'!F177</f>
        <v/>
      </c>
      <c r="C177">
        <f>'Room List'!G177</f>
        <v/>
      </c>
      <c r="D177">
        <f>'Room List'!H177</f>
        <v/>
      </c>
      <c r="E177">
        <f>'Room List'!I177</f>
        <v/>
      </c>
      <c r="F177">
        <f>IFERROR(D177/B177,0)</f>
        <v/>
      </c>
      <c r="G177">
        <f>IF(E177&gt;=0,"On budget","Over budget")</f>
        <v/>
      </c>
    </row>
    <row r="178">
      <c r="A178" s="12">
        <f>'Room List'!A178</f>
        <v/>
      </c>
      <c r="B178" s="12">
        <f>'Room List'!F178</f>
        <v/>
      </c>
      <c r="C178" s="12">
        <f>'Room List'!G178</f>
        <v/>
      </c>
      <c r="D178" s="12">
        <f>'Room List'!H178</f>
        <v/>
      </c>
      <c r="E178" s="12">
        <f>'Room List'!I178</f>
        <v/>
      </c>
      <c r="F178" s="12">
        <f>IFERROR(D178/B178,0)</f>
        <v/>
      </c>
      <c r="G178" s="12">
        <f>IF(E178&gt;=0,"On budget","Over budget")</f>
        <v/>
      </c>
    </row>
    <row r="179">
      <c r="A179">
        <f>'Room List'!A179</f>
        <v/>
      </c>
      <c r="B179">
        <f>'Room List'!F179</f>
        <v/>
      </c>
      <c r="C179">
        <f>'Room List'!G179</f>
        <v/>
      </c>
      <c r="D179">
        <f>'Room List'!H179</f>
        <v/>
      </c>
      <c r="E179">
        <f>'Room List'!I179</f>
        <v/>
      </c>
      <c r="F179">
        <f>IFERROR(D179/B179,0)</f>
        <v/>
      </c>
      <c r="G179">
        <f>IF(E179&gt;=0,"On budget","Over budget")</f>
        <v/>
      </c>
    </row>
    <row r="180">
      <c r="A180" s="12">
        <f>'Room List'!A180</f>
        <v/>
      </c>
      <c r="B180" s="12">
        <f>'Room List'!F180</f>
        <v/>
      </c>
      <c r="C180" s="12">
        <f>'Room List'!G180</f>
        <v/>
      </c>
      <c r="D180" s="12">
        <f>'Room List'!H180</f>
        <v/>
      </c>
      <c r="E180" s="12">
        <f>'Room List'!I180</f>
        <v/>
      </c>
      <c r="F180" s="12">
        <f>IFERROR(D180/B180,0)</f>
        <v/>
      </c>
      <c r="G180" s="12">
        <f>IF(E180&gt;=0,"On budget","Over budget")</f>
        <v/>
      </c>
    </row>
    <row r="181">
      <c r="A181">
        <f>'Room List'!A181</f>
        <v/>
      </c>
      <c r="B181">
        <f>'Room List'!F181</f>
        <v/>
      </c>
      <c r="C181">
        <f>'Room List'!G181</f>
        <v/>
      </c>
      <c r="D181">
        <f>'Room List'!H181</f>
        <v/>
      </c>
      <c r="E181">
        <f>'Room List'!I181</f>
        <v/>
      </c>
      <c r="F181">
        <f>IFERROR(D181/B181,0)</f>
        <v/>
      </c>
      <c r="G181">
        <f>IF(E181&gt;=0,"On budget","Over budget")</f>
        <v/>
      </c>
    </row>
    <row r="182">
      <c r="A182" s="12">
        <f>'Room List'!A182</f>
        <v/>
      </c>
      <c r="B182" s="12">
        <f>'Room List'!F182</f>
        <v/>
      </c>
      <c r="C182" s="12">
        <f>'Room List'!G182</f>
        <v/>
      </c>
      <c r="D182" s="12">
        <f>'Room List'!H182</f>
        <v/>
      </c>
      <c r="E182" s="12">
        <f>'Room List'!I182</f>
        <v/>
      </c>
      <c r="F182" s="12">
        <f>IFERROR(D182/B182,0)</f>
        <v/>
      </c>
      <c r="G182" s="12">
        <f>IF(E182&gt;=0,"On budget","Over budget")</f>
        <v/>
      </c>
    </row>
    <row r="183">
      <c r="A183">
        <f>'Room List'!A183</f>
        <v/>
      </c>
      <c r="B183">
        <f>'Room List'!F183</f>
        <v/>
      </c>
      <c r="C183">
        <f>'Room List'!G183</f>
        <v/>
      </c>
      <c r="D183">
        <f>'Room List'!H183</f>
        <v/>
      </c>
      <c r="E183">
        <f>'Room List'!I183</f>
        <v/>
      </c>
      <c r="F183">
        <f>IFERROR(D183/B183,0)</f>
        <v/>
      </c>
      <c r="G183">
        <f>IF(E183&gt;=0,"On budget","Over budget")</f>
        <v/>
      </c>
    </row>
    <row r="184">
      <c r="A184" s="12">
        <f>'Room List'!A184</f>
        <v/>
      </c>
      <c r="B184" s="12">
        <f>'Room List'!F184</f>
        <v/>
      </c>
      <c r="C184" s="12">
        <f>'Room List'!G184</f>
        <v/>
      </c>
      <c r="D184" s="12">
        <f>'Room List'!H184</f>
        <v/>
      </c>
      <c r="E184" s="12">
        <f>'Room List'!I184</f>
        <v/>
      </c>
      <c r="F184" s="12">
        <f>IFERROR(D184/B184,0)</f>
        <v/>
      </c>
      <c r="G184" s="12">
        <f>IF(E184&gt;=0,"On budget","Over budget")</f>
        <v/>
      </c>
    </row>
    <row r="185">
      <c r="A185">
        <f>'Room List'!A185</f>
        <v/>
      </c>
      <c r="B185">
        <f>'Room List'!F185</f>
        <v/>
      </c>
      <c r="C185">
        <f>'Room List'!G185</f>
        <v/>
      </c>
      <c r="D185">
        <f>'Room List'!H185</f>
        <v/>
      </c>
      <c r="E185">
        <f>'Room List'!I185</f>
        <v/>
      </c>
      <c r="F185">
        <f>IFERROR(D185/B185,0)</f>
        <v/>
      </c>
      <c r="G185">
        <f>IF(E185&gt;=0,"On budget","Over budget")</f>
        <v/>
      </c>
    </row>
    <row r="186">
      <c r="A186" s="12">
        <f>'Room List'!A186</f>
        <v/>
      </c>
      <c r="B186" s="12">
        <f>'Room List'!F186</f>
        <v/>
      </c>
      <c r="C186" s="12">
        <f>'Room List'!G186</f>
        <v/>
      </c>
      <c r="D186" s="12">
        <f>'Room List'!H186</f>
        <v/>
      </c>
      <c r="E186" s="12">
        <f>'Room List'!I186</f>
        <v/>
      </c>
      <c r="F186" s="12">
        <f>IFERROR(D186/B186,0)</f>
        <v/>
      </c>
      <c r="G186" s="12">
        <f>IF(E186&gt;=0,"On budget","Over budget")</f>
        <v/>
      </c>
    </row>
    <row r="187">
      <c r="A187">
        <f>'Room List'!A187</f>
        <v/>
      </c>
      <c r="B187">
        <f>'Room List'!F187</f>
        <v/>
      </c>
      <c r="C187">
        <f>'Room List'!G187</f>
        <v/>
      </c>
      <c r="D187">
        <f>'Room List'!H187</f>
        <v/>
      </c>
      <c r="E187">
        <f>'Room List'!I187</f>
        <v/>
      </c>
      <c r="F187">
        <f>IFERROR(D187/B187,0)</f>
        <v/>
      </c>
      <c r="G187">
        <f>IF(E187&gt;=0,"On budget","Over budget")</f>
        <v/>
      </c>
    </row>
    <row r="188">
      <c r="A188" s="12">
        <f>'Room List'!A188</f>
        <v/>
      </c>
      <c r="B188" s="12">
        <f>'Room List'!F188</f>
        <v/>
      </c>
      <c r="C188" s="12">
        <f>'Room List'!G188</f>
        <v/>
      </c>
      <c r="D188" s="12">
        <f>'Room List'!H188</f>
        <v/>
      </c>
      <c r="E188" s="12">
        <f>'Room List'!I188</f>
        <v/>
      </c>
      <c r="F188" s="12">
        <f>IFERROR(D188/B188,0)</f>
        <v/>
      </c>
      <c r="G188" s="12">
        <f>IF(E188&gt;=0,"On budget","Over budget")</f>
        <v/>
      </c>
    </row>
    <row r="189">
      <c r="A189">
        <f>'Room List'!A189</f>
        <v/>
      </c>
      <c r="B189">
        <f>'Room List'!F189</f>
        <v/>
      </c>
      <c r="C189">
        <f>'Room List'!G189</f>
        <v/>
      </c>
      <c r="D189">
        <f>'Room List'!H189</f>
        <v/>
      </c>
      <c r="E189">
        <f>'Room List'!I189</f>
        <v/>
      </c>
      <c r="F189">
        <f>IFERROR(D189/B189,0)</f>
        <v/>
      </c>
      <c r="G189">
        <f>IF(E189&gt;=0,"On budget","Over budget")</f>
        <v/>
      </c>
    </row>
    <row r="190">
      <c r="A190" s="12">
        <f>'Room List'!A190</f>
        <v/>
      </c>
      <c r="B190" s="12">
        <f>'Room List'!F190</f>
        <v/>
      </c>
      <c r="C190" s="12">
        <f>'Room List'!G190</f>
        <v/>
      </c>
      <c r="D190" s="12">
        <f>'Room List'!H190</f>
        <v/>
      </c>
      <c r="E190" s="12">
        <f>'Room List'!I190</f>
        <v/>
      </c>
      <c r="F190" s="12">
        <f>IFERROR(D190/B190,0)</f>
        <v/>
      </c>
      <c r="G190" s="12">
        <f>IF(E190&gt;=0,"On budget","Over budget")</f>
        <v/>
      </c>
    </row>
    <row r="191">
      <c r="A191">
        <f>'Room List'!A191</f>
        <v/>
      </c>
      <c r="B191">
        <f>'Room List'!F191</f>
        <v/>
      </c>
      <c r="C191">
        <f>'Room List'!G191</f>
        <v/>
      </c>
      <c r="D191">
        <f>'Room List'!H191</f>
        <v/>
      </c>
      <c r="E191">
        <f>'Room List'!I191</f>
        <v/>
      </c>
      <c r="F191">
        <f>IFERROR(D191/B191,0)</f>
        <v/>
      </c>
      <c r="G191">
        <f>IF(E191&gt;=0,"On budget","Over budget")</f>
        <v/>
      </c>
    </row>
    <row r="192">
      <c r="A192" s="12">
        <f>'Room List'!A192</f>
        <v/>
      </c>
      <c r="B192" s="12">
        <f>'Room List'!F192</f>
        <v/>
      </c>
      <c r="C192" s="12">
        <f>'Room List'!G192</f>
        <v/>
      </c>
      <c r="D192" s="12">
        <f>'Room List'!H192</f>
        <v/>
      </c>
      <c r="E192" s="12">
        <f>'Room List'!I192</f>
        <v/>
      </c>
      <c r="F192" s="12">
        <f>IFERROR(D192/B192,0)</f>
        <v/>
      </c>
      <c r="G192" s="12">
        <f>IF(E192&gt;=0,"On budget","Over budget")</f>
        <v/>
      </c>
    </row>
    <row r="193">
      <c r="A193">
        <f>'Room List'!A193</f>
        <v/>
      </c>
      <c r="B193">
        <f>'Room List'!F193</f>
        <v/>
      </c>
      <c r="C193">
        <f>'Room List'!G193</f>
        <v/>
      </c>
      <c r="D193">
        <f>'Room List'!H193</f>
        <v/>
      </c>
      <c r="E193">
        <f>'Room List'!I193</f>
        <v/>
      </c>
      <c r="F193">
        <f>IFERROR(D193/B193,0)</f>
        <v/>
      </c>
      <c r="G193">
        <f>IF(E193&gt;=0,"On budget","Over budget")</f>
        <v/>
      </c>
    </row>
    <row r="194">
      <c r="A194" s="12">
        <f>'Room List'!A194</f>
        <v/>
      </c>
      <c r="B194" s="12">
        <f>'Room List'!F194</f>
        <v/>
      </c>
      <c r="C194" s="12">
        <f>'Room List'!G194</f>
        <v/>
      </c>
      <c r="D194" s="12">
        <f>'Room List'!H194</f>
        <v/>
      </c>
      <c r="E194" s="12">
        <f>'Room List'!I194</f>
        <v/>
      </c>
      <c r="F194" s="12">
        <f>IFERROR(D194/B194,0)</f>
        <v/>
      </c>
      <c r="G194" s="12">
        <f>IF(E194&gt;=0,"On budget","Over budget")</f>
        <v/>
      </c>
    </row>
    <row r="195">
      <c r="A195">
        <f>'Room List'!A195</f>
        <v/>
      </c>
      <c r="B195">
        <f>'Room List'!F195</f>
        <v/>
      </c>
      <c r="C195">
        <f>'Room List'!G195</f>
        <v/>
      </c>
      <c r="D195">
        <f>'Room List'!H195</f>
        <v/>
      </c>
      <c r="E195">
        <f>'Room List'!I195</f>
        <v/>
      </c>
      <c r="F195">
        <f>IFERROR(D195/B195,0)</f>
        <v/>
      </c>
      <c r="G195">
        <f>IF(E195&gt;=0,"On budget","Over budget")</f>
        <v/>
      </c>
    </row>
    <row r="196">
      <c r="A196" s="12">
        <f>'Room List'!A196</f>
        <v/>
      </c>
      <c r="B196" s="12">
        <f>'Room List'!F196</f>
        <v/>
      </c>
      <c r="C196" s="12">
        <f>'Room List'!G196</f>
        <v/>
      </c>
      <c r="D196" s="12">
        <f>'Room List'!H196</f>
        <v/>
      </c>
      <c r="E196" s="12">
        <f>'Room List'!I196</f>
        <v/>
      </c>
      <c r="F196" s="12">
        <f>IFERROR(D196/B196,0)</f>
        <v/>
      </c>
      <c r="G196" s="12">
        <f>IF(E196&gt;=0,"On budget","Over budget")</f>
        <v/>
      </c>
    </row>
    <row r="197">
      <c r="A197">
        <f>'Room List'!A197</f>
        <v/>
      </c>
      <c r="B197">
        <f>'Room List'!F197</f>
        <v/>
      </c>
      <c r="C197">
        <f>'Room List'!G197</f>
        <v/>
      </c>
      <c r="D197">
        <f>'Room List'!H197</f>
        <v/>
      </c>
      <c r="E197">
        <f>'Room List'!I197</f>
        <v/>
      </c>
      <c r="F197">
        <f>IFERROR(D197/B197,0)</f>
        <v/>
      </c>
      <c r="G197">
        <f>IF(E197&gt;=0,"On budget","Over budget")</f>
        <v/>
      </c>
    </row>
    <row r="198">
      <c r="A198" s="12">
        <f>'Room List'!A198</f>
        <v/>
      </c>
      <c r="B198" s="12">
        <f>'Room List'!F198</f>
        <v/>
      </c>
      <c r="C198" s="12">
        <f>'Room List'!G198</f>
        <v/>
      </c>
      <c r="D198" s="12">
        <f>'Room List'!H198</f>
        <v/>
      </c>
      <c r="E198" s="12">
        <f>'Room List'!I198</f>
        <v/>
      </c>
      <c r="F198" s="12">
        <f>IFERROR(D198/B198,0)</f>
        <v/>
      </c>
      <c r="G198" s="12">
        <f>IF(E198&gt;=0,"On budget","Over budget")</f>
        <v/>
      </c>
    </row>
    <row r="199">
      <c r="A199">
        <f>'Room List'!A199</f>
        <v/>
      </c>
      <c r="B199">
        <f>'Room List'!F199</f>
        <v/>
      </c>
      <c r="C199">
        <f>'Room List'!G199</f>
        <v/>
      </c>
      <c r="D199">
        <f>'Room List'!H199</f>
        <v/>
      </c>
      <c r="E199">
        <f>'Room List'!I199</f>
        <v/>
      </c>
      <c r="F199">
        <f>IFERROR(D199/B199,0)</f>
        <v/>
      </c>
      <c r="G199">
        <f>IF(E199&gt;=0,"On budget","Over budget")</f>
        <v/>
      </c>
    </row>
    <row r="200">
      <c r="A200" s="12">
        <f>'Room List'!A200</f>
        <v/>
      </c>
      <c r="B200" s="12">
        <f>'Room List'!F200</f>
        <v/>
      </c>
      <c r="C200" s="12">
        <f>'Room List'!G200</f>
        <v/>
      </c>
      <c r="D200" s="12">
        <f>'Room List'!H200</f>
        <v/>
      </c>
      <c r="E200" s="12">
        <f>'Room List'!I200</f>
        <v/>
      </c>
      <c r="F200" s="12">
        <f>IFERROR(D200/B200,0)</f>
        <v/>
      </c>
      <c r="G200" s="12">
        <f>IF(E200&gt;=0,"On budget","Over budget")</f>
        <v/>
      </c>
    </row>
    <row r="201">
      <c r="A201">
        <f>'Room List'!A201</f>
        <v/>
      </c>
      <c r="B201">
        <f>'Room List'!F201</f>
        <v/>
      </c>
      <c r="C201">
        <f>'Room List'!G201</f>
        <v/>
      </c>
      <c r="D201">
        <f>'Room List'!H201</f>
        <v/>
      </c>
      <c r="E201">
        <f>'Room List'!I201</f>
        <v/>
      </c>
      <c r="F201">
        <f>IFERROR(D201/B201,0)</f>
        <v/>
      </c>
      <c r="G201">
        <f>IF(E201&gt;=0,"On budget","Over budget")</f>
        <v/>
      </c>
    </row>
    <row r="202">
      <c r="A202" s="12">
        <f>'Room List'!A202</f>
        <v/>
      </c>
      <c r="B202" s="12">
        <f>'Room List'!F202</f>
        <v/>
      </c>
      <c r="C202" s="12">
        <f>'Room List'!G202</f>
        <v/>
      </c>
      <c r="D202" s="12">
        <f>'Room List'!H202</f>
        <v/>
      </c>
      <c r="E202" s="12">
        <f>'Room List'!I202</f>
        <v/>
      </c>
      <c r="F202" s="12">
        <f>IFERROR(D202/B202,0)</f>
        <v/>
      </c>
      <c r="G202" s="12">
        <f>IF(E202&gt;=0,"On budget","Over budget")</f>
        <v/>
      </c>
    </row>
    <row r="203">
      <c r="A203">
        <f>'Room List'!A203</f>
        <v/>
      </c>
      <c r="B203">
        <f>'Room List'!F203</f>
        <v/>
      </c>
      <c r="C203">
        <f>'Room List'!G203</f>
        <v/>
      </c>
      <c r="D203">
        <f>'Room List'!H203</f>
        <v/>
      </c>
      <c r="E203">
        <f>'Room List'!I203</f>
        <v/>
      </c>
      <c r="F203">
        <f>IFERROR(D203/B203,0)</f>
        <v/>
      </c>
      <c r="G203">
        <f>IF(E203&gt;=0,"On budget","Over budget")</f>
        <v/>
      </c>
    </row>
    <row r="204">
      <c r="A204" s="12">
        <f>'Room List'!A204</f>
        <v/>
      </c>
      <c r="B204" s="12">
        <f>'Room List'!F204</f>
        <v/>
      </c>
      <c r="C204" s="12">
        <f>'Room List'!G204</f>
        <v/>
      </c>
      <c r="D204" s="12">
        <f>'Room List'!H204</f>
        <v/>
      </c>
      <c r="E204" s="12">
        <f>'Room List'!I204</f>
        <v/>
      </c>
      <c r="F204" s="12">
        <f>IFERROR(D204/B204,0)</f>
        <v/>
      </c>
      <c r="G204" s="12">
        <f>IF(E204&gt;=0,"On budget","Over budget")</f>
        <v/>
      </c>
    </row>
    <row r="205">
      <c r="A205">
        <f>'Room List'!A205</f>
        <v/>
      </c>
      <c r="B205">
        <f>'Room List'!F205</f>
        <v/>
      </c>
      <c r="C205">
        <f>'Room List'!G205</f>
        <v/>
      </c>
      <c r="D205">
        <f>'Room List'!H205</f>
        <v/>
      </c>
      <c r="E205">
        <f>'Room List'!I205</f>
        <v/>
      </c>
      <c r="F205">
        <f>IFERROR(D205/B205,0)</f>
        <v/>
      </c>
      <c r="G205">
        <f>IF(E205&gt;=0,"On budget","Over budget")</f>
        <v/>
      </c>
    </row>
    <row r="206">
      <c r="A206" s="12">
        <f>'Room List'!A206</f>
        <v/>
      </c>
      <c r="B206" s="12">
        <f>'Room List'!F206</f>
        <v/>
      </c>
      <c r="C206" s="12">
        <f>'Room List'!G206</f>
        <v/>
      </c>
      <c r="D206" s="12">
        <f>'Room List'!H206</f>
        <v/>
      </c>
      <c r="E206" s="12">
        <f>'Room List'!I206</f>
        <v/>
      </c>
      <c r="F206" s="12">
        <f>IFERROR(D206/B206,0)</f>
        <v/>
      </c>
      <c r="G206" s="12">
        <f>IF(E206&gt;=0,"On budget","Over budget")</f>
        <v/>
      </c>
    </row>
    <row r="207">
      <c r="A207">
        <f>'Room List'!A207</f>
        <v/>
      </c>
      <c r="B207">
        <f>'Room List'!F207</f>
        <v/>
      </c>
      <c r="C207">
        <f>'Room List'!G207</f>
        <v/>
      </c>
      <c r="D207">
        <f>'Room List'!H207</f>
        <v/>
      </c>
      <c r="E207">
        <f>'Room List'!I207</f>
        <v/>
      </c>
      <c r="F207">
        <f>IFERROR(D207/B207,0)</f>
        <v/>
      </c>
      <c r="G207">
        <f>IF(E207&gt;=0,"On budget","Over budget")</f>
        <v/>
      </c>
    </row>
    <row r="208">
      <c r="A208" s="12">
        <f>'Room List'!A208</f>
        <v/>
      </c>
      <c r="B208" s="12">
        <f>'Room List'!F208</f>
        <v/>
      </c>
      <c r="C208" s="12">
        <f>'Room List'!G208</f>
        <v/>
      </c>
      <c r="D208" s="12">
        <f>'Room List'!H208</f>
        <v/>
      </c>
      <c r="E208" s="12">
        <f>'Room List'!I208</f>
        <v/>
      </c>
      <c r="F208" s="12">
        <f>IFERROR(D208/B208,0)</f>
        <v/>
      </c>
      <c r="G208" s="12">
        <f>IF(E208&gt;=0,"On budget","Over budget")</f>
        <v/>
      </c>
    </row>
    <row r="209">
      <c r="A209">
        <f>'Room List'!A209</f>
        <v/>
      </c>
      <c r="B209">
        <f>'Room List'!F209</f>
        <v/>
      </c>
      <c r="C209">
        <f>'Room List'!G209</f>
        <v/>
      </c>
      <c r="D209">
        <f>'Room List'!H209</f>
        <v/>
      </c>
      <c r="E209">
        <f>'Room List'!I209</f>
        <v/>
      </c>
      <c r="F209">
        <f>IFERROR(D209/B209,0)</f>
        <v/>
      </c>
      <c r="G209">
        <f>IF(E209&gt;=0,"On budget","Over budget")</f>
        <v/>
      </c>
    </row>
    <row r="210">
      <c r="A210" s="12">
        <f>'Room List'!A210</f>
        <v/>
      </c>
      <c r="B210" s="12">
        <f>'Room List'!F210</f>
        <v/>
      </c>
      <c r="C210" s="12">
        <f>'Room List'!G210</f>
        <v/>
      </c>
      <c r="D210" s="12">
        <f>'Room List'!H210</f>
        <v/>
      </c>
      <c r="E210" s="12">
        <f>'Room List'!I210</f>
        <v/>
      </c>
      <c r="F210" s="12">
        <f>IFERROR(D210/B210,0)</f>
        <v/>
      </c>
      <c r="G210" s="12">
        <f>IF(E210&gt;=0,"On budget","Over budget")</f>
        <v/>
      </c>
    </row>
    <row r="211">
      <c r="A211">
        <f>'Room List'!A211</f>
        <v/>
      </c>
      <c r="B211">
        <f>'Room List'!F211</f>
        <v/>
      </c>
      <c r="C211">
        <f>'Room List'!G211</f>
        <v/>
      </c>
      <c r="D211">
        <f>'Room List'!H211</f>
        <v/>
      </c>
      <c r="E211">
        <f>'Room List'!I211</f>
        <v/>
      </c>
      <c r="F211">
        <f>IFERROR(D211/B211,0)</f>
        <v/>
      </c>
      <c r="G211">
        <f>IF(E211&gt;=0,"On budget","Over budget")</f>
        <v/>
      </c>
    </row>
    <row r="212">
      <c r="A212" s="12">
        <f>'Room List'!A212</f>
        <v/>
      </c>
      <c r="B212" s="12">
        <f>'Room List'!F212</f>
        <v/>
      </c>
      <c r="C212" s="12">
        <f>'Room List'!G212</f>
        <v/>
      </c>
      <c r="D212" s="12">
        <f>'Room List'!H212</f>
        <v/>
      </c>
      <c r="E212" s="12">
        <f>'Room List'!I212</f>
        <v/>
      </c>
      <c r="F212" s="12">
        <f>IFERROR(D212/B212,0)</f>
        <v/>
      </c>
      <c r="G212" s="12">
        <f>IF(E212&gt;=0,"On budget","Over budget")</f>
        <v/>
      </c>
    </row>
    <row r="213">
      <c r="A213">
        <f>'Room List'!A213</f>
        <v/>
      </c>
      <c r="B213">
        <f>'Room List'!F213</f>
        <v/>
      </c>
      <c r="C213">
        <f>'Room List'!G213</f>
        <v/>
      </c>
      <c r="D213">
        <f>'Room List'!H213</f>
        <v/>
      </c>
      <c r="E213">
        <f>'Room List'!I213</f>
        <v/>
      </c>
      <c r="F213">
        <f>IFERROR(D213/B213,0)</f>
        <v/>
      </c>
      <c r="G213">
        <f>IF(E213&gt;=0,"On budget","Over budget")</f>
        <v/>
      </c>
    </row>
    <row r="214">
      <c r="A214" s="12">
        <f>'Room List'!A214</f>
        <v/>
      </c>
      <c r="B214" s="12">
        <f>'Room List'!F214</f>
        <v/>
      </c>
      <c r="C214" s="12">
        <f>'Room List'!G214</f>
        <v/>
      </c>
      <c r="D214" s="12">
        <f>'Room List'!H214</f>
        <v/>
      </c>
      <c r="E214" s="12">
        <f>'Room List'!I214</f>
        <v/>
      </c>
      <c r="F214" s="12">
        <f>IFERROR(D214/B214,0)</f>
        <v/>
      </c>
      <c r="G214" s="12">
        <f>IF(E214&gt;=0,"On budget","Over budget")</f>
        <v/>
      </c>
    </row>
    <row r="215">
      <c r="A215">
        <f>'Room List'!A215</f>
        <v/>
      </c>
      <c r="B215">
        <f>'Room List'!F215</f>
        <v/>
      </c>
      <c r="C215">
        <f>'Room List'!G215</f>
        <v/>
      </c>
      <c r="D215">
        <f>'Room List'!H215</f>
        <v/>
      </c>
      <c r="E215">
        <f>'Room List'!I215</f>
        <v/>
      </c>
      <c r="F215">
        <f>IFERROR(D215/B215,0)</f>
        <v/>
      </c>
      <c r="G215">
        <f>IF(E215&gt;=0,"On budget","Over budget")</f>
        <v/>
      </c>
    </row>
    <row r="216">
      <c r="A216" s="12">
        <f>'Room List'!A216</f>
        <v/>
      </c>
      <c r="B216" s="12">
        <f>'Room List'!F216</f>
        <v/>
      </c>
      <c r="C216" s="12">
        <f>'Room List'!G216</f>
        <v/>
      </c>
      <c r="D216" s="12">
        <f>'Room List'!H216</f>
        <v/>
      </c>
      <c r="E216" s="12">
        <f>'Room List'!I216</f>
        <v/>
      </c>
      <c r="F216" s="12">
        <f>IFERROR(D216/B216,0)</f>
        <v/>
      </c>
      <c r="G216" s="12">
        <f>IF(E216&gt;=0,"On budget","Over budget")</f>
        <v/>
      </c>
    </row>
    <row r="217">
      <c r="A217">
        <f>'Room List'!A217</f>
        <v/>
      </c>
      <c r="B217">
        <f>'Room List'!F217</f>
        <v/>
      </c>
      <c r="C217">
        <f>'Room List'!G217</f>
        <v/>
      </c>
      <c r="D217">
        <f>'Room List'!H217</f>
        <v/>
      </c>
      <c r="E217">
        <f>'Room List'!I217</f>
        <v/>
      </c>
      <c r="F217">
        <f>IFERROR(D217/B217,0)</f>
        <v/>
      </c>
      <c r="G217">
        <f>IF(E217&gt;=0,"On budget","Over budget")</f>
        <v/>
      </c>
    </row>
    <row r="218">
      <c r="A218" s="12">
        <f>'Room List'!A218</f>
        <v/>
      </c>
      <c r="B218" s="12">
        <f>'Room List'!F218</f>
        <v/>
      </c>
      <c r="C218" s="12">
        <f>'Room List'!G218</f>
        <v/>
      </c>
      <c r="D218" s="12">
        <f>'Room List'!H218</f>
        <v/>
      </c>
      <c r="E218" s="12">
        <f>'Room List'!I218</f>
        <v/>
      </c>
      <c r="F218" s="12">
        <f>IFERROR(D218/B218,0)</f>
        <v/>
      </c>
      <c r="G218" s="12">
        <f>IF(E218&gt;=0,"On budget","Over budget")</f>
        <v/>
      </c>
    </row>
    <row r="219">
      <c r="A219">
        <f>'Room List'!A219</f>
        <v/>
      </c>
      <c r="B219">
        <f>'Room List'!F219</f>
        <v/>
      </c>
      <c r="C219">
        <f>'Room List'!G219</f>
        <v/>
      </c>
      <c r="D219">
        <f>'Room List'!H219</f>
        <v/>
      </c>
      <c r="E219">
        <f>'Room List'!I219</f>
        <v/>
      </c>
      <c r="F219">
        <f>IFERROR(D219/B219,0)</f>
        <v/>
      </c>
      <c r="G219">
        <f>IF(E219&gt;=0,"On budget","Over budget")</f>
        <v/>
      </c>
    </row>
    <row r="220">
      <c r="A220" s="12">
        <f>'Room List'!A220</f>
        <v/>
      </c>
      <c r="B220" s="12">
        <f>'Room List'!F220</f>
        <v/>
      </c>
      <c r="C220" s="12">
        <f>'Room List'!G220</f>
        <v/>
      </c>
      <c r="D220" s="12">
        <f>'Room List'!H220</f>
        <v/>
      </c>
      <c r="E220" s="12">
        <f>'Room List'!I220</f>
        <v/>
      </c>
      <c r="F220" s="12">
        <f>IFERROR(D220/B220,0)</f>
        <v/>
      </c>
      <c r="G220" s="12">
        <f>IF(E220&gt;=0,"On budget","Over budget")</f>
        <v/>
      </c>
    </row>
    <row r="221">
      <c r="A221">
        <f>'Room List'!A221</f>
        <v/>
      </c>
      <c r="B221">
        <f>'Room List'!F221</f>
        <v/>
      </c>
      <c r="C221">
        <f>'Room List'!G221</f>
        <v/>
      </c>
      <c r="D221">
        <f>'Room List'!H221</f>
        <v/>
      </c>
      <c r="E221">
        <f>'Room List'!I221</f>
        <v/>
      </c>
      <c r="F221">
        <f>IFERROR(D221/B221,0)</f>
        <v/>
      </c>
      <c r="G221">
        <f>IF(E221&gt;=0,"On budget","Over budget")</f>
        <v/>
      </c>
    </row>
    <row r="222">
      <c r="A222" s="12">
        <f>'Room List'!A222</f>
        <v/>
      </c>
      <c r="B222" s="12">
        <f>'Room List'!F222</f>
        <v/>
      </c>
      <c r="C222" s="12">
        <f>'Room List'!G222</f>
        <v/>
      </c>
      <c r="D222" s="12">
        <f>'Room List'!H222</f>
        <v/>
      </c>
      <c r="E222" s="12">
        <f>'Room List'!I222</f>
        <v/>
      </c>
      <c r="F222" s="12">
        <f>IFERROR(D222/B222,0)</f>
        <v/>
      </c>
      <c r="G222" s="12">
        <f>IF(E222&gt;=0,"On budget","Over budget")</f>
        <v/>
      </c>
    </row>
    <row r="223">
      <c r="A223">
        <f>'Room List'!A223</f>
        <v/>
      </c>
      <c r="B223">
        <f>'Room List'!F223</f>
        <v/>
      </c>
      <c r="C223">
        <f>'Room List'!G223</f>
        <v/>
      </c>
      <c r="D223">
        <f>'Room List'!H223</f>
        <v/>
      </c>
      <c r="E223">
        <f>'Room List'!I223</f>
        <v/>
      </c>
      <c r="F223">
        <f>IFERROR(D223/B223,0)</f>
        <v/>
      </c>
      <c r="G223">
        <f>IF(E223&gt;=0,"On budget","Over budget")</f>
        <v/>
      </c>
    </row>
    <row r="224">
      <c r="A224" s="12">
        <f>'Room List'!A224</f>
        <v/>
      </c>
      <c r="B224" s="12">
        <f>'Room List'!F224</f>
        <v/>
      </c>
      <c r="C224" s="12">
        <f>'Room List'!G224</f>
        <v/>
      </c>
      <c r="D224" s="12">
        <f>'Room List'!H224</f>
        <v/>
      </c>
      <c r="E224" s="12">
        <f>'Room List'!I224</f>
        <v/>
      </c>
      <c r="F224" s="12">
        <f>IFERROR(D224/B224,0)</f>
        <v/>
      </c>
      <c r="G224" s="12">
        <f>IF(E224&gt;=0,"On budget","Over budget")</f>
        <v/>
      </c>
    </row>
    <row r="225">
      <c r="A225">
        <f>'Room List'!A225</f>
        <v/>
      </c>
      <c r="B225">
        <f>'Room List'!F225</f>
        <v/>
      </c>
      <c r="C225">
        <f>'Room List'!G225</f>
        <v/>
      </c>
      <c r="D225">
        <f>'Room List'!H225</f>
        <v/>
      </c>
      <c r="E225">
        <f>'Room List'!I225</f>
        <v/>
      </c>
      <c r="F225">
        <f>IFERROR(D225/B225,0)</f>
        <v/>
      </c>
      <c r="G225">
        <f>IF(E225&gt;=0,"On budget","Over budget")</f>
        <v/>
      </c>
    </row>
    <row r="226">
      <c r="A226" s="12">
        <f>'Room List'!A226</f>
        <v/>
      </c>
      <c r="B226" s="12">
        <f>'Room List'!F226</f>
        <v/>
      </c>
      <c r="C226" s="12">
        <f>'Room List'!G226</f>
        <v/>
      </c>
      <c r="D226" s="12">
        <f>'Room List'!H226</f>
        <v/>
      </c>
      <c r="E226" s="12">
        <f>'Room List'!I226</f>
        <v/>
      </c>
      <c r="F226" s="12">
        <f>IFERROR(D226/B226,0)</f>
        <v/>
      </c>
      <c r="G226" s="12">
        <f>IF(E226&gt;=0,"On budget","Over budget")</f>
        <v/>
      </c>
    </row>
    <row r="227">
      <c r="A227">
        <f>'Room List'!A227</f>
        <v/>
      </c>
      <c r="B227">
        <f>'Room List'!F227</f>
        <v/>
      </c>
      <c r="C227">
        <f>'Room List'!G227</f>
        <v/>
      </c>
      <c r="D227">
        <f>'Room List'!H227</f>
        <v/>
      </c>
      <c r="E227">
        <f>'Room List'!I227</f>
        <v/>
      </c>
      <c r="F227">
        <f>IFERROR(D227/B227,0)</f>
        <v/>
      </c>
      <c r="G227">
        <f>IF(E227&gt;=0,"On budget","Over budget")</f>
        <v/>
      </c>
    </row>
    <row r="228">
      <c r="A228" s="12">
        <f>'Room List'!A228</f>
        <v/>
      </c>
      <c r="B228" s="12">
        <f>'Room List'!F228</f>
        <v/>
      </c>
      <c r="C228" s="12">
        <f>'Room List'!G228</f>
        <v/>
      </c>
      <c r="D228" s="12">
        <f>'Room List'!H228</f>
        <v/>
      </c>
      <c r="E228" s="12">
        <f>'Room List'!I228</f>
        <v/>
      </c>
      <c r="F228" s="12">
        <f>IFERROR(D228/B228,0)</f>
        <v/>
      </c>
      <c r="G228" s="12">
        <f>IF(E228&gt;=0,"On budget","Over budget")</f>
        <v/>
      </c>
    </row>
    <row r="229">
      <c r="A229">
        <f>'Room List'!A229</f>
        <v/>
      </c>
      <c r="B229">
        <f>'Room List'!F229</f>
        <v/>
      </c>
      <c r="C229">
        <f>'Room List'!G229</f>
        <v/>
      </c>
      <c r="D229">
        <f>'Room List'!H229</f>
        <v/>
      </c>
      <c r="E229">
        <f>'Room List'!I229</f>
        <v/>
      </c>
      <c r="F229">
        <f>IFERROR(D229/B229,0)</f>
        <v/>
      </c>
      <c r="G229">
        <f>IF(E229&gt;=0,"On budget","Over budget")</f>
        <v/>
      </c>
    </row>
    <row r="230">
      <c r="A230" s="12">
        <f>'Room List'!A230</f>
        <v/>
      </c>
      <c r="B230" s="12">
        <f>'Room List'!F230</f>
        <v/>
      </c>
      <c r="C230" s="12">
        <f>'Room List'!G230</f>
        <v/>
      </c>
      <c r="D230" s="12">
        <f>'Room List'!H230</f>
        <v/>
      </c>
      <c r="E230" s="12">
        <f>'Room List'!I230</f>
        <v/>
      </c>
      <c r="F230" s="12">
        <f>IFERROR(D230/B230,0)</f>
        <v/>
      </c>
      <c r="G230" s="12">
        <f>IF(E230&gt;=0,"On budget","Over budget")</f>
        <v/>
      </c>
    </row>
    <row r="231">
      <c r="A231">
        <f>'Room List'!A231</f>
        <v/>
      </c>
      <c r="B231">
        <f>'Room List'!F231</f>
        <v/>
      </c>
      <c r="C231">
        <f>'Room List'!G231</f>
        <v/>
      </c>
      <c r="D231">
        <f>'Room List'!H231</f>
        <v/>
      </c>
      <c r="E231">
        <f>'Room List'!I231</f>
        <v/>
      </c>
      <c r="F231">
        <f>IFERROR(D231/B231,0)</f>
        <v/>
      </c>
      <c r="G231">
        <f>IF(E231&gt;=0,"On budget","Over budget")</f>
        <v/>
      </c>
    </row>
    <row r="232">
      <c r="A232" s="12">
        <f>'Room List'!A232</f>
        <v/>
      </c>
      <c r="B232" s="12">
        <f>'Room List'!F232</f>
        <v/>
      </c>
      <c r="C232" s="12">
        <f>'Room List'!G232</f>
        <v/>
      </c>
      <c r="D232" s="12">
        <f>'Room List'!H232</f>
        <v/>
      </c>
      <c r="E232" s="12">
        <f>'Room List'!I232</f>
        <v/>
      </c>
      <c r="F232" s="12">
        <f>IFERROR(D232/B232,0)</f>
        <v/>
      </c>
      <c r="G232" s="12">
        <f>IF(E232&gt;=0,"On budget","Over budget")</f>
        <v/>
      </c>
    </row>
    <row r="233">
      <c r="A233">
        <f>'Room List'!A233</f>
        <v/>
      </c>
      <c r="B233">
        <f>'Room List'!F233</f>
        <v/>
      </c>
      <c r="C233">
        <f>'Room List'!G233</f>
        <v/>
      </c>
      <c r="D233">
        <f>'Room List'!H233</f>
        <v/>
      </c>
      <c r="E233">
        <f>'Room List'!I233</f>
        <v/>
      </c>
      <c r="F233">
        <f>IFERROR(D233/B233,0)</f>
        <v/>
      </c>
      <c r="G233">
        <f>IF(E233&gt;=0,"On budget","Over budget")</f>
        <v/>
      </c>
    </row>
    <row r="234">
      <c r="A234" s="12">
        <f>'Room List'!A234</f>
        <v/>
      </c>
      <c r="B234" s="12">
        <f>'Room List'!F234</f>
        <v/>
      </c>
      <c r="C234" s="12">
        <f>'Room List'!G234</f>
        <v/>
      </c>
      <c r="D234" s="12">
        <f>'Room List'!H234</f>
        <v/>
      </c>
      <c r="E234" s="12">
        <f>'Room List'!I234</f>
        <v/>
      </c>
      <c r="F234" s="12">
        <f>IFERROR(D234/B234,0)</f>
        <v/>
      </c>
      <c r="G234" s="12">
        <f>IF(E234&gt;=0,"On budget","Over budget")</f>
        <v/>
      </c>
    </row>
    <row r="235">
      <c r="A235">
        <f>'Room List'!A235</f>
        <v/>
      </c>
      <c r="B235">
        <f>'Room List'!F235</f>
        <v/>
      </c>
      <c r="C235">
        <f>'Room List'!G235</f>
        <v/>
      </c>
      <c r="D235">
        <f>'Room List'!H235</f>
        <v/>
      </c>
      <c r="E235">
        <f>'Room List'!I235</f>
        <v/>
      </c>
      <c r="F235">
        <f>IFERROR(D235/B235,0)</f>
        <v/>
      </c>
      <c r="G235">
        <f>IF(E235&gt;=0,"On budget","Over budget")</f>
        <v/>
      </c>
    </row>
    <row r="236">
      <c r="A236" s="12">
        <f>'Room List'!A236</f>
        <v/>
      </c>
      <c r="B236" s="12">
        <f>'Room List'!F236</f>
        <v/>
      </c>
      <c r="C236" s="12">
        <f>'Room List'!G236</f>
        <v/>
      </c>
      <c r="D236" s="12">
        <f>'Room List'!H236</f>
        <v/>
      </c>
      <c r="E236" s="12">
        <f>'Room List'!I236</f>
        <v/>
      </c>
      <c r="F236" s="12">
        <f>IFERROR(D236/B236,0)</f>
        <v/>
      </c>
      <c r="G236" s="12">
        <f>IF(E236&gt;=0,"On budget","Over budget")</f>
        <v/>
      </c>
    </row>
    <row r="237">
      <c r="A237">
        <f>'Room List'!A237</f>
        <v/>
      </c>
      <c r="B237">
        <f>'Room List'!F237</f>
        <v/>
      </c>
      <c r="C237">
        <f>'Room List'!G237</f>
        <v/>
      </c>
      <c r="D237">
        <f>'Room List'!H237</f>
        <v/>
      </c>
      <c r="E237">
        <f>'Room List'!I237</f>
        <v/>
      </c>
      <c r="F237">
        <f>IFERROR(D237/B237,0)</f>
        <v/>
      </c>
      <c r="G237">
        <f>IF(E237&gt;=0,"On budget","Over budget")</f>
        <v/>
      </c>
    </row>
    <row r="238">
      <c r="A238" s="12">
        <f>'Room List'!A238</f>
        <v/>
      </c>
      <c r="B238" s="12">
        <f>'Room List'!F238</f>
        <v/>
      </c>
      <c r="C238" s="12">
        <f>'Room List'!G238</f>
        <v/>
      </c>
      <c r="D238" s="12">
        <f>'Room List'!H238</f>
        <v/>
      </c>
      <c r="E238" s="12">
        <f>'Room List'!I238</f>
        <v/>
      </c>
      <c r="F238" s="12">
        <f>IFERROR(D238/B238,0)</f>
        <v/>
      </c>
      <c r="G238" s="12">
        <f>IF(E238&gt;=0,"On budget","Over budget")</f>
        <v/>
      </c>
    </row>
    <row r="239">
      <c r="A239">
        <f>'Room List'!A239</f>
        <v/>
      </c>
      <c r="B239">
        <f>'Room List'!F239</f>
        <v/>
      </c>
      <c r="C239">
        <f>'Room List'!G239</f>
        <v/>
      </c>
      <c r="D239">
        <f>'Room List'!H239</f>
        <v/>
      </c>
      <c r="E239">
        <f>'Room List'!I239</f>
        <v/>
      </c>
      <c r="F239">
        <f>IFERROR(D239/B239,0)</f>
        <v/>
      </c>
      <c r="G239">
        <f>IF(E239&gt;=0,"On budget","Over budget")</f>
        <v/>
      </c>
    </row>
    <row r="240">
      <c r="A240" s="12">
        <f>'Room List'!A240</f>
        <v/>
      </c>
      <c r="B240" s="12">
        <f>'Room List'!F240</f>
        <v/>
      </c>
      <c r="C240" s="12">
        <f>'Room List'!G240</f>
        <v/>
      </c>
      <c r="D240" s="12">
        <f>'Room List'!H240</f>
        <v/>
      </c>
      <c r="E240" s="12">
        <f>'Room List'!I240</f>
        <v/>
      </c>
      <c r="F240" s="12">
        <f>IFERROR(D240/B240,0)</f>
        <v/>
      </c>
      <c r="G240" s="12">
        <f>IF(E240&gt;=0,"On budget","Over budget")</f>
        <v/>
      </c>
    </row>
    <row r="241">
      <c r="A241">
        <f>'Room List'!A241</f>
        <v/>
      </c>
      <c r="B241">
        <f>'Room List'!F241</f>
        <v/>
      </c>
      <c r="C241">
        <f>'Room List'!G241</f>
        <v/>
      </c>
      <c r="D241">
        <f>'Room List'!H241</f>
        <v/>
      </c>
      <c r="E241">
        <f>'Room List'!I241</f>
        <v/>
      </c>
      <c r="F241">
        <f>IFERROR(D241/B241,0)</f>
        <v/>
      </c>
      <c r="G241">
        <f>IF(E241&gt;=0,"On budget","Over budget")</f>
        <v/>
      </c>
    </row>
    <row r="242">
      <c r="A242" s="12">
        <f>'Room List'!A242</f>
        <v/>
      </c>
      <c r="B242" s="12">
        <f>'Room List'!F242</f>
        <v/>
      </c>
      <c r="C242" s="12">
        <f>'Room List'!G242</f>
        <v/>
      </c>
      <c r="D242" s="12">
        <f>'Room List'!H242</f>
        <v/>
      </c>
      <c r="E242" s="12">
        <f>'Room List'!I242</f>
        <v/>
      </c>
      <c r="F242" s="12">
        <f>IFERROR(D242/B242,0)</f>
        <v/>
      </c>
      <c r="G242" s="12">
        <f>IF(E242&gt;=0,"On budget","Over budget")</f>
        <v/>
      </c>
    </row>
    <row r="243">
      <c r="A243">
        <f>'Room List'!A243</f>
        <v/>
      </c>
      <c r="B243">
        <f>'Room List'!F243</f>
        <v/>
      </c>
      <c r="C243">
        <f>'Room List'!G243</f>
        <v/>
      </c>
      <c r="D243">
        <f>'Room List'!H243</f>
        <v/>
      </c>
      <c r="E243">
        <f>'Room List'!I243</f>
        <v/>
      </c>
      <c r="F243">
        <f>IFERROR(D243/B243,0)</f>
        <v/>
      </c>
      <c r="G243">
        <f>IF(E243&gt;=0,"On budget","Over budget")</f>
        <v/>
      </c>
    </row>
    <row r="244">
      <c r="A244" s="12">
        <f>'Room List'!A244</f>
        <v/>
      </c>
      <c r="B244" s="12">
        <f>'Room List'!F244</f>
        <v/>
      </c>
      <c r="C244" s="12">
        <f>'Room List'!G244</f>
        <v/>
      </c>
      <c r="D244" s="12">
        <f>'Room List'!H244</f>
        <v/>
      </c>
      <c r="E244" s="12">
        <f>'Room List'!I244</f>
        <v/>
      </c>
      <c r="F244" s="12">
        <f>IFERROR(D244/B244,0)</f>
        <v/>
      </c>
      <c r="G244" s="12">
        <f>IF(E244&gt;=0,"On budget","Over budget")</f>
        <v/>
      </c>
    </row>
    <row r="245">
      <c r="A245">
        <f>'Room List'!A245</f>
        <v/>
      </c>
      <c r="B245">
        <f>'Room List'!F245</f>
        <v/>
      </c>
      <c r="C245">
        <f>'Room List'!G245</f>
        <v/>
      </c>
      <c r="D245">
        <f>'Room List'!H245</f>
        <v/>
      </c>
      <c r="E245">
        <f>'Room List'!I245</f>
        <v/>
      </c>
      <c r="F245">
        <f>IFERROR(D245/B245,0)</f>
        <v/>
      </c>
      <c r="G245">
        <f>IF(E245&gt;=0,"On budget","Over budget")</f>
        <v/>
      </c>
    </row>
    <row r="246">
      <c r="A246" s="12">
        <f>'Room List'!A246</f>
        <v/>
      </c>
      <c r="B246" s="12">
        <f>'Room List'!F246</f>
        <v/>
      </c>
      <c r="C246" s="12">
        <f>'Room List'!G246</f>
        <v/>
      </c>
      <c r="D246" s="12">
        <f>'Room List'!H246</f>
        <v/>
      </c>
      <c r="E246" s="12">
        <f>'Room List'!I246</f>
        <v/>
      </c>
      <c r="F246" s="12">
        <f>IFERROR(D246/B246,0)</f>
        <v/>
      </c>
      <c r="G246" s="12">
        <f>IF(E246&gt;=0,"On budget","Over budget")</f>
        <v/>
      </c>
    </row>
    <row r="247">
      <c r="A247">
        <f>'Room List'!A247</f>
        <v/>
      </c>
      <c r="B247">
        <f>'Room List'!F247</f>
        <v/>
      </c>
      <c r="C247">
        <f>'Room List'!G247</f>
        <v/>
      </c>
      <c r="D247">
        <f>'Room List'!H247</f>
        <v/>
      </c>
      <c r="E247">
        <f>'Room List'!I247</f>
        <v/>
      </c>
      <c r="F247">
        <f>IFERROR(D247/B247,0)</f>
        <v/>
      </c>
      <c r="G247">
        <f>IF(E247&gt;=0,"On budget","Over budget")</f>
        <v/>
      </c>
    </row>
    <row r="248">
      <c r="A248" s="12">
        <f>'Room List'!A248</f>
        <v/>
      </c>
      <c r="B248" s="12">
        <f>'Room List'!F248</f>
        <v/>
      </c>
      <c r="C248" s="12">
        <f>'Room List'!G248</f>
        <v/>
      </c>
      <c r="D248" s="12">
        <f>'Room List'!H248</f>
        <v/>
      </c>
      <c r="E248" s="12">
        <f>'Room List'!I248</f>
        <v/>
      </c>
      <c r="F248" s="12">
        <f>IFERROR(D248/B248,0)</f>
        <v/>
      </c>
      <c r="G248" s="12">
        <f>IF(E248&gt;=0,"On budget","Over budget")</f>
        <v/>
      </c>
    </row>
    <row r="249">
      <c r="A249">
        <f>'Room List'!A249</f>
        <v/>
      </c>
      <c r="B249">
        <f>'Room List'!F249</f>
        <v/>
      </c>
      <c r="C249">
        <f>'Room List'!G249</f>
        <v/>
      </c>
      <c r="D249">
        <f>'Room List'!H249</f>
        <v/>
      </c>
      <c r="E249">
        <f>'Room List'!I249</f>
        <v/>
      </c>
      <c r="F249">
        <f>IFERROR(D249/B249,0)</f>
        <v/>
      </c>
      <c r="G249">
        <f>IF(E249&gt;=0,"On budget","Over budget")</f>
        <v/>
      </c>
    </row>
    <row r="250">
      <c r="A250" s="12">
        <f>'Room List'!A250</f>
        <v/>
      </c>
      <c r="B250" s="12">
        <f>'Room List'!F250</f>
        <v/>
      </c>
      <c r="C250" s="12">
        <f>'Room List'!G250</f>
        <v/>
      </c>
      <c r="D250" s="12">
        <f>'Room List'!H250</f>
        <v/>
      </c>
      <c r="E250" s="12">
        <f>'Room List'!I250</f>
        <v/>
      </c>
      <c r="F250" s="12">
        <f>IFERROR(D250/B250,0)</f>
        <v/>
      </c>
      <c r="G250" s="12">
        <f>IF(E250&gt;=0,"On budget","Over budget")</f>
        <v/>
      </c>
    </row>
    <row r="251">
      <c r="A251">
        <f>'Room List'!A251</f>
        <v/>
      </c>
      <c r="B251">
        <f>'Room List'!F251</f>
        <v/>
      </c>
      <c r="C251">
        <f>'Room List'!G251</f>
        <v/>
      </c>
      <c r="D251">
        <f>'Room List'!H251</f>
        <v/>
      </c>
      <c r="E251">
        <f>'Room List'!I251</f>
        <v/>
      </c>
      <c r="F251">
        <f>IFERROR(D251/B251,0)</f>
        <v/>
      </c>
      <c r="G251">
        <f>IF(E251&gt;=0,"On budget","Over budget")</f>
        <v/>
      </c>
    </row>
  </sheetData>
  <autoFilter ref="A1:G251"/>
  <conditionalFormatting sqref="A2:G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2" customHeight="1">
      <c r="A1" s="11" t="inlineStr">
        <is>
          <t>Vendor</t>
        </is>
      </c>
      <c r="B1" s="11" t="inlineStr">
        <is>
          <t>PO number</t>
        </is>
      </c>
      <c r="C1" s="11" t="inlineStr">
        <is>
          <t>Room</t>
        </is>
      </c>
      <c r="D1" s="11" t="inlineStr">
        <is>
          <t>Item</t>
        </is>
      </c>
      <c r="E1" s="11" t="inlineStr">
        <is>
          <t>Quantity</t>
        </is>
      </c>
      <c r="F1" s="11" t="inlineStr">
        <is>
          <t>Order status</t>
        </is>
      </c>
      <c r="G1" s="11" t="inlineStr">
        <is>
          <t>Expected delivery date</t>
        </is>
      </c>
      <c r="H1" s="11" t="inlineStr">
        <is>
          <t>Amount</t>
        </is>
      </c>
      <c r="I1" s="11" t="inlineStr">
        <is>
          <t>Paid status</t>
        </is>
      </c>
      <c r="J1" s="11" t="inlineStr">
        <is>
          <t>Tracking number</t>
        </is>
      </c>
    </row>
    <row r="2">
      <c r="A2" s="12">
        <f>'Purchase Order Tracker'!B2</f>
        <v/>
      </c>
      <c r="B2" s="12">
        <f>'Purchase Order Tracker'!A2</f>
        <v/>
      </c>
      <c r="C2" s="12">
        <f>'Purchase Order Tracker'!C2</f>
        <v/>
      </c>
      <c r="D2" s="12">
        <f>'Purchase Order Tracker'!D2</f>
        <v/>
      </c>
      <c r="E2" s="12">
        <f>'Purchase Order Tracker'!E2</f>
        <v/>
      </c>
      <c r="F2" s="12">
        <f>'Purchase Order Tracker'!J2</f>
        <v/>
      </c>
      <c r="G2" s="12">
        <f>'Purchase Order Tracker'!H2</f>
        <v/>
      </c>
      <c r="H2" s="12">
        <f>'Purchase Order Tracker'!N2</f>
        <v/>
      </c>
      <c r="I2" s="12">
        <f>'Purchase Order Tracker'!O2</f>
        <v/>
      </c>
      <c r="J2" s="12">
        <f>'Purchase Order Tracker'!K2</f>
        <v/>
      </c>
    </row>
    <row r="3">
      <c r="A3">
        <f>'Purchase Order Tracker'!B3</f>
        <v/>
      </c>
      <c r="B3">
        <f>'Purchase Order Tracker'!A3</f>
        <v/>
      </c>
      <c r="C3">
        <f>'Purchase Order Tracker'!C3</f>
        <v/>
      </c>
      <c r="D3">
        <f>'Purchase Order Tracker'!D3</f>
        <v/>
      </c>
      <c r="E3">
        <f>'Purchase Order Tracker'!E3</f>
        <v/>
      </c>
      <c r="F3">
        <f>'Purchase Order Tracker'!J3</f>
        <v/>
      </c>
      <c r="G3">
        <f>'Purchase Order Tracker'!H3</f>
        <v/>
      </c>
      <c r="H3">
        <f>'Purchase Order Tracker'!N3</f>
        <v/>
      </c>
      <c r="I3">
        <f>'Purchase Order Tracker'!O3</f>
        <v/>
      </c>
      <c r="J3">
        <f>'Purchase Order Tracker'!K3</f>
        <v/>
      </c>
    </row>
    <row r="4">
      <c r="A4" s="12">
        <f>'Purchase Order Tracker'!B4</f>
        <v/>
      </c>
      <c r="B4" s="12">
        <f>'Purchase Order Tracker'!A4</f>
        <v/>
      </c>
      <c r="C4" s="12">
        <f>'Purchase Order Tracker'!C4</f>
        <v/>
      </c>
      <c r="D4" s="12">
        <f>'Purchase Order Tracker'!D4</f>
        <v/>
      </c>
      <c r="E4" s="12">
        <f>'Purchase Order Tracker'!E4</f>
        <v/>
      </c>
      <c r="F4" s="12">
        <f>'Purchase Order Tracker'!J4</f>
        <v/>
      </c>
      <c r="G4" s="12">
        <f>'Purchase Order Tracker'!H4</f>
        <v/>
      </c>
      <c r="H4" s="12">
        <f>'Purchase Order Tracker'!N4</f>
        <v/>
      </c>
      <c r="I4" s="12">
        <f>'Purchase Order Tracker'!O4</f>
        <v/>
      </c>
      <c r="J4" s="12">
        <f>'Purchase Order Tracker'!K4</f>
        <v/>
      </c>
    </row>
    <row r="5">
      <c r="A5">
        <f>'Purchase Order Tracker'!B5</f>
        <v/>
      </c>
      <c r="B5">
        <f>'Purchase Order Tracker'!A5</f>
        <v/>
      </c>
      <c r="C5">
        <f>'Purchase Order Tracker'!C5</f>
        <v/>
      </c>
      <c r="D5">
        <f>'Purchase Order Tracker'!D5</f>
        <v/>
      </c>
      <c r="E5">
        <f>'Purchase Order Tracker'!E5</f>
        <v/>
      </c>
      <c r="F5">
        <f>'Purchase Order Tracker'!J5</f>
        <v/>
      </c>
      <c r="G5">
        <f>'Purchase Order Tracker'!H5</f>
        <v/>
      </c>
      <c r="H5">
        <f>'Purchase Order Tracker'!N5</f>
        <v/>
      </c>
      <c r="I5">
        <f>'Purchase Order Tracker'!O5</f>
        <v/>
      </c>
      <c r="J5">
        <f>'Purchase Order Tracker'!K5</f>
        <v/>
      </c>
    </row>
    <row r="6">
      <c r="A6" s="12">
        <f>'Purchase Order Tracker'!B6</f>
        <v/>
      </c>
      <c r="B6" s="12">
        <f>'Purchase Order Tracker'!A6</f>
        <v/>
      </c>
      <c r="C6" s="12">
        <f>'Purchase Order Tracker'!C6</f>
        <v/>
      </c>
      <c r="D6" s="12">
        <f>'Purchase Order Tracker'!D6</f>
        <v/>
      </c>
      <c r="E6" s="12">
        <f>'Purchase Order Tracker'!E6</f>
        <v/>
      </c>
      <c r="F6" s="12">
        <f>'Purchase Order Tracker'!J6</f>
        <v/>
      </c>
      <c r="G6" s="12">
        <f>'Purchase Order Tracker'!H6</f>
        <v/>
      </c>
      <c r="H6" s="12">
        <f>'Purchase Order Tracker'!N6</f>
        <v/>
      </c>
      <c r="I6" s="12">
        <f>'Purchase Order Tracker'!O6</f>
        <v/>
      </c>
      <c r="J6" s="12">
        <f>'Purchase Order Tracker'!K6</f>
        <v/>
      </c>
    </row>
    <row r="7">
      <c r="A7">
        <f>'Purchase Order Tracker'!B7</f>
        <v/>
      </c>
      <c r="B7">
        <f>'Purchase Order Tracker'!A7</f>
        <v/>
      </c>
      <c r="C7">
        <f>'Purchase Order Tracker'!C7</f>
        <v/>
      </c>
      <c r="D7">
        <f>'Purchase Order Tracker'!D7</f>
        <v/>
      </c>
      <c r="E7">
        <f>'Purchase Order Tracker'!E7</f>
        <v/>
      </c>
      <c r="F7">
        <f>'Purchase Order Tracker'!J7</f>
        <v/>
      </c>
      <c r="G7">
        <f>'Purchase Order Tracker'!H7</f>
        <v/>
      </c>
      <c r="H7">
        <f>'Purchase Order Tracker'!N7</f>
        <v/>
      </c>
      <c r="I7">
        <f>'Purchase Order Tracker'!O7</f>
        <v/>
      </c>
      <c r="J7">
        <f>'Purchase Order Tracker'!K7</f>
        <v/>
      </c>
    </row>
    <row r="8">
      <c r="A8" s="12">
        <f>'Purchase Order Tracker'!B8</f>
        <v/>
      </c>
      <c r="B8" s="12">
        <f>'Purchase Order Tracker'!A8</f>
        <v/>
      </c>
      <c r="C8" s="12">
        <f>'Purchase Order Tracker'!C8</f>
        <v/>
      </c>
      <c r="D8" s="12">
        <f>'Purchase Order Tracker'!D8</f>
        <v/>
      </c>
      <c r="E8" s="12">
        <f>'Purchase Order Tracker'!E8</f>
        <v/>
      </c>
      <c r="F8" s="12">
        <f>'Purchase Order Tracker'!J8</f>
        <v/>
      </c>
      <c r="G8" s="12">
        <f>'Purchase Order Tracker'!H8</f>
        <v/>
      </c>
      <c r="H8" s="12">
        <f>'Purchase Order Tracker'!N8</f>
        <v/>
      </c>
      <c r="I8" s="12">
        <f>'Purchase Order Tracker'!O8</f>
        <v/>
      </c>
      <c r="J8" s="12">
        <f>'Purchase Order Tracker'!K8</f>
        <v/>
      </c>
    </row>
    <row r="9">
      <c r="A9">
        <f>'Purchase Order Tracker'!B9</f>
        <v/>
      </c>
      <c r="B9">
        <f>'Purchase Order Tracker'!A9</f>
        <v/>
      </c>
      <c r="C9">
        <f>'Purchase Order Tracker'!C9</f>
        <v/>
      </c>
      <c r="D9">
        <f>'Purchase Order Tracker'!D9</f>
        <v/>
      </c>
      <c r="E9">
        <f>'Purchase Order Tracker'!E9</f>
        <v/>
      </c>
      <c r="F9">
        <f>'Purchase Order Tracker'!J9</f>
        <v/>
      </c>
      <c r="G9">
        <f>'Purchase Order Tracker'!H9</f>
        <v/>
      </c>
      <c r="H9">
        <f>'Purchase Order Tracker'!N9</f>
        <v/>
      </c>
      <c r="I9">
        <f>'Purchase Order Tracker'!O9</f>
        <v/>
      </c>
      <c r="J9">
        <f>'Purchase Order Tracker'!K9</f>
        <v/>
      </c>
    </row>
    <row r="10">
      <c r="A10" s="12">
        <f>'Purchase Order Tracker'!B10</f>
        <v/>
      </c>
      <c r="B10" s="12">
        <f>'Purchase Order Tracker'!A10</f>
        <v/>
      </c>
      <c r="C10" s="12">
        <f>'Purchase Order Tracker'!C10</f>
        <v/>
      </c>
      <c r="D10" s="12">
        <f>'Purchase Order Tracker'!D10</f>
        <v/>
      </c>
      <c r="E10" s="12">
        <f>'Purchase Order Tracker'!E10</f>
        <v/>
      </c>
      <c r="F10" s="12">
        <f>'Purchase Order Tracker'!J10</f>
        <v/>
      </c>
      <c r="G10" s="12">
        <f>'Purchase Order Tracker'!H10</f>
        <v/>
      </c>
      <c r="H10" s="12">
        <f>'Purchase Order Tracker'!N10</f>
        <v/>
      </c>
      <c r="I10" s="12">
        <f>'Purchase Order Tracker'!O10</f>
        <v/>
      </c>
      <c r="J10" s="12">
        <f>'Purchase Order Tracker'!K10</f>
        <v/>
      </c>
    </row>
    <row r="11">
      <c r="A11">
        <f>'Purchase Order Tracker'!B11</f>
        <v/>
      </c>
      <c r="B11">
        <f>'Purchase Order Tracker'!A11</f>
        <v/>
      </c>
      <c r="C11">
        <f>'Purchase Order Tracker'!C11</f>
        <v/>
      </c>
      <c r="D11">
        <f>'Purchase Order Tracker'!D11</f>
        <v/>
      </c>
      <c r="E11">
        <f>'Purchase Order Tracker'!E11</f>
        <v/>
      </c>
      <c r="F11">
        <f>'Purchase Order Tracker'!J11</f>
        <v/>
      </c>
      <c r="G11">
        <f>'Purchase Order Tracker'!H11</f>
        <v/>
      </c>
      <c r="H11">
        <f>'Purchase Order Tracker'!N11</f>
        <v/>
      </c>
      <c r="I11">
        <f>'Purchase Order Tracker'!O11</f>
        <v/>
      </c>
      <c r="J11">
        <f>'Purchase Order Tracker'!K11</f>
        <v/>
      </c>
    </row>
    <row r="12">
      <c r="A12" s="12">
        <f>'Purchase Order Tracker'!B12</f>
        <v/>
      </c>
      <c r="B12" s="12">
        <f>'Purchase Order Tracker'!A12</f>
        <v/>
      </c>
      <c r="C12" s="12">
        <f>'Purchase Order Tracker'!C12</f>
        <v/>
      </c>
      <c r="D12" s="12">
        <f>'Purchase Order Tracker'!D12</f>
        <v/>
      </c>
      <c r="E12" s="12">
        <f>'Purchase Order Tracker'!E12</f>
        <v/>
      </c>
      <c r="F12" s="12">
        <f>'Purchase Order Tracker'!J12</f>
        <v/>
      </c>
      <c r="G12" s="12">
        <f>'Purchase Order Tracker'!H12</f>
        <v/>
      </c>
      <c r="H12" s="12">
        <f>'Purchase Order Tracker'!N12</f>
        <v/>
      </c>
      <c r="I12" s="12">
        <f>'Purchase Order Tracker'!O12</f>
        <v/>
      </c>
      <c r="J12" s="12">
        <f>'Purchase Order Tracker'!K12</f>
        <v/>
      </c>
    </row>
    <row r="13">
      <c r="A13">
        <f>'Purchase Order Tracker'!B13</f>
        <v/>
      </c>
      <c r="B13">
        <f>'Purchase Order Tracker'!A13</f>
        <v/>
      </c>
      <c r="C13">
        <f>'Purchase Order Tracker'!C13</f>
        <v/>
      </c>
      <c r="D13">
        <f>'Purchase Order Tracker'!D13</f>
        <v/>
      </c>
      <c r="E13">
        <f>'Purchase Order Tracker'!E13</f>
        <v/>
      </c>
      <c r="F13">
        <f>'Purchase Order Tracker'!J13</f>
        <v/>
      </c>
      <c r="G13">
        <f>'Purchase Order Tracker'!H13</f>
        <v/>
      </c>
      <c r="H13">
        <f>'Purchase Order Tracker'!N13</f>
        <v/>
      </c>
      <c r="I13">
        <f>'Purchase Order Tracker'!O13</f>
        <v/>
      </c>
      <c r="J13">
        <f>'Purchase Order Tracker'!K13</f>
        <v/>
      </c>
    </row>
    <row r="14">
      <c r="A14" s="12">
        <f>'Purchase Order Tracker'!B14</f>
        <v/>
      </c>
      <c r="B14" s="12">
        <f>'Purchase Order Tracker'!A14</f>
        <v/>
      </c>
      <c r="C14" s="12">
        <f>'Purchase Order Tracker'!C14</f>
        <v/>
      </c>
      <c r="D14" s="12">
        <f>'Purchase Order Tracker'!D14</f>
        <v/>
      </c>
      <c r="E14" s="12">
        <f>'Purchase Order Tracker'!E14</f>
        <v/>
      </c>
      <c r="F14" s="12">
        <f>'Purchase Order Tracker'!J14</f>
        <v/>
      </c>
      <c r="G14" s="12">
        <f>'Purchase Order Tracker'!H14</f>
        <v/>
      </c>
      <c r="H14" s="12">
        <f>'Purchase Order Tracker'!N14</f>
        <v/>
      </c>
      <c r="I14" s="12">
        <f>'Purchase Order Tracker'!O14</f>
        <v/>
      </c>
      <c r="J14" s="12">
        <f>'Purchase Order Tracker'!K14</f>
        <v/>
      </c>
    </row>
    <row r="15">
      <c r="A15">
        <f>'Purchase Order Tracker'!B15</f>
        <v/>
      </c>
      <c r="B15">
        <f>'Purchase Order Tracker'!A15</f>
        <v/>
      </c>
      <c r="C15">
        <f>'Purchase Order Tracker'!C15</f>
        <v/>
      </c>
      <c r="D15">
        <f>'Purchase Order Tracker'!D15</f>
        <v/>
      </c>
      <c r="E15">
        <f>'Purchase Order Tracker'!E15</f>
        <v/>
      </c>
      <c r="F15">
        <f>'Purchase Order Tracker'!J15</f>
        <v/>
      </c>
      <c r="G15">
        <f>'Purchase Order Tracker'!H15</f>
        <v/>
      </c>
      <c r="H15">
        <f>'Purchase Order Tracker'!N15</f>
        <v/>
      </c>
      <c r="I15">
        <f>'Purchase Order Tracker'!O15</f>
        <v/>
      </c>
      <c r="J15">
        <f>'Purchase Order Tracker'!K15</f>
        <v/>
      </c>
    </row>
    <row r="16">
      <c r="A16" s="12">
        <f>'Purchase Order Tracker'!B16</f>
        <v/>
      </c>
      <c r="B16" s="12">
        <f>'Purchase Order Tracker'!A16</f>
        <v/>
      </c>
      <c r="C16" s="12">
        <f>'Purchase Order Tracker'!C16</f>
        <v/>
      </c>
      <c r="D16" s="12">
        <f>'Purchase Order Tracker'!D16</f>
        <v/>
      </c>
      <c r="E16" s="12">
        <f>'Purchase Order Tracker'!E16</f>
        <v/>
      </c>
      <c r="F16" s="12">
        <f>'Purchase Order Tracker'!J16</f>
        <v/>
      </c>
      <c r="G16" s="12">
        <f>'Purchase Order Tracker'!H16</f>
        <v/>
      </c>
      <c r="H16" s="12">
        <f>'Purchase Order Tracker'!N16</f>
        <v/>
      </c>
      <c r="I16" s="12">
        <f>'Purchase Order Tracker'!O16</f>
        <v/>
      </c>
      <c r="J16" s="12">
        <f>'Purchase Order Tracker'!K16</f>
        <v/>
      </c>
    </row>
    <row r="17">
      <c r="A17">
        <f>'Purchase Order Tracker'!B17</f>
        <v/>
      </c>
      <c r="B17">
        <f>'Purchase Order Tracker'!A17</f>
        <v/>
      </c>
      <c r="C17">
        <f>'Purchase Order Tracker'!C17</f>
        <v/>
      </c>
      <c r="D17">
        <f>'Purchase Order Tracker'!D17</f>
        <v/>
      </c>
      <c r="E17">
        <f>'Purchase Order Tracker'!E17</f>
        <v/>
      </c>
      <c r="F17">
        <f>'Purchase Order Tracker'!J17</f>
        <v/>
      </c>
      <c r="G17">
        <f>'Purchase Order Tracker'!H17</f>
        <v/>
      </c>
      <c r="H17">
        <f>'Purchase Order Tracker'!N17</f>
        <v/>
      </c>
      <c r="I17">
        <f>'Purchase Order Tracker'!O17</f>
        <v/>
      </c>
      <c r="J17">
        <f>'Purchase Order Tracker'!K17</f>
        <v/>
      </c>
    </row>
    <row r="18">
      <c r="A18" s="12">
        <f>'Purchase Order Tracker'!B18</f>
        <v/>
      </c>
      <c r="B18" s="12">
        <f>'Purchase Order Tracker'!A18</f>
        <v/>
      </c>
      <c r="C18" s="12">
        <f>'Purchase Order Tracker'!C18</f>
        <v/>
      </c>
      <c r="D18" s="12">
        <f>'Purchase Order Tracker'!D18</f>
        <v/>
      </c>
      <c r="E18" s="12">
        <f>'Purchase Order Tracker'!E18</f>
        <v/>
      </c>
      <c r="F18" s="12">
        <f>'Purchase Order Tracker'!J18</f>
        <v/>
      </c>
      <c r="G18" s="12">
        <f>'Purchase Order Tracker'!H18</f>
        <v/>
      </c>
      <c r="H18" s="12">
        <f>'Purchase Order Tracker'!N18</f>
        <v/>
      </c>
      <c r="I18" s="12">
        <f>'Purchase Order Tracker'!O18</f>
        <v/>
      </c>
      <c r="J18" s="12">
        <f>'Purchase Order Tracker'!K18</f>
        <v/>
      </c>
    </row>
    <row r="19">
      <c r="A19">
        <f>'Purchase Order Tracker'!B19</f>
        <v/>
      </c>
      <c r="B19">
        <f>'Purchase Order Tracker'!A19</f>
        <v/>
      </c>
      <c r="C19">
        <f>'Purchase Order Tracker'!C19</f>
        <v/>
      </c>
      <c r="D19">
        <f>'Purchase Order Tracker'!D19</f>
        <v/>
      </c>
      <c r="E19">
        <f>'Purchase Order Tracker'!E19</f>
        <v/>
      </c>
      <c r="F19">
        <f>'Purchase Order Tracker'!J19</f>
        <v/>
      </c>
      <c r="G19">
        <f>'Purchase Order Tracker'!H19</f>
        <v/>
      </c>
      <c r="H19">
        <f>'Purchase Order Tracker'!N19</f>
        <v/>
      </c>
      <c r="I19">
        <f>'Purchase Order Tracker'!O19</f>
        <v/>
      </c>
      <c r="J19">
        <f>'Purchase Order Tracker'!K19</f>
        <v/>
      </c>
    </row>
    <row r="20">
      <c r="A20" s="12">
        <f>'Purchase Order Tracker'!B20</f>
        <v/>
      </c>
      <c r="B20" s="12">
        <f>'Purchase Order Tracker'!A20</f>
        <v/>
      </c>
      <c r="C20" s="12">
        <f>'Purchase Order Tracker'!C20</f>
        <v/>
      </c>
      <c r="D20" s="12">
        <f>'Purchase Order Tracker'!D20</f>
        <v/>
      </c>
      <c r="E20" s="12">
        <f>'Purchase Order Tracker'!E20</f>
        <v/>
      </c>
      <c r="F20" s="12">
        <f>'Purchase Order Tracker'!J20</f>
        <v/>
      </c>
      <c r="G20" s="12">
        <f>'Purchase Order Tracker'!H20</f>
        <v/>
      </c>
      <c r="H20" s="12">
        <f>'Purchase Order Tracker'!N20</f>
        <v/>
      </c>
      <c r="I20" s="12">
        <f>'Purchase Order Tracker'!O20</f>
        <v/>
      </c>
      <c r="J20" s="12">
        <f>'Purchase Order Tracker'!K20</f>
        <v/>
      </c>
    </row>
    <row r="21">
      <c r="A21">
        <f>'Purchase Order Tracker'!B21</f>
        <v/>
      </c>
      <c r="B21">
        <f>'Purchase Order Tracker'!A21</f>
        <v/>
      </c>
      <c r="C21">
        <f>'Purchase Order Tracker'!C21</f>
        <v/>
      </c>
      <c r="D21">
        <f>'Purchase Order Tracker'!D21</f>
        <v/>
      </c>
      <c r="E21">
        <f>'Purchase Order Tracker'!E21</f>
        <v/>
      </c>
      <c r="F21">
        <f>'Purchase Order Tracker'!J21</f>
        <v/>
      </c>
      <c r="G21">
        <f>'Purchase Order Tracker'!H21</f>
        <v/>
      </c>
      <c r="H21">
        <f>'Purchase Order Tracker'!N21</f>
        <v/>
      </c>
      <c r="I21">
        <f>'Purchase Order Tracker'!O21</f>
        <v/>
      </c>
      <c r="J21">
        <f>'Purchase Order Tracker'!K21</f>
        <v/>
      </c>
    </row>
    <row r="22">
      <c r="A22" s="12">
        <f>'Purchase Order Tracker'!B22</f>
        <v/>
      </c>
      <c r="B22" s="12">
        <f>'Purchase Order Tracker'!A22</f>
        <v/>
      </c>
      <c r="C22" s="12">
        <f>'Purchase Order Tracker'!C22</f>
        <v/>
      </c>
      <c r="D22" s="12">
        <f>'Purchase Order Tracker'!D22</f>
        <v/>
      </c>
      <c r="E22" s="12">
        <f>'Purchase Order Tracker'!E22</f>
        <v/>
      </c>
      <c r="F22" s="12">
        <f>'Purchase Order Tracker'!J22</f>
        <v/>
      </c>
      <c r="G22" s="12">
        <f>'Purchase Order Tracker'!H22</f>
        <v/>
      </c>
      <c r="H22" s="12">
        <f>'Purchase Order Tracker'!N22</f>
        <v/>
      </c>
      <c r="I22" s="12">
        <f>'Purchase Order Tracker'!O22</f>
        <v/>
      </c>
      <c r="J22" s="12">
        <f>'Purchase Order Tracker'!K22</f>
        <v/>
      </c>
    </row>
    <row r="23">
      <c r="A23">
        <f>'Purchase Order Tracker'!B23</f>
        <v/>
      </c>
      <c r="B23">
        <f>'Purchase Order Tracker'!A23</f>
        <v/>
      </c>
      <c r="C23">
        <f>'Purchase Order Tracker'!C23</f>
        <v/>
      </c>
      <c r="D23">
        <f>'Purchase Order Tracker'!D23</f>
        <v/>
      </c>
      <c r="E23">
        <f>'Purchase Order Tracker'!E23</f>
        <v/>
      </c>
      <c r="F23">
        <f>'Purchase Order Tracker'!J23</f>
        <v/>
      </c>
      <c r="G23">
        <f>'Purchase Order Tracker'!H23</f>
        <v/>
      </c>
      <c r="H23">
        <f>'Purchase Order Tracker'!N23</f>
        <v/>
      </c>
      <c r="I23">
        <f>'Purchase Order Tracker'!O23</f>
        <v/>
      </c>
      <c r="J23">
        <f>'Purchase Order Tracker'!K23</f>
        <v/>
      </c>
    </row>
    <row r="24">
      <c r="A24" s="12">
        <f>'Purchase Order Tracker'!B24</f>
        <v/>
      </c>
      <c r="B24" s="12">
        <f>'Purchase Order Tracker'!A24</f>
        <v/>
      </c>
      <c r="C24" s="12">
        <f>'Purchase Order Tracker'!C24</f>
        <v/>
      </c>
      <c r="D24" s="12">
        <f>'Purchase Order Tracker'!D24</f>
        <v/>
      </c>
      <c r="E24" s="12">
        <f>'Purchase Order Tracker'!E24</f>
        <v/>
      </c>
      <c r="F24" s="12">
        <f>'Purchase Order Tracker'!J24</f>
        <v/>
      </c>
      <c r="G24" s="12">
        <f>'Purchase Order Tracker'!H24</f>
        <v/>
      </c>
      <c r="H24" s="12">
        <f>'Purchase Order Tracker'!N24</f>
        <v/>
      </c>
      <c r="I24" s="12">
        <f>'Purchase Order Tracker'!O24</f>
        <v/>
      </c>
      <c r="J24" s="12">
        <f>'Purchase Order Tracker'!K24</f>
        <v/>
      </c>
    </row>
    <row r="25">
      <c r="A25">
        <f>'Purchase Order Tracker'!B25</f>
        <v/>
      </c>
      <c r="B25">
        <f>'Purchase Order Tracker'!A25</f>
        <v/>
      </c>
      <c r="C25">
        <f>'Purchase Order Tracker'!C25</f>
        <v/>
      </c>
      <c r="D25">
        <f>'Purchase Order Tracker'!D25</f>
        <v/>
      </c>
      <c r="E25">
        <f>'Purchase Order Tracker'!E25</f>
        <v/>
      </c>
      <c r="F25">
        <f>'Purchase Order Tracker'!J25</f>
        <v/>
      </c>
      <c r="G25">
        <f>'Purchase Order Tracker'!H25</f>
        <v/>
      </c>
      <c r="H25">
        <f>'Purchase Order Tracker'!N25</f>
        <v/>
      </c>
      <c r="I25">
        <f>'Purchase Order Tracker'!O25</f>
        <v/>
      </c>
      <c r="J25">
        <f>'Purchase Order Tracker'!K25</f>
        <v/>
      </c>
    </row>
    <row r="26">
      <c r="A26" s="12">
        <f>'Purchase Order Tracker'!B26</f>
        <v/>
      </c>
      <c r="B26" s="12">
        <f>'Purchase Order Tracker'!A26</f>
        <v/>
      </c>
      <c r="C26" s="12">
        <f>'Purchase Order Tracker'!C26</f>
        <v/>
      </c>
      <c r="D26" s="12">
        <f>'Purchase Order Tracker'!D26</f>
        <v/>
      </c>
      <c r="E26" s="12">
        <f>'Purchase Order Tracker'!E26</f>
        <v/>
      </c>
      <c r="F26" s="12">
        <f>'Purchase Order Tracker'!J26</f>
        <v/>
      </c>
      <c r="G26" s="12">
        <f>'Purchase Order Tracker'!H26</f>
        <v/>
      </c>
      <c r="H26" s="12">
        <f>'Purchase Order Tracker'!N26</f>
        <v/>
      </c>
      <c r="I26" s="12">
        <f>'Purchase Order Tracker'!O26</f>
        <v/>
      </c>
      <c r="J26" s="12">
        <f>'Purchase Order Tracker'!K26</f>
        <v/>
      </c>
    </row>
    <row r="27">
      <c r="A27">
        <f>'Purchase Order Tracker'!B27</f>
        <v/>
      </c>
      <c r="B27">
        <f>'Purchase Order Tracker'!A27</f>
        <v/>
      </c>
      <c r="C27">
        <f>'Purchase Order Tracker'!C27</f>
        <v/>
      </c>
      <c r="D27">
        <f>'Purchase Order Tracker'!D27</f>
        <v/>
      </c>
      <c r="E27">
        <f>'Purchase Order Tracker'!E27</f>
        <v/>
      </c>
      <c r="F27">
        <f>'Purchase Order Tracker'!J27</f>
        <v/>
      </c>
      <c r="G27">
        <f>'Purchase Order Tracker'!H27</f>
        <v/>
      </c>
      <c r="H27">
        <f>'Purchase Order Tracker'!N27</f>
        <v/>
      </c>
      <c r="I27">
        <f>'Purchase Order Tracker'!O27</f>
        <v/>
      </c>
      <c r="J27">
        <f>'Purchase Order Tracker'!K27</f>
        <v/>
      </c>
    </row>
    <row r="28">
      <c r="A28" s="12">
        <f>'Purchase Order Tracker'!B28</f>
        <v/>
      </c>
      <c r="B28" s="12">
        <f>'Purchase Order Tracker'!A28</f>
        <v/>
      </c>
      <c r="C28" s="12">
        <f>'Purchase Order Tracker'!C28</f>
        <v/>
      </c>
      <c r="D28" s="12">
        <f>'Purchase Order Tracker'!D28</f>
        <v/>
      </c>
      <c r="E28" s="12">
        <f>'Purchase Order Tracker'!E28</f>
        <v/>
      </c>
      <c r="F28" s="12">
        <f>'Purchase Order Tracker'!J28</f>
        <v/>
      </c>
      <c r="G28" s="12">
        <f>'Purchase Order Tracker'!H28</f>
        <v/>
      </c>
      <c r="H28" s="12">
        <f>'Purchase Order Tracker'!N28</f>
        <v/>
      </c>
      <c r="I28" s="12">
        <f>'Purchase Order Tracker'!O28</f>
        <v/>
      </c>
      <c r="J28" s="12">
        <f>'Purchase Order Tracker'!K28</f>
        <v/>
      </c>
    </row>
    <row r="29">
      <c r="A29">
        <f>'Purchase Order Tracker'!B29</f>
        <v/>
      </c>
      <c r="B29">
        <f>'Purchase Order Tracker'!A29</f>
        <v/>
      </c>
      <c r="C29">
        <f>'Purchase Order Tracker'!C29</f>
        <v/>
      </c>
      <c r="D29">
        <f>'Purchase Order Tracker'!D29</f>
        <v/>
      </c>
      <c r="E29">
        <f>'Purchase Order Tracker'!E29</f>
        <v/>
      </c>
      <c r="F29">
        <f>'Purchase Order Tracker'!J29</f>
        <v/>
      </c>
      <c r="G29">
        <f>'Purchase Order Tracker'!H29</f>
        <v/>
      </c>
      <c r="H29">
        <f>'Purchase Order Tracker'!N29</f>
        <v/>
      </c>
      <c r="I29">
        <f>'Purchase Order Tracker'!O29</f>
        <v/>
      </c>
      <c r="J29">
        <f>'Purchase Order Tracker'!K29</f>
        <v/>
      </c>
    </row>
    <row r="30">
      <c r="A30" s="12">
        <f>'Purchase Order Tracker'!B30</f>
        <v/>
      </c>
      <c r="B30" s="12">
        <f>'Purchase Order Tracker'!A30</f>
        <v/>
      </c>
      <c r="C30" s="12">
        <f>'Purchase Order Tracker'!C30</f>
        <v/>
      </c>
      <c r="D30" s="12">
        <f>'Purchase Order Tracker'!D30</f>
        <v/>
      </c>
      <c r="E30" s="12">
        <f>'Purchase Order Tracker'!E30</f>
        <v/>
      </c>
      <c r="F30" s="12">
        <f>'Purchase Order Tracker'!J30</f>
        <v/>
      </c>
      <c r="G30" s="12">
        <f>'Purchase Order Tracker'!H30</f>
        <v/>
      </c>
      <c r="H30" s="12">
        <f>'Purchase Order Tracker'!N30</f>
        <v/>
      </c>
      <c r="I30" s="12">
        <f>'Purchase Order Tracker'!O30</f>
        <v/>
      </c>
      <c r="J30" s="12">
        <f>'Purchase Order Tracker'!K30</f>
        <v/>
      </c>
    </row>
    <row r="31">
      <c r="A31">
        <f>'Purchase Order Tracker'!B31</f>
        <v/>
      </c>
      <c r="B31">
        <f>'Purchase Order Tracker'!A31</f>
        <v/>
      </c>
      <c r="C31">
        <f>'Purchase Order Tracker'!C31</f>
        <v/>
      </c>
      <c r="D31">
        <f>'Purchase Order Tracker'!D31</f>
        <v/>
      </c>
      <c r="E31">
        <f>'Purchase Order Tracker'!E31</f>
        <v/>
      </c>
      <c r="F31">
        <f>'Purchase Order Tracker'!J31</f>
        <v/>
      </c>
      <c r="G31">
        <f>'Purchase Order Tracker'!H31</f>
        <v/>
      </c>
      <c r="H31">
        <f>'Purchase Order Tracker'!N31</f>
        <v/>
      </c>
      <c r="I31">
        <f>'Purchase Order Tracker'!O31</f>
        <v/>
      </c>
      <c r="J31">
        <f>'Purchase Order Tracker'!K31</f>
        <v/>
      </c>
    </row>
    <row r="32">
      <c r="A32" s="12">
        <f>'Purchase Order Tracker'!B32</f>
        <v/>
      </c>
      <c r="B32" s="12">
        <f>'Purchase Order Tracker'!A32</f>
        <v/>
      </c>
      <c r="C32" s="12">
        <f>'Purchase Order Tracker'!C32</f>
        <v/>
      </c>
      <c r="D32" s="12">
        <f>'Purchase Order Tracker'!D32</f>
        <v/>
      </c>
      <c r="E32" s="12">
        <f>'Purchase Order Tracker'!E32</f>
        <v/>
      </c>
      <c r="F32" s="12">
        <f>'Purchase Order Tracker'!J32</f>
        <v/>
      </c>
      <c r="G32" s="12">
        <f>'Purchase Order Tracker'!H32</f>
        <v/>
      </c>
      <c r="H32" s="12">
        <f>'Purchase Order Tracker'!N32</f>
        <v/>
      </c>
      <c r="I32" s="12">
        <f>'Purchase Order Tracker'!O32</f>
        <v/>
      </c>
      <c r="J32" s="12">
        <f>'Purchase Order Tracker'!K32</f>
        <v/>
      </c>
    </row>
    <row r="33">
      <c r="A33">
        <f>'Purchase Order Tracker'!B33</f>
        <v/>
      </c>
      <c r="B33">
        <f>'Purchase Order Tracker'!A33</f>
        <v/>
      </c>
      <c r="C33">
        <f>'Purchase Order Tracker'!C33</f>
        <v/>
      </c>
      <c r="D33">
        <f>'Purchase Order Tracker'!D33</f>
        <v/>
      </c>
      <c r="E33">
        <f>'Purchase Order Tracker'!E33</f>
        <v/>
      </c>
      <c r="F33">
        <f>'Purchase Order Tracker'!J33</f>
        <v/>
      </c>
      <c r="G33">
        <f>'Purchase Order Tracker'!H33</f>
        <v/>
      </c>
      <c r="H33">
        <f>'Purchase Order Tracker'!N33</f>
        <v/>
      </c>
      <c r="I33">
        <f>'Purchase Order Tracker'!O33</f>
        <v/>
      </c>
      <c r="J33">
        <f>'Purchase Order Tracker'!K33</f>
        <v/>
      </c>
    </row>
    <row r="34">
      <c r="A34" s="12">
        <f>'Purchase Order Tracker'!B34</f>
        <v/>
      </c>
      <c r="B34" s="12">
        <f>'Purchase Order Tracker'!A34</f>
        <v/>
      </c>
      <c r="C34" s="12">
        <f>'Purchase Order Tracker'!C34</f>
        <v/>
      </c>
      <c r="D34" s="12">
        <f>'Purchase Order Tracker'!D34</f>
        <v/>
      </c>
      <c r="E34" s="12">
        <f>'Purchase Order Tracker'!E34</f>
        <v/>
      </c>
      <c r="F34" s="12">
        <f>'Purchase Order Tracker'!J34</f>
        <v/>
      </c>
      <c r="G34" s="12">
        <f>'Purchase Order Tracker'!H34</f>
        <v/>
      </c>
      <c r="H34" s="12">
        <f>'Purchase Order Tracker'!N34</f>
        <v/>
      </c>
      <c r="I34" s="12">
        <f>'Purchase Order Tracker'!O34</f>
        <v/>
      </c>
      <c r="J34" s="12">
        <f>'Purchase Order Tracker'!K34</f>
        <v/>
      </c>
    </row>
    <row r="35">
      <c r="A35">
        <f>'Purchase Order Tracker'!B35</f>
        <v/>
      </c>
      <c r="B35">
        <f>'Purchase Order Tracker'!A35</f>
        <v/>
      </c>
      <c r="C35">
        <f>'Purchase Order Tracker'!C35</f>
        <v/>
      </c>
      <c r="D35">
        <f>'Purchase Order Tracker'!D35</f>
        <v/>
      </c>
      <c r="E35">
        <f>'Purchase Order Tracker'!E35</f>
        <v/>
      </c>
      <c r="F35">
        <f>'Purchase Order Tracker'!J35</f>
        <v/>
      </c>
      <c r="G35">
        <f>'Purchase Order Tracker'!H35</f>
        <v/>
      </c>
      <c r="H35">
        <f>'Purchase Order Tracker'!N35</f>
        <v/>
      </c>
      <c r="I35">
        <f>'Purchase Order Tracker'!O35</f>
        <v/>
      </c>
      <c r="J35">
        <f>'Purchase Order Tracker'!K35</f>
        <v/>
      </c>
    </row>
    <row r="36">
      <c r="A36" s="12">
        <f>'Purchase Order Tracker'!B36</f>
        <v/>
      </c>
      <c r="B36" s="12">
        <f>'Purchase Order Tracker'!A36</f>
        <v/>
      </c>
      <c r="C36" s="12">
        <f>'Purchase Order Tracker'!C36</f>
        <v/>
      </c>
      <c r="D36" s="12">
        <f>'Purchase Order Tracker'!D36</f>
        <v/>
      </c>
      <c r="E36" s="12">
        <f>'Purchase Order Tracker'!E36</f>
        <v/>
      </c>
      <c r="F36" s="12">
        <f>'Purchase Order Tracker'!J36</f>
        <v/>
      </c>
      <c r="G36" s="12">
        <f>'Purchase Order Tracker'!H36</f>
        <v/>
      </c>
      <c r="H36" s="12">
        <f>'Purchase Order Tracker'!N36</f>
        <v/>
      </c>
      <c r="I36" s="12">
        <f>'Purchase Order Tracker'!O36</f>
        <v/>
      </c>
      <c r="J36" s="12">
        <f>'Purchase Order Tracker'!K36</f>
        <v/>
      </c>
    </row>
    <row r="37">
      <c r="A37">
        <f>'Purchase Order Tracker'!B37</f>
        <v/>
      </c>
      <c r="B37">
        <f>'Purchase Order Tracker'!A37</f>
        <v/>
      </c>
      <c r="C37">
        <f>'Purchase Order Tracker'!C37</f>
        <v/>
      </c>
      <c r="D37">
        <f>'Purchase Order Tracker'!D37</f>
        <v/>
      </c>
      <c r="E37">
        <f>'Purchase Order Tracker'!E37</f>
        <v/>
      </c>
      <c r="F37">
        <f>'Purchase Order Tracker'!J37</f>
        <v/>
      </c>
      <c r="G37">
        <f>'Purchase Order Tracker'!H37</f>
        <v/>
      </c>
      <c r="H37">
        <f>'Purchase Order Tracker'!N37</f>
        <v/>
      </c>
      <c r="I37">
        <f>'Purchase Order Tracker'!O37</f>
        <v/>
      </c>
      <c r="J37">
        <f>'Purchase Order Tracker'!K37</f>
        <v/>
      </c>
    </row>
    <row r="38">
      <c r="A38" s="12">
        <f>'Purchase Order Tracker'!B38</f>
        <v/>
      </c>
      <c r="B38" s="12">
        <f>'Purchase Order Tracker'!A38</f>
        <v/>
      </c>
      <c r="C38" s="12">
        <f>'Purchase Order Tracker'!C38</f>
        <v/>
      </c>
      <c r="D38" s="12">
        <f>'Purchase Order Tracker'!D38</f>
        <v/>
      </c>
      <c r="E38" s="12">
        <f>'Purchase Order Tracker'!E38</f>
        <v/>
      </c>
      <c r="F38" s="12">
        <f>'Purchase Order Tracker'!J38</f>
        <v/>
      </c>
      <c r="G38" s="12">
        <f>'Purchase Order Tracker'!H38</f>
        <v/>
      </c>
      <c r="H38" s="12">
        <f>'Purchase Order Tracker'!N38</f>
        <v/>
      </c>
      <c r="I38" s="12">
        <f>'Purchase Order Tracker'!O38</f>
        <v/>
      </c>
      <c r="J38" s="12">
        <f>'Purchase Order Tracker'!K38</f>
        <v/>
      </c>
    </row>
    <row r="39">
      <c r="A39">
        <f>'Purchase Order Tracker'!B39</f>
        <v/>
      </c>
      <c r="B39">
        <f>'Purchase Order Tracker'!A39</f>
        <v/>
      </c>
      <c r="C39">
        <f>'Purchase Order Tracker'!C39</f>
        <v/>
      </c>
      <c r="D39">
        <f>'Purchase Order Tracker'!D39</f>
        <v/>
      </c>
      <c r="E39">
        <f>'Purchase Order Tracker'!E39</f>
        <v/>
      </c>
      <c r="F39">
        <f>'Purchase Order Tracker'!J39</f>
        <v/>
      </c>
      <c r="G39">
        <f>'Purchase Order Tracker'!H39</f>
        <v/>
      </c>
      <c r="H39">
        <f>'Purchase Order Tracker'!N39</f>
        <v/>
      </c>
      <c r="I39">
        <f>'Purchase Order Tracker'!O39</f>
        <v/>
      </c>
      <c r="J39">
        <f>'Purchase Order Tracker'!K39</f>
        <v/>
      </c>
    </row>
    <row r="40">
      <c r="A40" s="12">
        <f>'Purchase Order Tracker'!B40</f>
        <v/>
      </c>
      <c r="B40" s="12">
        <f>'Purchase Order Tracker'!A40</f>
        <v/>
      </c>
      <c r="C40" s="12">
        <f>'Purchase Order Tracker'!C40</f>
        <v/>
      </c>
      <c r="D40" s="12">
        <f>'Purchase Order Tracker'!D40</f>
        <v/>
      </c>
      <c r="E40" s="12">
        <f>'Purchase Order Tracker'!E40</f>
        <v/>
      </c>
      <c r="F40" s="12">
        <f>'Purchase Order Tracker'!J40</f>
        <v/>
      </c>
      <c r="G40" s="12">
        <f>'Purchase Order Tracker'!H40</f>
        <v/>
      </c>
      <c r="H40" s="12">
        <f>'Purchase Order Tracker'!N40</f>
        <v/>
      </c>
      <c r="I40" s="12">
        <f>'Purchase Order Tracker'!O40</f>
        <v/>
      </c>
      <c r="J40" s="12">
        <f>'Purchase Order Tracker'!K40</f>
        <v/>
      </c>
    </row>
    <row r="41">
      <c r="A41">
        <f>'Purchase Order Tracker'!B41</f>
        <v/>
      </c>
      <c r="B41">
        <f>'Purchase Order Tracker'!A41</f>
        <v/>
      </c>
      <c r="C41">
        <f>'Purchase Order Tracker'!C41</f>
        <v/>
      </c>
      <c r="D41">
        <f>'Purchase Order Tracker'!D41</f>
        <v/>
      </c>
      <c r="E41">
        <f>'Purchase Order Tracker'!E41</f>
        <v/>
      </c>
      <c r="F41">
        <f>'Purchase Order Tracker'!J41</f>
        <v/>
      </c>
      <c r="G41">
        <f>'Purchase Order Tracker'!H41</f>
        <v/>
      </c>
      <c r="H41">
        <f>'Purchase Order Tracker'!N41</f>
        <v/>
      </c>
      <c r="I41">
        <f>'Purchase Order Tracker'!O41</f>
        <v/>
      </c>
      <c r="J41">
        <f>'Purchase Order Tracker'!K41</f>
        <v/>
      </c>
    </row>
    <row r="42">
      <c r="A42" s="12">
        <f>'Purchase Order Tracker'!B42</f>
        <v/>
      </c>
      <c r="B42" s="12">
        <f>'Purchase Order Tracker'!A42</f>
        <v/>
      </c>
      <c r="C42" s="12">
        <f>'Purchase Order Tracker'!C42</f>
        <v/>
      </c>
      <c r="D42" s="12">
        <f>'Purchase Order Tracker'!D42</f>
        <v/>
      </c>
      <c r="E42" s="12">
        <f>'Purchase Order Tracker'!E42</f>
        <v/>
      </c>
      <c r="F42" s="12">
        <f>'Purchase Order Tracker'!J42</f>
        <v/>
      </c>
      <c r="G42" s="12">
        <f>'Purchase Order Tracker'!H42</f>
        <v/>
      </c>
      <c r="H42" s="12">
        <f>'Purchase Order Tracker'!N42</f>
        <v/>
      </c>
      <c r="I42" s="12">
        <f>'Purchase Order Tracker'!O42</f>
        <v/>
      </c>
      <c r="J42" s="12">
        <f>'Purchase Order Tracker'!K42</f>
        <v/>
      </c>
    </row>
    <row r="43">
      <c r="A43">
        <f>'Purchase Order Tracker'!B43</f>
        <v/>
      </c>
      <c r="B43">
        <f>'Purchase Order Tracker'!A43</f>
        <v/>
      </c>
      <c r="C43">
        <f>'Purchase Order Tracker'!C43</f>
        <v/>
      </c>
      <c r="D43">
        <f>'Purchase Order Tracker'!D43</f>
        <v/>
      </c>
      <c r="E43">
        <f>'Purchase Order Tracker'!E43</f>
        <v/>
      </c>
      <c r="F43">
        <f>'Purchase Order Tracker'!J43</f>
        <v/>
      </c>
      <c r="G43">
        <f>'Purchase Order Tracker'!H43</f>
        <v/>
      </c>
      <c r="H43">
        <f>'Purchase Order Tracker'!N43</f>
        <v/>
      </c>
      <c r="I43">
        <f>'Purchase Order Tracker'!O43</f>
        <v/>
      </c>
      <c r="J43">
        <f>'Purchase Order Tracker'!K43</f>
        <v/>
      </c>
    </row>
    <row r="44">
      <c r="A44" s="12">
        <f>'Purchase Order Tracker'!B44</f>
        <v/>
      </c>
      <c r="B44" s="12">
        <f>'Purchase Order Tracker'!A44</f>
        <v/>
      </c>
      <c r="C44" s="12">
        <f>'Purchase Order Tracker'!C44</f>
        <v/>
      </c>
      <c r="D44" s="12">
        <f>'Purchase Order Tracker'!D44</f>
        <v/>
      </c>
      <c r="E44" s="12">
        <f>'Purchase Order Tracker'!E44</f>
        <v/>
      </c>
      <c r="F44" s="12">
        <f>'Purchase Order Tracker'!J44</f>
        <v/>
      </c>
      <c r="G44" s="12">
        <f>'Purchase Order Tracker'!H44</f>
        <v/>
      </c>
      <c r="H44" s="12">
        <f>'Purchase Order Tracker'!N44</f>
        <v/>
      </c>
      <c r="I44" s="12">
        <f>'Purchase Order Tracker'!O44</f>
        <v/>
      </c>
      <c r="J44" s="12">
        <f>'Purchase Order Tracker'!K44</f>
        <v/>
      </c>
    </row>
    <row r="45">
      <c r="A45">
        <f>'Purchase Order Tracker'!B45</f>
        <v/>
      </c>
      <c r="B45">
        <f>'Purchase Order Tracker'!A45</f>
        <v/>
      </c>
      <c r="C45">
        <f>'Purchase Order Tracker'!C45</f>
        <v/>
      </c>
      <c r="D45">
        <f>'Purchase Order Tracker'!D45</f>
        <v/>
      </c>
      <c r="E45">
        <f>'Purchase Order Tracker'!E45</f>
        <v/>
      </c>
      <c r="F45">
        <f>'Purchase Order Tracker'!J45</f>
        <v/>
      </c>
      <c r="G45">
        <f>'Purchase Order Tracker'!H45</f>
        <v/>
      </c>
      <c r="H45">
        <f>'Purchase Order Tracker'!N45</f>
        <v/>
      </c>
      <c r="I45">
        <f>'Purchase Order Tracker'!O45</f>
        <v/>
      </c>
      <c r="J45">
        <f>'Purchase Order Tracker'!K45</f>
        <v/>
      </c>
    </row>
    <row r="46">
      <c r="A46" s="12">
        <f>'Purchase Order Tracker'!B46</f>
        <v/>
      </c>
      <c r="B46" s="12">
        <f>'Purchase Order Tracker'!A46</f>
        <v/>
      </c>
      <c r="C46" s="12">
        <f>'Purchase Order Tracker'!C46</f>
        <v/>
      </c>
      <c r="D46" s="12">
        <f>'Purchase Order Tracker'!D46</f>
        <v/>
      </c>
      <c r="E46" s="12">
        <f>'Purchase Order Tracker'!E46</f>
        <v/>
      </c>
      <c r="F46" s="12">
        <f>'Purchase Order Tracker'!J46</f>
        <v/>
      </c>
      <c r="G46" s="12">
        <f>'Purchase Order Tracker'!H46</f>
        <v/>
      </c>
      <c r="H46" s="12">
        <f>'Purchase Order Tracker'!N46</f>
        <v/>
      </c>
      <c r="I46" s="12">
        <f>'Purchase Order Tracker'!O46</f>
        <v/>
      </c>
      <c r="J46" s="12">
        <f>'Purchase Order Tracker'!K46</f>
        <v/>
      </c>
    </row>
    <row r="47">
      <c r="A47">
        <f>'Purchase Order Tracker'!B47</f>
        <v/>
      </c>
      <c r="B47">
        <f>'Purchase Order Tracker'!A47</f>
        <v/>
      </c>
      <c r="C47">
        <f>'Purchase Order Tracker'!C47</f>
        <v/>
      </c>
      <c r="D47">
        <f>'Purchase Order Tracker'!D47</f>
        <v/>
      </c>
      <c r="E47">
        <f>'Purchase Order Tracker'!E47</f>
        <v/>
      </c>
      <c r="F47">
        <f>'Purchase Order Tracker'!J47</f>
        <v/>
      </c>
      <c r="G47">
        <f>'Purchase Order Tracker'!H47</f>
        <v/>
      </c>
      <c r="H47">
        <f>'Purchase Order Tracker'!N47</f>
        <v/>
      </c>
      <c r="I47">
        <f>'Purchase Order Tracker'!O47</f>
        <v/>
      </c>
      <c r="J47">
        <f>'Purchase Order Tracker'!K47</f>
        <v/>
      </c>
    </row>
    <row r="48">
      <c r="A48" s="12">
        <f>'Purchase Order Tracker'!B48</f>
        <v/>
      </c>
      <c r="B48" s="12">
        <f>'Purchase Order Tracker'!A48</f>
        <v/>
      </c>
      <c r="C48" s="12">
        <f>'Purchase Order Tracker'!C48</f>
        <v/>
      </c>
      <c r="D48" s="12">
        <f>'Purchase Order Tracker'!D48</f>
        <v/>
      </c>
      <c r="E48" s="12">
        <f>'Purchase Order Tracker'!E48</f>
        <v/>
      </c>
      <c r="F48" s="12">
        <f>'Purchase Order Tracker'!J48</f>
        <v/>
      </c>
      <c r="G48" s="12">
        <f>'Purchase Order Tracker'!H48</f>
        <v/>
      </c>
      <c r="H48" s="12">
        <f>'Purchase Order Tracker'!N48</f>
        <v/>
      </c>
      <c r="I48" s="12">
        <f>'Purchase Order Tracker'!O48</f>
        <v/>
      </c>
      <c r="J48" s="12">
        <f>'Purchase Order Tracker'!K48</f>
        <v/>
      </c>
    </row>
    <row r="49">
      <c r="A49">
        <f>'Purchase Order Tracker'!B49</f>
        <v/>
      </c>
      <c r="B49">
        <f>'Purchase Order Tracker'!A49</f>
        <v/>
      </c>
      <c r="C49">
        <f>'Purchase Order Tracker'!C49</f>
        <v/>
      </c>
      <c r="D49">
        <f>'Purchase Order Tracker'!D49</f>
        <v/>
      </c>
      <c r="E49">
        <f>'Purchase Order Tracker'!E49</f>
        <v/>
      </c>
      <c r="F49">
        <f>'Purchase Order Tracker'!J49</f>
        <v/>
      </c>
      <c r="G49">
        <f>'Purchase Order Tracker'!H49</f>
        <v/>
      </c>
      <c r="H49">
        <f>'Purchase Order Tracker'!N49</f>
        <v/>
      </c>
      <c r="I49">
        <f>'Purchase Order Tracker'!O49</f>
        <v/>
      </c>
      <c r="J49">
        <f>'Purchase Order Tracker'!K49</f>
        <v/>
      </c>
    </row>
    <row r="50">
      <c r="A50" s="12">
        <f>'Purchase Order Tracker'!B50</f>
        <v/>
      </c>
      <c r="B50" s="12">
        <f>'Purchase Order Tracker'!A50</f>
        <v/>
      </c>
      <c r="C50" s="12">
        <f>'Purchase Order Tracker'!C50</f>
        <v/>
      </c>
      <c r="D50" s="12">
        <f>'Purchase Order Tracker'!D50</f>
        <v/>
      </c>
      <c r="E50" s="12">
        <f>'Purchase Order Tracker'!E50</f>
        <v/>
      </c>
      <c r="F50" s="12">
        <f>'Purchase Order Tracker'!J50</f>
        <v/>
      </c>
      <c r="G50" s="12">
        <f>'Purchase Order Tracker'!H50</f>
        <v/>
      </c>
      <c r="H50" s="12">
        <f>'Purchase Order Tracker'!N50</f>
        <v/>
      </c>
      <c r="I50" s="12">
        <f>'Purchase Order Tracker'!O50</f>
        <v/>
      </c>
      <c r="J50" s="12">
        <f>'Purchase Order Tracker'!K50</f>
        <v/>
      </c>
    </row>
    <row r="51">
      <c r="A51">
        <f>'Purchase Order Tracker'!B51</f>
        <v/>
      </c>
      <c r="B51">
        <f>'Purchase Order Tracker'!A51</f>
        <v/>
      </c>
      <c r="C51">
        <f>'Purchase Order Tracker'!C51</f>
        <v/>
      </c>
      <c r="D51">
        <f>'Purchase Order Tracker'!D51</f>
        <v/>
      </c>
      <c r="E51">
        <f>'Purchase Order Tracker'!E51</f>
        <v/>
      </c>
      <c r="F51">
        <f>'Purchase Order Tracker'!J51</f>
        <v/>
      </c>
      <c r="G51">
        <f>'Purchase Order Tracker'!H51</f>
        <v/>
      </c>
      <c r="H51">
        <f>'Purchase Order Tracker'!N51</f>
        <v/>
      </c>
      <c r="I51">
        <f>'Purchase Order Tracker'!O51</f>
        <v/>
      </c>
      <c r="J51">
        <f>'Purchase Order Tracker'!K51</f>
        <v/>
      </c>
    </row>
    <row r="52">
      <c r="A52" s="12">
        <f>'Purchase Order Tracker'!B52</f>
        <v/>
      </c>
      <c r="B52" s="12">
        <f>'Purchase Order Tracker'!A52</f>
        <v/>
      </c>
      <c r="C52" s="12">
        <f>'Purchase Order Tracker'!C52</f>
        <v/>
      </c>
      <c r="D52" s="12">
        <f>'Purchase Order Tracker'!D52</f>
        <v/>
      </c>
      <c r="E52" s="12">
        <f>'Purchase Order Tracker'!E52</f>
        <v/>
      </c>
      <c r="F52" s="12">
        <f>'Purchase Order Tracker'!J52</f>
        <v/>
      </c>
      <c r="G52" s="12">
        <f>'Purchase Order Tracker'!H52</f>
        <v/>
      </c>
      <c r="H52" s="12">
        <f>'Purchase Order Tracker'!N52</f>
        <v/>
      </c>
      <c r="I52" s="12">
        <f>'Purchase Order Tracker'!O52</f>
        <v/>
      </c>
      <c r="J52" s="12">
        <f>'Purchase Order Tracker'!K52</f>
        <v/>
      </c>
    </row>
    <row r="53">
      <c r="A53">
        <f>'Purchase Order Tracker'!B53</f>
        <v/>
      </c>
      <c r="B53">
        <f>'Purchase Order Tracker'!A53</f>
        <v/>
      </c>
      <c r="C53">
        <f>'Purchase Order Tracker'!C53</f>
        <v/>
      </c>
      <c r="D53">
        <f>'Purchase Order Tracker'!D53</f>
        <v/>
      </c>
      <c r="E53">
        <f>'Purchase Order Tracker'!E53</f>
        <v/>
      </c>
      <c r="F53">
        <f>'Purchase Order Tracker'!J53</f>
        <v/>
      </c>
      <c r="G53">
        <f>'Purchase Order Tracker'!H53</f>
        <v/>
      </c>
      <c r="H53">
        <f>'Purchase Order Tracker'!N53</f>
        <v/>
      </c>
      <c r="I53">
        <f>'Purchase Order Tracker'!O53</f>
        <v/>
      </c>
      <c r="J53">
        <f>'Purchase Order Tracker'!K53</f>
        <v/>
      </c>
    </row>
    <row r="54">
      <c r="A54" s="12">
        <f>'Purchase Order Tracker'!B54</f>
        <v/>
      </c>
      <c r="B54" s="12">
        <f>'Purchase Order Tracker'!A54</f>
        <v/>
      </c>
      <c r="C54" s="12">
        <f>'Purchase Order Tracker'!C54</f>
        <v/>
      </c>
      <c r="D54" s="12">
        <f>'Purchase Order Tracker'!D54</f>
        <v/>
      </c>
      <c r="E54" s="12">
        <f>'Purchase Order Tracker'!E54</f>
        <v/>
      </c>
      <c r="F54" s="12">
        <f>'Purchase Order Tracker'!J54</f>
        <v/>
      </c>
      <c r="G54" s="12">
        <f>'Purchase Order Tracker'!H54</f>
        <v/>
      </c>
      <c r="H54" s="12">
        <f>'Purchase Order Tracker'!N54</f>
        <v/>
      </c>
      <c r="I54" s="12">
        <f>'Purchase Order Tracker'!O54</f>
        <v/>
      </c>
      <c r="J54" s="12">
        <f>'Purchase Order Tracker'!K54</f>
        <v/>
      </c>
    </row>
    <row r="55">
      <c r="A55">
        <f>'Purchase Order Tracker'!B55</f>
        <v/>
      </c>
      <c r="B55">
        <f>'Purchase Order Tracker'!A55</f>
        <v/>
      </c>
      <c r="C55">
        <f>'Purchase Order Tracker'!C55</f>
        <v/>
      </c>
      <c r="D55">
        <f>'Purchase Order Tracker'!D55</f>
        <v/>
      </c>
      <c r="E55">
        <f>'Purchase Order Tracker'!E55</f>
        <v/>
      </c>
      <c r="F55">
        <f>'Purchase Order Tracker'!J55</f>
        <v/>
      </c>
      <c r="G55">
        <f>'Purchase Order Tracker'!H55</f>
        <v/>
      </c>
      <c r="H55">
        <f>'Purchase Order Tracker'!N55</f>
        <v/>
      </c>
      <c r="I55">
        <f>'Purchase Order Tracker'!O55</f>
        <v/>
      </c>
      <c r="J55">
        <f>'Purchase Order Tracker'!K55</f>
        <v/>
      </c>
    </row>
    <row r="56">
      <c r="A56" s="12">
        <f>'Purchase Order Tracker'!B56</f>
        <v/>
      </c>
      <c r="B56" s="12">
        <f>'Purchase Order Tracker'!A56</f>
        <v/>
      </c>
      <c r="C56" s="12">
        <f>'Purchase Order Tracker'!C56</f>
        <v/>
      </c>
      <c r="D56" s="12">
        <f>'Purchase Order Tracker'!D56</f>
        <v/>
      </c>
      <c r="E56" s="12">
        <f>'Purchase Order Tracker'!E56</f>
        <v/>
      </c>
      <c r="F56" s="12">
        <f>'Purchase Order Tracker'!J56</f>
        <v/>
      </c>
      <c r="G56" s="12">
        <f>'Purchase Order Tracker'!H56</f>
        <v/>
      </c>
      <c r="H56" s="12">
        <f>'Purchase Order Tracker'!N56</f>
        <v/>
      </c>
      <c r="I56" s="12">
        <f>'Purchase Order Tracker'!O56</f>
        <v/>
      </c>
      <c r="J56" s="12">
        <f>'Purchase Order Tracker'!K56</f>
        <v/>
      </c>
    </row>
    <row r="57">
      <c r="A57">
        <f>'Purchase Order Tracker'!B57</f>
        <v/>
      </c>
      <c r="B57">
        <f>'Purchase Order Tracker'!A57</f>
        <v/>
      </c>
      <c r="C57">
        <f>'Purchase Order Tracker'!C57</f>
        <v/>
      </c>
      <c r="D57">
        <f>'Purchase Order Tracker'!D57</f>
        <v/>
      </c>
      <c r="E57">
        <f>'Purchase Order Tracker'!E57</f>
        <v/>
      </c>
      <c r="F57">
        <f>'Purchase Order Tracker'!J57</f>
        <v/>
      </c>
      <c r="G57">
        <f>'Purchase Order Tracker'!H57</f>
        <v/>
      </c>
      <c r="H57">
        <f>'Purchase Order Tracker'!N57</f>
        <v/>
      </c>
      <c r="I57">
        <f>'Purchase Order Tracker'!O57</f>
        <v/>
      </c>
      <c r="J57">
        <f>'Purchase Order Tracker'!K57</f>
        <v/>
      </c>
    </row>
    <row r="58">
      <c r="A58" s="12">
        <f>'Purchase Order Tracker'!B58</f>
        <v/>
      </c>
      <c r="B58" s="12">
        <f>'Purchase Order Tracker'!A58</f>
        <v/>
      </c>
      <c r="C58" s="12">
        <f>'Purchase Order Tracker'!C58</f>
        <v/>
      </c>
      <c r="D58" s="12">
        <f>'Purchase Order Tracker'!D58</f>
        <v/>
      </c>
      <c r="E58" s="12">
        <f>'Purchase Order Tracker'!E58</f>
        <v/>
      </c>
      <c r="F58" s="12">
        <f>'Purchase Order Tracker'!J58</f>
        <v/>
      </c>
      <c r="G58" s="12">
        <f>'Purchase Order Tracker'!H58</f>
        <v/>
      </c>
      <c r="H58" s="12">
        <f>'Purchase Order Tracker'!N58</f>
        <v/>
      </c>
      <c r="I58" s="12">
        <f>'Purchase Order Tracker'!O58</f>
        <v/>
      </c>
      <c r="J58" s="12">
        <f>'Purchase Order Tracker'!K58</f>
        <v/>
      </c>
    </row>
    <row r="59">
      <c r="A59">
        <f>'Purchase Order Tracker'!B59</f>
        <v/>
      </c>
      <c r="B59">
        <f>'Purchase Order Tracker'!A59</f>
        <v/>
      </c>
      <c r="C59">
        <f>'Purchase Order Tracker'!C59</f>
        <v/>
      </c>
      <c r="D59">
        <f>'Purchase Order Tracker'!D59</f>
        <v/>
      </c>
      <c r="E59">
        <f>'Purchase Order Tracker'!E59</f>
        <v/>
      </c>
      <c r="F59">
        <f>'Purchase Order Tracker'!J59</f>
        <v/>
      </c>
      <c r="G59">
        <f>'Purchase Order Tracker'!H59</f>
        <v/>
      </c>
      <c r="H59">
        <f>'Purchase Order Tracker'!N59</f>
        <v/>
      </c>
      <c r="I59">
        <f>'Purchase Order Tracker'!O59</f>
        <v/>
      </c>
      <c r="J59">
        <f>'Purchase Order Tracker'!K59</f>
        <v/>
      </c>
    </row>
    <row r="60">
      <c r="A60" s="12">
        <f>'Purchase Order Tracker'!B60</f>
        <v/>
      </c>
      <c r="B60" s="12">
        <f>'Purchase Order Tracker'!A60</f>
        <v/>
      </c>
      <c r="C60" s="12">
        <f>'Purchase Order Tracker'!C60</f>
        <v/>
      </c>
      <c r="D60" s="12">
        <f>'Purchase Order Tracker'!D60</f>
        <v/>
      </c>
      <c r="E60" s="12">
        <f>'Purchase Order Tracker'!E60</f>
        <v/>
      </c>
      <c r="F60" s="12">
        <f>'Purchase Order Tracker'!J60</f>
        <v/>
      </c>
      <c r="G60" s="12">
        <f>'Purchase Order Tracker'!H60</f>
        <v/>
      </c>
      <c r="H60" s="12">
        <f>'Purchase Order Tracker'!N60</f>
        <v/>
      </c>
      <c r="I60" s="12">
        <f>'Purchase Order Tracker'!O60</f>
        <v/>
      </c>
      <c r="J60" s="12">
        <f>'Purchase Order Tracker'!K60</f>
        <v/>
      </c>
    </row>
    <row r="61">
      <c r="A61">
        <f>'Purchase Order Tracker'!B61</f>
        <v/>
      </c>
      <c r="B61">
        <f>'Purchase Order Tracker'!A61</f>
        <v/>
      </c>
      <c r="C61">
        <f>'Purchase Order Tracker'!C61</f>
        <v/>
      </c>
      <c r="D61">
        <f>'Purchase Order Tracker'!D61</f>
        <v/>
      </c>
      <c r="E61">
        <f>'Purchase Order Tracker'!E61</f>
        <v/>
      </c>
      <c r="F61">
        <f>'Purchase Order Tracker'!J61</f>
        <v/>
      </c>
      <c r="G61">
        <f>'Purchase Order Tracker'!H61</f>
        <v/>
      </c>
      <c r="H61">
        <f>'Purchase Order Tracker'!N61</f>
        <v/>
      </c>
      <c r="I61">
        <f>'Purchase Order Tracker'!O61</f>
        <v/>
      </c>
      <c r="J61">
        <f>'Purchase Order Tracker'!K61</f>
        <v/>
      </c>
    </row>
    <row r="62">
      <c r="A62" s="12">
        <f>'Purchase Order Tracker'!B62</f>
        <v/>
      </c>
      <c r="B62" s="12">
        <f>'Purchase Order Tracker'!A62</f>
        <v/>
      </c>
      <c r="C62" s="12">
        <f>'Purchase Order Tracker'!C62</f>
        <v/>
      </c>
      <c r="D62" s="12">
        <f>'Purchase Order Tracker'!D62</f>
        <v/>
      </c>
      <c r="E62" s="12">
        <f>'Purchase Order Tracker'!E62</f>
        <v/>
      </c>
      <c r="F62" s="12">
        <f>'Purchase Order Tracker'!J62</f>
        <v/>
      </c>
      <c r="G62" s="12">
        <f>'Purchase Order Tracker'!H62</f>
        <v/>
      </c>
      <c r="H62" s="12">
        <f>'Purchase Order Tracker'!N62</f>
        <v/>
      </c>
      <c r="I62" s="12">
        <f>'Purchase Order Tracker'!O62</f>
        <v/>
      </c>
      <c r="J62" s="12">
        <f>'Purchase Order Tracker'!K62</f>
        <v/>
      </c>
    </row>
    <row r="63">
      <c r="A63">
        <f>'Purchase Order Tracker'!B63</f>
        <v/>
      </c>
      <c r="B63">
        <f>'Purchase Order Tracker'!A63</f>
        <v/>
      </c>
      <c r="C63">
        <f>'Purchase Order Tracker'!C63</f>
        <v/>
      </c>
      <c r="D63">
        <f>'Purchase Order Tracker'!D63</f>
        <v/>
      </c>
      <c r="E63">
        <f>'Purchase Order Tracker'!E63</f>
        <v/>
      </c>
      <c r="F63">
        <f>'Purchase Order Tracker'!J63</f>
        <v/>
      </c>
      <c r="G63">
        <f>'Purchase Order Tracker'!H63</f>
        <v/>
      </c>
      <c r="H63">
        <f>'Purchase Order Tracker'!N63</f>
        <v/>
      </c>
      <c r="I63">
        <f>'Purchase Order Tracker'!O63</f>
        <v/>
      </c>
      <c r="J63">
        <f>'Purchase Order Tracker'!K63</f>
        <v/>
      </c>
    </row>
    <row r="64">
      <c r="A64" s="12">
        <f>'Purchase Order Tracker'!B64</f>
        <v/>
      </c>
      <c r="B64" s="12">
        <f>'Purchase Order Tracker'!A64</f>
        <v/>
      </c>
      <c r="C64" s="12">
        <f>'Purchase Order Tracker'!C64</f>
        <v/>
      </c>
      <c r="D64" s="12">
        <f>'Purchase Order Tracker'!D64</f>
        <v/>
      </c>
      <c r="E64" s="12">
        <f>'Purchase Order Tracker'!E64</f>
        <v/>
      </c>
      <c r="F64" s="12">
        <f>'Purchase Order Tracker'!J64</f>
        <v/>
      </c>
      <c r="G64" s="12">
        <f>'Purchase Order Tracker'!H64</f>
        <v/>
      </c>
      <c r="H64" s="12">
        <f>'Purchase Order Tracker'!N64</f>
        <v/>
      </c>
      <c r="I64" s="12">
        <f>'Purchase Order Tracker'!O64</f>
        <v/>
      </c>
      <c r="J64" s="12">
        <f>'Purchase Order Tracker'!K64</f>
        <v/>
      </c>
    </row>
    <row r="65">
      <c r="A65">
        <f>'Purchase Order Tracker'!B65</f>
        <v/>
      </c>
      <c r="B65">
        <f>'Purchase Order Tracker'!A65</f>
        <v/>
      </c>
      <c r="C65">
        <f>'Purchase Order Tracker'!C65</f>
        <v/>
      </c>
      <c r="D65">
        <f>'Purchase Order Tracker'!D65</f>
        <v/>
      </c>
      <c r="E65">
        <f>'Purchase Order Tracker'!E65</f>
        <v/>
      </c>
      <c r="F65">
        <f>'Purchase Order Tracker'!J65</f>
        <v/>
      </c>
      <c r="G65">
        <f>'Purchase Order Tracker'!H65</f>
        <v/>
      </c>
      <c r="H65">
        <f>'Purchase Order Tracker'!N65</f>
        <v/>
      </c>
      <c r="I65">
        <f>'Purchase Order Tracker'!O65</f>
        <v/>
      </c>
      <c r="J65">
        <f>'Purchase Order Tracker'!K65</f>
        <v/>
      </c>
    </row>
    <row r="66">
      <c r="A66" s="12">
        <f>'Purchase Order Tracker'!B66</f>
        <v/>
      </c>
      <c r="B66" s="12">
        <f>'Purchase Order Tracker'!A66</f>
        <v/>
      </c>
      <c r="C66" s="12">
        <f>'Purchase Order Tracker'!C66</f>
        <v/>
      </c>
      <c r="D66" s="12">
        <f>'Purchase Order Tracker'!D66</f>
        <v/>
      </c>
      <c r="E66" s="12">
        <f>'Purchase Order Tracker'!E66</f>
        <v/>
      </c>
      <c r="F66" s="12">
        <f>'Purchase Order Tracker'!J66</f>
        <v/>
      </c>
      <c r="G66" s="12">
        <f>'Purchase Order Tracker'!H66</f>
        <v/>
      </c>
      <c r="H66" s="12">
        <f>'Purchase Order Tracker'!N66</f>
        <v/>
      </c>
      <c r="I66" s="12">
        <f>'Purchase Order Tracker'!O66</f>
        <v/>
      </c>
      <c r="J66" s="12">
        <f>'Purchase Order Tracker'!K66</f>
        <v/>
      </c>
    </row>
    <row r="67">
      <c r="A67">
        <f>'Purchase Order Tracker'!B67</f>
        <v/>
      </c>
      <c r="B67">
        <f>'Purchase Order Tracker'!A67</f>
        <v/>
      </c>
      <c r="C67">
        <f>'Purchase Order Tracker'!C67</f>
        <v/>
      </c>
      <c r="D67">
        <f>'Purchase Order Tracker'!D67</f>
        <v/>
      </c>
      <c r="E67">
        <f>'Purchase Order Tracker'!E67</f>
        <v/>
      </c>
      <c r="F67">
        <f>'Purchase Order Tracker'!J67</f>
        <v/>
      </c>
      <c r="G67">
        <f>'Purchase Order Tracker'!H67</f>
        <v/>
      </c>
      <c r="H67">
        <f>'Purchase Order Tracker'!N67</f>
        <v/>
      </c>
      <c r="I67">
        <f>'Purchase Order Tracker'!O67</f>
        <v/>
      </c>
      <c r="J67">
        <f>'Purchase Order Tracker'!K67</f>
        <v/>
      </c>
    </row>
    <row r="68">
      <c r="A68" s="12">
        <f>'Purchase Order Tracker'!B68</f>
        <v/>
      </c>
      <c r="B68" s="12">
        <f>'Purchase Order Tracker'!A68</f>
        <v/>
      </c>
      <c r="C68" s="12">
        <f>'Purchase Order Tracker'!C68</f>
        <v/>
      </c>
      <c r="D68" s="12">
        <f>'Purchase Order Tracker'!D68</f>
        <v/>
      </c>
      <c r="E68" s="12">
        <f>'Purchase Order Tracker'!E68</f>
        <v/>
      </c>
      <c r="F68" s="12">
        <f>'Purchase Order Tracker'!J68</f>
        <v/>
      </c>
      <c r="G68" s="12">
        <f>'Purchase Order Tracker'!H68</f>
        <v/>
      </c>
      <c r="H68" s="12">
        <f>'Purchase Order Tracker'!N68</f>
        <v/>
      </c>
      <c r="I68" s="12">
        <f>'Purchase Order Tracker'!O68</f>
        <v/>
      </c>
      <c r="J68" s="12">
        <f>'Purchase Order Tracker'!K68</f>
        <v/>
      </c>
    </row>
    <row r="69">
      <c r="A69">
        <f>'Purchase Order Tracker'!B69</f>
        <v/>
      </c>
      <c r="B69">
        <f>'Purchase Order Tracker'!A69</f>
        <v/>
      </c>
      <c r="C69">
        <f>'Purchase Order Tracker'!C69</f>
        <v/>
      </c>
      <c r="D69">
        <f>'Purchase Order Tracker'!D69</f>
        <v/>
      </c>
      <c r="E69">
        <f>'Purchase Order Tracker'!E69</f>
        <v/>
      </c>
      <c r="F69">
        <f>'Purchase Order Tracker'!J69</f>
        <v/>
      </c>
      <c r="G69">
        <f>'Purchase Order Tracker'!H69</f>
        <v/>
      </c>
      <c r="H69">
        <f>'Purchase Order Tracker'!N69</f>
        <v/>
      </c>
      <c r="I69">
        <f>'Purchase Order Tracker'!O69</f>
        <v/>
      </c>
      <c r="J69">
        <f>'Purchase Order Tracker'!K69</f>
        <v/>
      </c>
    </row>
    <row r="70">
      <c r="A70" s="12">
        <f>'Purchase Order Tracker'!B70</f>
        <v/>
      </c>
      <c r="B70" s="12">
        <f>'Purchase Order Tracker'!A70</f>
        <v/>
      </c>
      <c r="C70" s="12">
        <f>'Purchase Order Tracker'!C70</f>
        <v/>
      </c>
      <c r="D70" s="12">
        <f>'Purchase Order Tracker'!D70</f>
        <v/>
      </c>
      <c r="E70" s="12">
        <f>'Purchase Order Tracker'!E70</f>
        <v/>
      </c>
      <c r="F70" s="12">
        <f>'Purchase Order Tracker'!J70</f>
        <v/>
      </c>
      <c r="G70" s="12">
        <f>'Purchase Order Tracker'!H70</f>
        <v/>
      </c>
      <c r="H70" s="12">
        <f>'Purchase Order Tracker'!N70</f>
        <v/>
      </c>
      <c r="I70" s="12">
        <f>'Purchase Order Tracker'!O70</f>
        <v/>
      </c>
      <c r="J70" s="12">
        <f>'Purchase Order Tracker'!K70</f>
        <v/>
      </c>
    </row>
    <row r="71">
      <c r="A71">
        <f>'Purchase Order Tracker'!B71</f>
        <v/>
      </c>
      <c r="B71">
        <f>'Purchase Order Tracker'!A71</f>
        <v/>
      </c>
      <c r="C71">
        <f>'Purchase Order Tracker'!C71</f>
        <v/>
      </c>
      <c r="D71">
        <f>'Purchase Order Tracker'!D71</f>
        <v/>
      </c>
      <c r="E71">
        <f>'Purchase Order Tracker'!E71</f>
        <v/>
      </c>
      <c r="F71">
        <f>'Purchase Order Tracker'!J71</f>
        <v/>
      </c>
      <c r="G71">
        <f>'Purchase Order Tracker'!H71</f>
        <v/>
      </c>
      <c r="H71">
        <f>'Purchase Order Tracker'!N71</f>
        <v/>
      </c>
      <c r="I71">
        <f>'Purchase Order Tracker'!O71</f>
        <v/>
      </c>
      <c r="J71">
        <f>'Purchase Order Tracker'!K71</f>
        <v/>
      </c>
    </row>
    <row r="72">
      <c r="A72" s="12">
        <f>'Purchase Order Tracker'!B72</f>
        <v/>
      </c>
      <c r="B72" s="12">
        <f>'Purchase Order Tracker'!A72</f>
        <v/>
      </c>
      <c r="C72" s="12">
        <f>'Purchase Order Tracker'!C72</f>
        <v/>
      </c>
      <c r="D72" s="12">
        <f>'Purchase Order Tracker'!D72</f>
        <v/>
      </c>
      <c r="E72" s="12">
        <f>'Purchase Order Tracker'!E72</f>
        <v/>
      </c>
      <c r="F72" s="12">
        <f>'Purchase Order Tracker'!J72</f>
        <v/>
      </c>
      <c r="G72" s="12">
        <f>'Purchase Order Tracker'!H72</f>
        <v/>
      </c>
      <c r="H72" s="12">
        <f>'Purchase Order Tracker'!N72</f>
        <v/>
      </c>
      <c r="I72" s="12">
        <f>'Purchase Order Tracker'!O72</f>
        <v/>
      </c>
      <c r="J72" s="12">
        <f>'Purchase Order Tracker'!K72</f>
        <v/>
      </c>
    </row>
    <row r="73">
      <c r="A73">
        <f>'Purchase Order Tracker'!B73</f>
        <v/>
      </c>
      <c r="B73">
        <f>'Purchase Order Tracker'!A73</f>
        <v/>
      </c>
      <c r="C73">
        <f>'Purchase Order Tracker'!C73</f>
        <v/>
      </c>
      <c r="D73">
        <f>'Purchase Order Tracker'!D73</f>
        <v/>
      </c>
      <c r="E73">
        <f>'Purchase Order Tracker'!E73</f>
        <v/>
      </c>
      <c r="F73">
        <f>'Purchase Order Tracker'!J73</f>
        <v/>
      </c>
      <c r="G73">
        <f>'Purchase Order Tracker'!H73</f>
        <v/>
      </c>
      <c r="H73">
        <f>'Purchase Order Tracker'!N73</f>
        <v/>
      </c>
      <c r="I73">
        <f>'Purchase Order Tracker'!O73</f>
        <v/>
      </c>
      <c r="J73">
        <f>'Purchase Order Tracker'!K73</f>
        <v/>
      </c>
    </row>
    <row r="74">
      <c r="A74" s="12">
        <f>'Purchase Order Tracker'!B74</f>
        <v/>
      </c>
      <c r="B74" s="12">
        <f>'Purchase Order Tracker'!A74</f>
        <v/>
      </c>
      <c r="C74" s="12">
        <f>'Purchase Order Tracker'!C74</f>
        <v/>
      </c>
      <c r="D74" s="12">
        <f>'Purchase Order Tracker'!D74</f>
        <v/>
      </c>
      <c r="E74" s="12">
        <f>'Purchase Order Tracker'!E74</f>
        <v/>
      </c>
      <c r="F74" s="12">
        <f>'Purchase Order Tracker'!J74</f>
        <v/>
      </c>
      <c r="G74" s="12">
        <f>'Purchase Order Tracker'!H74</f>
        <v/>
      </c>
      <c r="H74" s="12">
        <f>'Purchase Order Tracker'!N74</f>
        <v/>
      </c>
      <c r="I74" s="12">
        <f>'Purchase Order Tracker'!O74</f>
        <v/>
      </c>
      <c r="J74" s="12">
        <f>'Purchase Order Tracker'!K74</f>
        <v/>
      </c>
    </row>
    <row r="75">
      <c r="A75">
        <f>'Purchase Order Tracker'!B75</f>
        <v/>
      </c>
      <c r="B75">
        <f>'Purchase Order Tracker'!A75</f>
        <v/>
      </c>
      <c r="C75">
        <f>'Purchase Order Tracker'!C75</f>
        <v/>
      </c>
      <c r="D75">
        <f>'Purchase Order Tracker'!D75</f>
        <v/>
      </c>
      <c r="E75">
        <f>'Purchase Order Tracker'!E75</f>
        <v/>
      </c>
      <c r="F75">
        <f>'Purchase Order Tracker'!J75</f>
        <v/>
      </c>
      <c r="G75">
        <f>'Purchase Order Tracker'!H75</f>
        <v/>
      </c>
      <c r="H75">
        <f>'Purchase Order Tracker'!N75</f>
        <v/>
      </c>
      <c r="I75">
        <f>'Purchase Order Tracker'!O75</f>
        <v/>
      </c>
      <c r="J75">
        <f>'Purchase Order Tracker'!K75</f>
        <v/>
      </c>
    </row>
    <row r="76">
      <c r="A76" s="12">
        <f>'Purchase Order Tracker'!B76</f>
        <v/>
      </c>
      <c r="B76" s="12">
        <f>'Purchase Order Tracker'!A76</f>
        <v/>
      </c>
      <c r="C76" s="12">
        <f>'Purchase Order Tracker'!C76</f>
        <v/>
      </c>
      <c r="D76" s="12">
        <f>'Purchase Order Tracker'!D76</f>
        <v/>
      </c>
      <c r="E76" s="12">
        <f>'Purchase Order Tracker'!E76</f>
        <v/>
      </c>
      <c r="F76" s="12">
        <f>'Purchase Order Tracker'!J76</f>
        <v/>
      </c>
      <c r="G76" s="12">
        <f>'Purchase Order Tracker'!H76</f>
        <v/>
      </c>
      <c r="H76" s="12">
        <f>'Purchase Order Tracker'!N76</f>
        <v/>
      </c>
      <c r="I76" s="12">
        <f>'Purchase Order Tracker'!O76</f>
        <v/>
      </c>
      <c r="J76" s="12">
        <f>'Purchase Order Tracker'!K76</f>
        <v/>
      </c>
    </row>
    <row r="77">
      <c r="A77">
        <f>'Purchase Order Tracker'!B77</f>
        <v/>
      </c>
      <c r="B77">
        <f>'Purchase Order Tracker'!A77</f>
        <v/>
      </c>
      <c r="C77">
        <f>'Purchase Order Tracker'!C77</f>
        <v/>
      </c>
      <c r="D77">
        <f>'Purchase Order Tracker'!D77</f>
        <v/>
      </c>
      <c r="E77">
        <f>'Purchase Order Tracker'!E77</f>
        <v/>
      </c>
      <c r="F77">
        <f>'Purchase Order Tracker'!J77</f>
        <v/>
      </c>
      <c r="G77">
        <f>'Purchase Order Tracker'!H77</f>
        <v/>
      </c>
      <c r="H77">
        <f>'Purchase Order Tracker'!N77</f>
        <v/>
      </c>
      <c r="I77">
        <f>'Purchase Order Tracker'!O77</f>
        <v/>
      </c>
      <c r="J77">
        <f>'Purchase Order Tracker'!K77</f>
        <v/>
      </c>
    </row>
    <row r="78">
      <c r="A78" s="12">
        <f>'Purchase Order Tracker'!B78</f>
        <v/>
      </c>
      <c r="B78" s="12">
        <f>'Purchase Order Tracker'!A78</f>
        <v/>
      </c>
      <c r="C78" s="12">
        <f>'Purchase Order Tracker'!C78</f>
        <v/>
      </c>
      <c r="D78" s="12">
        <f>'Purchase Order Tracker'!D78</f>
        <v/>
      </c>
      <c r="E78" s="12">
        <f>'Purchase Order Tracker'!E78</f>
        <v/>
      </c>
      <c r="F78" s="12">
        <f>'Purchase Order Tracker'!J78</f>
        <v/>
      </c>
      <c r="G78" s="12">
        <f>'Purchase Order Tracker'!H78</f>
        <v/>
      </c>
      <c r="H78" s="12">
        <f>'Purchase Order Tracker'!N78</f>
        <v/>
      </c>
      <c r="I78" s="12">
        <f>'Purchase Order Tracker'!O78</f>
        <v/>
      </c>
      <c r="J78" s="12">
        <f>'Purchase Order Tracker'!K78</f>
        <v/>
      </c>
    </row>
    <row r="79">
      <c r="A79">
        <f>'Purchase Order Tracker'!B79</f>
        <v/>
      </c>
      <c r="B79">
        <f>'Purchase Order Tracker'!A79</f>
        <v/>
      </c>
      <c r="C79">
        <f>'Purchase Order Tracker'!C79</f>
        <v/>
      </c>
      <c r="D79">
        <f>'Purchase Order Tracker'!D79</f>
        <v/>
      </c>
      <c r="E79">
        <f>'Purchase Order Tracker'!E79</f>
        <v/>
      </c>
      <c r="F79">
        <f>'Purchase Order Tracker'!J79</f>
        <v/>
      </c>
      <c r="G79">
        <f>'Purchase Order Tracker'!H79</f>
        <v/>
      </c>
      <c r="H79">
        <f>'Purchase Order Tracker'!N79</f>
        <v/>
      </c>
      <c r="I79">
        <f>'Purchase Order Tracker'!O79</f>
        <v/>
      </c>
      <c r="J79">
        <f>'Purchase Order Tracker'!K79</f>
        <v/>
      </c>
    </row>
    <row r="80">
      <c r="A80" s="12">
        <f>'Purchase Order Tracker'!B80</f>
        <v/>
      </c>
      <c r="B80" s="12">
        <f>'Purchase Order Tracker'!A80</f>
        <v/>
      </c>
      <c r="C80" s="12">
        <f>'Purchase Order Tracker'!C80</f>
        <v/>
      </c>
      <c r="D80" s="12">
        <f>'Purchase Order Tracker'!D80</f>
        <v/>
      </c>
      <c r="E80" s="12">
        <f>'Purchase Order Tracker'!E80</f>
        <v/>
      </c>
      <c r="F80" s="12">
        <f>'Purchase Order Tracker'!J80</f>
        <v/>
      </c>
      <c r="G80" s="12">
        <f>'Purchase Order Tracker'!H80</f>
        <v/>
      </c>
      <c r="H80" s="12">
        <f>'Purchase Order Tracker'!N80</f>
        <v/>
      </c>
      <c r="I80" s="12">
        <f>'Purchase Order Tracker'!O80</f>
        <v/>
      </c>
      <c r="J80" s="12">
        <f>'Purchase Order Tracker'!K80</f>
        <v/>
      </c>
    </row>
    <row r="81">
      <c r="A81">
        <f>'Purchase Order Tracker'!B81</f>
        <v/>
      </c>
      <c r="B81">
        <f>'Purchase Order Tracker'!A81</f>
        <v/>
      </c>
      <c r="C81">
        <f>'Purchase Order Tracker'!C81</f>
        <v/>
      </c>
      <c r="D81">
        <f>'Purchase Order Tracker'!D81</f>
        <v/>
      </c>
      <c r="E81">
        <f>'Purchase Order Tracker'!E81</f>
        <v/>
      </c>
      <c r="F81">
        <f>'Purchase Order Tracker'!J81</f>
        <v/>
      </c>
      <c r="G81">
        <f>'Purchase Order Tracker'!H81</f>
        <v/>
      </c>
      <c r="H81">
        <f>'Purchase Order Tracker'!N81</f>
        <v/>
      </c>
      <c r="I81">
        <f>'Purchase Order Tracker'!O81</f>
        <v/>
      </c>
      <c r="J81">
        <f>'Purchase Order Tracker'!K81</f>
        <v/>
      </c>
    </row>
    <row r="82">
      <c r="A82" s="12">
        <f>'Purchase Order Tracker'!B82</f>
        <v/>
      </c>
      <c r="B82" s="12">
        <f>'Purchase Order Tracker'!A82</f>
        <v/>
      </c>
      <c r="C82" s="12">
        <f>'Purchase Order Tracker'!C82</f>
        <v/>
      </c>
      <c r="D82" s="12">
        <f>'Purchase Order Tracker'!D82</f>
        <v/>
      </c>
      <c r="E82" s="12">
        <f>'Purchase Order Tracker'!E82</f>
        <v/>
      </c>
      <c r="F82" s="12">
        <f>'Purchase Order Tracker'!J82</f>
        <v/>
      </c>
      <c r="G82" s="12">
        <f>'Purchase Order Tracker'!H82</f>
        <v/>
      </c>
      <c r="H82" s="12">
        <f>'Purchase Order Tracker'!N82</f>
        <v/>
      </c>
      <c r="I82" s="12">
        <f>'Purchase Order Tracker'!O82</f>
        <v/>
      </c>
      <c r="J82" s="12">
        <f>'Purchase Order Tracker'!K82</f>
        <v/>
      </c>
    </row>
    <row r="83">
      <c r="A83">
        <f>'Purchase Order Tracker'!B83</f>
        <v/>
      </c>
      <c r="B83">
        <f>'Purchase Order Tracker'!A83</f>
        <v/>
      </c>
      <c r="C83">
        <f>'Purchase Order Tracker'!C83</f>
        <v/>
      </c>
      <c r="D83">
        <f>'Purchase Order Tracker'!D83</f>
        <v/>
      </c>
      <c r="E83">
        <f>'Purchase Order Tracker'!E83</f>
        <v/>
      </c>
      <c r="F83">
        <f>'Purchase Order Tracker'!J83</f>
        <v/>
      </c>
      <c r="G83">
        <f>'Purchase Order Tracker'!H83</f>
        <v/>
      </c>
      <c r="H83">
        <f>'Purchase Order Tracker'!N83</f>
        <v/>
      </c>
      <c r="I83">
        <f>'Purchase Order Tracker'!O83</f>
        <v/>
      </c>
      <c r="J83">
        <f>'Purchase Order Tracker'!K83</f>
        <v/>
      </c>
    </row>
    <row r="84">
      <c r="A84" s="12">
        <f>'Purchase Order Tracker'!B84</f>
        <v/>
      </c>
      <c r="B84" s="12">
        <f>'Purchase Order Tracker'!A84</f>
        <v/>
      </c>
      <c r="C84" s="12">
        <f>'Purchase Order Tracker'!C84</f>
        <v/>
      </c>
      <c r="D84" s="12">
        <f>'Purchase Order Tracker'!D84</f>
        <v/>
      </c>
      <c r="E84" s="12">
        <f>'Purchase Order Tracker'!E84</f>
        <v/>
      </c>
      <c r="F84" s="12">
        <f>'Purchase Order Tracker'!J84</f>
        <v/>
      </c>
      <c r="G84" s="12">
        <f>'Purchase Order Tracker'!H84</f>
        <v/>
      </c>
      <c r="H84" s="12">
        <f>'Purchase Order Tracker'!N84</f>
        <v/>
      </c>
      <c r="I84" s="12">
        <f>'Purchase Order Tracker'!O84</f>
        <v/>
      </c>
      <c r="J84" s="12">
        <f>'Purchase Order Tracker'!K84</f>
        <v/>
      </c>
    </row>
    <row r="85">
      <c r="A85">
        <f>'Purchase Order Tracker'!B85</f>
        <v/>
      </c>
      <c r="B85">
        <f>'Purchase Order Tracker'!A85</f>
        <v/>
      </c>
      <c r="C85">
        <f>'Purchase Order Tracker'!C85</f>
        <v/>
      </c>
      <c r="D85">
        <f>'Purchase Order Tracker'!D85</f>
        <v/>
      </c>
      <c r="E85">
        <f>'Purchase Order Tracker'!E85</f>
        <v/>
      </c>
      <c r="F85">
        <f>'Purchase Order Tracker'!J85</f>
        <v/>
      </c>
      <c r="G85">
        <f>'Purchase Order Tracker'!H85</f>
        <v/>
      </c>
      <c r="H85">
        <f>'Purchase Order Tracker'!N85</f>
        <v/>
      </c>
      <c r="I85">
        <f>'Purchase Order Tracker'!O85</f>
        <v/>
      </c>
      <c r="J85">
        <f>'Purchase Order Tracker'!K85</f>
        <v/>
      </c>
    </row>
    <row r="86">
      <c r="A86" s="12">
        <f>'Purchase Order Tracker'!B86</f>
        <v/>
      </c>
      <c r="B86" s="12">
        <f>'Purchase Order Tracker'!A86</f>
        <v/>
      </c>
      <c r="C86" s="12">
        <f>'Purchase Order Tracker'!C86</f>
        <v/>
      </c>
      <c r="D86" s="12">
        <f>'Purchase Order Tracker'!D86</f>
        <v/>
      </c>
      <c r="E86" s="12">
        <f>'Purchase Order Tracker'!E86</f>
        <v/>
      </c>
      <c r="F86" s="12">
        <f>'Purchase Order Tracker'!J86</f>
        <v/>
      </c>
      <c r="G86" s="12">
        <f>'Purchase Order Tracker'!H86</f>
        <v/>
      </c>
      <c r="H86" s="12">
        <f>'Purchase Order Tracker'!N86</f>
        <v/>
      </c>
      <c r="I86" s="12">
        <f>'Purchase Order Tracker'!O86</f>
        <v/>
      </c>
      <c r="J86" s="12">
        <f>'Purchase Order Tracker'!K86</f>
        <v/>
      </c>
    </row>
    <row r="87">
      <c r="A87">
        <f>'Purchase Order Tracker'!B87</f>
        <v/>
      </c>
      <c r="B87">
        <f>'Purchase Order Tracker'!A87</f>
        <v/>
      </c>
      <c r="C87">
        <f>'Purchase Order Tracker'!C87</f>
        <v/>
      </c>
      <c r="D87">
        <f>'Purchase Order Tracker'!D87</f>
        <v/>
      </c>
      <c r="E87">
        <f>'Purchase Order Tracker'!E87</f>
        <v/>
      </c>
      <c r="F87">
        <f>'Purchase Order Tracker'!J87</f>
        <v/>
      </c>
      <c r="G87">
        <f>'Purchase Order Tracker'!H87</f>
        <v/>
      </c>
      <c r="H87">
        <f>'Purchase Order Tracker'!N87</f>
        <v/>
      </c>
      <c r="I87">
        <f>'Purchase Order Tracker'!O87</f>
        <v/>
      </c>
      <c r="J87">
        <f>'Purchase Order Tracker'!K87</f>
        <v/>
      </c>
    </row>
    <row r="88">
      <c r="A88" s="12">
        <f>'Purchase Order Tracker'!B88</f>
        <v/>
      </c>
      <c r="B88" s="12">
        <f>'Purchase Order Tracker'!A88</f>
        <v/>
      </c>
      <c r="C88" s="12">
        <f>'Purchase Order Tracker'!C88</f>
        <v/>
      </c>
      <c r="D88" s="12">
        <f>'Purchase Order Tracker'!D88</f>
        <v/>
      </c>
      <c r="E88" s="12">
        <f>'Purchase Order Tracker'!E88</f>
        <v/>
      </c>
      <c r="F88" s="12">
        <f>'Purchase Order Tracker'!J88</f>
        <v/>
      </c>
      <c r="G88" s="12">
        <f>'Purchase Order Tracker'!H88</f>
        <v/>
      </c>
      <c r="H88" s="12">
        <f>'Purchase Order Tracker'!N88</f>
        <v/>
      </c>
      <c r="I88" s="12">
        <f>'Purchase Order Tracker'!O88</f>
        <v/>
      </c>
      <c r="J88" s="12">
        <f>'Purchase Order Tracker'!K88</f>
        <v/>
      </c>
    </row>
    <row r="89">
      <c r="A89">
        <f>'Purchase Order Tracker'!B89</f>
        <v/>
      </c>
      <c r="B89">
        <f>'Purchase Order Tracker'!A89</f>
        <v/>
      </c>
      <c r="C89">
        <f>'Purchase Order Tracker'!C89</f>
        <v/>
      </c>
      <c r="D89">
        <f>'Purchase Order Tracker'!D89</f>
        <v/>
      </c>
      <c r="E89">
        <f>'Purchase Order Tracker'!E89</f>
        <v/>
      </c>
      <c r="F89">
        <f>'Purchase Order Tracker'!J89</f>
        <v/>
      </c>
      <c r="G89">
        <f>'Purchase Order Tracker'!H89</f>
        <v/>
      </c>
      <c r="H89">
        <f>'Purchase Order Tracker'!N89</f>
        <v/>
      </c>
      <c r="I89">
        <f>'Purchase Order Tracker'!O89</f>
        <v/>
      </c>
      <c r="J89">
        <f>'Purchase Order Tracker'!K89</f>
        <v/>
      </c>
    </row>
    <row r="90">
      <c r="A90" s="12">
        <f>'Purchase Order Tracker'!B90</f>
        <v/>
      </c>
      <c r="B90" s="12">
        <f>'Purchase Order Tracker'!A90</f>
        <v/>
      </c>
      <c r="C90" s="12">
        <f>'Purchase Order Tracker'!C90</f>
        <v/>
      </c>
      <c r="D90" s="12">
        <f>'Purchase Order Tracker'!D90</f>
        <v/>
      </c>
      <c r="E90" s="12">
        <f>'Purchase Order Tracker'!E90</f>
        <v/>
      </c>
      <c r="F90" s="12">
        <f>'Purchase Order Tracker'!J90</f>
        <v/>
      </c>
      <c r="G90" s="12">
        <f>'Purchase Order Tracker'!H90</f>
        <v/>
      </c>
      <c r="H90" s="12">
        <f>'Purchase Order Tracker'!N90</f>
        <v/>
      </c>
      <c r="I90" s="12">
        <f>'Purchase Order Tracker'!O90</f>
        <v/>
      </c>
      <c r="J90" s="12">
        <f>'Purchase Order Tracker'!K90</f>
        <v/>
      </c>
    </row>
    <row r="91">
      <c r="A91">
        <f>'Purchase Order Tracker'!B91</f>
        <v/>
      </c>
      <c r="B91">
        <f>'Purchase Order Tracker'!A91</f>
        <v/>
      </c>
      <c r="C91">
        <f>'Purchase Order Tracker'!C91</f>
        <v/>
      </c>
      <c r="D91">
        <f>'Purchase Order Tracker'!D91</f>
        <v/>
      </c>
      <c r="E91">
        <f>'Purchase Order Tracker'!E91</f>
        <v/>
      </c>
      <c r="F91">
        <f>'Purchase Order Tracker'!J91</f>
        <v/>
      </c>
      <c r="G91">
        <f>'Purchase Order Tracker'!H91</f>
        <v/>
      </c>
      <c r="H91">
        <f>'Purchase Order Tracker'!N91</f>
        <v/>
      </c>
      <c r="I91">
        <f>'Purchase Order Tracker'!O91</f>
        <v/>
      </c>
      <c r="J91">
        <f>'Purchase Order Tracker'!K91</f>
        <v/>
      </c>
    </row>
    <row r="92">
      <c r="A92" s="12">
        <f>'Purchase Order Tracker'!B92</f>
        <v/>
      </c>
      <c r="B92" s="12">
        <f>'Purchase Order Tracker'!A92</f>
        <v/>
      </c>
      <c r="C92" s="12">
        <f>'Purchase Order Tracker'!C92</f>
        <v/>
      </c>
      <c r="D92" s="12">
        <f>'Purchase Order Tracker'!D92</f>
        <v/>
      </c>
      <c r="E92" s="12">
        <f>'Purchase Order Tracker'!E92</f>
        <v/>
      </c>
      <c r="F92" s="12">
        <f>'Purchase Order Tracker'!J92</f>
        <v/>
      </c>
      <c r="G92" s="12">
        <f>'Purchase Order Tracker'!H92</f>
        <v/>
      </c>
      <c r="H92" s="12">
        <f>'Purchase Order Tracker'!N92</f>
        <v/>
      </c>
      <c r="I92" s="12">
        <f>'Purchase Order Tracker'!O92</f>
        <v/>
      </c>
      <c r="J92" s="12">
        <f>'Purchase Order Tracker'!K92</f>
        <v/>
      </c>
    </row>
    <row r="93">
      <c r="A93">
        <f>'Purchase Order Tracker'!B93</f>
        <v/>
      </c>
      <c r="B93">
        <f>'Purchase Order Tracker'!A93</f>
        <v/>
      </c>
      <c r="C93">
        <f>'Purchase Order Tracker'!C93</f>
        <v/>
      </c>
      <c r="D93">
        <f>'Purchase Order Tracker'!D93</f>
        <v/>
      </c>
      <c r="E93">
        <f>'Purchase Order Tracker'!E93</f>
        <v/>
      </c>
      <c r="F93">
        <f>'Purchase Order Tracker'!J93</f>
        <v/>
      </c>
      <c r="G93">
        <f>'Purchase Order Tracker'!H93</f>
        <v/>
      </c>
      <c r="H93">
        <f>'Purchase Order Tracker'!N93</f>
        <v/>
      </c>
      <c r="I93">
        <f>'Purchase Order Tracker'!O93</f>
        <v/>
      </c>
      <c r="J93">
        <f>'Purchase Order Tracker'!K93</f>
        <v/>
      </c>
    </row>
    <row r="94">
      <c r="A94" s="12">
        <f>'Purchase Order Tracker'!B94</f>
        <v/>
      </c>
      <c r="B94" s="12">
        <f>'Purchase Order Tracker'!A94</f>
        <v/>
      </c>
      <c r="C94" s="12">
        <f>'Purchase Order Tracker'!C94</f>
        <v/>
      </c>
      <c r="D94" s="12">
        <f>'Purchase Order Tracker'!D94</f>
        <v/>
      </c>
      <c r="E94" s="12">
        <f>'Purchase Order Tracker'!E94</f>
        <v/>
      </c>
      <c r="F94" s="12">
        <f>'Purchase Order Tracker'!J94</f>
        <v/>
      </c>
      <c r="G94" s="12">
        <f>'Purchase Order Tracker'!H94</f>
        <v/>
      </c>
      <c r="H94" s="12">
        <f>'Purchase Order Tracker'!N94</f>
        <v/>
      </c>
      <c r="I94" s="12">
        <f>'Purchase Order Tracker'!O94</f>
        <v/>
      </c>
      <c r="J94" s="12">
        <f>'Purchase Order Tracker'!K94</f>
        <v/>
      </c>
    </row>
    <row r="95">
      <c r="A95">
        <f>'Purchase Order Tracker'!B95</f>
        <v/>
      </c>
      <c r="B95">
        <f>'Purchase Order Tracker'!A95</f>
        <v/>
      </c>
      <c r="C95">
        <f>'Purchase Order Tracker'!C95</f>
        <v/>
      </c>
      <c r="D95">
        <f>'Purchase Order Tracker'!D95</f>
        <v/>
      </c>
      <c r="E95">
        <f>'Purchase Order Tracker'!E95</f>
        <v/>
      </c>
      <c r="F95">
        <f>'Purchase Order Tracker'!J95</f>
        <v/>
      </c>
      <c r="G95">
        <f>'Purchase Order Tracker'!H95</f>
        <v/>
      </c>
      <c r="H95">
        <f>'Purchase Order Tracker'!N95</f>
        <v/>
      </c>
      <c r="I95">
        <f>'Purchase Order Tracker'!O95</f>
        <v/>
      </c>
      <c r="J95">
        <f>'Purchase Order Tracker'!K95</f>
        <v/>
      </c>
    </row>
    <row r="96">
      <c r="A96" s="12">
        <f>'Purchase Order Tracker'!B96</f>
        <v/>
      </c>
      <c r="B96" s="12">
        <f>'Purchase Order Tracker'!A96</f>
        <v/>
      </c>
      <c r="C96" s="12">
        <f>'Purchase Order Tracker'!C96</f>
        <v/>
      </c>
      <c r="D96" s="12">
        <f>'Purchase Order Tracker'!D96</f>
        <v/>
      </c>
      <c r="E96" s="12">
        <f>'Purchase Order Tracker'!E96</f>
        <v/>
      </c>
      <c r="F96" s="12">
        <f>'Purchase Order Tracker'!J96</f>
        <v/>
      </c>
      <c r="G96" s="12">
        <f>'Purchase Order Tracker'!H96</f>
        <v/>
      </c>
      <c r="H96" s="12">
        <f>'Purchase Order Tracker'!N96</f>
        <v/>
      </c>
      <c r="I96" s="12">
        <f>'Purchase Order Tracker'!O96</f>
        <v/>
      </c>
      <c r="J96" s="12">
        <f>'Purchase Order Tracker'!K96</f>
        <v/>
      </c>
    </row>
    <row r="97">
      <c r="A97">
        <f>'Purchase Order Tracker'!B97</f>
        <v/>
      </c>
      <c r="B97">
        <f>'Purchase Order Tracker'!A97</f>
        <v/>
      </c>
      <c r="C97">
        <f>'Purchase Order Tracker'!C97</f>
        <v/>
      </c>
      <c r="D97">
        <f>'Purchase Order Tracker'!D97</f>
        <v/>
      </c>
      <c r="E97">
        <f>'Purchase Order Tracker'!E97</f>
        <v/>
      </c>
      <c r="F97">
        <f>'Purchase Order Tracker'!J97</f>
        <v/>
      </c>
      <c r="G97">
        <f>'Purchase Order Tracker'!H97</f>
        <v/>
      </c>
      <c r="H97">
        <f>'Purchase Order Tracker'!N97</f>
        <v/>
      </c>
      <c r="I97">
        <f>'Purchase Order Tracker'!O97</f>
        <v/>
      </c>
      <c r="J97">
        <f>'Purchase Order Tracker'!K97</f>
        <v/>
      </c>
    </row>
    <row r="98">
      <c r="A98" s="12">
        <f>'Purchase Order Tracker'!B98</f>
        <v/>
      </c>
      <c r="B98" s="12">
        <f>'Purchase Order Tracker'!A98</f>
        <v/>
      </c>
      <c r="C98" s="12">
        <f>'Purchase Order Tracker'!C98</f>
        <v/>
      </c>
      <c r="D98" s="12">
        <f>'Purchase Order Tracker'!D98</f>
        <v/>
      </c>
      <c r="E98" s="12">
        <f>'Purchase Order Tracker'!E98</f>
        <v/>
      </c>
      <c r="F98" s="12">
        <f>'Purchase Order Tracker'!J98</f>
        <v/>
      </c>
      <c r="G98" s="12">
        <f>'Purchase Order Tracker'!H98</f>
        <v/>
      </c>
      <c r="H98" s="12">
        <f>'Purchase Order Tracker'!N98</f>
        <v/>
      </c>
      <c r="I98" s="12">
        <f>'Purchase Order Tracker'!O98</f>
        <v/>
      </c>
      <c r="J98" s="12">
        <f>'Purchase Order Tracker'!K98</f>
        <v/>
      </c>
    </row>
    <row r="99">
      <c r="A99">
        <f>'Purchase Order Tracker'!B99</f>
        <v/>
      </c>
      <c r="B99">
        <f>'Purchase Order Tracker'!A99</f>
        <v/>
      </c>
      <c r="C99">
        <f>'Purchase Order Tracker'!C99</f>
        <v/>
      </c>
      <c r="D99">
        <f>'Purchase Order Tracker'!D99</f>
        <v/>
      </c>
      <c r="E99">
        <f>'Purchase Order Tracker'!E99</f>
        <v/>
      </c>
      <c r="F99">
        <f>'Purchase Order Tracker'!J99</f>
        <v/>
      </c>
      <c r="G99">
        <f>'Purchase Order Tracker'!H99</f>
        <v/>
      </c>
      <c r="H99">
        <f>'Purchase Order Tracker'!N99</f>
        <v/>
      </c>
      <c r="I99">
        <f>'Purchase Order Tracker'!O99</f>
        <v/>
      </c>
      <c r="J99">
        <f>'Purchase Order Tracker'!K99</f>
        <v/>
      </c>
    </row>
    <row r="100">
      <c r="A100" s="12">
        <f>'Purchase Order Tracker'!B100</f>
        <v/>
      </c>
      <c r="B100" s="12">
        <f>'Purchase Order Tracker'!A100</f>
        <v/>
      </c>
      <c r="C100" s="12">
        <f>'Purchase Order Tracker'!C100</f>
        <v/>
      </c>
      <c r="D100" s="12">
        <f>'Purchase Order Tracker'!D100</f>
        <v/>
      </c>
      <c r="E100" s="12">
        <f>'Purchase Order Tracker'!E100</f>
        <v/>
      </c>
      <c r="F100" s="12">
        <f>'Purchase Order Tracker'!J100</f>
        <v/>
      </c>
      <c r="G100" s="12">
        <f>'Purchase Order Tracker'!H100</f>
        <v/>
      </c>
      <c r="H100" s="12">
        <f>'Purchase Order Tracker'!N100</f>
        <v/>
      </c>
      <c r="I100" s="12">
        <f>'Purchase Order Tracker'!O100</f>
        <v/>
      </c>
      <c r="J100" s="12">
        <f>'Purchase Order Tracker'!K100</f>
        <v/>
      </c>
    </row>
    <row r="101">
      <c r="A101">
        <f>'Purchase Order Tracker'!B101</f>
        <v/>
      </c>
      <c r="B101">
        <f>'Purchase Order Tracker'!A101</f>
        <v/>
      </c>
      <c r="C101">
        <f>'Purchase Order Tracker'!C101</f>
        <v/>
      </c>
      <c r="D101">
        <f>'Purchase Order Tracker'!D101</f>
        <v/>
      </c>
      <c r="E101">
        <f>'Purchase Order Tracker'!E101</f>
        <v/>
      </c>
      <c r="F101">
        <f>'Purchase Order Tracker'!J101</f>
        <v/>
      </c>
      <c r="G101">
        <f>'Purchase Order Tracker'!H101</f>
        <v/>
      </c>
      <c r="H101">
        <f>'Purchase Order Tracker'!N101</f>
        <v/>
      </c>
      <c r="I101">
        <f>'Purchase Order Tracker'!O101</f>
        <v/>
      </c>
      <c r="J101">
        <f>'Purchase Order Tracker'!K101</f>
        <v/>
      </c>
    </row>
    <row r="102">
      <c r="A102" s="12">
        <f>'Purchase Order Tracker'!B102</f>
        <v/>
      </c>
      <c r="B102" s="12">
        <f>'Purchase Order Tracker'!A102</f>
        <v/>
      </c>
      <c r="C102" s="12">
        <f>'Purchase Order Tracker'!C102</f>
        <v/>
      </c>
      <c r="D102" s="12">
        <f>'Purchase Order Tracker'!D102</f>
        <v/>
      </c>
      <c r="E102" s="12">
        <f>'Purchase Order Tracker'!E102</f>
        <v/>
      </c>
      <c r="F102" s="12">
        <f>'Purchase Order Tracker'!J102</f>
        <v/>
      </c>
      <c r="G102" s="12">
        <f>'Purchase Order Tracker'!H102</f>
        <v/>
      </c>
      <c r="H102" s="12">
        <f>'Purchase Order Tracker'!N102</f>
        <v/>
      </c>
      <c r="I102" s="12">
        <f>'Purchase Order Tracker'!O102</f>
        <v/>
      </c>
      <c r="J102" s="12">
        <f>'Purchase Order Tracker'!K102</f>
        <v/>
      </c>
    </row>
    <row r="103">
      <c r="A103">
        <f>'Purchase Order Tracker'!B103</f>
        <v/>
      </c>
      <c r="B103">
        <f>'Purchase Order Tracker'!A103</f>
        <v/>
      </c>
      <c r="C103">
        <f>'Purchase Order Tracker'!C103</f>
        <v/>
      </c>
      <c r="D103">
        <f>'Purchase Order Tracker'!D103</f>
        <v/>
      </c>
      <c r="E103">
        <f>'Purchase Order Tracker'!E103</f>
        <v/>
      </c>
      <c r="F103">
        <f>'Purchase Order Tracker'!J103</f>
        <v/>
      </c>
      <c r="G103">
        <f>'Purchase Order Tracker'!H103</f>
        <v/>
      </c>
      <c r="H103">
        <f>'Purchase Order Tracker'!N103</f>
        <v/>
      </c>
      <c r="I103">
        <f>'Purchase Order Tracker'!O103</f>
        <v/>
      </c>
      <c r="J103">
        <f>'Purchase Order Tracker'!K103</f>
        <v/>
      </c>
    </row>
    <row r="104">
      <c r="A104" s="12">
        <f>'Purchase Order Tracker'!B104</f>
        <v/>
      </c>
      <c r="B104" s="12">
        <f>'Purchase Order Tracker'!A104</f>
        <v/>
      </c>
      <c r="C104" s="12">
        <f>'Purchase Order Tracker'!C104</f>
        <v/>
      </c>
      <c r="D104" s="12">
        <f>'Purchase Order Tracker'!D104</f>
        <v/>
      </c>
      <c r="E104" s="12">
        <f>'Purchase Order Tracker'!E104</f>
        <v/>
      </c>
      <c r="F104" s="12">
        <f>'Purchase Order Tracker'!J104</f>
        <v/>
      </c>
      <c r="G104" s="12">
        <f>'Purchase Order Tracker'!H104</f>
        <v/>
      </c>
      <c r="H104" s="12">
        <f>'Purchase Order Tracker'!N104</f>
        <v/>
      </c>
      <c r="I104" s="12">
        <f>'Purchase Order Tracker'!O104</f>
        <v/>
      </c>
      <c r="J104" s="12">
        <f>'Purchase Order Tracker'!K104</f>
        <v/>
      </c>
    </row>
    <row r="105">
      <c r="A105">
        <f>'Purchase Order Tracker'!B105</f>
        <v/>
      </c>
      <c r="B105">
        <f>'Purchase Order Tracker'!A105</f>
        <v/>
      </c>
      <c r="C105">
        <f>'Purchase Order Tracker'!C105</f>
        <v/>
      </c>
      <c r="D105">
        <f>'Purchase Order Tracker'!D105</f>
        <v/>
      </c>
      <c r="E105">
        <f>'Purchase Order Tracker'!E105</f>
        <v/>
      </c>
      <c r="F105">
        <f>'Purchase Order Tracker'!J105</f>
        <v/>
      </c>
      <c r="G105">
        <f>'Purchase Order Tracker'!H105</f>
        <v/>
      </c>
      <c r="H105">
        <f>'Purchase Order Tracker'!N105</f>
        <v/>
      </c>
      <c r="I105">
        <f>'Purchase Order Tracker'!O105</f>
        <v/>
      </c>
      <c r="J105">
        <f>'Purchase Order Tracker'!K105</f>
        <v/>
      </c>
    </row>
    <row r="106">
      <c r="A106" s="12">
        <f>'Purchase Order Tracker'!B106</f>
        <v/>
      </c>
      <c r="B106" s="12">
        <f>'Purchase Order Tracker'!A106</f>
        <v/>
      </c>
      <c r="C106" s="12">
        <f>'Purchase Order Tracker'!C106</f>
        <v/>
      </c>
      <c r="D106" s="12">
        <f>'Purchase Order Tracker'!D106</f>
        <v/>
      </c>
      <c r="E106" s="12">
        <f>'Purchase Order Tracker'!E106</f>
        <v/>
      </c>
      <c r="F106" s="12">
        <f>'Purchase Order Tracker'!J106</f>
        <v/>
      </c>
      <c r="G106" s="12">
        <f>'Purchase Order Tracker'!H106</f>
        <v/>
      </c>
      <c r="H106" s="12">
        <f>'Purchase Order Tracker'!N106</f>
        <v/>
      </c>
      <c r="I106" s="12">
        <f>'Purchase Order Tracker'!O106</f>
        <v/>
      </c>
      <c r="J106" s="12">
        <f>'Purchase Order Tracker'!K106</f>
        <v/>
      </c>
    </row>
    <row r="107">
      <c r="A107">
        <f>'Purchase Order Tracker'!B107</f>
        <v/>
      </c>
      <c r="B107">
        <f>'Purchase Order Tracker'!A107</f>
        <v/>
      </c>
      <c r="C107">
        <f>'Purchase Order Tracker'!C107</f>
        <v/>
      </c>
      <c r="D107">
        <f>'Purchase Order Tracker'!D107</f>
        <v/>
      </c>
      <c r="E107">
        <f>'Purchase Order Tracker'!E107</f>
        <v/>
      </c>
      <c r="F107">
        <f>'Purchase Order Tracker'!J107</f>
        <v/>
      </c>
      <c r="G107">
        <f>'Purchase Order Tracker'!H107</f>
        <v/>
      </c>
      <c r="H107">
        <f>'Purchase Order Tracker'!N107</f>
        <v/>
      </c>
      <c r="I107">
        <f>'Purchase Order Tracker'!O107</f>
        <v/>
      </c>
      <c r="J107">
        <f>'Purchase Order Tracker'!K107</f>
        <v/>
      </c>
    </row>
    <row r="108">
      <c r="A108" s="12">
        <f>'Purchase Order Tracker'!B108</f>
        <v/>
      </c>
      <c r="B108" s="12">
        <f>'Purchase Order Tracker'!A108</f>
        <v/>
      </c>
      <c r="C108" s="12">
        <f>'Purchase Order Tracker'!C108</f>
        <v/>
      </c>
      <c r="D108" s="12">
        <f>'Purchase Order Tracker'!D108</f>
        <v/>
      </c>
      <c r="E108" s="12">
        <f>'Purchase Order Tracker'!E108</f>
        <v/>
      </c>
      <c r="F108" s="12">
        <f>'Purchase Order Tracker'!J108</f>
        <v/>
      </c>
      <c r="G108" s="12">
        <f>'Purchase Order Tracker'!H108</f>
        <v/>
      </c>
      <c r="H108" s="12">
        <f>'Purchase Order Tracker'!N108</f>
        <v/>
      </c>
      <c r="I108" s="12">
        <f>'Purchase Order Tracker'!O108</f>
        <v/>
      </c>
      <c r="J108" s="12">
        <f>'Purchase Order Tracker'!K108</f>
        <v/>
      </c>
    </row>
    <row r="109">
      <c r="A109">
        <f>'Purchase Order Tracker'!B109</f>
        <v/>
      </c>
      <c r="B109">
        <f>'Purchase Order Tracker'!A109</f>
        <v/>
      </c>
      <c r="C109">
        <f>'Purchase Order Tracker'!C109</f>
        <v/>
      </c>
      <c r="D109">
        <f>'Purchase Order Tracker'!D109</f>
        <v/>
      </c>
      <c r="E109">
        <f>'Purchase Order Tracker'!E109</f>
        <v/>
      </c>
      <c r="F109">
        <f>'Purchase Order Tracker'!J109</f>
        <v/>
      </c>
      <c r="G109">
        <f>'Purchase Order Tracker'!H109</f>
        <v/>
      </c>
      <c r="H109">
        <f>'Purchase Order Tracker'!N109</f>
        <v/>
      </c>
      <c r="I109">
        <f>'Purchase Order Tracker'!O109</f>
        <v/>
      </c>
      <c r="J109">
        <f>'Purchase Order Tracker'!K109</f>
        <v/>
      </c>
    </row>
    <row r="110">
      <c r="A110" s="12">
        <f>'Purchase Order Tracker'!B110</f>
        <v/>
      </c>
      <c r="B110" s="12">
        <f>'Purchase Order Tracker'!A110</f>
        <v/>
      </c>
      <c r="C110" s="12">
        <f>'Purchase Order Tracker'!C110</f>
        <v/>
      </c>
      <c r="D110" s="12">
        <f>'Purchase Order Tracker'!D110</f>
        <v/>
      </c>
      <c r="E110" s="12">
        <f>'Purchase Order Tracker'!E110</f>
        <v/>
      </c>
      <c r="F110" s="12">
        <f>'Purchase Order Tracker'!J110</f>
        <v/>
      </c>
      <c r="G110" s="12">
        <f>'Purchase Order Tracker'!H110</f>
        <v/>
      </c>
      <c r="H110" s="12">
        <f>'Purchase Order Tracker'!N110</f>
        <v/>
      </c>
      <c r="I110" s="12">
        <f>'Purchase Order Tracker'!O110</f>
        <v/>
      </c>
      <c r="J110" s="12">
        <f>'Purchase Order Tracker'!K110</f>
        <v/>
      </c>
    </row>
    <row r="111">
      <c r="A111">
        <f>'Purchase Order Tracker'!B111</f>
        <v/>
      </c>
      <c r="B111">
        <f>'Purchase Order Tracker'!A111</f>
        <v/>
      </c>
      <c r="C111">
        <f>'Purchase Order Tracker'!C111</f>
        <v/>
      </c>
      <c r="D111">
        <f>'Purchase Order Tracker'!D111</f>
        <v/>
      </c>
      <c r="E111">
        <f>'Purchase Order Tracker'!E111</f>
        <v/>
      </c>
      <c r="F111">
        <f>'Purchase Order Tracker'!J111</f>
        <v/>
      </c>
      <c r="G111">
        <f>'Purchase Order Tracker'!H111</f>
        <v/>
      </c>
      <c r="H111">
        <f>'Purchase Order Tracker'!N111</f>
        <v/>
      </c>
      <c r="I111">
        <f>'Purchase Order Tracker'!O111</f>
        <v/>
      </c>
      <c r="J111">
        <f>'Purchase Order Tracker'!K111</f>
        <v/>
      </c>
    </row>
    <row r="112">
      <c r="A112" s="12">
        <f>'Purchase Order Tracker'!B112</f>
        <v/>
      </c>
      <c r="B112" s="12">
        <f>'Purchase Order Tracker'!A112</f>
        <v/>
      </c>
      <c r="C112" s="12">
        <f>'Purchase Order Tracker'!C112</f>
        <v/>
      </c>
      <c r="D112" s="12">
        <f>'Purchase Order Tracker'!D112</f>
        <v/>
      </c>
      <c r="E112" s="12">
        <f>'Purchase Order Tracker'!E112</f>
        <v/>
      </c>
      <c r="F112" s="12">
        <f>'Purchase Order Tracker'!J112</f>
        <v/>
      </c>
      <c r="G112" s="12">
        <f>'Purchase Order Tracker'!H112</f>
        <v/>
      </c>
      <c r="H112" s="12">
        <f>'Purchase Order Tracker'!N112</f>
        <v/>
      </c>
      <c r="I112" s="12">
        <f>'Purchase Order Tracker'!O112</f>
        <v/>
      </c>
      <c r="J112" s="12">
        <f>'Purchase Order Tracker'!K112</f>
        <v/>
      </c>
    </row>
    <row r="113">
      <c r="A113">
        <f>'Purchase Order Tracker'!B113</f>
        <v/>
      </c>
      <c r="B113">
        <f>'Purchase Order Tracker'!A113</f>
        <v/>
      </c>
      <c r="C113">
        <f>'Purchase Order Tracker'!C113</f>
        <v/>
      </c>
      <c r="D113">
        <f>'Purchase Order Tracker'!D113</f>
        <v/>
      </c>
      <c r="E113">
        <f>'Purchase Order Tracker'!E113</f>
        <v/>
      </c>
      <c r="F113">
        <f>'Purchase Order Tracker'!J113</f>
        <v/>
      </c>
      <c r="G113">
        <f>'Purchase Order Tracker'!H113</f>
        <v/>
      </c>
      <c r="H113">
        <f>'Purchase Order Tracker'!N113</f>
        <v/>
      </c>
      <c r="I113">
        <f>'Purchase Order Tracker'!O113</f>
        <v/>
      </c>
      <c r="J113">
        <f>'Purchase Order Tracker'!K113</f>
        <v/>
      </c>
    </row>
    <row r="114">
      <c r="A114" s="12">
        <f>'Purchase Order Tracker'!B114</f>
        <v/>
      </c>
      <c r="B114" s="12">
        <f>'Purchase Order Tracker'!A114</f>
        <v/>
      </c>
      <c r="C114" s="12">
        <f>'Purchase Order Tracker'!C114</f>
        <v/>
      </c>
      <c r="D114" s="12">
        <f>'Purchase Order Tracker'!D114</f>
        <v/>
      </c>
      <c r="E114" s="12">
        <f>'Purchase Order Tracker'!E114</f>
        <v/>
      </c>
      <c r="F114" s="12">
        <f>'Purchase Order Tracker'!J114</f>
        <v/>
      </c>
      <c r="G114" s="12">
        <f>'Purchase Order Tracker'!H114</f>
        <v/>
      </c>
      <c r="H114" s="12">
        <f>'Purchase Order Tracker'!N114</f>
        <v/>
      </c>
      <c r="I114" s="12">
        <f>'Purchase Order Tracker'!O114</f>
        <v/>
      </c>
      <c r="J114" s="12">
        <f>'Purchase Order Tracker'!K114</f>
        <v/>
      </c>
    </row>
    <row r="115">
      <c r="A115">
        <f>'Purchase Order Tracker'!B115</f>
        <v/>
      </c>
      <c r="B115">
        <f>'Purchase Order Tracker'!A115</f>
        <v/>
      </c>
      <c r="C115">
        <f>'Purchase Order Tracker'!C115</f>
        <v/>
      </c>
      <c r="D115">
        <f>'Purchase Order Tracker'!D115</f>
        <v/>
      </c>
      <c r="E115">
        <f>'Purchase Order Tracker'!E115</f>
        <v/>
      </c>
      <c r="F115">
        <f>'Purchase Order Tracker'!J115</f>
        <v/>
      </c>
      <c r="G115">
        <f>'Purchase Order Tracker'!H115</f>
        <v/>
      </c>
      <c r="H115">
        <f>'Purchase Order Tracker'!N115</f>
        <v/>
      </c>
      <c r="I115">
        <f>'Purchase Order Tracker'!O115</f>
        <v/>
      </c>
      <c r="J115">
        <f>'Purchase Order Tracker'!K115</f>
        <v/>
      </c>
    </row>
    <row r="116">
      <c r="A116" s="12">
        <f>'Purchase Order Tracker'!B116</f>
        <v/>
      </c>
      <c r="B116" s="12">
        <f>'Purchase Order Tracker'!A116</f>
        <v/>
      </c>
      <c r="C116" s="12">
        <f>'Purchase Order Tracker'!C116</f>
        <v/>
      </c>
      <c r="D116" s="12">
        <f>'Purchase Order Tracker'!D116</f>
        <v/>
      </c>
      <c r="E116" s="12">
        <f>'Purchase Order Tracker'!E116</f>
        <v/>
      </c>
      <c r="F116" s="12">
        <f>'Purchase Order Tracker'!J116</f>
        <v/>
      </c>
      <c r="G116" s="12">
        <f>'Purchase Order Tracker'!H116</f>
        <v/>
      </c>
      <c r="H116" s="12">
        <f>'Purchase Order Tracker'!N116</f>
        <v/>
      </c>
      <c r="I116" s="12">
        <f>'Purchase Order Tracker'!O116</f>
        <v/>
      </c>
      <c r="J116" s="12">
        <f>'Purchase Order Tracker'!K116</f>
        <v/>
      </c>
    </row>
    <row r="117">
      <c r="A117">
        <f>'Purchase Order Tracker'!B117</f>
        <v/>
      </c>
      <c r="B117">
        <f>'Purchase Order Tracker'!A117</f>
        <v/>
      </c>
      <c r="C117">
        <f>'Purchase Order Tracker'!C117</f>
        <v/>
      </c>
      <c r="D117">
        <f>'Purchase Order Tracker'!D117</f>
        <v/>
      </c>
      <c r="E117">
        <f>'Purchase Order Tracker'!E117</f>
        <v/>
      </c>
      <c r="F117">
        <f>'Purchase Order Tracker'!J117</f>
        <v/>
      </c>
      <c r="G117">
        <f>'Purchase Order Tracker'!H117</f>
        <v/>
      </c>
      <c r="H117">
        <f>'Purchase Order Tracker'!N117</f>
        <v/>
      </c>
      <c r="I117">
        <f>'Purchase Order Tracker'!O117</f>
        <v/>
      </c>
      <c r="J117">
        <f>'Purchase Order Tracker'!K117</f>
        <v/>
      </c>
    </row>
    <row r="118">
      <c r="A118" s="12">
        <f>'Purchase Order Tracker'!B118</f>
        <v/>
      </c>
      <c r="B118" s="12">
        <f>'Purchase Order Tracker'!A118</f>
        <v/>
      </c>
      <c r="C118" s="12">
        <f>'Purchase Order Tracker'!C118</f>
        <v/>
      </c>
      <c r="D118" s="12">
        <f>'Purchase Order Tracker'!D118</f>
        <v/>
      </c>
      <c r="E118" s="12">
        <f>'Purchase Order Tracker'!E118</f>
        <v/>
      </c>
      <c r="F118" s="12">
        <f>'Purchase Order Tracker'!J118</f>
        <v/>
      </c>
      <c r="G118" s="12">
        <f>'Purchase Order Tracker'!H118</f>
        <v/>
      </c>
      <c r="H118" s="12">
        <f>'Purchase Order Tracker'!N118</f>
        <v/>
      </c>
      <c r="I118" s="12">
        <f>'Purchase Order Tracker'!O118</f>
        <v/>
      </c>
      <c r="J118" s="12">
        <f>'Purchase Order Tracker'!K118</f>
        <v/>
      </c>
    </row>
    <row r="119">
      <c r="A119">
        <f>'Purchase Order Tracker'!B119</f>
        <v/>
      </c>
      <c r="B119">
        <f>'Purchase Order Tracker'!A119</f>
        <v/>
      </c>
      <c r="C119">
        <f>'Purchase Order Tracker'!C119</f>
        <v/>
      </c>
      <c r="D119">
        <f>'Purchase Order Tracker'!D119</f>
        <v/>
      </c>
      <c r="E119">
        <f>'Purchase Order Tracker'!E119</f>
        <v/>
      </c>
      <c r="F119">
        <f>'Purchase Order Tracker'!J119</f>
        <v/>
      </c>
      <c r="G119">
        <f>'Purchase Order Tracker'!H119</f>
        <v/>
      </c>
      <c r="H119">
        <f>'Purchase Order Tracker'!N119</f>
        <v/>
      </c>
      <c r="I119">
        <f>'Purchase Order Tracker'!O119</f>
        <v/>
      </c>
      <c r="J119">
        <f>'Purchase Order Tracker'!K119</f>
        <v/>
      </c>
    </row>
    <row r="120">
      <c r="A120" s="12">
        <f>'Purchase Order Tracker'!B120</f>
        <v/>
      </c>
      <c r="B120" s="12">
        <f>'Purchase Order Tracker'!A120</f>
        <v/>
      </c>
      <c r="C120" s="12">
        <f>'Purchase Order Tracker'!C120</f>
        <v/>
      </c>
      <c r="D120" s="12">
        <f>'Purchase Order Tracker'!D120</f>
        <v/>
      </c>
      <c r="E120" s="12">
        <f>'Purchase Order Tracker'!E120</f>
        <v/>
      </c>
      <c r="F120" s="12">
        <f>'Purchase Order Tracker'!J120</f>
        <v/>
      </c>
      <c r="G120" s="12">
        <f>'Purchase Order Tracker'!H120</f>
        <v/>
      </c>
      <c r="H120" s="12">
        <f>'Purchase Order Tracker'!N120</f>
        <v/>
      </c>
      <c r="I120" s="12">
        <f>'Purchase Order Tracker'!O120</f>
        <v/>
      </c>
      <c r="J120" s="12">
        <f>'Purchase Order Tracker'!K120</f>
        <v/>
      </c>
    </row>
    <row r="121">
      <c r="A121">
        <f>'Purchase Order Tracker'!B121</f>
        <v/>
      </c>
      <c r="B121">
        <f>'Purchase Order Tracker'!A121</f>
        <v/>
      </c>
      <c r="C121">
        <f>'Purchase Order Tracker'!C121</f>
        <v/>
      </c>
      <c r="D121">
        <f>'Purchase Order Tracker'!D121</f>
        <v/>
      </c>
      <c r="E121">
        <f>'Purchase Order Tracker'!E121</f>
        <v/>
      </c>
      <c r="F121">
        <f>'Purchase Order Tracker'!J121</f>
        <v/>
      </c>
      <c r="G121">
        <f>'Purchase Order Tracker'!H121</f>
        <v/>
      </c>
      <c r="H121">
        <f>'Purchase Order Tracker'!N121</f>
        <v/>
      </c>
      <c r="I121">
        <f>'Purchase Order Tracker'!O121</f>
        <v/>
      </c>
      <c r="J121">
        <f>'Purchase Order Tracker'!K121</f>
        <v/>
      </c>
    </row>
    <row r="122">
      <c r="A122" s="12">
        <f>'Purchase Order Tracker'!B122</f>
        <v/>
      </c>
      <c r="B122" s="12">
        <f>'Purchase Order Tracker'!A122</f>
        <v/>
      </c>
      <c r="C122" s="12">
        <f>'Purchase Order Tracker'!C122</f>
        <v/>
      </c>
      <c r="D122" s="12">
        <f>'Purchase Order Tracker'!D122</f>
        <v/>
      </c>
      <c r="E122" s="12">
        <f>'Purchase Order Tracker'!E122</f>
        <v/>
      </c>
      <c r="F122" s="12">
        <f>'Purchase Order Tracker'!J122</f>
        <v/>
      </c>
      <c r="G122" s="12">
        <f>'Purchase Order Tracker'!H122</f>
        <v/>
      </c>
      <c r="H122" s="12">
        <f>'Purchase Order Tracker'!N122</f>
        <v/>
      </c>
      <c r="I122" s="12">
        <f>'Purchase Order Tracker'!O122</f>
        <v/>
      </c>
      <c r="J122" s="12">
        <f>'Purchase Order Tracker'!K122</f>
        <v/>
      </c>
    </row>
    <row r="123">
      <c r="A123">
        <f>'Purchase Order Tracker'!B123</f>
        <v/>
      </c>
      <c r="B123">
        <f>'Purchase Order Tracker'!A123</f>
        <v/>
      </c>
      <c r="C123">
        <f>'Purchase Order Tracker'!C123</f>
        <v/>
      </c>
      <c r="D123">
        <f>'Purchase Order Tracker'!D123</f>
        <v/>
      </c>
      <c r="E123">
        <f>'Purchase Order Tracker'!E123</f>
        <v/>
      </c>
      <c r="F123">
        <f>'Purchase Order Tracker'!J123</f>
        <v/>
      </c>
      <c r="G123">
        <f>'Purchase Order Tracker'!H123</f>
        <v/>
      </c>
      <c r="H123">
        <f>'Purchase Order Tracker'!N123</f>
        <v/>
      </c>
      <c r="I123">
        <f>'Purchase Order Tracker'!O123</f>
        <v/>
      </c>
      <c r="J123">
        <f>'Purchase Order Tracker'!K123</f>
        <v/>
      </c>
    </row>
    <row r="124">
      <c r="A124" s="12">
        <f>'Purchase Order Tracker'!B124</f>
        <v/>
      </c>
      <c r="B124" s="12">
        <f>'Purchase Order Tracker'!A124</f>
        <v/>
      </c>
      <c r="C124" s="12">
        <f>'Purchase Order Tracker'!C124</f>
        <v/>
      </c>
      <c r="D124" s="12">
        <f>'Purchase Order Tracker'!D124</f>
        <v/>
      </c>
      <c r="E124" s="12">
        <f>'Purchase Order Tracker'!E124</f>
        <v/>
      </c>
      <c r="F124" s="12">
        <f>'Purchase Order Tracker'!J124</f>
        <v/>
      </c>
      <c r="G124" s="12">
        <f>'Purchase Order Tracker'!H124</f>
        <v/>
      </c>
      <c r="H124" s="12">
        <f>'Purchase Order Tracker'!N124</f>
        <v/>
      </c>
      <c r="I124" s="12">
        <f>'Purchase Order Tracker'!O124</f>
        <v/>
      </c>
      <c r="J124" s="12">
        <f>'Purchase Order Tracker'!K124</f>
        <v/>
      </c>
    </row>
    <row r="125">
      <c r="A125">
        <f>'Purchase Order Tracker'!B125</f>
        <v/>
      </c>
      <c r="B125">
        <f>'Purchase Order Tracker'!A125</f>
        <v/>
      </c>
      <c r="C125">
        <f>'Purchase Order Tracker'!C125</f>
        <v/>
      </c>
      <c r="D125">
        <f>'Purchase Order Tracker'!D125</f>
        <v/>
      </c>
      <c r="E125">
        <f>'Purchase Order Tracker'!E125</f>
        <v/>
      </c>
      <c r="F125">
        <f>'Purchase Order Tracker'!J125</f>
        <v/>
      </c>
      <c r="G125">
        <f>'Purchase Order Tracker'!H125</f>
        <v/>
      </c>
      <c r="H125">
        <f>'Purchase Order Tracker'!N125</f>
        <v/>
      </c>
      <c r="I125">
        <f>'Purchase Order Tracker'!O125</f>
        <v/>
      </c>
      <c r="J125">
        <f>'Purchase Order Tracker'!K125</f>
        <v/>
      </c>
    </row>
    <row r="126">
      <c r="A126" s="12">
        <f>'Purchase Order Tracker'!B126</f>
        <v/>
      </c>
      <c r="B126" s="12">
        <f>'Purchase Order Tracker'!A126</f>
        <v/>
      </c>
      <c r="C126" s="12">
        <f>'Purchase Order Tracker'!C126</f>
        <v/>
      </c>
      <c r="D126" s="12">
        <f>'Purchase Order Tracker'!D126</f>
        <v/>
      </c>
      <c r="E126" s="12">
        <f>'Purchase Order Tracker'!E126</f>
        <v/>
      </c>
      <c r="F126" s="12">
        <f>'Purchase Order Tracker'!J126</f>
        <v/>
      </c>
      <c r="G126" s="12">
        <f>'Purchase Order Tracker'!H126</f>
        <v/>
      </c>
      <c r="H126" s="12">
        <f>'Purchase Order Tracker'!N126</f>
        <v/>
      </c>
      <c r="I126" s="12">
        <f>'Purchase Order Tracker'!O126</f>
        <v/>
      </c>
      <c r="J126" s="12">
        <f>'Purchase Order Tracker'!K126</f>
        <v/>
      </c>
    </row>
    <row r="127">
      <c r="A127">
        <f>'Purchase Order Tracker'!B127</f>
        <v/>
      </c>
      <c r="B127">
        <f>'Purchase Order Tracker'!A127</f>
        <v/>
      </c>
      <c r="C127">
        <f>'Purchase Order Tracker'!C127</f>
        <v/>
      </c>
      <c r="D127">
        <f>'Purchase Order Tracker'!D127</f>
        <v/>
      </c>
      <c r="E127">
        <f>'Purchase Order Tracker'!E127</f>
        <v/>
      </c>
      <c r="F127">
        <f>'Purchase Order Tracker'!J127</f>
        <v/>
      </c>
      <c r="G127">
        <f>'Purchase Order Tracker'!H127</f>
        <v/>
      </c>
      <c r="H127">
        <f>'Purchase Order Tracker'!N127</f>
        <v/>
      </c>
      <c r="I127">
        <f>'Purchase Order Tracker'!O127</f>
        <v/>
      </c>
      <c r="J127">
        <f>'Purchase Order Tracker'!K127</f>
        <v/>
      </c>
    </row>
    <row r="128">
      <c r="A128" s="12">
        <f>'Purchase Order Tracker'!B128</f>
        <v/>
      </c>
      <c r="B128" s="12">
        <f>'Purchase Order Tracker'!A128</f>
        <v/>
      </c>
      <c r="C128" s="12">
        <f>'Purchase Order Tracker'!C128</f>
        <v/>
      </c>
      <c r="D128" s="12">
        <f>'Purchase Order Tracker'!D128</f>
        <v/>
      </c>
      <c r="E128" s="12">
        <f>'Purchase Order Tracker'!E128</f>
        <v/>
      </c>
      <c r="F128" s="12">
        <f>'Purchase Order Tracker'!J128</f>
        <v/>
      </c>
      <c r="G128" s="12">
        <f>'Purchase Order Tracker'!H128</f>
        <v/>
      </c>
      <c r="H128" s="12">
        <f>'Purchase Order Tracker'!N128</f>
        <v/>
      </c>
      <c r="I128" s="12">
        <f>'Purchase Order Tracker'!O128</f>
        <v/>
      </c>
      <c r="J128" s="12">
        <f>'Purchase Order Tracker'!K128</f>
        <v/>
      </c>
    </row>
    <row r="129">
      <c r="A129">
        <f>'Purchase Order Tracker'!B129</f>
        <v/>
      </c>
      <c r="B129">
        <f>'Purchase Order Tracker'!A129</f>
        <v/>
      </c>
      <c r="C129">
        <f>'Purchase Order Tracker'!C129</f>
        <v/>
      </c>
      <c r="D129">
        <f>'Purchase Order Tracker'!D129</f>
        <v/>
      </c>
      <c r="E129">
        <f>'Purchase Order Tracker'!E129</f>
        <v/>
      </c>
      <c r="F129">
        <f>'Purchase Order Tracker'!J129</f>
        <v/>
      </c>
      <c r="G129">
        <f>'Purchase Order Tracker'!H129</f>
        <v/>
      </c>
      <c r="H129">
        <f>'Purchase Order Tracker'!N129</f>
        <v/>
      </c>
      <c r="I129">
        <f>'Purchase Order Tracker'!O129</f>
        <v/>
      </c>
      <c r="J129">
        <f>'Purchase Order Tracker'!K129</f>
        <v/>
      </c>
    </row>
    <row r="130">
      <c r="A130" s="12">
        <f>'Purchase Order Tracker'!B130</f>
        <v/>
      </c>
      <c r="B130" s="12">
        <f>'Purchase Order Tracker'!A130</f>
        <v/>
      </c>
      <c r="C130" s="12">
        <f>'Purchase Order Tracker'!C130</f>
        <v/>
      </c>
      <c r="D130" s="12">
        <f>'Purchase Order Tracker'!D130</f>
        <v/>
      </c>
      <c r="E130" s="12">
        <f>'Purchase Order Tracker'!E130</f>
        <v/>
      </c>
      <c r="F130" s="12">
        <f>'Purchase Order Tracker'!J130</f>
        <v/>
      </c>
      <c r="G130" s="12">
        <f>'Purchase Order Tracker'!H130</f>
        <v/>
      </c>
      <c r="H130" s="12">
        <f>'Purchase Order Tracker'!N130</f>
        <v/>
      </c>
      <c r="I130" s="12">
        <f>'Purchase Order Tracker'!O130</f>
        <v/>
      </c>
      <c r="J130" s="12">
        <f>'Purchase Order Tracker'!K130</f>
        <v/>
      </c>
    </row>
    <row r="131">
      <c r="A131">
        <f>'Purchase Order Tracker'!B131</f>
        <v/>
      </c>
      <c r="B131">
        <f>'Purchase Order Tracker'!A131</f>
        <v/>
      </c>
      <c r="C131">
        <f>'Purchase Order Tracker'!C131</f>
        <v/>
      </c>
      <c r="D131">
        <f>'Purchase Order Tracker'!D131</f>
        <v/>
      </c>
      <c r="E131">
        <f>'Purchase Order Tracker'!E131</f>
        <v/>
      </c>
      <c r="F131">
        <f>'Purchase Order Tracker'!J131</f>
        <v/>
      </c>
      <c r="G131">
        <f>'Purchase Order Tracker'!H131</f>
        <v/>
      </c>
      <c r="H131">
        <f>'Purchase Order Tracker'!N131</f>
        <v/>
      </c>
      <c r="I131">
        <f>'Purchase Order Tracker'!O131</f>
        <v/>
      </c>
      <c r="J131">
        <f>'Purchase Order Tracker'!K131</f>
        <v/>
      </c>
    </row>
    <row r="132">
      <c r="A132" s="12">
        <f>'Purchase Order Tracker'!B132</f>
        <v/>
      </c>
      <c r="B132" s="12">
        <f>'Purchase Order Tracker'!A132</f>
        <v/>
      </c>
      <c r="C132" s="12">
        <f>'Purchase Order Tracker'!C132</f>
        <v/>
      </c>
      <c r="D132" s="12">
        <f>'Purchase Order Tracker'!D132</f>
        <v/>
      </c>
      <c r="E132" s="12">
        <f>'Purchase Order Tracker'!E132</f>
        <v/>
      </c>
      <c r="F132" s="12">
        <f>'Purchase Order Tracker'!J132</f>
        <v/>
      </c>
      <c r="G132" s="12">
        <f>'Purchase Order Tracker'!H132</f>
        <v/>
      </c>
      <c r="H132" s="12">
        <f>'Purchase Order Tracker'!N132</f>
        <v/>
      </c>
      <c r="I132" s="12">
        <f>'Purchase Order Tracker'!O132</f>
        <v/>
      </c>
      <c r="J132" s="12">
        <f>'Purchase Order Tracker'!K132</f>
        <v/>
      </c>
    </row>
    <row r="133">
      <c r="A133">
        <f>'Purchase Order Tracker'!B133</f>
        <v/>
      </c>
      <c r="B133">
        <f>'Purchase Order Tracker'!A133</f>
        <v/>
      </c>
      <c r="C133">
        <f>'Purchase Order Tracker'!C133</f>
        <v/>
      </c>
      <c r="D133">
        <f>'Purchase Order Tracker'!D133</f>
        <v/>
      </c>
      <c r="E133">
        <f>'Purchase Order Tracker'!E133</f>
        <v/>
      </c>
      <c r="F133">
        <f>'Purchase Order Tracker'!J133</f>
        <v/>
      </c>
      <c r="G133">
        <f>'Purchase Order Tracker'!H133</f>
        <v/>
      </c>
      <c r="H133">
        <f>'Purchase Order Tracker'!N133</f>
        <v/>
      </c>
      <c r="I133">
        <f>'Purchase Order Tracker'!O133</f>
        <v/>
      </c>
      <c r="J133">
        <f>'Purchase Order Tracker'!K133</f>
        <v/>
      </c>
    </row>
    <row r="134">
      <c r="A134" s="12">
        <f>'Purchase Order Tracker'!B134</f>
        <v/>
      </c>
      <c r="B134" s="12">
        <f>'Purchase Order Tracker'!A134</f>
        <v/>
      </c>
      <c r="C134" s="12">
        <f>'Purchase Order Tracker'!C134</f>
        <v/>
      </c>
      <c r="D134" s="12">
        <f>'Purchase Order Tracker'!D134</f>
        <v/>
      </c>
      <c r="E134" s="12">
        <f>'Purchase Order Tracker'!E134</f>
        <v/>
      </c>
      <c r="F134" s="12">
        <f>'Purchase Order Tracker'!J134</f>
        <v/>
      </c>
      <c r="G134" s="12">
        <f>'Purchase Order Tracker'!H134</f>
        <v/>
      </c>
      <c r="H134" s="12">
        <f>'Purchase Order Tracker'!N134</f>
        <v/>
      </c>
      <c r="I134" s="12">
        <f>'Purchase Order Tracker'!O134</f>
        <v/>
      </c>
      <c r="J134" s="12">
        <f>'Purchase Order Tracker'!K134</f>
        <v/>
      </c>
    </row>
    <row r="135">
      <c r="A135">
        <f>'Purchase Order Tracker'!B135</f>
        <v/>
      </c>
      <c r="B135">
        <f>'Purchase Order Tracker'!A135</f>
        <v/>
      </c>
      <c r="C135">
        <f>'Purchase Order Tracker'!C135</f>
        <v/>
      </c>
      <c r="D135">
        <f>'Purchase Order Tracker'!D135</f>
        <v/>
      </c>
      <c r="E135">
        <f>'Purchase Order Tracker'!E135</f>
        <v/>
      </c>
      <c r="F135">
        <f>'Purchase Order Tracker'!J135</f>
        <v/>
      </c>
      <c r="G135">
        <f>'Purchase Order Tracker'!H135</f>
        <v/>
      </c>
      <c r="H135">
        <f>'Purchase Order Tracker'!N135</f>
        <v/>
      </c>
      <c r="I135">
        <f>'Purchase Order Tracker'!O135</f>
        <v/>
      </c>
      <c r="J135">
        <f>'Purchase Order Tracker'!K135</f>
        <v/>
      </c>
    </row>
    <row r="136">
      <c r="A136" s="12">
        <f>'Purchase Order Tracker'!B136</f>
        <v/>
      </c>
      <c r="B136" s="12">
        <f>'Purchase Order Tracker'!A136</f>
        <v/>
      </c>
      <c r="C136" s="12">
        <f>'Purchase Order Tracker'!C136</f>
        <v/>
      </c>
      <c r="D136" s="12">
        <f>'Purchase Order Tracker'!D136</f>
        <v/>
      </c>
      <c r="E136" s="12">
        <f>'Purchase Order Tracker'!E136</f>
        <v/>
      </c>
      <c r="F136" s="12">
        <f>'Purchase Order Tracker'!J136</f>
        <v/>
      </c>
      <c r="G136" s="12">
        <f>'Purchase Order Tracker'!H136</f>
        <v/>
      </c>
      <c r="H136" s="12">
        <f>'Purchase Order Tracker'!N136</f>
        <v/>
      </c>
      <c r="I136" s="12">
        <f>'Purchase Order Tracker'!O136</f>
        <v/>
      </c>
      <c r="J136" s="12">
        <f>'Purchase Order Tracker'!K136</f>
        <v/>
      </c>
    </row>
    <row r="137">
      <c r="A137">
        <f>'Purchase Order Tracker'!B137</f>
        <v/>
      </c>
      <c r="B137">
        <f>'Purchase Order Tracker'!A137</f>
        <v/>
      </c>
      <c r="C137">
        <f>'Purchase Order Tracker'!C137</f>
        <v/>
      </c>
      <c r="D137">
        <f>'Purchase Order Tracker'!D137</f>
        <v/>
      </c>
      <c r="E137">
        <f>'Purchase Order Tracker'!E137</f>
        <v/>
      </c>
      <c r="F137">
        <f>'Purchase Order Tracker'!J137</f>
        <v/>
      </c>
      <c r="G137">
        <f>'Purchase Order Tracker'!H137</f>
        <v/>
      </c>
      <c r="H137">
        <f>'Purchase Order Tracker'!N137</f>
        <v/>
      </c>
      <c r="I137">
        <f>'Purchase Order Tracker'!O137</f>
        <v/>
      </c>
      <c r="J137">
        <f>'Purchase Order Tracker'!K137</f>
        <v/>
      </c>
    </row>
    <row r="138">
      <c r="A138" s="12">
        <f>'Purchase Order Tracker'!B138</f>
        <v/>
      </c>
      <c r="B138" s="12">
        <f>'Purchase Order Tracker'!A138</f>
        <v/>
      </c>
      <c r="C138" s="12">
        <f>'Purchase Order Tracker'!C138</f>
        <v/>
      </c>
      <c r="D138" s="12">
        <f>'Purchase Order Tracker'!D138</f>
        <v/>
      </c>
      <c r="E138" s="12">
        <f>'Purchase Order Tracker'!E138</f>
        <v/>
      </c>
      <c r="F138" s="12">
        <f>'Purchase Order Tracker'!J138</f>
        <v/>
      </c>
      <c r="G138" s="12">
        <f>'Purchase Order Tracker'!H138</f>
        <v/>
      </c>
      <c r="H138" s="12">
        <f>'Purchase Order Tracker'!N138</f>
        <v/>
      </c>
      <c r="I138" s="12">
        <f>'Purchase Order Tracker'!O138</f>
        <v/>
      </c>
      <c r="J138" s="12">
        <f>'Purchase Order Tracker'!K138</f>
        <v/>
      </c>
    </row>
    <row r="139">
      <c r="A139">
        <f>'Purchase Order Tracker'!B139</f>
        <v/>
      </c>
      <c r="B139">
        <f>'Purchase Order Tracker'!A139</f>
        <v/>
      </c>
      <c r="C139">
        <f>'Purchase Order Tracker'!C139</f>
        <v/>
      </c>
      <c r="D139">
        <f>'Purchase Order Tracker'!D139</f>
        <v/>
      </c>
      <c r="E139">
        <f>'Purchase Order Tracker'!E139</f>
        <v/>
      </c>
      <c r="F139">
        <f>'Purchase Order Tracker'!J139</f>
        <v/>
      </c>
      <c r="G139">
        <f>'Purchase Order Tracker'!H139</f>
        <v/>
      </c>
      <c r="H139">
        <f>'Purchase Order Tracker'!N139</f>
        <v/>
      </c>
      <c r="I139">
        <f>'Purchase Order Tracker'!O139</f>
        <v/>
      </c>
      <c r="J139">
        <f>'Purchase Order Tracker'!K139</f>
        <v/>
      </c>
    </row>
    <row r="140">
      <c r="A140" s="12">
        <f>'Purchase Order Tracker'!B140</f>
        <v/>
      </c>
      <c r="B140" s="12">
        <f>'Purchase Order Tracker'!A140</f>
        <v/>
      </c>
      <c r="C140" s="12">
        <f>'Purchase Order Tracker'!C140</f>
        <v/>
      </c>
      <c r="D140" s="12">
        <f>'Purchase Order Tracker'!D140</f>
        <v/>
      </c>
      <c r="E140" s="12">
        <f>'Purchase Order Tracker'!E140</f>
        <v/>
      </c>
      <c r="F140" s="12">
        <f>'Purchase Order Tracker'!J140</f>
        <v/>
      </c>
      <c r="G140" s="12">
        <f>'Purchase Order Tracker'!H140</f>
        <v/>
      </c>
      <c r="H140" s="12">
        <f>'Purchase Order Tracker'!N140</f>
        <v/>
      </c>
      <c r="I140" s="12">
        <f>'Purchase Order Tracker'!O140</f>
        <v/>
      </c>
      <c r="J140" s="12">
        <f>'Purchase Order Tracker'!K140</f>
        <v/>
      </c>
    </row>
    <row r="141">
      <c r="A141">
        <f>'Purchase Order Tracker'!B141</f>
        <v/>
      </c>
      <c r="B141">
        <f>'Purchase Order Tracker'!A141</f>
        <v/>
      </c>
      <c r="C141">
        <f>'Purchase Order Tracker'!C141</f>
        <v/>
      </c>
      <c r="D141">
        <f>'Purchase Order Tracker'!D141</f>
        <v/>
      </c>
      <c r="E141">
        <f>'Purchase Order Tracker'!E141</f>
        <v/>
      </c>
      <c r="F141">
        <f>'Purchase Order Tracker'!J141</f>
        <v/>
      </c>
      <c r="G141">
        <f>'Purchase Order Tracker'!H141</f>
        <v/>
      </c>
      <c r="H141">
        <f>'Purchase Order Tracker'!N141</f>
        <v/>
      </c>
      <c r="I141">
        <f>'Purchase Order Tracker'!O141</f>
        <v/>
      </c>
      <c r="J141">
        <f>'Purchase Order Tracker'!K141</f>
        <v/>
      </c>
    </row>
    <row r="142">
      <c r="A142" s="12">
        <f>'Purchase Order Tracker'!B142</f>
        <v/>
      </c>
      <c r="B142" s="12">
        <f>'Purchase Order Tracker'!A142</f>
        <v/>
      </c>
      <c r="C142" s="12">
        <f>'Purchase Order Tracker'!C142</f>
        <v/>
      </c>
      <c r="D142" s="12">
        <f>'Purchase Order Tracker'!D142</f>
        <v/>
      </c>
      <c r="E142" s="12">
        <f>'Purchase Order Tracker'!E142</f>
        <v/>
      </c>
      <c r="F142" s="12">
        <f>'Purchase Order Tracker'!J142</f>
        <v/>
      </c>
      <c r="G142" s="12">
        <f>'Purchase Order Tracker'!H142</f>
        <v/>
      </c>
      <c r="H142" s="12">
        <f>'Purchase Order Tracker'!N142</f>
        <v/>
      </c>
      <c r="I142" s="12">
        <f>'Purchase Order Tracker'!O142</f>
        <v/>
      </c>
      <c r="J142" s="12">
        <f>'Purchase Order Tracker'!K142</f>
        <v/>
      </c>
    </row>
    <row r="143">
      <c r="A143">
        <f>'Purchase Order Tracker'!B143</f>
        <v/>
      </c>
      <c r="B143">
        <f>'Purchase Order Tracker'!A143</f>
        <v/>
      </c>
      <c r="C143">
        <f>'Purchase Order Tracker'!C143</f>
        <v/>
      </c>
      <c r="D143">
        <f>'Purchase Order Tracker'!D143</f>
        <v/>
      </c>
      <c r="E143">
        <f>'Purchase Order Tracker'!E143</f>
        <v/>
      </c>
      <c r="F143">
        <f>'Purchase Order Tracker'!J143</f>
        <v/>
      </c>
      <c r="G143">
        <f>'Purchase Order Tracker'!H143</f>
        <v/>
      </c>
      <c r="H143">
        <f>'Purchase Order Tracker'!N143</f>
        <v/>
      </c>
      <c r="I143">
        <f>'Purchase Order Tracker'!O143</f>
        <v/>
      </c>
      <c r="J143">
        <f>'Purchase Order Tracker'!K143</f>
        <v/>
      </c>
    </row>
    <row r="144">
      <c r="A144" s="12">
        <f>'Purchase Order Tracker'!B144</f>
        <v/>
      </c>
      <c r="B144" s="12">
        <f>'Purchase Order Tracker'!A144</f>
        <v/>
      </c>
      <c r="C144" s="12">
        <f>'Purchase Order Tracker'!C144</f>
        <v/>
      </c>
      <c r="D144" s="12">
        <f>'Purchase Order Tracker'!D144</f>
        <v/>
      </c>
      <c r="E144" s="12">
        <f>'Purchase Order Tracker'!E144</f>
        <v/>
      </c>
      <c r="F144" s="12">
        <f>'Purchase Order Tracker'!J144</f>
        <v/>
      </c>
      <c r="G144" s="12">
        <f>'Purchase Order Tracker'!H144</f>
        <v/>
      </c>
      <c r="H144" s="12">
        <f>'Purchase Order Tracker'!N144</f>
        <v/>
      </c>
      <c r="I144" s="12">
        <f>'Purchase Order Tracker'!O144</f>
        <v/>
      </c>
      <c r="J144" s="12">
        <f>'Purchase Order Tracker'!K144</f>
        <v/>
      </c>
    </row>
    <row r="145">
      <c r="A145">
        <f>'Purchase Order Tracker'!B145</f>
        <v/>
      </c>
      <c r="B145">
        <f>'Purchase Order Tracker'!A145</f>
        <v/>
      </c>
      <c r="C145">
        <f>'Purchase Order Tracker'!C145</f>
        <v/>
      </c>
      <c r="D145">
        <f>'Purchase Order Tracker'!D145</f>
        <v/>
      </c>
      <c r="E145">
        <f>'Purchase Order Tracker'!E145</f>
        <v/>
      </c>
      <c r="F145">
        <f>'Purchase Order Tracker'!J145</f>
        <v/>
      </c>
      <c r="G145">
        <f>'Purchase Order Tracker'!H145</f>
        <v/>
      </c>
      <c r="H145">
        <f>'Purchase Order Tracker'!N145</f>
        <v/>
      </c>
      <c r="I145">
        <f>'Purchase Order Tracker'!O145</f>
        <v/>
      </c>
      <c r="J145">
        <f>'Purchase Order Tracker'!K145</f>
        <v/>
      </c>
    </row>
    <row r="146">
      <c r="A146" s="12">
        <f>'Purchase Order Tracker'!B146</f>
        <v/>
      </c>
      <c r="B146" s="12">
        <f>'Purchase Order Tracker'!A146</f>
        <v/>
      </c>
      <c r="C146" s="12">
        <f>'Purchase Order Tracker'!C146</f>
        <v/>
      </c>
      <c r="D146" s="12">
        <f>'Purchase Order Tracker'!D146</f>
        <v/>
      </c>
      <c r="E146" s="12">
        <f>'Purchase Order Tracker'!E146</f>
        <v/>
      </c>
      <c r="F146" s="12">
        <f>'Purchase Order Tracker'!J146</f>
        <v/>
      </c>
      <c r="G146" s="12">
        <f>'Purchase Order Tracker'!H146</f>
        <v/>
      </c>
      <c r="H146" s="12">
        <f>'Purchase Order Tracker'!N146</f>
        <v/>
      </c>
      <c r="I146" s="12">
        <f>'Purchase Order Tracker'!O146</f>
        <v/>
      </c>
      <c r="J146" s="12">
        <f>'Purchase Order Tracker'!K146</f>
        <v/>
      </c>
    </row>
    <row r="147">
      <c r="A147">
        <f>'Purchase Order Tracker'!B147</f>
        <v/>
      </c>
      <c r="B147">
        <f>'Purchase Order Tracker'!A147</f>
        <v/>
      </c>
      <c r="C147">
        <f>'Purchase Order Tracker'!C147</f>
        <v/>
      </c>
      <c r="D147">
        <f>'Purchase Order Tracker'!D147</f>
        <v/>
      </c>
      <c r="E147">
        <f>'Purchase Order Tracker'!E147</f>
        <v/>
      </c>
      <c r="F147">
        <f>'Purchase Order Tracker'!J147</f>
        <v/>
      </c>
      <c r="G147">
        <f>'Purchase Order Tracker'!H147</f>
        <v/>
      </c>
      <c r="H147">
        <f>'Purchase Order Tracker'!N147</f>
        <v/>
      </c>
      <c r="I147">
        <f>'Purchase Order Tracker'!O147</f>
        <v/>
      </c>
      <c r="J147">
        <f>'Purchase Order Tracker'!K147</f>
        <v/>
      </c>
    </row>
    <row r="148">
      <c r="A148" s="12">
        <f>'Purchase Order Tracker'!B148</f>
        <v/>
      </c>
      <c r="B148" s="12">
        <f>'Purchase Order Tracker'!A148</f>
        <v/>
      </c>
      <c r="C148" s="12">
        <f>'Purchase Order Tracker'!C148</f>
        <v/>
      </c>
      <c r="D148" s="12">
        <f>'Purchase Order Tracker'!D148</f>
        <v/>
      </c>
      <c r="E148" s="12">
        <f>'Purchase Order Tracker'!E148</f>
        <v/>
      </c>
      <c r="F148" s="12">
        <f>'Purchase Order Tracker'!J148</f>
        <v/>
      </c>
      <c r="G148" s="12">
        <f>'Purchase Order Tracker'!H148</f>
        <v/>
      </c>
      <c r="H148" s="12">
        <f>'Purchase Order Tracker'!N148</f>
        <v/>
      </c>
      <c r="I148" s="12">
        <f>'Purchase Order Tracker'!O148</f>
        <v/>
      </c>
      <c r="J148" s="12">
        <f>'Purchase Order Tracker'!K148</f>
        <v/>
      </c>
    </row>
    <row r="149">
      <c r="A149">
        <f>'Purchase Order Tracker'!B149</f>
        <v/>
      </c>
      <c r="B149">
        <f>'Purchase Order Tracker'!A149</f>
        <v/>
      </c>
      <c r="C149">
        <f>'Purchase Order Tracker'!C149</f>
        <v/>
      </c>
      <c r="D149">
        <f>'Purchase Order Tracker'!D149</f>
        <v/>
      </c>
      <c r="E149">
        <f>'Purchase Order Tracker'!E149</f>
        <v/>
      </c>
      <c r="F149">
        <f>'Purchase Order Tracker'!J149</f>
        <v/>
      </c>
      <c r="G149">
        <f>'Purchase Order Tracker'!H149</f>
        <v/>
      </c>
      <c r="H149">
        <f>'Purchase Order Tracker'!N149</f>
        <v/>
      </c>
      <c r="I149">
        <f>'Purchase Order Tracker'!O149</f>
        <v/>
      </c>
      <c r="J149">
        <f>'Purchase Order Tracker'!K149</f>
        <v/>
      </c>
    </row>
    <row r="150">
      <c r="A150" s="12">
        <f>'Purchase Order Tracker'!B150</f>
        <v/>
      </c>
      <c r="B150" s="12">
        <f>'Purchase Order Tracker'!A150</f>
        <v/>
      </c>
      <c r="C150" s="12">
        <f>'Purchase Order Tracker'!C150</f>
        <v/>
      </c>
      <c r="D150" s="12">
        <f>'Purchase Order Tracker'!D150</f>
        <v/>
      </c>
      <c r="E150" s="12">
        <f>'Purchase Order Tracker'!E150</f>
        <v/>
      </c>
      <c r="F150" s="12">
        <f>'Purchase Order Tracker'!J150</f>
        <v/>
      </c>
      <c r="G150" s="12">
        <f>'Purchase Order Tracker'!H150</f>
        <v/>
      </c>
      <c r="H150" s="12">
        <f>'Purchase Order Tracker'!N150</f>
        <v/>
      </c>
      <c r="I150" s="12">
        <f>'Purchase Order Tracker'!O150</f>
        <v/>
      </c>
      <c r="J150" s="12">
        <f>'Purchase Order Tracker'!K150</f>
        <v/>
      </c>
    </row>
    <row r="151">
      <c r="A151">
        <f>'Purchase Order Tracker'!B151</f>
        <v/>
      </c>
      <c r="B151">
        <f>'Purchase Order Tracker'!A151</f>
        <v/>
      </c>
      <c r="C151">
        <f>'Purchase Order Tracker'!C151</f>
        <v/>
      </c>
      <c r="D151">
        <f>'Purchase Order Tracker'!D151</f>
        <v/>
      </c>
      <c r="E151">
        <f>'Purchase Order Tracker'!E151</f>
        <v/>
      </c>
      <c r="F151">
        <f>'Purchase Order Tracker'!J151</f>
        <v/>
      </c>
      <c r="G151">
        <f>'Purchase Order Tracker'!H151</f>
        <v/>
      </c>
      <c r="H151">
        <f>'Purchase Order Tracker'!N151</f>
        <v/>
      </c>
      <c r="I151">
        <f>'Purchase Order Tracker'!O151</f>
        <v/>
      </c>
      <c r="J151">
        <f>'Purchase Order Tracker'!K151</f>
        <v/>
      </c>
    </row>
    <row r="152">
      <c r="A152" s="12">
        <f>'Purchase Order Tracker'!B152</f>
        <v/>
      </c>
      <c r="B152" s="12">
        <f>'Purchase Order Tracker'!A152</f>
        <v/>
      </c>
      <c r="C152" s="12">
        <f>'Purchase Order Tracker'!C152</f>
        <v/>
      </c>
      <c r="D152" s="12">
        <f>'Purchase Order Tracker'!D152</f>
        <v/>
      </c>
      <c r="E152" s="12">
        <f>'Purchase Order Tracker'!E152</f>
        <v/>
      </c>
      <c r="F152" s="12">
        <f>'Purchase Order Tracker'!J152</f>
        <v/>
      </c>
      <c r="G152" s="12">
        <f>'Purchase Order Tracker'!H152</f>
        <v/>
      </c>
      <c r="H152" s="12">
        <f>'Purchase Order Tracker'!N152</f>
        <v/>
      </c>
      <c r="I152" s="12">
        <f>'Purchase Order Tracker'!O152</f>
        <v/>
      </c>
      <c r="J152" s="12">
        <f>'Purchase Order Tracker'!K152</f>
        <v/>
      </c>
    </row>
    <row r="153">
      <c r="A153">
        <f>'Purchase Order Tracker'!B153</f>
        <v/>
      </c>
      <c r="B153">
        <f>'Purchase Order Tracker'!A153</f>
        <v/>
      </c>
      <c r="C153">
        <f>'Purchase Order Tracker'!C153</f>
        <v/>
      </c>
      <c r="D153">
        <f>'Purchase Order Tracker'!D153</f>
        <v/>
      </c>
      <c r="E153">
        <f>'Purchase Order Tracker'!E153</f>
        <v/>
      </c>
      <c r="F153">
        <f>'Purchase Order Tracker'!J153</f>
        <v/>
      </c>
      <c r="G153">
        <f>'Purchase Order Tracker'!H153</f>
        <v/>
      </c>
      <c r="H153">
        <f>'Purchase Order Tracker'!N153</f>
        <v/>
      </c>
      <c r="I153">
        <f>'Purchase Order Tracker'!O153</f>
        <v/>
      </c>
      <c r="J153">
        <f>'Purchase Order Tracker'!K153</f>
        <v/>
      </c>
    </row>
    <row r="154">
      <c r="A154" s="12">
        <f>'Purchase Order Tracker'!B154</f>
        <v/>
      </c>
      <c r="B154" s="12">
        <f>'Purchase Order Tracker'!A154</f>
        <v/>
      </c>
      <c r="C154" s="12">
        <f>'Purchase Order Tracker'!C154</f>
        <v/>
      </c>
      <c r="D154" s="12">
        <f>'Purchase Order Tracker'!D154</f>
        <v/>
      </c>
      <c r="E154" s="12">
        <f>'Purchase Order Tracker'!E154</f>
        <v/>
      </c>
      <c r="F154" s="12">
        <f>'Purchase Order Tracker'!J154</f>
        <v/>
      </c>
      <c r="G154" s="12">
        <f>'Purchase Order Tracker'!H154</f>
        <v/>
      </c>
      <c r="H154" s="12">
        <f>'Purchase Order Tracker'!N154</f>
        <v/>
      </c>
      <c r="I154" s="12">
        <f>'Purchase Order Tracker'!O154</f>
        <v/>
      </c>
      <c r="J154" s="12">
        <f>'Purchase Order Tracker'!K154</f>
        <v/>
      </c>
    </row>
    <row r="155">
      <c r="A155">
        <f>'Purchase Order Tracker'!B155</f>
        <v/>
      </c>
      <c r="B155">
        <f>'Purchase Order Tracker'!A155</f>
        <v/>
      </c>
      <c r="C155">
        <f>'Purchase Order Tracker'!C155</f>
        <v/>
      </c>
      <c r="D155">
        <f>'Purchase Order Tracker'!D155</f>
        <v/>
      </c>
      <c r="E155">
        <f>'Purchase Order Tracker'!E155</f>
        <v/>
      </c>
      <c r="F155">
        <f>'Purchase Order Tracker'!J155</f>
        <v/>
      </c>
      <c r="G155">
        <f>'Purchase Order Tracker'!H155</f>
        <v/>
      </c>
      <c r="H155">
        <f>'Purchase Order Tracker'!N155</f>
        <v/>
      </c>
      <c r="I155">
        <f>'Purchase Order Tracker'!O155</f>
        <v/>
      </c>
      <c r="J155">
        <f>'Purchase Order Tracker'!K155</f>
        <v/>
      </c>
    </row>
    <row r="156">
      <c r="A156" s="12">
        <f>'Purchase Order Tracker'!B156</f>
        <v/>
      </c>
      <c r="B156" s="12">
        <f>'Purchase Order Tracker'!A156</f>
        <v/>
      </c>
      <c r="C156" s="12">
        <f>'Purchase Order Tracker'!C156</f>
        <v/>
      </c>
      <c r="D156" s="12">
        <f>'Purchase Order Tracker'!D156</f>
        <v/>
      </c>
      <c r="E156" s="12">
        <f>'Purchase Order Tracker'!E156</f>
        <v/>
      </c>
      <c r="F156" s="12">
        <f>'Purchase Order Tracker'!J156</f>
        <v/>
      </c>
      <c r="G156" s="12">
        <f>'Purchase Order Tracker'!H156</f>
        <v/>
      </c>
      <c r="H156" s="12">
        <f>'Purchase Order Tracker'!N156</f>
        <v/>
      </c>
      <c r="I156" s="12">
        <f>'Purchase Order Tracker'!O156</f>
        <v/>
      </c>
      <c r="J156" s="12">
        <f>'Purchase Order Tracker'!K156</f>
        <v/>
      </c>
    </row>
    <row r="157">
      <c r="A157">
        <f>'Purchase Order Tracker'!B157</f>
        <v/>
      </c>
      <c r="B157">
        <f>'Purchase Order Tracker'!A157</f>
        <v/>
      </c>
      <c r="C157">
        <f>'Purchase Order Tracker'!C157</f>
        <v/>
      </c>
      <c r="D157">
        <f>'Purchase Order Tracker'!D157</f>
        <v/>
      </c>
      <c r="E157">
        <f>'Purchase Order Tracker'!E157</f>
        <v/>
      </c>
      <c r="F157">
        <f>'Purchase Order Tracker'!J157</f>
        <v/>
      </c>
      <c r="G157">
        <f>'Purchase Order Tracker'!H157</f>
        <v/>
      </c>
      <c r="H157">
        <f>'Purchase Order Tracker'!N157</f>
        <v/>
      </c>
      <c r="I157">
        <f>'Purchase Order Tracker'!O157</f>
        <v/>
      </c>
      <c r="J157">
        <f>'Purchase Order Tracker'!K157</f>
        <v/>
      </c>
    </row>
    <row r="158">
      <c r="A158" s="12">
        <f>'Purchase Order Tracker'!B158</f>
        <v/>
      </c>
      <c r="B158" s="12">
        <f>'Purchase Order Tracker'!A158</f>
        <v/>
      </c>
      <c r="C158" s="12">
        <f>'Purchase Order Tracker'!C158</f>
        <v/>
      </c>
      <c r="D158" s="12">
        <f>'Purchase Order Tracker'!D158</f>
        <v/>
      </c>
      <c r="E158" s="12">
        <f>'Purchase Order Tracker'!E158</f>
        <v/>
      </c>
      <c r="F158" s="12">
        <f>'Purchase Order Tracker'!J158</f>
        <v/>
      </c>
      <c r="G158" s="12">
        <f>'Purchase Order Tracker'!H158</f>
        <v/>
      </c>
      <c r="H158" s="12">
        <f>'Purchase Order Tracker'!N158</f>
        <v/>
      </c>
      <c r="I158" s="12">
        <f>'Purchase Order Tracker'!O158</f>
        <v/>
      </c>
      <c r="J158" s="12">
        <f>'Purchase Order Tracker'!K158</f>
        <v/>
      </c>
    </row>
    <row r="159">
      <c r="A159">
        <f>'Purchase Order Tracker'!B159</f>
        <v/>
      </c>
      <c r="B159">
        <f>'Purchase Order Tracker'!A159</f>
        <v/>
      </c>
      <c r="C159">
        <f>'Purchase Order Tracker'!C159</f>
        <v/>
      </c>
      <c r="D159">
        <f>'Purchase Order Tracker'!D159</f>
        <v/>
      </c>
      <c r="E159">
        <f>'Purchase Order Tracker'!E159</f>
        <v/>
      </c>
      <c r="F159">
        <f>'Purchase Order Tracker'!J159</f>
        <v/>
      </c>
      <c r="G159">
        <f>'Purchase Order Tracker'!H159</f>
        <v/>
      </c>
      <c r="H159">
        <f>'Purchase Order Tracker'!N159</f>
        <v/>
      </c>
      <c r="I159">
        <f>'Purchase Order Tracker'!O159</f>
        <v/>
      </c>
      <c r="J159">
        <f>'Purchase Order Tracker'!K159</f>
        <v/>
      </c>
    </row>
    <row r="160">
      <c r="A160" s="12">
        <f>'Purchase Order Tracker'!B160</f>
        <v/>
      </c>
      <c r="B160" s="12">
        <f>'Purchase Order Tracker'!A160</f>
        <v/>
      </c>
      <c r="C160" s="12">
        <f>'Purchase Order Tracker'!C160</f>
        <v/>
      </c>
      <c r="D160" s="12">
        <f>'Purchase Order Tracker'!D160</f>
        <v/>
      </c>
      <c r="E160" s="12">
        <f>'Purchase Order Tracker'!E160</f>
        <v/>
      </c>
      <c r="F160" s="12">
        <f>'Purchase Order Tracker'!J160</f>
        <v/>
      </c>
      <c r="G160" s="12">
        <f>'Purchase Order Tracker'!H160</f>
        <v/>
      </c>
      <c r="H160" s="12">
        <f>'Purchase Order Tracker'!N160</f>
        <v/>
      </c>
      <c r="I160" s="12">
        <f>'Purchase Order Tracker'!O160</f>
        <v/>
      </c>
      <c r="J160" s="12">
        <f>'Purchase Order Tracker'!K160</f>
        <v/>
      </c>
    </row>
    <row r="161">
      <c r="A161">
        <f>'Purchase Order Tracker'!B161</f>
        <v/>
      </c>
      <c r="B161">
        <f>'Purchase Order Tracker'!A161</f>
        <v/>
      </c>
      <c r="C161">
        <f>'Purchase Order Tracker'!C161</f>
        <v/>
      </c>
      <c r="D161">
        <f>'Purchase Order Tracker'!D161</f>
        <v/>
      </c>
      <c r="E161">
        <f>'Purchase Order Tracker'!E161</f>
        <v/>
      </c>
      <c r="F161">
        <f>'Purchase Order Tracker'!J161</f>
        <v/>
      </c>
      <c r="G161">
        <f>'Purchase Order Tracker'!H161</f>
        <v/>
      </c>
      <c r="H161">
        <f>'Purchase Order Tracker'!N161</f>
        <v/>
      </c>
      <c r="I161">
        <f>'Purchase Order Tracker'!O161</f>
        <v/>
      </c>
      <c r="J161">
        <f>'Purchase Order Tracker'!K161</f>
        <v/>
      </c>
    </row>
    <row r="162">
      <c r="A162" s="12">
        <f>'Purchase Order Tracker'!B162</f>
        <v/>
      </c>
      <c r="B162" s="12">
        <f>'Purchase Order Tracker'!A162</f>
        <v/>
      </c>
      <c r="C162" s="12">
        <f>'Purchase Order Tracker'!C162</f>
        <v/>
      </c>
      <c r="D162" s="12">
        <f>'Purchase Order Tracker'!D162</f>
        <v/>
      </c>
      <c r="E162" s="12">
        <f>'Purchase Order Tracker'!E162</f>
        <v/>
      </c>
      <c r="F162" s="12">
        <f>'Purchase Order Tracker'!J162</f>
        <v/>
      </c>
      <c r="G162" s="12">
        <f>'Purchase Order Tracker'!H162</f>
        <v/>
      </c>
      <c r="H162" s="12">
        <f>'Purchase Order Tracker'!N162</f>
        <v/>
      </c>
      <c r="I162" s="12">
        <f>'Purchase Order Tracker'!O162</f>
        <v/>
      </c>
      <c r="J162" s="12">
        <f>'Purchase Order Tracker'!K162</f>
        <v/>
      </c>
    </row>
    <row r="163">
      <c r="A163">
        <f>'Purchase Order Tracker'!B163</f>
        <v/>
      </c>
      <c r="B163">
        <f>'Purchase Order Tracker'!A163</f>
        <v/>
      </c>
      <c r="C163">
        <f>'Purchase Order Tracker'!C163</f>
        <v/>
      </c>
      <c r="D163">
        <f>'Purchase Order Tracker'!D163</f>
        <v/>
      </c>
      <c r="E163">
        <f>'Purchase Order Tracker'!E163</f>
        <v/>
      </c>
      <c r="F163">
        <f>'Purchase Order Tracker'!J163</f>
        <v/>
      </c>
      <c r="G163">
        <f>'Purchase Order Tracker'!H163</f>
        <v/>
      </c>
      <c r="H163">
        <f>'Purchase Order Tracker'!N163</f>
        <v/>
      </c>
      <c r="I163">
        <f>'Purchase Order Tracker'!O163</f>
        <v/>
      </c>
      <c r="J163">
        <f>'Purchase Order Tracker'!K163</f>
        <v/>
      </c>
    </row>
    <row r="164">
      <c r="A164" s="12">
        <f>'Purchase Order Tracker'!B164</f>
        <v/>
      </c>
      <c r="B164" s="12">
        <f>'Purchase Order Tracker'!A164</f>
        <v/>
      </c>
      <c r="C164" s="12">
        <f>'Purchase Order Tracker'!C164</f>
        <v/>
      </c>
      <c r="D164" s="12">
        <f>'Purchase Order Tracker'!D164</f>
        <v/>
      </c>
      <c r="E164" s="12">
        <f>'Purchase Order Tracker'!E164</f>
        <v/>
      </c>
      <c r="F164" s="12">
        <f>'Purchase Order Tracker'!J164</f>
        <v/>
      </c>
      <c r="G164" s="12">
        <f>'Purchase Order Tracker'!H164</f>
        <v/>
      </c>
      <c r="H164" s="12">
        <f>'Purchase Order Tracker'!N164</f>
        <v/>
      </c>
      <c r="I164" s="12">
        <f>'Purchase Order Tracker'!O164</f>
        <v/>
      </c>
      <c r="J164" s="12">
        <f>'Purchase Order Tracker'!K164</f>
        <v/>
      </c>
    </row>
    <row r="165">
      <c r="A165">
        <f>'Purchase Order Tracker'!B165</f>
        <v/>
      </c>
      <c r="B165">
        <f>'Purchase Order Tracker'!A165</f>
        <v/>
      </c>
      <c r="C165">
        <f>'Purchase Order Tracker'!C165</f>
        <v/>
      </c>
      <c r="D165">
        <f>'Purchase Order Tracker'!D165</f>
        <v/>
      </c>
      <c r="E165">
        <f>'Purchase Order Tracker'!E165</f>
        <v/>
      </c>
      <c r="F165">
        <f>'Purchase Order Tracker'!J165</f>
        <v/>
      </c>
      <c r="G165">
        <f>'Purchase Order Tracker'!H165</f>
        <v/>
      </c>
      <c r="H165">
        <f>'Purchase Order Tracker'!N165</f>
        <v/>
      </c>
      <c r="I165">
        <f>'Purchase Order Tracker'!O165</f>
        <v/>
      </c>
      <c r="J165">
        <f>'Purchase Order Tracker'!K165</f>
        <v/>
      </c>
    </row>
    <row r="166">
      <c r="A166" s="12">
        <f>'Purchase Order Tracker'!B166</f>
        <v/>
      </c>
      <c r="B166" s="12">
        <f>'Purchase Order Tracker'!A166</f>
        <v/>
      </c>
      <c r="C166" s="12">
        <f>'Purchase Order Tracker'!C166</f>
        <v/>
      </c>
      <c r="D166" s="12">
        <f>'Purchase Order Tracker'!D166</f>
        <v/>
      </c>
      <c r="E166" s="12">
        <f>'Purchase Order Tracker'!E166</f>
        <v/>
      </c>
      <c r="F166" s="12">
        <f>'Purchase Order Tracker'!J166</f>
        <v/>
      </c>
      <c r="G166" s="12">
        <f>'Purchase Order Tracker'!H166</f>
        <v/>
      </c>
      <c r="H166" s="12">
        <f>'Purchase Order Tracker'!N166</f>
        <v/>
      </c>
      <c r="I166" s="12">
        <f>'Purchase Order Tracker'!O166</f>
        <v/>
      </c>
      <c r="J166" s="12">
        <f>'Purchase Order Tracker'!K166</f>
        <v/>
      </c>
    </row>
    <row r="167">
      <c r="A167">
        <f>'Purchase Order Tracker'!B167</f>
        <v/>
      </c>
      <c r="B167">
        <f>'Purchase Order Tracker'!A167</f>
        <v/>
      </c>
      <c r="C167">
        <f>'Purchase Order Tracker'!C167</f>
        <v/>
      </c>
      <c r="D167">
        <f>'Purchase Order Tracker'!D167</f>
        <v/>
      </c>
      <c r="E167">
        <f>'Purchase Order Tracker'!E167</f>
        <v/>
      </c>
      <c r="F167">
        <f>'Purchase Order Tracker'!J167</f>
        <v/>
      </c>
      <c r="G167">
        <f>'Purchase Order Tracker'!H167</f>
        <v/>
      </c>
      <c r="H167">
        <f>'Purchase Order Tracker'!N167</f>
        <v/>
      </c>
      <c r="I167">
        <f>'Purchase Order Tracker'!O167</f>
        <v/>
      </c>
      <c r="J167">
        <f>'Purchase Order Tracker'!K167</f>
        <v/>
      </c>
    </row>
    <row r="168">
      <c r="A168" s="12">
        <f>'Purchase Order Tracker'!B168</f>
        <v/>
      </c>
      <c r="B168" s="12">
        <f>'Purchase Order Tracker'!A168</f>
        <v/>
      </c>
      <c r="C168" s="12">
        <f>'Purchase Order Tracker'!C168</f>
        <v/>
      </c>
      <c r="D168" s="12">
        <f>'Purchase Order Tracker'!D168</f>
        <v/>
      </c>
      <c r="E168" s="12">
        <f>'Purchase Order Tracker'!E168</f>
        <v/>
      </c>
      <c r="F168" s="12">
        <f>'Purchase Order Tracker'!J168</f>
        <v/>
      </c>
      <c r="G168" s="12">
        <f>'Purchase Order Tracker'!H168</f>
        <v/>
      </c>
      <c r="H168" s="12">
        <f>'Purchase Order Tracker'!N168</f>
        <v/>
      </c>
      <c r="I168" s="12">
        <f>'Purchase Order Tracker'!O168</f>
        <v/>
      </c>
      <c r="J168" s="12">
        <f>'Purchase Order Tracker'!K168</f>
        <v/>
      </c>
    </row>
    <row r="169">
      <c r="A169">
        <f>'Purchase Order Tracker'!B169</f>
        <v/>
      </c>
      <c r="B169">
        <f>'Purchase Order Tracker'!A169</f>
        <v/>
      </c>
      <c r="C169">
        <f>'Purchase Order Tracker'!C169</f>
        <v/>
      </c>
      <c r="D169">
        <f>'Purchase Order Tracker'!D169</f>
        <v/>
      </c>
      <c r="E169">
        <f>'Purchase Order Tracker'!E169</f>
        <v/>
      </c>
      <c r="F169">
        <f>'Purchase Order Tracker'!J169</f>
        <v/>
      </c>
      <c r="G169">
        <f>'Purchase Order Tracker'!H169</f>
        <v/>
      </c>
      <c r="H169">
        <f>'Purchase Order Tracker'!N169</f>
        <v/>
      </c>
      <c r="I169">
        <f>'Purchase Order Tracker'!O169</f>
        <v/>
      </c>
      <c r="J169">
        <f>'Purchase Order Tracker'!K169</f>
        <v/>
      </c>
    </row>
    <row r="170">
      <c r="A170" s="12">
        <f>'Purchase Order Tracker'!B170</f>
        <v/>
      </c>
      <c r="B170" s="12">
        <f>'Purchase Order Tracker'!A170</f>
        <v/>
      </c>
      <c r="C170" s="12">
        <f>'Purchase Order Tracker'!C170</f>
        <v/>
      </c>
      <c r="D170" s="12">
        <f>'Purchase Order Tracker'!D170</f>
        <v/>
      </c>
      <c r="E170" s="12">
        <f>'Purchase Order Tracker'!E170</f>
        <v/>
      </c>
      <c r="F170" s="12">
        <f>'Purchase Order Tracker'!J170</f>
        <v/>
      </c>
      <c r="G170" s="12">
        <f>'Purchase Order Tracker'!H170</f>
        <v/>
      </c>
      <c r="H170" s="12">
        <f>'Purchase Order Tracker'!N170</f>
        <v/>
      </c>
      <c r="I170" s="12">
        <f>'Purchase Order Tracker'!O170</f>
        <v/>
      </c>
      <c r="J170" s="12">
        <f>'Purchase Order Tracker'!K170</f>
        <v/>
      </c>
    </row>
    <row r="171">
      <c r="A171">
        <f>'Purchase Order Tracker'!B171</f>
        <v/>
      </c>
      <c r="B171">
        <f>'Purchase Order Tracker'!A171</f>
        <v/>
      </c>
      <c r="C171">
        <f>'Purchase Order Tracker'!C171</f>
        <v/>
      </c>
      <c r="D171">
        <f>'Purchase Order Tracker'!D171</f>
        <v/>
      </c>
      <c r="E171">
        <f>'Purchase Order Tracker'!E171</f>
        <v/>
      </c>
      <c r="F171">
        <f>'Purchase Order Tracker'!J171</f>
        <v/>
      </c>
      <c r="G171">
        <f>'Purchase Order Tracker'!H171</f>
        <v/>
      </c>
      <c r="H171">
        <f>'Purchase Order Tracker'!N171</f>
        <v/>
      </c>
      <c r="I171">
        <f>'Purchase Order Tracker'!O171</f>
        <v/>
      </c>
      <c r="J171">
        <f>'Purchase Order Tracker'!K171</f>
        <v/>
      </c>
    </row>
    <row r="172">
      <c r="A172" s="12">
        <f>'Purchase Order Tracker'!B172</f>
        <v/>
      </c>
      <c r="B172" s="12">
        <f>'Purchase Order Tracker'!A172</f>
        <v/>
      </c>
      <c r="C172" s="12">
        <f>'Purchase Order Tracker'!C172</f>
        <v/>
      </c>
      <c r="D172" s="12">
        <f>'Purchase Order Tracker'!D172</f>
        <v/>
      </c>
      <c r="E172" s="12">
        <f>'Purchase Order Tracker'!E172</f>
        <v/>
      </c>
      <c r="F172" s="12">
        <f>'Purchase Order Tracker'!J172</f>
        <v/>
      </c>
      <c r="G172" s="12">
        <f>'Purchase Order Tracker'!H172</f>
        <v/>
      </c>
      <c r="H172" s="12">
        <f>'Purchase Order Tracker'!N172</f>
        <v/>
      </c>
      <c r="I172" s="12">
        <f>'Purchase Order Tracker'!O172</f>
        <v/>
      </c>
      <c r="J172" s="12">
        <f>'Purchase Order Tracker'!K172</f>
        <v/>
      </c>
    </row>
    <row r="173">
      <c r="A173">
        <f>'Purchase Order Tracker'!B173</f>
        <v/>
      </c>
      <c r="B173">
        <f>'Purchase Order Tracker'!A173</f>
        <v/>
      </c>
      <c r="C173">
        <f>'Purchase Order Tracker'!C173</f>
        <v/>
      </c>
      <c r="D173">
        <f>'Purchase Order Tracker'!D173</f>
        <v/>
      </c>
      <c r="E173">
        <f>'Purchase Order Tracker'!E173</f>
        <v/>
      </c>
      <c r="F173">
        <f>'Purchase Order Tracker'!J173</f>
        <v/>
      </c>
      <c r="G173">
        <f>'Purchase Order Tracker'!H173</f>
        <v/>
      </c>
      <c r="H173">
        <f>'Purchase Order Tracker'!N173</f>
        <v/>
      </c>
      <c r="I173">
        <f>'Purchase Order Tracker'!O173</f>
        <v/>
      </c>
      <c r="J173">
        <f>'Purchase Order Tracker'!K173</f>
        <v/>
      </c>
    </row>
    <row r="174">
      <c r="A174" s="12">
        <f>'Purchase Order Tracker'!B174</f>
        <v/>
      </c>
      <c r="B174" s="12">
        <f>'Purchase Order Tracker'!A174</f>
        <v/>
      </c>
      <c r="C174" s="12">
        <f>'Purchase Order Tracker'!C174</f>
        <v/>
      </c>
      <c r="D174" s="12">
        <f>'Purchase Order Tracker'!D174</f>
        <v/>
      </c>
      <c r="E174" s="12">
        <f>'Purchase Order Tracker'!E174</f>
        <v/>
      </c>
      <c r="F174" s="12">
        <f>'Purchase Order Tracker'!J174</f>
        <v/>
      </c>
      <c r="G174" s="12">
        <f>'Purchase Order Tracker'!H174</f>
        <v/>
      </c>
      <c r="H174" s="12">
        <f>'Purchase Order Tracker'!N174</f>
        <v/>
      </c>
      <c r="I174" s="12">
        <f>'Purchase Order Tracker'!O174</f>
        <v/>
      </c>
      <c r="J174" s="12">
        <f>'Purchase Order Tracker'!K174</f>
        <v/>
      </c>
    </row>
    <row r="175">
      <c r="A175">
        <f>'Purchase Order Tracker'!B175</f>
        <v/>
      </c>
      <c r="B175">
        <f>'Purchase Order Tracker'!A175</f>
        <v/>
      </c>
      <c r="C175">
        <f>'Purchase Order Tracker'!C175</f>
        <v/>
      </c>
      <c r="D175">
        <f>'Purchase Order Tracker'!D175</f>
        <v/>
      </c>
      <c r="E175">
        <f>'Purchase Order Tracker'!E175</f>
        <v/>
      </c>
      <c r="F175">
        <f>'Purchase Order Tracker'!J175</f>
        <v/>
      </c>
      <c r="G175">
        <f>'Purchase Order Tracker'!H175</f>
        <v/>
      </c>
      <c r="H175">
        <f>'Purchase Order Tracker'!N175</f>
        <v/>
      </c>
      <c r="I175">
        <f>'Purchase Order Tracker'!O175</f>
        <v/>
      </c>
      <c r="J175">
        <f>'Purchase Order Tracker'!K175</f>
        <v/>
      </c>
    </row>
    <row r="176">
      <c r="A176" s="12">
        <f>'Purchase Order Tracker'!B176</f>
        <v/>
      </c>
      <c r="B176" s="12">
        <f>'Purchase Order Tracker'!A176</f>
        <v/>
      </c>
      <c r="C176" s="12">
        <f>'Purchase Order Tracker'!C176</f>
        <v/>
      </c>
      <c r="D176" s="12">
        <f>'Purchase Order Tracker'!D176</f>
        <v/>
      </c>
      <c r="E176" s="12">
        <f>'Purchase Order Tracker'!E176</f>
        <v/>
      </c>
      <c r="F176" s="12">
        <f>'Purchase Order Tracker'!J176</f>
        <v/>
      </c>
      <c r="G176" s="12">
        <f>'Purchase Order Tracker'!H176</f>
        <v/>
      </c>
      <c r="H176" s="12">
        <f>'Purchase Order Tracker'!N176</f>
        <v/>
      </c>
      <c r="I176" s="12">
        <f>'Purchase Order Tracker'!O176</f>
        <v/>
      </c>
      <c r="J176" s="12">
        <f>'Purchase Order Tracker'!K176</f>
        <v/>
      </c>
    </row>
    <row r="177">
      <c r="A177">
        <f>'Purchase Order Tracker'!B177</f>
        <v/>
      </c>
      <c r="B177">
        <f>'Purchase Order Tracker'!A177</f>
        <v/>
      </c>
      <c r="C177">
        <f>'Purchase Order Tracker'!C177</f>
        <v/>
      </c>
      <c r="D177">
        <f>'Purchase Order Tracker'!D177</f>
        <v/>
      </c>
      <c r="E177">
        <f>'Purchase Order Tracker'!E177</f>
        <v/>
      </c>
      <c r="F177">
        <f>'Purchase Order Tracker'!J177</f>
        <v/>
      </c>
      <c r="G177">
        <f>'Purchase Order Tracker'!H177</f>
        <v/>
      </c>
      <c r="H177">
        <f>'Purchase Order Tracker'!N177</f>
        <v/>
      </c>
      <c r="I177">
        <f>'Purchase Order Tracker'!O177</f>
        <v/>
      </c>
      <c r="J177">
        <f>'Purchase Order Tracker'!K177</f>
        <v/>
      </c>
    </row>
    <row r="178">
      <c r="A178" s="12">
        <f>'Purchase Order Tracker'!B178</f>
        <v/>
      </c>
      <c r="B178" s="12">
        <f>'Purchase Order Tracker'!A178</f>
        <v/>
      </c>
      <c r="C178" s="12">
        <f>'Purchase Order Tracker'!C178</f>
        <v/>
      </c>
      <c r="D178" s="12">
        <f>'Purchase Order Tracker'!D178</f>
        <v/>
      </c>
      <c r="E178" s="12">
        <f>'Purchase Order Tracker'!E178</f>
        <v/>
      </c>
      <c r="F178" s="12">
        <f>'Purchase Order Tracker'!J178</f>
        <v/>
      </c>
      <c r="G178" s="12">
        <f>'Purchase Order Tracker'!H178</f>
        <v/>
      </c>
      <c r="H178" s="12">
        <f>'Purchase Order Tracker'!N178</f>
        <v/>
      </c>
      <c r="I178" s="12">
        <f>'Purchase Order Tracker'!O178</f>
        <v/>
      </c>
      <c r="J178" s="12">
        <f>'Purchase Order Tracker'!K178</f>
        <v/>
      </c>
    </row>
    <row r="179">
      <c r="A179">
        <f>'Purchase Order Tracker'!B179</f>
        <v/>
      </c>
      <c r="B179">
        <f>'Purchase Order Tracker'!A179</f>
        <v/>
      </c>
      <c r="C179">
        <f>'Purchase Order Tracker'!C179</f>
        <v/>
      </c>
      <c r="D179">
        <f>'Purchase Order Tracker'!D179</f>
        <v/>
      </c>
      <c r="E179">
        <f>'Purchase Order Tracker'!E179</f>
        <v/>
      </c>
      <c r="F179">
        <f>'Purchase Order Tracker'!J179</f>
        <v/>
      </c>
      <c r="G179">
        <f>'Purchase Order Tracker'!H179</f>
        <v/>
      </c>
      <c r="H179">
        <f>'Purchase Order Tracker'!N179</f>
        <v/>
      </c>
      <c r="I179">
        <f>'Purchase Order Tracker'!O179</f>
        <v/>
      </c>
      <c r="J179">
        <f>'Purchase Order Tracker'!K179</f>
        <v/>
      </c>
    </row>
    <row r="180">
      <c r="A180" s="12">
        <f>'Purchase Order Tracker'!B180</f>
        <v/>
      </c>
      <c r="B180" s="12">
        <f>'Purchase Order Tracker'!A180</f>
        <v/>
      </c>
      <c r="C180" s="12">
        <f>'Purchase Order Tracker'!C180</f>
        <v/>
      </c>
      <c r="D180" s="12">
        <f>'Purchase Order Tracker'!D180</f>
        <v/>
      </c>
      <c r="E180" s="12">
        <f>'Purchase Order Tracker'!E180</f>
        <v/>
      </c>
      <c r="F180" s="12">
        <f>'Purchase Order Tracker'!J180</f>
        <v/>
      </c>
      <c r="G180" s="12">
        <f>'Purchase Order Tracker'!H180</f>
        <v/>
      </c>
      <c r="H180" s="12">
        <f>'Purchase Order Tracker'!N180</f>
        <v/>
      </c>
      <c r="I180" s="12">
        <f>'Purchase Order Tracker'!O180</f>
        <v/>
      </c>
      <c r="J180" s="12">
        <f>'Purchase Order Tracker'!K180</f>
        <v/>
      </c>
    </row>
    <row r="181">
      <c r="A181">
        <f>'Purchase Order Tracker'!B181</f>
        <v/>
      </c>
      <c r="B181">
        <f>'Purchase Order Tracker'!A181</f>
        <v/>
      </c>
      <c r="C181">
        <f>'Purchase Order Tracker'!C181</f>
        <v/>
      </c>
      <c r="D181">
        <f>'Purchase Order Tracker'!D181</f>
        <v/>
      </c>
      <c r="E181">
        <f>'Purchase Order Tracker'!E181</f>
        <v/>
      </c>
      <c r="F181">
        <f>'Purchase Order Tracker'!J181</f>
        <v/>
      </c>
      <c r="G181">
        <f>'Purchase Order Tracker'!H181</f>
        <v/>
      </c>
      <c r="H181">
        <f>'Purchase Order Tracker'!N181</f>
        <v/>
      </c>
      <c r="I181">
        <f>'Purchase Order Tracker'!O181</f>
        <v/>
      </c>
      <c r="J181">
        <f>'Purchase Order Tracker'!K181</f>
        <v/>
      </c>
    </row>
    <row r="182">
      <c r="A182" s="12">
        <f>'Purchase Order Tracker'!B182</f>
        <v/>
      </c>
      <c r="B182" s="12">
        <f>'Purchase Order Tracker'!A182</f>
        <v/>
      </c>
      <c r="C182" s="12">
        <f>'Purchase Order Tracker'!C182</f>
        <v/>
      </c>
      <c r="D182" s="12">
        <f>'Purchase Order Tracker'!D182</f>
        <v/>
      </c>
      <c r="E182" s="12">
        <f>'Purchase Order Tracker'!E182</f>
        <v/>
      </c>
      <c r="F182" s="12">
        <f>'Purchase Order Tracker'!J182</f>
        <v/>
      </c>
      <c r="G182" s="12">
        <f>'Purchase Order Tracker'!H182</f>
        <v/>
      </c>
      <c r="H182" s="12">
        <f>'Purchase Order Tracker'!N182</f>
        <v/>
      </c>
      <c r="I182" s="12">
        <f>'Purchase Order Tracker'!O182</f>
        <v/>
      </c>
      <c r="J182" s="12">
        <f>'Purchase Order Tracker'!K182</f>
        <v/>
      </c>
    </row>
    <row r="183">
      <c r="A183">
        <f>'Purchase Order Tracker'!B183</f>
        <v/>
      </c>
      <c r="B183">
        <f>'Purchase Order Tracker'!A183</f>
        <v/>
      </c>
      <c r="C183">
        <f>'Purchase Order Tracker'!C183</f>
        <v/>
      </c>
      <c r="D183">
        <f>'Purchase Order Tracker'!D183</f>
        <v/>
      </c>
      <c r="E183">
        <f>'Purchase Order Tracker'!E183</f>
        <v/>
      </c>
      <c r="F183">
        <f>'Purchase Order Tracker'!J183</f>
        <v/>
      </c>
      <c r="G183">
        <f>'Purchase Order Tracker'!H183</f>
        <v/>
      </c>
      <c r="H183">
        <f>'Purchase Order Tracker'!N183</f>
        <v/>
      </c>
      <c r="I183">
        <f>'Purchase Order Tracker'!O183</f>
        <v/>
      </c>
      <c r="J183">
        <f>'Purchase Order Tracker'!K183</f>
        <v/>
      </c>
    </row>
    <row r="184">
      <c r="A184" s="12">
        <f>'Purchase Order Tracker'!B184</f>
        <v/>
      </c>
      <c r="B184" s="12">
        <f>'Purchase Order Tracker'!A184</f>
        <v/>
      </c>
      <c r="C184" s="12">
        <f>'Purchase Order Tracker'!C184</f>
        <v/>
      </c>
      <c r="D184" s="12">
        <f>'Purchase Order Tracker'!D184</f>
        <v/>
      </c>
      <c r="E184" s="12">
        <f>'Purchase Order Tracker'!E184</f>
        <v/>
      </c>
      <c r="F184" s="12">
        <f>'Purchase Order Tracker'!J184</f>
        <v/>
      </c>
      <c r="G184" s="12">
        <f>'Purchase Order Tracker'!H184</f>
        <v/>
      </c>
      <c r="H184" s="12">
        <f>'Purchase Order Tracker'!N184</f>
        <v/>
      </c>
      <c r="I184" s="12">
        <f>'Purchase Order Tracker'!O184</f>
        <v/>
      </c>
      <c r="J184" s="12">
        <f>'Purchase Order Tracker'!K184</f>
        <v/>
      </c>
    </row>
    <row r="185">
      <c r="A185">
        <f>'Purchase Order Tracker'!B185</f>
        <v/>
      </c>
      <c r="B185">
        <f>'Purchase Order Tracker'!A185</f>
        <v/>
      </c>
      <c r="C185">
        <f>'Purchase Order Tracker'!C185</f>
        <v/>
      </c>
      <c r="D185">
        <f>'Purchase Order Tracker'!D185</f>
        <v/>
      </c>
      <c r="E185">
        <f>'Purchase Order Tracker'!E185</f>
        <v/>
      </c>
      <c r="F185">
        <f>'Purchase Order Tracker'!J185</f>
        <v/>
      </c>
      <c r="G185">
        <f>'Purchase Order Tracker'!H185</f>
        <v/>
      </c>
      <c r="H185">
        <f>'Purchase Order Tracker'!N185</f>
        <v/>
      </c>
      <c r="I185">
        <f>'Purchase Order Tracker'!O185</f>
        <v/>
      </c>
      <c r="J185">
        <f>'Purchase Order Tracker'!K185</f>
        <v/>
      </c>
    </row>
    <row r="186">
      <c r="A186" s="12">
        <f>'Purchase Order Tracker'!B186</f>
        <v/>
      </c>
      <c r="B186" s="12">
        <f>'Purchase Order Tracker'!A186</f>
        <v/>
      </c>
      <c r="C186" s="12">
        <f>'Purchase Order Tracker'!C186</f>
        <v/>
      </c>
      <c r="D186" s="12">
        <f>'Purchase Order Tracker'!D186</f>
        <v/>
      </c>
      <c r="E186" s="12">
        <f>'Purchase Order Tracker'!E186</f>
        <v/>
      </c>
      <c r="F186" s="12">
        <f>'Purchase Order Tracker'!J186</f>
        <v/>
      </c>
      <c r="G186" s="12">
        <f>'Purchase Order Tracker'!H186</f>
        <v/>
      </c>
      <c r="H186" s="12">
        <f>'Purchase Order Tracker'!N186</f>
        <v/>
      </c>
      <c r="I186" s="12">
        <f>'Purchase Order Tracker'!O186</f>
        <v/>
      </c>
      <c r="J186" s="12">
        <f>'Purchase Order Tracker'!K186</f>
        <v/>
      </c>
    </row>
    <row r="187">
      <c r="A187">
        <f>'Purchase Order Tracker'!B187</f>
        <v/>
      </c>
      <c r="B187">
        <f>'Purchase Order Tracker'!A187</f>
        <v/>
      </c>
      <c r="C187">
        <f>'Purchase Order Tracker'!C187</f>
        <v/>
      </c>
      <c r="D187">
        <f>'Purchase Order Tracker'!D187</f>
        <v/>
      </c>
      <c r="E187">
        <f>'Purchase Order Tracker'!E187</f>
        <v/>
      </c>
      <c r="F187">
        <f>'Purchase Order Tracker'!J187</f>
        <v/>
      </c>
      <c r="G187">
        <f>'Purchase Order Tracker'!H187</f>
        <v/>
      </c>
      <c r="H187">
        <f>'Purchase Order Tracker'!N187</f>
        <v/>
      </c>
      <c r="I187">
        <f>'Purchase Order Tracker'!O187</f>
        <v/>
      </c>
      <c r="J187">
        <f>'Purchase Order Tracker'!K187</f>
        <v/>
      </c>
    </row>
    <row r="188">
      <c r="A188" s="12">
        <f>'Purchase Order Tracker'!B188</f>
        <v/>
      </c>
      <c r="B188" s="12">
        <f>'Purchase Order Tracker'!A188</f>
        <v/>
      </c>
      <c r="C188" s="12">
        <f>'Purchase Order Tracker'!C188</f>
        <v/>
      </c>
      <c r="D188" s="12">
        <f>'Purchase Order Tracker'!D188</f>
        <v/>
      </c>
      <c r="E188" s="12">
        <f>'Purchase Order Tracker'!E188</f>
        <v/>
      </c>
      <c r="F188" s="12">
        <f>'Purchase Order Tracker'!J188</f>
        <v/>
      </c>
      <c r="G188" s="12">
        <f>'Purchase Order Tracker'!H188</f>
        <v/>
      </c>
      <c r="H188" s="12">
        <f>'Purchase Order Tracker'!N188</f>
        <v/>
      </c>
      <c r="I188" s="12">
        <f>'Purchase Order Tracker'!O188</f>
        <v/>
      </c>
      <c r="J188" s="12">
        <f>'Purchase Order Tracker'!K188</f>
        <v/>
      </c>
    </row>
    <row r="189">
      <c r="A189">
        <f>'Purchase Order Tracker'!B189</f>
        <v/>
      </c>
      <c r="B189">
        <f>'Purchase Order Tracker'!A189</f>
        <v/>
      </c>
      <c r="C189">
        <f>'Purchase Order Tracker'!C189</f>
        <v/>
      </c>
      <c r="D189">
        <f>'Purchase Order Tracker'!D189</f>
        <v/>
      </c>
      <c r="E189">
        <f>'Purchase Order Tracker'!E189</f>
        <v/>
      </c>
      <c r="F189">
        <f>'Purchase Order Tracker'!J189</f>
        <v/>
      </c>
      <c r="G189">
        <f>'Purchase Order Tracker'!H189</f>
        <v/>
      </c>
      <c r="H189">
        <f>'Purchase Order Tracker'!N189</f>
        <v/>
      </c>
      <c r="I189">
        <f>'Purchase Order Tracker'!O189</f>
        <v/>
      </c>
      <c r="J189">
        <f>'Purchase Order Tracker'!K189</f>
        <v/>
      </c>
    </row>
    <row r="190">
      <c r="A190" s="12">
        <f>'Purchase Order Tracker'!B190</f>
        <v/>
      </c>
      <c r="B190" s="12">
        <f>'Purchase Order Tracker'!A190</f>
        <v/>
      </c>
      <c r="C190" s="12">
        <f>'Purchase Order Tracker'!C190</f>
        <v/>
      </c>
      <c r="D190" s="12">
        <f>'Purchase Order Tracker'!D190</f>
        <v/>
      </c>
      <c r="E190" s="12">
        <f>'Purchase Order Tracker'!E190</f>
        <v/>
      </c>
      <c r="F190" s="12">
        <f>'Purchase Order Tracker'!J190</f>
        <v/>
      </c>
      <c r="G190" s="12">
        <f>'Purchase Order Tracker'!H190</f>
        <v/>
      </c>
      <c r="H190" s="12">
        <f>'Purchase Order Tracker'!N190</f>
        <v/>
      </c>
      <c r="I190" s="12">
        <f>'Purchase Order Tracker'!O190</f>
        <v/>
      </c>
      <c r="J190" s="12">
        <f>'Purchase Order Tracker'!K190</f>
        <v/>
      </c>
    </row>
    <row r="191">
      <c r="A191">
        <f>'Purchase Order Tracker'!B191</f>
        <v/>
      </c>
      <c r="B191">
        <f>'Purchase Order Tracker'!A191</f>
        <v/>
      </c>
      <c r="C191">
        <f>'Purchase Order Tracker'!C191</f>
        <v/>
      </c>
      <c r="D191">
        <f>'Purchase Order Tracker'!D191</f>
        <v/>
      </c>
      <c r="E191">
        <f>'Purchase Order Tracker'!E191</f>
        <v/>
      </c>
      <c r="F191">
        <f>'Purchase Order Tracker'!J191</f>
        <v/>
      </c>
      <c r="G191">
        <f>'Purchase Order Tracker'!H191</f>
        <v/>
      </c>
      <c r="H191">
        <f>'Purchase Order Tracker'!N191</f>
        <v/>
      </c>
      <c r="I191">
        <f>'Purchase Order Tracker'!O191</f>
        <v/>
      </c>
      <c r="J191">
        <f>'Purchase Order Tracker'!K191</f>
        <v/>
      </c>
    </row>
    <row r="192">
      <c r="A192" s="12">
        <f>'Purchase Order Tracker'!B192</f>
        <v/>
      </c>
      <c r="B192" s="12">
        <f>'Purchase Order Tracker'!A192</f>
        <v/>
      </c>
      <c r="C192" s="12">
        <f>'Purchase Order Tracker'!C192</f>
        <v/>
      </c>
      <c r="D192" s="12">
        <f>'Purchase Order Tracker'!D192</f>
        <v/>
      </c>
      <c r="E192" s="12">
        <f>'Purchase Order Tracker'!E192</f>
        <v/>
      </c>
      <c r="F192" s="12">
        <f>'Purchase Order Tracker'!J192</f>
        <v/>
      </c>
      <c r="G192" s="12">
        <f>'Purchase Order Tracker'!H192</f>
        <v/>
      </c>
      <c r="H192" s="12">
        <f>'Purchase Order Tracker'!N192</f>
        <v/>
      </c>
      <c r="I192" s="12">
        <f>'Purchase Order Tracker'!O192</f>
        <v/>
      </c>
      <c r="J192" s="12">
        <f>'Purchase Order Tracker'!K192</f>
        <v/>
      </c>
    </row>
    <row r="193">
      <c r="A193">
        <f>'Purchase Order Tracker'!B193</f>
        <v/>
      </c>
      <c r="B193">
        <f>'Purchase Order Tracker'!A193</f>
        <v/>
      </c>
      <c r="C193">
        <f>'Purchase Order Tracker'!C193</f>
        <v/>
      </c>
      <c r="D193">
        <f>'Purchase Order Tracker'!D193</f>
        <v/>
      </c>
      <c r="E193">
        <f>'Purchase Order Tracker'!E193</f>
        <v/>
      </c>
      <c r="F193">
        <f>'Purchase Order Tracker'!J193</f>
        <v/>
      </c>
      <c r="G193">
        <f>'Purchase Order Tracker'!H193</f>
        <v/>
      </c>
      <c r="H193">
        <f>'Purchase Order Tracker'!N193</f>
        <v/>
      </c>
      <c r="I193">
        <f>'Purchase Order Tracker'!O193</f>
        <v/>
      </c>
      <c r="J193">
        <f>'Purchase Order Tracker'!K193</f>
        <v/>
      </c>
    </row>
    <row r="194">
      <c r="A194" s="12">
        <f>'Purchase Order Tracker'!B194</f>
        <v/>
      </c>
      <c r="B194" s="12">
        <f>'Purchase Order Tracker'!A194</f>
        <v/>
      </c>
      <c r="C194" s="12">
        <f>'Purchase Order Tracker'!C194</f>
        <v/>
      </c>
      <c r="D194" s="12">
        <f>'Purchase Order Tracker'!D194</f>
        <v/>
      </c>
      <c r="E194" s="12">
        <f>'Purchase Order Tracker'!E194</f>
        <v/>
      </c>
      <c r="F194" s="12">
        <f>'Purchase Order Tracker'!J194</f>
        <v/>
      </c>
      <c r="G194" s="12">
        <f>'Purchase Order Tracker'!H194</f>
        <v/>
      </c>
      <c r="H194" s="12">
        <f>'Purchase Order Tracker'!N194</f>
        <v/>
      </c>
      <c r="I194" s="12">
        <f>'Purchase Order Tracker'!O194</f>
        <v/>
      </c>
      <c r="J194" s="12">
        <f>'Purchase Order Tracker'!K194</f>
        <v/>
      </c>
    </row>
    <row r="195">
      <c r="A195">
        <f>'Purchase Order Tracker'!B195</f>
        <v/>
      </c>
      <c r="B195">
        <f>'Purchase Order Tracker'!A195</f>
        <v/>
      </c>
      <c r="C195">
        <f>'Purchase Order Tracker'!C195</f>
        <v/>
      </c>
      <c r="D195">
        <f>'Purchase Order Tracker'!D195</f>
        <v/>
      </c>
      <c r="E195">
        <f>'Purchase Order Tracker'!E195</f>
        <v/>
      </c>
      <c r="F195">
        <f>'Purchase Order Tracker'!J195</f>
        <v/>
      </c>
      <c r="G195">
        <f>'Purchase Order Tracker'!H195</f>
        <v/>
      </c>
      <c r="H195">
        <f>'Purchase Order Tracker'!N195</f>
        <v/>
      </c>
      <c r="I195">
        <f>'Purchase Order Tracker'!O195</f>
        <v/>
      </c>
      <c r="J195">
        <f>'Purchase Order Tracker'!K195</f>
        <v/>
      </c>
    </row>
    <row r="196">
      <c r="A196" s="12">
        <f>'Purchase Order Tracker'!B196</f>
        <v/>
      </c>
      <c r="B196" s="12">
        <f>'Purchase Order Tracker'!A196</f>
        <v/>
      </c>
      <c r="C196" s="12">
        <f>'Purchase Order Tracker'!C196</f>
        <v/>
      </c>
      <c r="D196" s="12">
        <f>'Purchase Order Tracker'!D196</f>
        <v/>
      </c>
      <c r="E196" s="12">
        <f>'Purchase Order Tracker'!E196</f>
        <v/>
      </c>
      <c r="F196" s="12">
        <f>'Purchase Order Tracker'!J196</f>
        <v/>
      </c>
      <c r="G196" s="12">
        <f>'Purchase Order Tracker'!H196</f>
        <v/>
      </c>
      <c r="H196" s="12">
        <f>'Purchase Order Tracker'!N196</f>
        <v/>
      </c>
      <c r="I196" s="12">
        <f>'Purchase Order Tracker'!O196</f>
        <v/>
      </c>
      <c r="J196" s="12">
        <f>'Purchase Order Tracker'!K196</f>
        <v/>
      </c>
    </row>
    <row r="197">
      <c r="A197">
        <f>'Purchase Order Tracker'!B197</f>
        <v/>
      </c>
      <c r="B197">
        <f>'Purchase Order Tracker'!A197</f>
        <v/>
      </c>
      <c r="C197">
        <f>'Purchase Order Tracker'!C197</f>
        <v/>
      </c>
      <c r="D197">
        <f>'Purchase Order Tracker'!D197</f>
        <v/>
      </c>
      <c r="E197">
        <f>'Purchase Order Tracker'!E197</f>
        <v/>
      </c>
      <c r="F197">
        <f>'Purchase Order Tracker'!J197</f>
        <v/>
      </c>
      <c r="G197">
        <f>'Purchase Order Tracker'!H197</f>
        <v/>
      </c>
      <c r="H197">
        <f>'Purchase Order Tracker'!N197</f>
        <v/>
      </c>
      <c r="I197">
        <f>'Purchase Order Tracker'!O197</f>
        <v/>
      </c>
      <c r="J197">
        <f>'Purchase Order Tracker'!K197</f>
        <v/>
      </c>
    </row>
    <row r="198">
      <c r="A198" s="12">
        <f>'Purchase Order Tracker'!B198</f>
        <v/>
      </c>
      <c r="B198" s="12">
        <f>'Purchase Order Tracker'!A198</f>
        <v/>
      </c>
      <c r="C198" s="12">
        <f>'Purchase Order Tracker'!C198</f>
        <v/>
      </c>
      <c r="D198" s="12">
        <f>'Purchase Order Tracker'!D198</f>
        <v/>
      </c>
      <c r="E198" s="12">
        <f>'Purchase Order Tracker'!E198</f>
        <v/>
      </c>
      <c r="F198" s="12">
        <f>'Purchase Order Tracker'!J198</f>
        <v/>
      </c>
      <c r="G198" s="12">
        <f>'Purchase Order Tracker'!H198</f>
        <v/>
      </c>
      <c r="H198" s="12">
        <f>'Purchase Order Tracker'!N198</f>
        <v/>
      </c>
      <c r="I198" s="12">
        <f>'Purchase Order Tracker'!O198</f>
        <v/>
      </c>
      <c r="J198" s="12">
        <f>'Purchase Order Tracker'!K198</f>
        <v/>
      </c>
    </row>
    <row r="199">
      <c r="A199">
        <f>'Purchase Order Tracker'!B199</f>
        <v/>
      </c>
      <c r="B199">
        <f>'Purchase Order Tracker'!A199</f>
        <v/>
      </c>
      <c r="C199">
        <f>'Purchase Order Tracker'!C199</f>
        <v/>
      </c>
      <c r="D199">
        <f>'Purchase Order Tracker'!D199</f>
        <v/>
      </c>
      <c r="E199">
        <f>'Purchase Order Tracker'!E199</f>
        <v/>
      </c>
      <c r="F199">
        <f>'Purchase Order Tracker'!J199</f>
        <v/>
      </c>
      <c r="G199">
        <f>'Purchase Order Tracker'!H199</f>
        <v/>
      </c>
      <c r="H199">
        <f>'Purchase Order Tracker'!N199</f>
        <v/>
      </c>
      <c r="I199">
        <f>'Purchase Order Tracker'!O199</f>
        <v/>
      </c>
      <c r="J199">
        <f>'Purchase Order Tracker'!K199</f>
        <v/>
      </c>
    </row>
    <row r="200">
      <c r="A200" s="12">
        <f>'Purchase Order Tracker'!B200</f>
        <v/>
      </c>
      <c r="B200" s="12">
        <f>'Purchase Order Tracker'!A200</f>
        <v/>
      </c>
      <c r="C200" s="12">
        <f>'Purchase Order Tracker'!C200</f>
        <v/>
      </c>
      <c r="D200" s="12">
        <f>'Purchase Order Tracker'!D200</f>
        <v/>
      </c>
      <c r="E200" s="12">
        <f>'Purchase Order Tracker'!E200</f>
        <v/>
      </c>
      <c r="F200" s="12">
        <f>'Purchase Order Tracker'!J200</f>
        <v/>
      </c>
      <c r="G200" s="12">
        <f>'Purchase Order Tracker'!H200</f>
        <v/>
      </c>
      <c r="H200" s="12">
        <f>'Purchase Order Tracker'!N200</f>
        <v/>
      </c>
      <c r="I200" s="12">
        <f>'Purchase Order Tracker'!O200</f>
        <v/>
      </c>
      <c r="J200" s="12">
        <f>'Purchase Order Tracker'!K200</f>
        <v/>
      </c>
    </row>
    <row r="201">
      <c r="A201">
        <f>'Purchase Order Tracker'!B201</f>
        <v/>
      </c>
      <c r="B201">
        <f>'Purchase Order Tracker'!A201</f>
        <v/>
      </c>
      <c r="C201">
        <f>'Purchase Order Tracker'!C201</f>
        <v/>
      </c>
      <c r="D201">
        <f>'Purchase Order Tracker'!D201</f>
        <v/>
      </c>
      <c r="E201">
        <f>'Purchase Order Tracker'!E201</f>
        <v/>
      </c>
      <c r="F201">
        <f>'Purchase Order Tracker'!J201</f>
        <v/>
      </c>
      <c r="G201">
        <f>'Purchase Order Tracker'!H201</f>
        <v/>
      </c>
      <c r="H201">
        <f>'Purchase Order Tracker'!N201</f>
        <v/>
      </c>
      <c r="I201">
        <f>'Purchase Order Tracker'!O201</f>
        <v/>
      </c>
      <c r="J201">
        <f>'Purchase Order Tracker'!K201</f>
        <v/>
      </c>
    </row>
    <row r="202">
      <c r="A202" s="12">
        <f>'Purchase Order Tracker'!B202</f>
        <v/>
      </c>
      <c r="B202" s="12">
        <f>'Purchase Order Tracker'!A202</f>
        <v/>
      </c>
      <c r="C202" s="12">
        <f>'Purchase Order Tracker'!C202</f>
        <v/>
      </c>
      <c r="D202" s="12">
        <f>'Purchase Order Tracker'!D202</f>
        <v/>
      </c>
      <c r="E202" s="12">
        <f>'Purchase Order Tracker'!E202</f>
        <v/>
      </c>
      <c r="F202" s="12">
        <f>'Purchase Order Tracker'!J202</f>
        <v/>
      </c>
      <c r="G202" s="12">
        <f>'Purchase Order Tracker'!H202</f>
        <v/>
      </c>
      <c r="H202" s="12">
        <f>'Purchase Order Tracker'!N202</f>
        <v/>
      </c>
      <c r="I202" s="12">
        <f>'Purchase Order Tracker'!O202</f>
        <v/>
      </c>
      <c r="J202" s="12">
        <f>'Purchase Order Tracker'!K202</f>
        <v/>
      </c>
    </row>
    <row r="203">
      <c r="A203">
        <f>'Purchase Order Tracker'!B203</f>
        <v/>
      </c>
      <c r="B203">
        <f>'Purchase Order Tracker'!A203</f>
        <v/>
      </c>
      <c r="C203">
        <f>'Purchase Order Tracker'!C203</f>
        <v/>
      </c>
      <c r="D203">
        <f>'Purchase Order Tracker'!D203</f>
        <v/>
      </c>
      <c r="E203">
        <f>'Purchase Order Tracker'!E203</f>
        <v/>
      </c>
      <c r="F203">
        <f>'Purchase Order Tracker'!J203</f>
        <v/>
      </c>
      <c r="G203">
        <f>'Purchase Order Tracker'!H203</f>
        <v/>
      </c>
      <c r="H203">
        <f>'Purchase Order Tracker'!N203</f>
        <v/>
      </c>
      <c r="I203">
        <f>'Purchase Order Tracker'!O203</f>
        <v/>
      </c>
      <c r="J203">
        <f>'Purchase Order Tracker'!K203</f>
        <v/>
      </c>
    </row>
    <row r="204">
      <c r="A204" s="12">
        <f>'Purchase Order Tracker'!B204</f>
        <v/>
      </c>
      <c r="B204" s="12">
        <f>'Purchase Order Tracker'!A204</f>
        <v/>
      </c>
      <c r="C204" s="12">
        <f>'Purchase Order Tracker'!C204</f>
        <v/>
      </c>
      <c r="D204" s="12">
        <f>'Purchase Order Tracker'!D204</f>
        <v/>
      </c>
      <c r="E204" s="12">
        <f>'Purchase Order Tracker'!E204</f>
        <v/>
      </c>
      <c r="F204" s="12">
        <f>'Purchase Order Tracker'!J204</f>
        <v/>
      </c>
      <c r="G204" s="12">
        <f>'Purchase Order Tracker'!H204</f>
        <v/>
      </c>
      <c r="H204" s="12">
        <f>'Purchase Order Tracker'!N204</f>
        <v/>
      </c>
      <c r="I204" s="12">
        <f>'Purchase Order Tracker'!O204</f>
        <v/>
      </c>
      <c r="J204" s="12">
        <f>'Purchase Order Tracker'!K204</f>
        <v/>
      </c>
    </row>
    <row r="205">
      <c r="A205">
        <f>'Purchase Order Tracker'!B205</f>
        <v/>
      </c>
      <c r="B205">
        <f>'Purchase Order Tracker'!A205</f>
        <v/>
      </c>
      <c r="C205">
        <f>'Purchase Order Tracker'!C205</f>
        <v/>
      </c>
      <c r="D205">
        <f>'Purchase Order Tracker'!D205</f>
        <v/>
      </c>
      <c r="E205">
        <f>'Purchase Order Tracker'!E205</f>
        <v/>
      </c>
      <c r="F205">
        <f>'Purchase Order Tracker'!J205</f>
        <v/>
      </c>
      <c r="G205">
        <f>'Purchase Order Tracker'!H205</f>
        <v/>
      </c>
      <c r="H205">
        <f>'Purchase Order Tracker'!N205</f>
        <v/>
      </c>
      <c r="I205">
        <f>'Purchase Order Tracker'!O205</f>
        <v/>
      </c>
      <c r="J205">
        <f>'Purchase Order Tracker'!K205</f>
        <v/>
      </c>
    </row>
    <row r="206">
      <c r="A206" s="12">
        <f>'Purchase Order Tracker'!B206</f>
        <v/>
      </c>
      <c r="B206" s="12">
        <f>'Purchase Order Tracker'!A206</f>
        <v/>
      </c>
      <c r="C206" s="12">
        <f>'Purchase Order Tracker'!C206</f>
        <v/>
      </c>
      <c r="D206" s="12">
        <f>'Purchase Order Tracker'!D206</f>
        <v/>
      </c>
      <c r="E206" s="12">
        <f>'Purchase Order Tracker'!E206</f>
        <v/>
      </c>
      <c r="F206" s="12">
        <f>'Purchase Order Tracker'!J206</f>
        <v/>
      </c>
      <c r="G206" s="12">
        <f>'Purchase Order Tracker'!H206</f>
        <v/>
      </c>
      <c r="H206" s="12">
        <f>'Purchase Order Tracker'!N206</f>
        <v/>
      </c>
      <c r="I206" s="12">
        <f>'Purchase Order Tracker'!O206</f>
        <v/>
      </c>
      <c r="J206" s="12">
        <f>'Purchase Order Tracker'!K206</f>
        <v/>
      </c>
    </row>
    <row r="207">
      <c r="A207">
        <f>'Purchase Order Tracker'!B207</f>
        <v/>
      </c>
      <c r="B207">
        <f>'Purchase Order Tracker'!A207</f>
        <v/>
      </c>
      <c r="C207">
        <f>'Purchase Order Tracker'!C207</f>
        <v/>
      </c>
      <c r="D207">
        <f>'Purchase Order Tracker'!D207</f>
        <v/>
      </c>
      <c r="E207">
        <f>'Purchase Order Tracker'!E207</f>
        <v/>
      </c>
      <c r="F207">
        <f>'Purchase Order Tracker'!J207</f>
        <v/>
      </c>
      <c r="G207">
        <f>'Purchase Order Tracker'!H207</f>
        <v/>
      </c>
      <c r="H207">
        <f>'Purchase Order Tracker'!N207</f>
        <v/>
      </c>
      <c r="I207">
        <f>'Purchase Order Tracker'!O207</f>
        <v/>
      </c>
      <c r="J207">
        <f>'Purchase Order Tracker'!K207</f>
        <v/>
      </c>
    </row>
    <row r="208">
      <c r="A208" s="12">
        <f>'Purchase Order Tracker'!B208</f>
        <v/>
      </c>
      <c r="B208" s="12">
        <f>'Purchase Order Tracker'!A208</f>
        <v/>
      </c>
      <c r="C208" s="12">
        <f>'Purchase Order Tracker'!C208</f>
        <v/>
      </c>
      <c r="D208" s="12">
        <f>'Purchase Order Tracker'!D208</f>
        <v/>
      </c>
      <c r="E208" s="12">
        <f>'Purchase Order Tracker'!E208</f>
        <v/>
      </c>
      <c r="F208" s="12">
        <f>'Purchase Order Tracker'!J208</f>
        <v/>
      </c>
      <c r="G208" s="12">
        <f>'Purchase Order Tracker'!H208</f>
        <v/>
      </c>
      <c r="H208" s="12">
        <f>'Purchase Order Tracker'!N208</f>
        <v/>
      </c>
      <c r="I208" s="12">
        <f>'Purchase Order Tracker'!O208</f>
        <v/>
      </c>
      <c r="J208" s="12">
        <f>'Purchase Order Tracker'!K208</f>
        <v/>
      </c>
    </row>
    <row r="209">
      <c r="A209">
        <f>'Purchase Order Tracker'!B209</f>
        <v/>
      </c>
      <c r="B209">
        <f>'Purchase Order Tracker'!A209</f>
        <v/>
      </c>
      <c r="C209">
        <f>'Purchase Order Tracker'!C209</f>
        <v/>
      </c>
      <c r="D209">
        <f>'Purchase Order Tracker'!D209</f>
        <v/>
      </c>
      <c r="E209">
        <f>'Purchase Order Tracker'!E209</f>
        <v/>
      </c>
      <c r="F209">
        <f>'Purchase Order Tracker'!J209</f>
        <v/>
      </c>
      <c r="G209">
        <f>'Purchase Order Tracker'!H209</f>
        <v/>
      </c>
      <c r="H209">
        <f>'Purchase Order Tracker'!N209</f>
        <v/>
      </c>
      <c r="I209">
        <f>'Purchase Order Tracker'!O209</f>
        <v/>
      </c>
      <c r="J209">
        <f>'Purchase Order Tracker'!K209</f>
        <v/>
      </c>
    </row>
    <row r="210">
      <c r="A210" s="12">
        <f>'Purchase Order Tracker'!B210</f>
        <v/>
      </c>
      <c r="B210" s="12">
        <f>'Purchase Order Tracker'!A210</f>
        <v/>
      </c>
      <c r="C210" s="12">
        <f>'Purchase Order Tracker'!C210</f>
        <v/>
      </c>
      <c r="D210" s="12">
        <f>'Purchase Order Tracker'!D210</f>
        <v/>
      </c>
      <c r="E210" s="12">
        <f>'Purchase Order Tracker'!E210</f>
        <v/>
      </c>
      <c r="F210" s="12">
        <f>'Purchase Order Tracker'!J210</f>
        <v/>
      </c>
      <c r="G210" s="12">
        <f>'Purchase Order Tracker'!H210</f>
        <v/>
      </c>
      <c r="H210" s="12">
        <f>'Purchase Order Tracker'!N210</f>
        <v/>
      </c>
      <c r="I210" s="12">
        <f>'Purchase Order Tracker'!O210</f>
        <v/>
      </c>
      <c r="J210" s="12">
        <f>'Purchase Order Tracker'!K210</f>
        <v/>
      </c>
    </row>
    <row r="211">
      <c r="A211">
        <f>'Purchase Order Tracker'!B211</f>
        <v/>
      </c>
      <c r="B211">
        <f>'Purchase Order Tracker'!A211</f>
        <v/>
      </c>
      <c r="C211">
        <f>'Purchase Order Tracker'!C211</f>
        <v/>
      </c>
      <c r="D211">
        <f>'Purchase Order Tracker'!D211</f>
        <v/>
      </c>
      <c r="E211">
        <f>'Purchase Order Tracker'!E211</f>
        <v/>
      </c>
      <c r="F211">
        <f>'Purchase Order Tracker'!J211</f>
        <v/>
      </c>
      <c r="G211">
        <f>'Purchase Order Tracker'!H211</f>
        <v/>
      </c>
      <c r="H211">
        <f>'Purchase Order Tracker'!N211</f>
        <v/>
      </c>
      <c r="I211">
        <f>'Purchase Order Tracker'!O211</f>
        <v/>
      </c>
      <c r="J211">
        <f>'Purchase Order Tracker'!K211</f>
        <v/>
      </c>
    </row>
    <row r="212">
      <c r="A212" s="12">
        <f>'Purchase Order Tracker'!B212</f>
        <v/>
      </c>
      <c r="B212" s="12">
        <f>'Purchase Order Tracker'!A212</f>
        <v/>
      </c>
      <c r="C212" s="12">
        <f>'Purchase Order Tracker'!C212</f>
        <v/>
      </c>
      <c r="D212" s="12">
        <f>'Purchase Order Tracker'!D212</f>
        <v/>
      </c>
      <c r="E212" s="12">
        <f>'Purchase Order Tracker'!E212</f>
        <v/>
      </c>
      <c r="F212" s="12">
        <f>'Purchase Order Tracker'!J212</f>
        <v/>
      </c>
      <c r="G212" s="12">
        <f>'Purchase Order Tracker'!H212</f>
        <v/>
      </c>
      <c r="H212" s="12">
        <f>'Purchase Order Tracker'!N212</f>
        <v/>
      </c>
      <c r="I212" s="12">
        <f>'Purchase Order Tracker'!O212</f>
        <v/>
      </c>
      <c r="J212" s="12">
        <f>'Purchase Order Tracker'!K212</f>
        <v/>
      </c>
    </row>
    <row r="213">
      <c r="A213">
        <f>'Purchase Order Tracker'!B213</f>
        <v/>
      </c>
      <c r="B213">
        <f>'Purchase Order Tracker'!A213</f>
        <v/>
      </c>
      <c r="C213">
        <f>'Purchase Order Tracker'!C213</f>
        <v/>
      </c>
      <c r="D213">
        <f>'Purchase Order Tracker'!D213</f>
        <v/>
      </c>
      <c r="E213">
        <f>'Purchase Order Tracker'!E213</f>
        <v/>
      </c>
      <c r="F213">
        <f>'Purchase Order Tracker'!J213</f>
        <v/>
      </c>
      <c r="G213">
        <f>'Purchase Order Tracker'!H213</f>
        <v/>
      </c>
      <c r="H213">
        <f>'Purchase Order Tracker'!N213</f>
        <v/>
      </c>
      <c r="I213">
        <f>'Purchase Order Tracker'!O213</f>
        <v/>
      </c>
      <c r="J213">
        <f>'Purchase Order Tracker'!K213</f>
        <v/>
      </c>
    </row>
    <row r="214">
      <c r="A214" s="12">
        <f>'Purchase Order Tracker'!B214</f>
        <v/>
      </c>
      <c r="B214" s="12">
        <f>'Purchase Order Tracker'!A214</f>
        <v/>
      </c>
      <c r="C214" s="12">
        <f>'Purchase Order Tracker'!C214</f>
        <v/>
      </c>
      <c r="D214" s="12">
        <f>'Purchase Order Tracker'!D214</f>
        <v/>
      </c>
      <c r="E214" s="12">
        <f>'Purchase Order Tracker'!E214</f>
        <v/>
      </c>
      <c r="F214" s="12">
        <f>'Purchase Order Tracker'!J214</f>
        <v/>
      </c>
      <c r="G214" s="12">
        <f>'Purchase Order Tracker'!H214</f>
        <v/>
      </c>
      <c r="H214" s="12">
        <f>'Purchase Order Tracker'!N214</f>
        <v/>
      </c>
      <c r="I214" s="12">
        <f>'Purchase Order Tracker'!O214</f>
        <v/>
      </c>
      <c r="J214" s="12">
        <f>'Purchase Order Tracker'!K214</f>
        <v/>
      </c>
    </row>
    <row r="215">
      <c r="A215">
        <f>'Purchase Order Tracker'!B215</f>
        <v/>
      </c>
      <c r="B215">
        <f>'Purchase Order Tracker'!A215</f>
        <v/>
      </c>
      <c r="C215">
        <f>'Purchase Order Tracker'!C215</f>
        <v/>
      </c>
      <c r="D215">
        <f>'Purchase Order Tracker'!D215</f>
        <v/>
      </c>
      <c r="E215">
        <f>'Purchase Order Tracker'!E215</f>
        <v/>
      </c>
      <c r="F215">
        <f>'Purchase Order Tracker'!J215</f>
        <v/>
      </c>
      <c r="G215">
        <f>'Purchase Order Tracker'!H215</f>
        <v/>
      </c>
      <c r="H215">
        <f>'Purchase Order Tracker'!N215</f>
        <v/>
      </c>
      <c r="I215">
        <f>'Purchase Order Tracker'!O215</f>
        <v/>
      </c>
      <c r="J215">
        <f>'Purchase Order Tracker'!K215</f>
        <v/>
      </c>
    </row>
    <row r="216">
      <c r="A216" s="12">
        <f>'Purchase Order Tracker'!B216</f>
        <v/>
      </c>
      <c r="B216" s="12">
        <f>'Purchase Order Tracker'!A216</f>
        <v/>
      </c>
      <c r="C216" s="12">
        <f>'Purchase Order Tracker'!C216</f>
        <v/>
      </c>
      <c r="D216" s="12">
        <f>'Purchase Order Tracker'!D216</f>
        <v/>
      </c>
      <c r="E216" s="12">
        <f>'Purchase Order Tracker'!E216</f>
        <v/>
      </c>
      <c r="F216" s="12">
        <f>'Purchase Order Tracker'!J216</f>
        <v/>
      </c>
      <c r="G216" s="12">
        <f>'Purchase Order Tracker'!H216</f>
        <v/>
      </c>
      <c r="H216" s="12">
        <f>'Purchase Order Tracker'!N216</f>
        <v/>
      </c>
      <c r="I216" s="12">
        <f>'Purchase Order Tracker'!O216</f>
        <v/>
      </c>
      <c r="J216" s="12">
        <f>'Purchase Order Tracker'!K216</f>
        <v/>
      </c>
    </row>
    <row r="217">
      <c r="A217">
        <f>'Purchase Order Tracker'!B217</f>
        <v/>
      </c>
      <c r="B217">
        <f>'Purchase Order Tracker'!A217</f>
        <v/>
      </c>
      <c r="C217">
        <f>'Purchase Order Tracker'!C217</f>
        <v/>
      </c>
      <c r="D217">
        <f>'Purchase Order Tracker'!D217</f>
        <v/>
      </c>
      <c r="E217">
        <f>'Purchase Order Tracker'!E217</f>
        <v/>
      </c>
      <c r="F217">
        <f>'Purchase Order Tracker'!J217</f>
        <v/>
      </c>
      <c r="G217">
        <f>'Purchase Order Tracker'!H217</f>
        <v/>
      </c>
      <c r="H217">
        <f>'Purchase Order Tracker'!N217</f>
        <v/>
      </c>
      <c r="I217">
        <f>'Purchase Order Tracker'!O217</f>
        <v/>
      </c>
      <c r="J217">
        <f>'Purchase Order Tracker'!K217</f>
        <v/>
      </c>
    </row>
    <row r="218">
      <c r="A218" s="12">
        <f>'Purchase Order Tracker'!B218</f>
        <v/>
      </c>
      <c r="B218" s="12">
        <f>'Purchase Order Tracker'!A218</f>
        <v/>
      </c>
      <c r="C218" s="12">
        <f>'Purchase Order Tracker'!C218</f>
        <v/>
      </c>
      <c r="D218" s="12">
        <f>'Purchase Order Tracker'!D218</f>
        <v/>
      </c>
      <c r="E218" s="12">
        <f>'Purchase Order Tracker'!E218</f>
        <v/>
      </c>
      <c r="F218" s="12">
        <f>'Purchase Order Tracker'!J218</f>
        <v/>
      </c>
      <c r="G218" s="12">
        <f>'Purchase Order Tracker'!H218</f>
        <v/>
      </c>
      <c r="H218" s="12">
        <f>'Purchase Order Tracker'!N218</f>
        <v/>
      </c>
      <c r="I218" s="12">
        <f>'Purchase Order Tracker'!O218</f>
        <v/>
      </c>
      <c r="J218" s="12">
        <f>'Purchase Order Tracker'!K218</f>
        <v/>
      </c>
    </row>
    <row r="219">
      <c r="A219">
        <f>'Purchase Order Tracker'!B219</f>
        <v/>
      </c>
      <c r="B219">
        <f>'Purchase Order Tracker'!A219</f>
        <v/>
      </c>
      <c r="C219">
        <f>'Purchase Order Tracker'!C219</f>
        <v/>
      </c>
      <c r="D219">
        <f>'Purchase Order Tracker'!D219</f>
        <v/>
      </c>
      <c r="E219">
        <f>'Purchase Order Tracker'!E219</f>
        <v/>
      </c>
      <c r="F219">
        <f>'Purchase Order Tracker'!J219</f>
        <v/>
      </c>
      <c r="G219">
        <f>'Purchase Order Tracker'!H219</f>
        <v/>
      </c>
      <c r="H219">
        <f>'Purchase Order Tracker'!N219</f>
        <v/>
      </c>
      <c r="I219">
        <f>'Purchase Order Tracker'!O219</f>
        <v/>
      </c>
      <c r="J219">
        <f>'Purchase Order Tracker'!K219</f>
        <v/>
      </c>
    </row>
    <row r="220">
      <c r="A220" s="12">
        <f>'Purchase Order Tracker'!B220</f>
        <v/>
      </c>
      <c r="B220" s="12">
        <f>'Purchase Order Tracker'!A220</f>
        <v/>
      </c>
      <c r="C220" s="12">
        <f>'Purchase Order Tracker'!C220</f>
        <v/>
      </c>
      <c r="D220" s="12">
        <f>'Purchase Order Tracker'!D220</f>
        <v/>
      </c>
      <c r="E220" s="12">
        <f>'Purchase Order Tracker'!E220</f>
        <v/>
      </c>
      <c r="F220" s="12">
        <f>'Purchase Order Tracker'!J220</f>
        <v/>
      </c>
      <c r="G220" s="12">
        <f>'Purchase Order Tracker'!H220</f>
        <v/>
      </c>
      <c r="H220" s="12">
        <f>'Purchase Order Tracker'!N220</f>
        <v/>
      </c>
      <c r="I220" s="12">
        <f>'Purchase Order Tracker'!O220</f>
        <v/>
      </c>
      <c r="J220" s="12">
        <f>'Purchase Order Tracker'!K220</f>
        <v/>
      </c>
    </row>
    <row r="221">
      <c r="A221">
        <f>'Purchase Order Tracker'!B221</f>
        <v/>
      </c>
      <c r="B221">
        <f>'Purchase Order Tracker'!A221</f>
        <v/>
      </c>
      <c r="C221">
        <f>'Purchase Order Tracker'!C221</f>
        <v/>
      </c>
      <c r="D221">
        <f>'Purchase Order Tracker'!D221</f>
        <v/>
      </c>
      <c r="E221">
        <f>'Purchase Order Tracker'!E221</f>
        <v/>
      </c>
      <c r="F221">
        <f>'Purchase Order Tracker'!J221</f>
        <v/>
      </c>
      <c r="G221">
        <f>'Purchase Order Tracker'!H221</f>
        <v/>
      </c>
      <c r="H221">
        <f>'Purchase Order Tracker'!N221</f>
        <v/>
      </c>
      <c r="I221">
        <f>'Purchase Order Tracker'!O221</f>
        <v/>
      </c>
      <c r="J221">
        <f>'Purchase Order Tracker'!K221</f>
        <v/>
      </c>
    </row>
    <row r="222">
      <c r="A222" s="12">
        <f>'Purchase Order Tracker'!B222</f>
        <v/>
      </c>
      <c r="B222" s="12">
        <f>'Purchase Order Tracker'!A222</f>
        <v/>
      </c>
      <c r="C222" s="12">
        <f>'Purchase Order Tracker'!C222</f>
        <v/>
      </c>
      <c r="D222" s="12">
        <f>'Purchase Order Tracker'!D222</f>
        <v/>
      </c>
      <c r="E222" s="12">
        <f>'Purchase Order Tracker'!E222</f>
        <v/>
      </c>
      <c r="F222" s="12">
        <f>'Purchase Order Tracker'!J222</f>
        <v/>
      </c>
      <c r="G222" s="12">
        <f>'Purchase Order Tracker'!H222</f>
        <v/>
      </c>
      <c r="H222" s="12">
        <f>'Purchase Order Tracker'!N222</f>
        <v/>
      </c>
      <c r="I222" s="12">
        <f>'Purchase Order Tracker'!O222</f>
        <v/>
      </c>
      <c r="J222" s="12">
        <f>'Purchase Order Tracker'!K222</f>
        <v/>
      </c>
    </row>
    <row r="223">
      <c r="A223">
        <f>'Purchase Order Tracker'!B223</f>
        <v/>
      </c>
      <c r="B223">
        <f>'Purchase Order Tracker'!A223</f>
        <v/>
      </c>
      <c r="C223">
        <f>'Purchase Order Tracker'!C223</f>
        <v/>
      </c>
      <c r="D223">
        <f>'Purchase Order Tracker'!D223</f>
        <v/>
      </c>
      <c r="E223">
        <f>'Purchase Order Tracker'!E223</f>
        <v/>
      </c>
      <c r="F223">
        <f>'Purchase Order Tracker'!J223</f>
        <v/>
      </c>
      <c r="G223">
        <f>'Purchase Order Tracker'!H223</f>
        <v/>
      </c>
      <c r="H223">
        <f>'Purchase Order Tracker'!N223</f>
        <v/>
      </c>
      <c r="I223">
        <f>'Purchase Order Tracker'!O223</f>
        <v/>
      </c>
      <c r="J223">
        <f>'Purchase Order Tracker'!K223</f>
        <v/>
      </c>
    </row>
    <row r="224">
      <c r="A224" s="12">
        <f>'Purchase Order Tracker'!B224</f>
        <v/>
      </c>
      <c r="B224" s="12">
        <f>'Purchase Order Tracker'!A224</f>
        <v/>
      </c>
      <c r="C224" s="12">
        <f>'Purchase Order Tracker'!C224</f>
        <v/>
      </c>
      <c r="D224" s="12">
        <f>'Purchase Order Tracker'!D224</f>
        <v/>
      </c>
      <c r="E224" s="12">
        <f>'Purchase Order Tracker'!E224</f>
        <v/>
      </c>
      <c r="F224" s="12">
        <f>'Purchase Order Tracker'!J224</f>
        <v/>
      </c>
      <c r="G224" s="12">
        <f>'Purchase Order Tracker'!H224</f>
        <v/>
      </c>
      <c r="H224" s="12">
        <f>'Purchase Order Tracker'!N224</f>
        <v/>
      </c>
      <c r="I224" s="12">
        <f>'Purchase Order Tracker'!O224</f>
        <v/>
      </c>
      <c r="J224" s="12">
        <f>'Purchase Order Tracker'!K224</f>
        <v/>
      </c>
    </row>
    <row r="225">
      <c r="A225">
        <f>'Purchase Order Tracker'!B225</f>
        <v/>
      </c>
      <c r="B225">
        <f>'Purchase Order Tracker'!A225</f>
        <v/>
      </c>
      <c r="C225">
        <f>'Purchase Order Tracker'!C225</f>
        <v/>
      </c>
      <c r="D225">
        <f>'Purchase Order Tracker'!D225</f>
        <v/>
      </c>
      <c r="E225">
        <f>'Purchase Order Tracker'!E225</f>
        <v/>
      </c>
      <c r="F225">
        <f>'Purchase Order Tracker'!J225</f>
        <v/>
      </c>
      <c r="G225">
        <f>'Purchase Order Tracker'!H225</f>
        <v/>
      </c>
      <c r="H225">
        <f>'Purchase Order Tracker'!N225</f>
        <v/>
      </c>
      <c r="I225">
        <f>'Purchase Order Tracker'!O225</f>
        <v/>
      </c>
      <c r="J225">
        <f>'Purchase Order Tracker'!K225</f>
        <v/>
      </c>
    </row>
    <row r="226">
      <c r="A226" s="12">
        <f>'Purchase Order Tracker'!B226</f>
        <v/>
      </c>
      <c r="B226" s="12">
        <f>'Purchase Order Tracker'!A226</f>
        <v/>
      </c>
      <c r="C226" s="12">
        <f>'Purchase Order Tracker'!C226</f>
        <v/>
      </c>
      <c r="D226" s="12">
        <f>'Purchase Order Tracker'!D226</f>
        <v/>
      </c>
      <c r="E226" s="12">
        <f>'Purchase Order Tracker'!E226</f>
        <v/>
      </c>
      <c r="F226" s="12">
        <f>'Purchase Order Tracker'!J226</f>
        <v/>
      </c>
      <c r="G226" s="12">
        <f>'Purchase Order Tracker'!H226</f>
        <v/>
      </c>
      <c r="H226" s="12">
        <f>'Purchase Order Tracker'!N226</f>
        <v/>
      </c>
      <c r="I226" s="12">
        <f>'Purchase Order Tracker'!O226</f>
        <v/>
      </c>
      <c r="J226" s="12">
        <f>'Purchase Order Tracker'!K226</f>
        <v/>
      </c>
    </row>
    <row r="227">
      <c r="A227">
        <f>'Purchase Order Tracker'!B227</f>
        <v/>
      </c>
      <c r="B227">
        <f>'Purchase Order Tracker'!A227</f>
        <v/>
      </c>
      <c r="C227">
        <f>'Purchase Order Tracker'!C227</f>
        <v/>
      </c>
      <c r="D227">
        <f>'Purchase Order Tracker'!D227</f>
        <v/>
      </c>
      <c r="E227">
        <f>'Purchase Order Tracker'!E227</f>
        <v/>
      </c>
      <c r="F227">
        <f>'Purchase Order Tracker'!J227</f>
        <v/>
      </c>
      <c r="G227">
        <f>'Purchase Order Tracker'!H227</f>
        <v/>
      </c>
      <c r="H227">
        <f>'Purchase Order Tracker'!N227</f>
        <v/>
      </c>
      <c r="I227">
        <f>'Purchase Order Tracker'!O227</f>
        <v/>
      </c>
      <c r="J227">
        <f>'Purchase Order Tracker'!K227</f>
        <v/>
      </c>
    </row>
    <row r="228">
      <c r="A228" s="12">
        <f>'Purchase Order Tracker'!B228</f>
        <v/>
      </c>
      <c r="B228" s="12">
        <f>'Purchase Order Tracker'!A228</f>
        <v/>
      </c>
      <c r="C228" s="12">
        <f>'Purchase Order Tracker'!C228</f>
        <v/>
      </c>
      <c r="D228" s="12">
        <f>'Purchase Order Tracker'!D228</f>
        <v/>
      </c>
      <c r="E228" s="12">
        <f>'Purchase Order Tracker'!E228</f>
        <v/>
      </c>
      <c r="F228" s="12">
        <f>'Purchase Order Tracker'!J228</f>
        <v/>
      </c>
      <c r="G228" s="12">
        <f>'Purchase Order Tracker'!H228</f>
        <v/>
      </c>
      <c r="H228" s="12">
        <f>'Purchase Order Tracker'!N228</f>
        <v/>
      </c>
      <c r="I228" s="12">
        <f>'Purchase Order Tracker'!O228</f>
        <v/>
      </c>
      <c r="J228" s="12">
        <f>'Purchase Order Tracker'!K228</f>
        <v/>
      </c>
    </row>
    <row r="229">
      <c r="A229">
        <f>'Purchase Order Tracker'!B229</f>
        <v/>
      </c>
      <c r="B229">
        <f>'Purchase Order Tracker'!A229</f>
        <v/>
      </c>
      <c r="C229">
        <f>'Purchase Order Tracker'!C229</f>
        <v/>
      </c>
      <c r="D229">
        <f>'Purchase Order Tracker'!D229</f>
        <v/>
      </c>
      <c r="E229">
        <f>'Purchase Order Tracker'!E229</f>
        <v/>
      </c>
      <c r="F229">
        <f>'Purchase Order Tracker'!J229</f>
        <v/>
      </c>
      <c r="G229">
        <f>'Purchase Order Tracker'!H229</f>
        <v/>
      </c>
      <c r="H229">
        <f>'Purchase Order Tracker'!N229</f>
        <v/>
      </c>
      <c r="I229">
        <f>'Purchase Order Tracker'!O229</f>
        <v/>
      </c>
      <c r="J229">
        <f>'Purchase Order Tracker'!K229</f>
        <v/>
      </c>
    </row>
    <row r="230">
      <c r="A230" s="12">
        <f>'Purchase Order Tracker'!B230</f>
        <v/>
      </c>
      <c r="B230" s="12">
        <f>'Purchase Order Tracker'!A230</f>
        <v/>
      </c>
      <c r="C230" s="12">
        <f>'Purchase Order Tracker'!C230</f>
        <v/>
      </c>
      <c r="D230" s="12">
        <f>'Purchase Order Tracker'!D230</f>
        <v/>
      </c>
      <c r="E230" s="12">
        <f>'Purchase Order Tracker'!E230</f>
        <v/>
      </c>
      <c r="F230" s="12">
        <f>'Purchase Order Tracker'!J230</f>
        <v/>
      </c>
      <c r="G230" s="12">
        <f>'Purchase Order Tracker'!H230</f>
        <v/>
      </c>
      <c r="H230" s="12">
        <f>'Purchase Order Tracker'!N230</f>
        <v/>
      </c>
      <c r="I230" s="12">
        <f>'Purchase Order Tracker'!O230</f>
        <v/>
      </c>
      <c r="J230" s="12">
        <f>'Purchase Order Tracker'!K230</f>
        <v/>
      </c>
    </row>
    <row r="231">
      <c r="A231">
        <f>'Purchase Order Tracker'!B231</f>
        <v/>
      </c>
      <c r="B231">
        <f>'Purchase Order Tracker'!A231</f>
        <v/>
      </c>
      <c r="C231">
        <f>'Purchase Order Tracker'!C231</f>
        <v/>
      </c>
      <c r="D231">
        <f>'Purchase Order Tracker'!D231</f>
        <v/>
      </c>
      <c r="E231">
        <f>'Purchase Order Tracker'!E231</f>
        <v/>
      </c>
      <c r="F231">
        <f>'Purchase Order Tracker'!J231</f>
        <v/>
      </c>
      <c r="G231">
        <f>'Purchase Order Tracker'!H231</f>
        <v/>
      </c>
      <c r="H231">
        <f>'Purchase Order Tracker'!N231</f>
        <v/>
      </c>
      <c r="I231">
        <f>'Purchase Order Tracker'!O231</f>
        <v/>
      </c>
      <c r="J231">
        <f>'Purchase Order Tracker'!K231</f>
        <v/>
      </c>
    </row>
    <row r="232">
      <c r="A232" s="12">
        <f>'Purchase Order Tracker'!B232</f>
        <v/>
      </c>
      <c r="B232" s="12">
        <f>'Purchase Order Tracker'!A232</f>
        <v/>
      </c>
      <c r="C232" s="12">
        <f>'Purchase Order Tracker'!C232</f>
        <v/>
      </c>
      <c r="D232" s="12">
        <f>'Purchase Order Tracker'!D232</f>
        <v/>
      </c>
      <c r="E232" s="12">
        <f>'Purchase Order Tracker'!E232</f>
        <v/>
      </c>
      <c r="F232" s="12">
        <f>'Purchase Order Tracker'!J232</f>
        <v/>
      </c>
      <c r="G232" s="12">
        <f>'Purchase Order Tracker'!H232</f>
        <v/>
      </c>
      <c r="H232" s="12">
        <f>'Purchase Order Tracker'!N232</f>
        <v/>
      </c>
      <c r="I232" s="12">
        <f>'Purchase Order Tracker'!O232</f>
        <v/>
      </c>
      <c r="J232" s="12">
        <f>'Purchase Order Tracker'!K232</f>
        <v/>
      </c>
    </row>
    <row r="233">
      <c r="A233">
        <f>'Purchase Order Tracker'!B233</f>
        <v/>
      </c>
      <c r="B233">
        <f>'Purchase Order Tracker'!A233</f>
        <v/>
      </c>
      <c r="C233">
        <f>'Purchase Order Tracker'!C233</f>
        <v/>
      </c>
      <c r="D233">
        <f>'Purchase Order Tracker'!D233</f>
        <v/>
      </c>
      <c r="E233">
        <f>'Purchase Order Tracker'!E233</f>
        <v/>
      </c>
      <c r="F233">
        <f>'Purchase Order Tracker'!J233</f>
        <v/>
      </c>
      <c r="G233">
        <f>'Purchase Order Tracker'!H233</f>
        <v/>
      </c>
      <c r="H233">
        <f>'Purchase Order Tracker'!N233</f>
        <v/>
      </c>
      <c r="I233">
        <f>'Purchase Order Tracker'!O233</f>
        <v/>
      </c>
      <c r="J233">
        <f>'Purchase Order Tracker'!K233</f>
        <v/>
      </c>
    </row>
    <row r="234">
      <c r="A234" s="12">
        <f>'Purchase Order Tracker'!B234</f>
        <v/>
      </c>
      <c r="B234" s="12">
        <f>'Purchase Order Tracker'!A234</f>
        <v/>
      </c>
      <c r="C234" s="12">
        <f>'Purchase Order Tracker'!C234</f>
        <v/>
      </c>
      <c r="D234" s="12">
        <f>'Purchase Order Tracker'!D234</f>
        <v/>
      </c>
      <c r="E234" s="12">
        <f>'Purchase Order Tracker'!E234</f>
        <v/>
      </c>
      <c r="F234" s="12">
        <f>'Purchase Order Tracker'!J234</f>
        <v/>
      </c>
      <c r="G234" s="12">
        <f>'Purchase Order Tracker'!H234</f>
        <v/>
      </c>
      <c r="H234" s="12">
        <f>'Purchase Order Tracker'!N234</f>
        <v/>
      </c>
      <c r="I234" s="12">
        <f>'Purchase Order Tracker'!O234</f>
        <v/>
      </c>
      <c r="J234" s="12">
        <f>'Purchase Order Tracker'!K234</f>
        <v/>
      </c>
    </row>
    <row r="235">
      <c r="A235">
        <f>'Purchase Order Tracker'!B235</f>
        <v/>
      </c>
      <c r="B235">
        <f>'Purchase Order Tracker'!A235</f>
        <v/>
      </c>
      <c r="C235">
        <f>'Purchase Order Tracker'!C235</f>
        <v/>
      </c>
      <c r="D235">
        <f>'Purchase Order Tracker'!D235</f>
        <v/>
      </c>
      <c r="E235">
        <f>'Purchase Order Tracker'!E235</f>
        <v/>
      </c>
      <c r="F235">
        <f>'Purchase Order Tracker'!J235</f>
        <v/>
      </c>
      <c r="G235">
        <f>'Purchase Order Tracker'!H235</f>
        <v/>
      </c>
      <c r="H235">
        <f>'Purchase Order Tracker'!N235</f>
        <v/>
      </c>
      <c r="I235">
        <f>'Purchase Order Tracker'!O235</f>
        <v/>
      </c>
      <c r="J235">
        <f>'Purchase Order Tracker'!K235</f>
        <v/>
      </c>
    </row>
    <row r="236">
      <c r="A236" s="12">
        <f>'Purchase Order Tracker'!B236</f>
        <v/>
      </c>
      <c r="B236" s="12">
        <f>'Purchase Order Tracker'!A236</f>
        <v/>
      </c>
      <c r="C236" s="12">
        <f>'Purchase Order Tracker'!C236</f>
        <v/>
      </c>
      <c r="D236" s="12">
        <f>'Purchase Order Tracker'!D236</f>
        <v/>
      </c>
      <c r="E236" s="12">
        <f>'Purchase Order Tracker'!E236</f>
        <v/>
      </c>
      <c r="F236" s="12">
        <f>'Purchase Order Tracker'!J236</f>
        <v/>
      </c>
      <c r="G236" s="12">
        <f>'Purchase Order Tracker'!H236</f>
        <v/>
      </c>
      <c r="H236" s="12">
        <f>'Purchase Order Tracker'!N236</f>
        <v/>
      </c>
      <c r="I236" s="12">
        <f>'Purchase Order Tracker'!O236</f>
        <v/>
      </c>
      <c r="J236" s="12">
        <f>'Purchase Order Tracker'!K236</f>
        <v/>
      </c>
    </row>
    <row r="237">
      <c r="A237">
        <f>'Purchase Order Tracker'!B237</f>
        <v/>
      </c>
      <c r="B237">
        <f>'Purchase Order Tracker'!A237</f>
        <v/>
      </c>
      <c r="C237">
        <f>'Purchase Order Tracker'!C237</f>
        <v/>
      </c>
      <c r="D237">
        <f>'Purchase Order Tracker'!D237</f>
        <v/>
      </c>
      <c r="E237">
        <f>'Purchase Order Tracker'!E237</f>
        <v/>
      </c>
      <c r="F237">
        <f>'Purchase Order Tracker'!J237</f>
        <v/>
      </c>
      <c r="G237">
        <f>'Purchase Order Tracker'!H237</f>
        <v/>
      </c>
      <c r="H237">
        <f>'Purchase Order Tracker'!N237</f>
        <v/>
      </c>
      <c r="I237">
        <f>'Purchase Order Tracker'!O237</f>
        <v/>
      </c>
      <c r="J237">
        <f>'Purchase Order Tracker'!K237</f>
        <v/>
      </c>
    </row>
    <row r="238">
      <c r="A238" s="12">
        <f>'Purchase Order Tracker'!B238</f>
        <v/>
      </c>
      <c r="B238" s="12">
        <f>'Purchase Order Tracker'!A238</f>
        <v/>
      </c>
      <c r="C238" s="12">
        <f>'Purchase Order Tracker'!C238</f>
        <v/>
      </c>
      <c r="D238" s="12">
        <f>'Purchase Order Tracker'!D238</f>
        <v/>
      </c>
      <c r="E238" s="12">
        <f>'Purchase Order Tracker'!E238</f>
        <v/>
      </c>
      <c r="F238" s="12">
        <f>'Purchase Order Tracker'!J238</f>
        <v/>
      </c>
      <c r="G238" s="12">
        <f>'Purchase Order Tracker'!H238</f>
        <v/>
      </c>
      <c r="H238" s="12">
        <f>'Purchase Order Tracker'!N238</f>
        <v/>
      </c>
      <c r="I238" s="12">
        <f>'Purchase Order Tracker'!O238</f>
        <v/>
      </c>
      <c r="J238" s="12">
        <f>'Purchase Order Tracker'!K238</f>
        <v/>
      </c>
    </row>
    <row r="239">
      <c r="A239">
        <f>'Purchase Order Tracker'!B239</f>
        <v/>
      </c>
      <c r="B239">
        <f>'Purchase Order Tracker'!A239</f>
        <v/>
      </c>
      <c r="C239">
        <f>'Purchase Order Tracker'!C239</f>
        <v/>
      </c>
      <c r="D239">
        <f>'Purchase Order Tracker'!D239</f>
        <v/>
      </c>
      <c r="E239">
        <f>'Purchase Order Tracker'!E239</f>
        <v/>
      </c>
      <c r="F239">
        <f>'Purchase Order Tracker'!J239</f>
        <v/>
      </c>
      <c r="G239">
        <f>'Purchase Order Tracker'!H239</f>
        <v/>
      </c>
      <c r="H239">
        <f>'Purchase Order Tracker'!N239</f>
        <v/>
      </c>
      <c r="I239">
        <f>'Purchase Order Tracker'!O239</f>
        <v/>
      </c>
      <c r="J239">
        <f>'Purchase Order Tracker'!K239</f>
        <v/>
      </c>
    </row>
    <row r="240">
      <c r="A240" s="12">
        <f>'Purchase Order Tracker'!B240</f>
        <v/>
      </c>
      <c r="B240" s="12">
        <f>'Purchase Order Tracker'!A240</f>
        <v/>
      </c>
      <c r="C240" s="12">
        <f>'Purchase Order Tracker'!C240</f>
        <v/>
      </c>
      <c r="D240" s="12">
        <f>'Purchase Order Tracker'!D240</f>
        <v/>
      </c>
      <c r="E240" s="12">
        <f>'Purchase Order Tracker'!E240</f>
        <v/>
      </c>
      <c r="F240" s="12">
        <f>'Purchase Order Tracker'!J240</f>
        <v/>
      </c>
      <c r="G240" s="12">
        <f>'Purchase Order Tracker'!H240</f>
        <v/>
      </c>
      <c r="H240" s="12">
        <f>'Purchase Order Tracker'!N240</f>
        <v/>
      </c>
      <c r="I240" s="12">
        <f>'Purchase Order Tracker'!O240</f>
        <v/>
      </c>
      <c r="J240" s="12">
        <f>'Purchase Order Tracker'!K240</f>
        <v/>
      </c>
    </row>
    <row r="241">
      <c r="A241">
        <f>'Purchase Order Tracker'!B241</f>
        <v/>
      </c>
      <c r="B241">
        <f>'Purchase Order Tracker'!A241</f>
        <v/>
      </c>
      <c r="C241">
        <f>'Purchase Order Tracker'!C241</f>
        <v/>
      </c>
      <c r="D241">
        <f>'Purchase Order Tracker'!D241</f>
        <v/>
      </c>
      <c r="E241">
        <f>'Purchase Order Tracker'!E241</f>
        <v/>
      </c>
      <c r="F241">
        <f>'Purchase Order Tracker'!J241</f>
        <v/>
      </c>
      <c r="G241">
        <f>'Purchase Order Tracker'!H241</f>
        <v/>
      </c>
      <c r="H241">
        <f>'Purchase Order Tracker'!N241</f>
        <v/>
      </c>
      <c r="I241">
        <f>'Purchase Order Tracker'!O241</f>
        <v/>
      </c>
      <c r="J241">
        <f>'Purchase Order Tracker'!K241</f>
        <v/>
      </c>
    </row>
    <row r="242">
      <c r="A242" s="12">
        <f>'Purchase Order Tracker'!B242</f>
        <v/>
      </c>
      <c r="B242" s="12">
        <f>'Purchase Order Tracker'!A242</f>
        <v/>
      </c>
      <c r="C242" s="12">
        <f>'Purchase Order Tracker'!C242</f>
        <v/>
      </c>
      <c r="D242" s="12">
        <f>'Purchase Order Tracker'!D242</f>
        <v/>
      </c>
      <c r="E242" s="12">
        <f>'Purchase Order Tracker'!E242</f>
        <v/>
      </c>
      <c r="F242" s="12">
        <f>'Purchase Order Tracker'!J242</f>
        <v/>
      </c>
      <c r="G242" s="12">
        <f>'Purchase Order Tracker'!H242</f>
        <v/>
      </c>
      <c r="H242" s="12">
        <f>'Purchase Order Tracker'!N242</f>
        <v/>
      </c>
      <c r="I242" s="12">
        <f>'Purchase Order Tracker'!O242</f>
        <v/>
      </c>
      <c r="J242" s="12">
        <f>'Purchase Order Tracker'!K242</f>
        <v/>
      </c>
    </row>
    <row r="243">
      <c r="A243">
        <f>'Purchase Order Tracker'!B243</f>
        <v/>
      </c>
      <c r="B243">
        <f>'Purchase Order Tracker'!A243</f>
        <v/>
      </c>
      <c r="C243">
        <f>'Purchase Order Tracker'!C243</f>
        <v/>
      </c>
      <c r="D243">
        <f>'Purchase Order Tracker'!D243</f>
        <v/>
      </c>
      <c r="E243">
        <f>'Purchase Order Tracker'!E243</f>
        <v/>
      </c>
      <c r="F243">
        <f>'Purchase Order Tracker'!J243</f>
        <v/>
      </c>
      <c r="G243">
        <f>'Purchase Order Tracker'!H243</f>
        <v/>
      </c>
      <c r="H243">
        <f>'Purchase Order Tracker'!N243</f>
        <v/>
      </c>
      <c r="I243">
        <f>'Purchase Order Tracker'!O243</f>
        <v/>
      </c>
      <c r="J243">
        <f>'Purchase Order Tracker'!K243</f>
        <v/>
      </c>
    </row>
    <row r="244">
      <c r="A244" s="12">
        <f>'Purchase Order Tracker'!B244</f>
        <v/>
      </c>
      <c r="B244" s="12">
        <f>'Purchase Order Tracker'!A244</f>
        <v/>
      </c>
      <c r="C244" s="12">
        <f>'Purchase Order Tracker'!C244</f>
        <v/>
      </c>
      <c r="D244" s="12">
        <f>'Purchase Order Tracker'!D244</f>
        <v/>
      </c>
      <c r="E244" s="12">
        <f>'Purchase Order Tracker'!E244</f>
        <v/>
      </c>
      <c r="F244" s="12">
        <f>'Purchase Order Tracker'!J244</f>
        <v/>
      </c>
      <c r="G244" s="12">
        <f>'Purchase Order Tracker'!H244</f>
        <v/>
      </c>
      <c r="H244" s="12">
        <f>'Purchase Order Tracker'!N244</f>
        <v/>
      </c>
      <c r="I244" s="12">
        <f>'Purchase Order Tracker'!O244</f>
        <v/>
      </c>
      <c r="J244" s="12">
        <f>'Purchase Order Tracker'!K244</f>
        <v/>
      </c>
    </row>
    <row r="245">
      <c r="A245">
        <f>'Purchase Order Tracker'!B245</f>
        <v/>
      </c>
      <c r="B245">
        <f>'Purchase Order Tracker'!A245</f>
        <v/>
      </c>
      <c r="C245">
        <f>'Purchase Order Tracker'!C245</f>
        <v/>
      </c>
      <c r="D245">
        <f>'Purchase Order Tracker'!D245</f>
        <v/>
      </c>
      <c r="E245">
        <f>'Purchase Order Tracker'!E245</f>
        <v/>
      </c>
      <c r="F245">
        <f>'Purchase Order Tracker'!J245</f>
        <v/>
      </c>
      <c r="G245">
        <f>'Purchase Order Tracker'!H245</f>
        <v/>
      </c>
      <c r="H245">
        <f>'Purchase Order Tracker'!N245</f>
        <v/>
      </c>
      <c r="I245">
        <f>'Purchase Order Tracker'!O245</f>
        <v/>
      </c>
      <c r="J245">
        <f>'Purchase Order Tracker'!K245</f>
        <v/>
      </c>
    </row>
    <row r="246">
      <c r="A246" s="12">
        <f>'Purchase Order Tracker'!B246</f>
        <v/>
      </c>
      <c r="B246" s="12">
        <f>'Purchase Order Tracker'!A246</f>
        <v/>
      </c>
      <c r="C246" s="12">
        <f>'Purchase Order Tracker'!C246</f>
        <v/>
      </c>
      <c r="D246" s="12">
        <f>'Purchase Order Tracker'!D246</f>
        <v/>
      </c>
      <c r="E246" s="12">
        <f>'Purchase Order Tracker'!E246</f>
        <v/>
      </c>
      <c r="F246" s="12">
        <f>'Purchase Order Tracker'!J246</f>
        <v/>
      </c>
      <c r="G246" s="12">
        <f>'Purchase Order Tracker'!H246</f>
        <v/>
      </c>
      <c r="H246" s="12">
        <f>'Purchase Order Tracker'!N246</f>
        <v/>
      </c>
      <c r="I246" s="12">
        <f>'Purchase Order Tracker'!O246</f>
        <v/>
      </c>
      <c r="J246" s="12">
        <f>'Purchase Order Tracker'!K246</f>
        <v/>
      </c>
    </row>
    <row r="247">
      <c r="A247">
        <f>'Purchase Order Tracker'!B247</f>
        <v/>
      </c>
      <c r="B247">
        <f>'Purchase Order Tracker'!A247</f>
        <v/>
      </c>
      <c r="C247">
        <f>'Purchase Order Tracker'!C247</f>
        <v/>
      </c>
      <c r="D247">
        <f>'Purchase Order Tracker'!D247</f>
        <v/>
      </c>
      <c r="E247">
        <f>'Purchase Order Tracker'!E247</f>
        <v/>
      </c>
      <c r="F247">
        <f>'Purchase Order Tracker'!J247</f>
        <v/>
      </c>
      <c r="G247">
        <f>'Purchase Order Tracker'!H247</f>
        <v/>
      </c>
      <c r="H247">
        <f>'Purchase Order Tracker'!N247</f>
        <v/>
      </c>
      <c r="I247">
        <f>'Purchase Order Tracker'!O247</f>
        <v/>
      </c>
      <c r="J247">
        <f>'Purchase Order Tracker'!K247</f>
        <v/>
      </c>
    </row>
    <row r="248">
      <c r="A248" s="12">
        <f>'Purchase Order Tracker'!B248</f>
        <v/>
      </c>
      <c r="B248" s="12">
        <f>'Purchase Order Tracker'!A248</f>
        <v/>
      </c>
      <c r="C248" s="12">
        <f>'Purchase Order Tracker'!C248</f>
        <v/>
      </c>
      <c r="D248" s="12">
        <f>'Purchase Order Tracker'!D248</f>
        <v/>
      </c>
      <c r="E248" s="12">
        <f>'Purchase Order Tracker'!E248</f>
        <v/>
      </c>
      <c r="F248" s="12">
        <f>'Purchase Order Tracker'!J248</f>
        <v/>
      </c>
      <c r="G248" s="12">
        <f>'Purchase Order Tracker'!H248</f>
        <v/>
      </c>
      <c r="H248" s="12">
        <f>'Purchase Order Tracker'!N248</f>
        <v/>
      </c>
      <c r="I248" s="12">
        <f>'Purchase Order Tracker'!O248</f>
        <v/>
      </c>
      <c r="J248" s="12">
        <f>'Purchase Order Tracker'!K248</f>
        <v/>
      </c>
    </row>
    <row r="249">
      <c r="A249">
        <f>'Purchase Order Tracker'!B249</f>
        <v/>
      </c>
      <c r="B249">
        <f>'Purchase Order Tracker'!A249</f>
        <v/>
      </c>
      <c r="C249">
        <f>'Purchase Order Tracker'!C249</f>
        <v/>
      </c>
      <c r="D249">
        <f>'Purchase Order Tracker'!D249</f>
        <v/>
      </c>
      <c r="E249">
        <f>'Purchase Order Tracker'!E249</f>
        <v/>
      </c>
      <c r="F249">
        <f>'Purchase Order Tracker'!J249</f>
        <v/>
      </c>
      <c r="G249">
        <f>'Purchase Order Tracker'!H249</f>
        <v/>
      </c>
      <c r="H249">
        <f>'Purchase Order Tracker'!N249</f>
        <v/>
      </c>
      <c r="I249">
        <f>'Purchase Order Tracker'!O249</f>
        <v/>
      </c>
      <c r="J249">
        <f>'Purchase Order Tracker'!K249</f>
        <v/>
      </c>
    </row>
    <row r="250">
      <c r="A250" s="12">
        <f>'Purchase Order Tracker'!B250</f>
        <v/>
      </c>
      <c r="B250" s="12">
        <f>'Purchase Order Tracker'!A250</f>
        <v/>
      </c>
      <c r="C250" s="12">
        <f>'Purchase Order Tracker'!C250</f>
        <v/>
      </c>
      <c r="D250" s="12">
        <f>'Purchase Order Tracker'!D250</f>
        <v/>
      </c>
      <c r="E250" s="12">
        <f>'Purchase Order Tracker'!E250</f>
        <v/>
      </c>
      <c r="F250" s="12">
        <f>'Purchase Order Tracker'!J250</f>
        <v/>
      </c>
      <c r="G250" s="12">
        <f>'Purchase Order Tracker'!H250</f>
        <v/>
      </c>
      <c r="H250" s="12">
        <f>'Purchase Order Tracker'!N250</f>
        <v/>
      </c>
      <c r="I250" s="12">
        <f>'Purchase Order Tracker'!O250</f>
        <v/>
      </c>
      <c r="J250" s="12">
        <f>'Purchase Order Tracker'!K250</f>
        <v/>
      </c>
    </row>
    <row r="251">
      <c r="A251">
        <f>'Purchase Order Tracker'!B251</f>
        <v/>
      </c>
      <c r="B251">
        <f>'Purchase Order Tracker'!A251</f>
        <v/>
      </c>
      <c r="C251">
        <f>'Purchase Order Tracker'!C251</f>
        <v/>
      </c>
      <c r="D251">
        <f>'Purchase Order Tracker'!D251</f>
        <v/>
      </c>
      <c r="E251">
        <f>'Purchase Order Tracker'!E251</f>
        <v/>
      </c>
      <c r="F251">
        <f>'Purchase Order Tracker'!J251</f>
        <v/>
      </c>
      <c r="G251">
        <f>'Purchase Order Tracker'!H251</f>
        <v/>
      </c>
      <c r="H251">
        <f>'Purchase Order Tracker'!N251</f>
        <v/>
      </c>
      <c r="I251">
        <f>'Purchase Order Tracker'!O251</f>
        <v/>
      </c>
      <c r="J251">
        <f>'Purchase Order Tracker'!K251</f>
        <v/>
      </c>
    </row>
  </sheetData>
  <autoFilter ref="A1:J251"/>
  <conditionalFormatting sqref="A2:J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2" customHeight="1">
      <c r="A1" s="11" t="inlineStr">
        <is>
          <t>Room</t>
        </is>
      </c>
      <c r="B1" s="11" t="inlineStr">
        <is>
          <t>Item</t>
        </is>
      </c>
      <c r="C1" s="11" t="inlineStr">
        <is>
          <t>Vendor</t>
        </is>
      </c>
      <c r="D1" s="11" t="inlineStr">
        <is>
          <t>Delivery status</t>
        </is>
      </c>
      <c r="E1" s="11" t="inlineStr">
        <is>
          <t>Install date</t>
        </is>
      </c>
      <c r="F1" s="11" t="inlineStr">
        <is>
          <t>Installer</t>
        </is>
      </c>
      <c r="G1" s="11" t="inlineStr">
        <is>
          <t>Installation status</t>
        </is>
      </c>
      <c r="H1" s="11" t="inlineStr">
        <is>
          <t>Damage check</t>
        </is>
      </c>
      <c r="I1" s="11" t="inlineStr">
        <is>
          <t>Punch list notes</t>
        </is>
      </c>
      <c r="J1" s="11" t="inlineStr">
        <is>
          <t>Complete?</t>
        </is>
      </c>
    </row>
    <row r="2">
      <c r="A2" s="12">
        <f>'Delivery &amp; Installation'!B2</f>
        <v/>
      </c>
      <c r="B2" s="12">
        <f>'Delivery &amp; Installation'!A2</f>
        <v/>
      </c>
      <c r="C2" s="12">
        <f>'Delivery &amp; Installation'!C2</f>
        <v/>
      </c>
      <c r="D2" s="12">
        <f>'Delivery &amp; Installation'!G2</f>
        <v/>
      </c>
      <c r="E2" s="12">
        <f>'Delivery &amp; Installation'!L2</f>
        <v/>
      </c>
      <c r="F2" s="12">
        <f>'Delivery &amp; Installation'!M2</f>
        <v/>
      </c>
      <c r="G2" s="12">
        <f>'Delivery &amp; Installation'!N2</f>
        <v/>
      </c>
      <c r="H2" s="12">
        <f>'Delivery &amp; Installation'!I2</f>
        <v/>
      </c>
      <c r="I2" s="12">
        <f>'Delivery &amp; Installation'!O2</f>
        <v/>
      </c>
      <c r="J2" s="12">
        <f>IF(G2="Installed","Yes","No")</f>
        <v/>
      </c>
    </row>
    <row r="3">
      <c r="A3">
        <f>'Delivery &amp; Installation'!B3</f>
        <v/>
      </c>
      <c r="B3">
        <f>'Delivery &amp; Installation'!A3</f>
        <v/>
      </c>
      <c r="C3">
        <f>'Delivery &amp; Installation'!C3</f>
        <v/>
      </c>
      <c r="D3">
        <f>'Delivery &amp; Installation'!G3</f>
        <v/>
      </c>
      <c r="E3">
        <f>'Delivery &amp; Installation'!L3</f>
        <v/>
      </c>
      <c r="F3">
        <f>'Delivery &amp; Installation'!M3</f>
        <v/>
      </c>
      <c r="G3">
        <f>'Delivery &amp; Installation'!N3</f>
        <v/>
      </c>
      <c r="H3">
        <f>'Delivery &amp; Installation'!I3</f>
        <v/>
      </c>
      <c r="I3">
        <f>'Delivery &amp; Installation'!O3</f>
        <v/>
      </c>
      <c r="J3">
        <f>IF(G3="Installed","Yes","No")</f>
        <v/>
      </c>
    </row>
    <row r="4">
      <c r="A4" s="12">
        <f>'Delivery &amp; Installation'!B4</f>
        <v/>
      </c>
      <c r="B4" s="12">
        <f>'Delivery &amp; Installation'!A4</f>
        <v/>
      </c>
      <c r="C4" s="12">
        <f>'Delivery &amp; Installation'!C4</f>
        <v/>
      </c>
      <c r="D4" s="12">
        <f>'Delivery &amp; Installation'!G4</f>
        <v/>
      </c>
      <c r="E4" s="12">
        <f>'Delivery &amp; Installation'!L4</f>
        <v/>
      </c>
      <c r="F4" s="12">
        <f>'Delivery &amp; Installation'!M4</f>
        <v/>
      </c>
      <c r="G4" s="12">
        <f>'Delivery &amp; Installation'!N4</f>
        <v/>
      </c>
      <c r="H4" s="12">
        <f>'Delivery &amp; Installation'!I4</f>
        <v/>
      </c>
      <c r="I4" s="12">
        <f>'Delivery &amp; Installation'!O4</f>
        <v/>
      </c>
      <c r="J4" s="12">
        <f>IF(G4="Installed","Yes","No")</f>
        <v/>
      </c>
    </row>
    <row r="5">
      <c r="A5">
        <f>'Delivery &amp; Installation'!B5</f>
        <v/>
      </c>
      <c r="B5">
        <f>'Delivery &amp; Installation'!A5</f>
        <v/>
      </c>
      <c r="C5">
        <f>'Delivery &amp; Installation'!C5</f>
        <v/>
      </c>
      <c r="D5">
        <f>'Delivery &amp; Installation'!G5</f>
        <v/>
      </c>
      <c r="E5">
        <f>'Delivery &amp; Installation'!L5</f>
        <v/>
      </c>
      <c r="F5">
        <f>'Delivery &amp; Installation'!M5</f>
        <v/>
      </c>
      <c r="G5">
        <f>'Delivery &amp; Installation'!N5</f>
        <v/>
      </c>
      <c r="H5">
        <f>'Delivery &amp; Installation'!I5</f>
        <v/>
      </c>
      <c r="I5">
        <f>'Delivery &amp; Installation'!O5</f>
        <v/>
      </c>
      <c r="J5">
        <f>IF(G5="Installed","Yes","No")</f>
        <v/>
      </c>
    </row>
    <row r="6">
      <c r="A6" s="12">
        <f>'Delivery &amp; Installation'!B6</f>
        <v/>
      </c>
      <c r="B6" s="12">
        <f>'Delivery &amp; Installation'!A6</f>
        <v/>
      </c>
      <c r="C6" s="12">
        <f>'Delivery &amp; Installation'!C6</f>
        <v/>
      </c>
      <c r="D6" s="12">
        <f>'Delivery &amp; Installation'!G6</f>
        <v/>
      </c>
      <c r="E6" s="12">
        <f>'Delivery &amp; Installation'!L6</f>
        <v/>
      </c>
      <c r="F6" s="12">
        <f>'Delivery &amp; Installation'!M6</f>
        <v/>
      </c>
      <c r="G6" s="12">
        <f>'Delivery &amp; Installation'!N6</f>
        <v/>
      </c>
      <c r="H6" s="12">
        <f>'Delivery &amp; Installation'!I6</f>
        <v/>
      </c>
      <c r="I6" s="12">
        <f>'Delivery &amp; Installation'!O6</f>
        <v/>
      </c>
      <c r="J6" s="12">
        <f>IF(G6="Installed","Yes","No")</f>
        <v/>
      </c>
    </row>
    <row r="7">
      <c r="A7">
        <f>'Delivery &amp; Installation'!B7</f>
        <v/>
      </c>
      <c r="B7">
        <f>'Delivery &amp; Installation'!A7</f>
        <v/>
      </c>
      <c r="C7">
        <f>'Delivery &amp; Installation'!C7</f>
        <v/>
      </c>
      <c r="D7">
        <f>'Delivery &amp; Installation'!G7</f>
        <v/>
      </c>
      <c r="E7">
        <f>'Delivery &amp; Installation'!L7</f>
        <v/>
      </c>
      <c r="F7">
        <f>'Delivery &amp; Installation'!M7</f>
        <v/>
      </c>
      <c r="G7">
        <f>'Delivery &amp; Installation'!N7</f>
        <v/>
      </c>
      <c r="H7">
        <f>'Delivery &amp; Installation'!I7</f>
        <v/>
      </c>
      <c r="I7">
        <f>'Delivery &amp; Installation'!O7</f>
        <v/>
      </c>
      <c r="J7">
        <f>IF(G7="Installed","Yes","No")</f>
        <v/>
      </c>
    </row>
    <row r="8">
      <c r="A8" s="12">
        <f>'Delivery &amp; Installation'!B8</f>
        <v/>
      </c>
      <c r="B8" s="12">
        <f>'Delivery &amp; Installation'!A8</f>
        <v/>
      </c>
      <c r="C8" s="12">
        <f>'Delivery &amp; Installation'!C8</f>
        <v/>
      </c>
      <c r="D8" s="12">
        <f>'Delivery &amp; Installation'!G8</f>
        <v/>
      </c>
      <c r="E8" s="12">
        <f>'Delivery &amp; Installation'!L8</f>
        <v/>
      </c>
      <c r="F8" s="12">
        <f>'Delivery &amp; Installation'!M8</f>
        <v/>
      </c>
      <c r="G8" s="12">
        <f>'Delivery &amp; Installation'!N8</f>
        <v/>
      </c>
      <c r="H8" s="12">
        <f>'Delivery &amp; Installation'!I8</f>
        <v/>
      </c>
      <c r="I8" s="12">
        <f>'Delivery &amp; Installation'!O8</f>
        <v/>
      </c>
      <c r="J8" s="12">
        <f>IF(G8="Installed","Yes","No")</f>
        <v/>
      </c>
    </row>
    <row r="9">
      <c r="A9">
        <f>'Delivery &amp; Installation'!B9</f>
        <v/>
      </c>
      <c r="B9">
        <f>'Delivery &amp; Installation'!A9</f>
        <v/>
      </c>
      <c r="C9">
        <f>'Delivery &amp; Installation'!C9</f>
        <v/>
      </c>
      <c r="D9">
        <f>'Delivery &amp; Installation'!G9</f>
        <v/>
      </c>
      <c r="E9">
        <f>'Delivery &amp; Installation'!L9</f>
        <v/>
      </c>
      <c r="F9">
        <f>'Delivery &amp; Installation'!M9</f>
        <v/>
      </c>
      <c r="G9">
        <f>'Delivery &amp; Installation'!N9</f>
        <v/>
      </c>
      <c r="H9">
        <f>'Delivery &amp; Installation'!I9</f>
        <v/>
      </c>
      <c r="I9">
        <f>'Delivery &amp; Installation'!O9</f>
        <v/>
      </c>
      <c r="J9">
        <f>IF(G9="Installed","Yes","No")</f>
        <v/>
      </c>
    </row>
    <row r="10">
      <c r="A10" s="12">
        <f>'Delivery &amp; Installation'!B10</f>
        <v/>
      </c>
      <c r="B10" s="12">
        <f>'Delivery &amp; Installation'!A10</f>
        <v/>
      </c>
      <c r="C10" s="12">
        <f>'Delivery &amp; Installation'!C10</f>
        <v/>
      </c>
      <c r="D10" s="12">
        <f>'Delivery &amp; Installation'!G10</f>
        <v/>
      </c>
      <c r="E10" s="12">
        <f>'Delivery &amp; Installation'!L10</f>
        <v/>
      </c>
      <c r="F10" s="12">
        <f>'Delivery &amp; Installation'!M10</f>
        <v/>
      </c>
      <c r="G10" s="12">
        <f>'Delivery &amp; Installation'!N10</f>
        <v/>
      </c>
      <c r="H10" s="12">
        <f>'Delivery &amp; Installation'!I10</f>
        <v/>
      </c>
      <c r="I10" s="12">
        <f>'Delivery &amp; Installation'!O10</f>
        <v/>
      </c>
      <c r="J10" s="12">
        <f>IF(G10="Installed","Yes","No")</f>
        <v/>
      </c>
    </row>
    <row r="11">
      <c r="A11">
        <f>'Delivery &amp; Installation'!B11</f>
        <v/>
      </c>
      <c r="B11">
        <f>'Delivery &amp; Installation'!A11</f>
        <v/>
      </c>
      <c r="C11">
        <f>'Delivery &amp; Installation'!C11</f>
        <v/>
      </c>
      <c r="D11">
        <f>'Delivery &amp; Installation'!G11</f>
        <v/>
      </c>
      <c r="E11">
        <f>'Delivery &amp; Installation'!L11</f>
        <v/>
      </c>
      <c r="F11">
        <f>'Delivery &amp; Installation'!M11</f>
        <v/>
      </c>
      <c r="G11">
        <f>'Delivery &amp; Installation'!N11</f>
        <v/>
      </c>
      <c r="H11">
        <f>'Delivery &amp; Installation'!I11</f>
        <v/>
      </c>
      <c r="I11">
        <f>'Delivery &amp; Installation'!O11</f>
        <v/>
      </c>
      <c r="J11">
        <f>IF(G11="Installed","Yes","No")</f>
        <v/>
      </c>
    </row>
    <row r="12">
      <c r="A12" s="12">
        <f>'Delivery &amp; Installation'!B12</f>
        <v/>
      </c>
      <c r="B12" s="12">
        <f>'Delivery &amp; Installation'!A12</f>
        <v/>
      </c>
      <c r="C12" s="12">
        <f>'Delivery &amp; Installation'!C12</f>
        <v/>
      </c>
      <c r="D12" s="12">
        <f>'Delivery &amp; Installation'!G12</f>
        <v/>
      </c>
      <c r="E12" s="12">
        <f>'Delivery &amp; Installation'!L12</f>
        <v/>
      </c>
      <c r="F12" s="12">
        <f>'Delivery &amp; Installation'!M12</f>
        <v/>
      </c>
      <c r="G12" s="12">
        <f>'Delivery &amp; Installation'!N12</f>
        <v/>
      </c>
      <c r="H12" s="12">
        <f>'Delivery &amp; Installation'!I12</f>
        <v/>
      </c>
      <c r="I12" s="12">
        <f>'Delivery &amp; Installation'!O12</f>
        <v/>
      </c>
      <c r="J12" s="12">
        <f>IF(G12="Installed","Yes","No")</f>
        <v/>
      </c>
    </row>
    <row r="13">
      <c r="A13">
        <f>'Delivery &amp; Installation'!B13</f>
        <v/>
      </c>
      <c r="B13">
        <f>'Delivery &amp; Installation'!A13</f>
        <v/>
      </c>
      <c r="C13">
        <f>'Delivery &amp; Installation'!C13</f>
        <v/>
      </c>
      <c r="D13">
        <f>'Delivery &amp; Installation'!G13</f>
        <v/>
      </c>
      <c r="E13">
        <f>'Delivery &amp; Installation'!L13</f>
        <v/>
      </c>
      <c r="F13">
        <f>'Delivery &amp; Installation'!M13</f>
        <v/>
      </c>
      <c r="G13">
        <f>'Delivery &amp; Installation'!N13</f>
        <v/>
      </c>
      <c r="H13">
        <f>'Delivery &amp; Installation'!I13</f>
        <v/>
      </c>
      <c r="I13">
        <f>'Delivery &amp; Installation'!O13</f>
        <v/>
      </c>
      <c r="J13">
        <f>IF(G13="Installed","Yes","No")</f>
        <v/>
      </c>
    </row>
    <row r="14">
      <c r="A14" s="12">
        <f>'Delivery &amp; Installation'!B14</f>
        <v/>
      </c>
      <c r="B14" s="12">
        <f>'Delivery &amp; Installation'!A14</f>
        <v/>
      </c>
      <c r="C14" s="12">
        <f>'Delivery &amp; Installation'!C14</f>
        <v/>
      </c>
      <c r="D14" s="12">
        <f>'Delivery &amp; Installation'!G14</f>
        <v/>
      </c>
      <c r="E14" s="12">
        <f>'Delivery &amp; Installation'!L14</f>
        <v/>
      </c>
      <c r="F14" s="12">
        <f>'Delivery &amp; Installation'!M14</f>
        <v/>
      </c>
      <c r="G14" s="12">
        <f>'Delivery &amp; Installation'!N14</f>
        <v/>
      </c>
      <c r="H14" s="12">
        <f>'Delivery &amp; Installation'!I14</f>
        <v/>
      </c>
      <c r="I14" s="12">
        <f>'Delivery &amp; Installation'!O14</f>
        <v/>
      </c>
      <c r="J14" s="12">
        <f>IF(G14="Installed","Yes","No")</f>
        <v/>
      </c>
    </row>
    <row r="15">
      <c r="A15">
        <f>'Delivery &amp; Installation'!B15</f>
        <v/>
      </c>
      <c r="B15">
        <f>'Delivery &amp; Installation'!A15</f>
        <v/>
      </c>
      <c r="C15">
        <f>'Delivery &amp; Installation'!C15</f>
        <v/>
      </c>
      <c r="D15">
        <f>'Delivery &amp; Installation'!G15</f>
        <v/>
      </c>
      <c r="E15">
        <f>'Delivery &amp; Installation'!L15</f>
        <v/>
      </c>
      <c r="F15">
        <f>'Delivery &amp; Installation'!M15</f>
        <v/>
      </c>
      <c r="G15">
        <f>'Delivery &amp; Installation'!N15</f>
        <v/>
      </c>
      <c r="H15">
        <f>'Delivery &amp; Installation'!I15</f>
        <v/>
      </c>
      <c r="I15">
        <f>'Delivery &amp; Installation'!O15</f>
        <v/>
      </c>
      <c r="J15">
        <f>IF(G15="Installed","Yes","No")</f>
        <v/>
      </c>
    </row>
    <row r="16">
      <c r="A16" s="12">
        <f>'Delivery &amp; Installation'!B16</f>
        <v/>
      </c>
      <c r="B16" s="12">
        <f>'Delivery &amp; Installation'!A16</f>
        <v/>
      </c>
      <c r="C16" s="12">
        <f>'Delivery &amp; Installation'!C16</f>
        <v/>
      </c>
      <c r="D16" s="12">
        <f>'Delivery &amp; Installation'!G16</f>
        <v/>
      </c>
      <c r="E16" s="12">
        <f>'Delivery &amp; Installation'!L16</f>
        <v/>
      </c>
      <c r="F16" s="12">
        <f>'Delivery &amp; Installation'!M16</f>
        <v/>
      </c>
      <c r="G16" s="12">
        <f>'Delivery &amp; Installation'!N16</f>
        <v/>
      </c>
      <c r="H16" s="12">
        <f>'Delivery &amp; Installation'!I16</f>
        <v/>
      </c>
      <c r="I16" s="12">
        <f>'Delivery &amp; Installation'!O16</f>
        <v/>
      </c>
      <c r="J16" s="12">
        <f>IF(G16="Installed","Yes","No")</f>
        <v/>
      </c>
    </row>
    <row r="17">
      <c r="A17">
        <f>'Delivery &amp; Installation'!B17</f>
        <v/>
      </c>
      <c r="B17">
        <f>'Delivery &amp; Installation'!A17</f>
        <v/>
      </c>
      <c r="C17">
        <f>'Delivery &amp; Installation'!C17</f>
        <v/>
      </c>
      <c r="D17">
        <f>'Delivery &amp; Installation'!G17</f>
        <v/>
      </c>
      <c r="E17">
        <f>'Delivery &amp; Installation'!L17</f>
        <v/>
      </c>
      <c r="F17">
        <f>'Delivery &amp; Installation'!M17</f>
        <v/>
      </c>
      <c r="G17">
        <f>'Delivery &amp; Installation'!N17</f>
        <v/>
      </c>
      <c r="H17">
        <f>'Delivery &amp; Installation'!I17</f>
        <v/>
      </c>
      <c r="I17">
        <f>'Delivery &amp; Installation'!O17</f>
        <v/>
      </c>
      <c r="J17">
        <f>IF(G17="Installed","Yes","No")</f>
        <v/>
      </c>
    </row>
    <row r="18">
      <c r="A18" s="12">
        <f>'Delivery &amp; Installation'!B18</f>
        <v/>
      </c>
      <c r="B18" s="12">
        <f>'Delivery &amp; Installation'!A18</f>
        <v/>
      </c>
      <c r="C18" s="12">
        <f>'Delivery &amp; Installation'!C18</f>
        <v/>
      </c>
      <c r="D18" s="12">
        <f>'Delivery &amp; Installation'!G18</f>
        <v/>
      </c>
      <c r="E18" s="12">
        <f>'Delivery &amp; Installation'!L18</f>
        <v/>
      </c>
      <c r="F18" s="12">
        <f>'Delivery &amp; Installation'!M18</f>
        <v/>
      </c>
      <c r="G18" s="12">
        <f>'Delivery &amp; Installation'!N18</f>
        <v/>
      </c>
      <c r="H18" s="12">
        <f>'Delivery &amp; Installation'!I18</f>
        <v/>
      </c>
      <c r="I18" s="12">
        <f>'Delivery &amp; Installation'!O18</f>
        <v/>
      </c>
      <c r="J18" s="12">
        <f>IF(G18="Installed","Yes","No")</f>
        <v/>
      </c>
    </row>
    <row r="19">
      <c r="A19">
        <f>'Delivery &amp; Installation'!B19</f>
        <v/>
      </c>
      <c r="B19">
        <f>'Delivery &amp; Installation'!A19</f>
        <v/>
      </c>
      <c r="C19">
        <f>'Delivery &amp; Installation'!C19</f>
        <v/>
      </c>
      <c r="D19">
        <f>'Delivery &amp; Installation'!G19</f>
        <v/>
      </c>
      <c r="E19">
        <f>'Delivery &amp; Installation'!L19</f>
        <v/>
      </c>
      <c r="F19">
        <f>'Delivery &amp; Installation'!M19</f>
        <v/>
      </c>
      <c r="G19">
        <f>'Delivery &amp; Installation'!N19</f>
        <v/>
      </c>
      <c r="H19">
        <f>'Delivery &amp; Installation'!I19</f>
        <v/>
      </c>
      <c r="I19">
        <f>'Delivery &amp; Installation'!O19</f>
        <v/>
      </c>
      <c r="J19">
        <f>IF(G19="Installed","Yes","No")</f>
        <v/>
      </c>
    </row>
    <row r="20">
      <c r="A20" s="12">
        <f>'Delivery &amp; Installation'!B20</f>
        <v/>
      </c>
      <c r="B20" s="12">
        <f>'Delivery &amp; Installation'!A20</f>
        <v/>
      </c>
      <c r="C20" s="12">
        <f>'Delivery &amp; Installation'!C20</f>
        <v/>
      </c>
      <c r="D20" s="12">
        <f>'Delivery &amp; Installation'!G20</f>
        <v/>
      </c>
      <c r="E20" s="12">
        <f>'Delivery &amp; Installation'!L20</f>
        <v/>
      </c>
      <c r="F20" s="12">
        <f>'Delivery &amp; Installation'!M20</f>
        <v/>
      </c>
      <c r="G20" s="12">
        <f>'Delivery &amp; Installation'!N20</f>
        <v/>
      </c>
      <c r="H20" s="12">
        <f>'Delivery &amp; Installation'!I20</f>
        <v/>
      </c>
      <c r="I20" s="12">
        <f>'Delivery &amp; Installation'!O20</f>
        <v/>
      </c>
      <c r="J20" s="12">
        <f>IF(G20="Installed","Yes","No")</f>
        <v/>
      </c>
    </row>
    <row r="21">
      <c r="A21">
        <f>'Delivery &amp; Installation'!B21</f>
        <v/>
      </c>
      <c r="B21">
        <f>'Delivery &amp; Installation'!A21</f>
        <v/>
      </c>
      <c r="C21">
        <f>'Delivery &amp; Installation'!C21</f>
        <v/>
      </c>
      <c r="D21">
        <f>'Delivery &amp; Installation'!G21</f>
        <v/>
      </c>
      <c r="E21">
        <f>'Delivery &amp; Installation'!L21</f>
        <v/>
      </c>
      <c r="F21">
        <f>'Delivery &amp; Installation'!M21</f>
        <v/>
      </c>
      <c r="G21">
        <f>'Delivery &amp; Installation'!N21</f>
        <v/>
      </c>
      <c r="H21">
        <f>'Delivery &amp; Installation'!I21</f>
        <v/>
      </c>
      <c r="I21">
        <f>'Delivery &amp; Installation'!O21</f>
        <v/>
      </c>
      <c r="J21">
        <f>IF(G21="Installed","Yes","No")</f>
        <v/>
      </c>
    </row>
    <row r="22">
      <c r="A22" s="12">
        <f>'Delivery &amp; Installation'!B22</f>
        <v/>
      </c>
      <c r="B22" s="12">
        <f>'Delivery &amp; Installation'!A22</f>
        <v/>
      </c>
      <c r="C22" s="12">
        <f>'Delivery &amp; Installation'!C22</f>
        <v/>
      </c>
      <c r="D22" s="12">
        <f>'Delivery &amp; Installation'!G22</f>
        <v/>
      </c>
      <c r="E22" s="12">
        <f>'Delivery &amp; Installation'!L22</f>
        <v/>
      </c>
      <c r="F22" s="12">
        <f>'Delivery &amp; Installation'!M22</f>
        <v/>
      </c>
      <c r="G22" s="12">
        <f>'Delivery &amp; Installation'!N22</f>
        <v/>
      </c>
      <c r="H22" s="12">
        <f>'Delivery &amp; Installation'!I22</f>
        <v/>
      </c>
      <c r="I22" s="12">
        <f>'Delivery &amp; Installation'!O22</f>
        <v/>
      </c>
      <c r="J22" s="12">
        <f>IF(G22="Installed","Yes","No")</f>
        <v/>
      </c>
    </row>
    <row r="23">
      <c r="A23">
        <f>'Delivery &amp; Installation'!B23</f>
        <v/>
      </c>
      <c r="B23">
        <f>'Delivery &amp; Installation'!A23</f>
        <v/>
      </c>
      <c r="C23">
        <f>'Delivery &amp; Installation'!C23</f>
        <v/>
      </c>
      <c r="D23">
        <f>'Delivery &amp; Installation'!G23</f>
        <v/>
      </c>
      <c r="E23">
        <f>'Delivery &amp; Installation'!L23</f>
        <v/>
      </c>
      <c r="F23">
        <f>'Delivery &amp; Installation'!M23</f>
        <v/>
      </c>
      <c r="G23">
        <f>'Delivery &amp; Installation'!N23</f>
        <v/>
      </c>
      <c r="H23">
        <f>'Delivery &amp; Installation'!I23</f>
        <v/>
      </c>
      <c r="I23">
        <f>'Delivery &amp; Installation'!O23</f>
        <v/>
      </c>
      <c r="J23">
        <f>IF(G23="Installed","Yes","No")</f>
        <v/>
      </c>
    </row>
    <row r="24">
      <c r="A24" s="12">
        <f>'Delivery &amp; Installation'!B24</f>
        <v/>
      </c>
      <c r="B24" s="12">
        <f>'Delivery &amp; Installation'!A24</f>
        <v/>
      </c>
      <c r="C24" s="12">
        <f>'Delivery &amp; Installation'!C24</f>
        <v/>
      </c>
      <c r="D24" s="12">
        <f>'Delivery &amp; Installation'!G24</f>
        <v/>
      </c>
      <c r="E24" s="12">
        <f>'Delivery &amp; Installation'!L24</f>
        <v/>
      </c>
      <c r="F24" s="12">
        <f>'Delivery &amp; Installation'!M24</f>
        <v/>
      </c>
      <c r="G24" s="12">
        <f>'Delivery &amp; Installation'!N24</f>
        <v/>
      </c>
      <c r="H24" s="12">
        <f>'Delivery &amp; Installation'!I24</f>
        <v/>
      </c>
      <c r="I24" s="12">
        <f>'Delivery &amp; Installation'!O24</f>
        <v/>
      </c>
      <c r="J24" s="12">
        <f>IF(G24="Installed","Yes","No")</f>
        <v/>
      </c>
    </row>
    <row r="25">
      <c r="A25">
        <f>'Delivery &amp; Installation'!B25</f>
        <v/>
      </c>
      <c r="B25">
        <f>'Delivery &amp; Installation'!A25</f>
        <v/>
      </c>
      <c r="C25">
        <f>'Delivery &amp; Installation'!C25</f>
        <v/>
      </c>
      <c r="D25">
        <f>'Delivery &amp; Installation'!G25</f>
        <v/>
      </c>
      <c r="E25">
        <f>'Delivery &amp; Installation'!L25</f>
        <v/>
      </c>
      <c r="F25">
        <f>'Delivery &amp; Installation'!M25</f>
        <v/>
      </c>
      <c r="G25">
        <f>'Delivery &amp; Installation'!N25</f>
        <v/>
      </c>
      <c r="H25">
        <f>'Delivery &amp; Installation'!I25</f>
        <v/>
      </c>
      <c r="I25">
        <f>'Delivery &amp; Installation'!O25</f>
        <v/>
      </c>
      <c r="J25">
        <f>IF(G25="Installed","Yes","No")</f>
        <v/>
      </c>
    </row>
    <row r="26">
      <c r="A26" s="12">
        <f>'Delivery &amp; Installation'!B26</f>
        <v/>
      </c>
      <c r="B26" s="12">
        <f>'Delivery &amp; Installation'!A26</f>
        <v/>
      </c>
      <c r="C26" s="12">
        <f>'Delivery &amp; Installation'!C26</f>
        <v/>
      </c>
      <c r="D26" s="12">
        <f>'Delivery &amp; Installation'!G26</f>
        <v/>
      </c>
      <c r="E26" s="12">
        <f>'Delivery &amp; Installation'!L26</f>
        <v/>
      </c>
      <c r="F26" s="12">
        <f>'Delivery &amp; Installation'!M26</f>
        <v/>
      </c>
      <c r="G26" s="12">
        <f>'Delivery &amp; Installation'!N26</f>
        <v/>
      </c>
      <c r="H26" s="12">
        <f>'Delivery &amp; Installation'!I26</f>
        <v/>
      </c>
      <c r="I26" s="12">
        <f>'Delivery &amp; Installation'!O26</f>
        <v/>
      </c>
      <c r="J26" s="12">
        <f>IF(G26="Installed","Yes","No")</f>
        <v/>
      </c>
    </row>
    <row r="27">
      <c r="A27">
        <f>'Delivery &amp; Installation'!B27</f>
        <v/>
      </c>
      <c r="B27">
        <f>'Delivery &amp; Installation'!A27</f>
        <v/>
      </c>
      <c r="C27">
        <f>'Delivery &amp; Installation'!C27</f>
        <v/>
      </c>
      <c r="D27">
        <f>'Delivery &amp; Installation'!G27</f>
        <v/>
      </c>
      <c r="E27">
        <f>'Delivery &amp; Installation'!L27</f>
        <v/>
      </c>
      <c r="F27">
        <f>'Delivery &amp; Installation'!M27</f>
        <v/>
      </c>
      <c r="G27">
        <f>'Delivery &amp; Installation'!N27</f>
        <v/>
      </c>
      <c r="H27">
        <f>'Delivery &amp; Installation'!I27</f>
        <v/>
      </c>
      <c r="I27">
        <f>'Delivery &amp; Installation'!O27</f>
        <v/>
      </c>
      <c r="J27">
        <f>IF(G27="Installed","Yes","No")</f>
        <v/>
      </c>
    </row>
    <row r="28">
      <c r="A28" s="12">
        <f>'Delivery &amp; Installation'!B28</f>
        <v/>
      </c>
      <c r="B28" s="12">
        <f>'Delivery &amp; Installation'!A28</f>
        <v/>
      </c>
      <c r="C28" s="12">
        <f>'Delivery &amp; Installation'!C28</f>
        <v/>
      </c>
      <c r="D28" s="12">
        <f>'Delivery &amp; Installation'!G28</f>
        <v/>
      </c>
      <c r="E28" s="12">
        <f>'Delivery &amp; Installation'!L28</f>
        <v/>
      </c>
      <c r="F28" s="12">
        <f>'Delivery &amp; Installation'!M28</f>
        <v/>
      </c>
      <c r="G28" s="12">
        <f>'Delivery &amp; Installation'!N28</f>
        <v/>
      </c>
      <c r="H28" s="12">
        <f>'Delivery &amp; Installation'!I28</f>
        <v/>
      </c>
      <c r="I28" s="12">
        <f>'Delivery &amp; Installation'!O28</f>
        <v/>
      </c>
      <c r="J28" s="12">
        <f>IF(G28="Installed","Yes","No")</f>
        <v/>
      </c>
    </row>
    <row r="29">
      <c r="A29">
        <f>'Delivery &amp; Installation'!B29</f>
        <v/>
      </c>
      <c r="B29">
        <f>'Delivery &amp; Installation'!A29</f>
        <v/>
      </c>
      <c r="C29">
        <f>'Delivery &amp; Installation'!C29</f>
        <v/>
      </c>
      <c r="D29">
        <f>'Delivery &amp; Installation'!G29</f>
        <v/>
      </c>
      <c r="E29">
        <f>'Delivery &amp; Installation'!L29</f>
        <v/>
      </c>
      <c r="F29">
        <f>'Delivery &amp; Installation'!M29</f>
        <v/>
      </c>
      <c r="G29">
        <f>'Delivery &amp; Installation'!N29</f>
        <v/>
      </c>
      <c r="H29">
        <f>'Delivery &amp; Installation'!I29</f>
        <v/>
      </c>
      <c r="I29">
        <f>'Delivery &amp; Installation'!O29</f>
        <v/>
      </c>
      <c r="J29">
        <f>IF(G29="Installed","Yes","No")</f>
        <v/>
      </c>
    </row>
    <row r="30">
      <c r="A30" s="12">
        <f>'Delivery &amp; Installation'!B30</f>
        <v/>
      </c>
      <c r="B30" s="12">
        <f>'Delivery &amp; Installation'!A30</f>
        <v/>
      </c>
      <c r="C30" s="12">
        <f>'Delivery &amp; Installation'!C30</f>
        <v/>
      </c>
      <c r="D30" s="12">
        <f>'Delivery &amp; Installation'!G30</f>
        <v/>
      </c>
      <c r="E30" s="12">
        <f>'Delivery &amp; Installation'!L30</f>
        <v/>
      </c>
      <c r="F30" s="12">
        <f>'Delivery &amp; Installation'!M30</f>
        <v/>
      </c>
      <c r="G30" s="12">
        <f>'Delivery &amp; Installation'!N30</f>
        <v/>
      </c>
      <c r="H30" s="12">
        <f>'Delivery &amp; Installation'!I30</f>
        <v/>
      </c>
      <c r="I30" s="12">
        <f>'Delivery &amp; Installation'!O30</f>
        <v/>
      </c>
      <c r="J30" s="12">
        <f>IF(G30="Installed","Yes","No")</f>
        <v/>
      </c>
    </row>
    <row r="31">
      <c r="A31">
        <f>'Delivery &amp; Installation'!B31</f>
        <v/>
      </c>
      <c r="B31">
        <f>'Delivery &amp; Installation'!A31</f>
        <v/>
      </c>
      <c r="C31">
        <f>'Delivery &amp; Installation'!C31</f>
        <v/>
      </c>
      <c r="D31">
        <f>'Delivery &amp; Installation'!G31</f>
        <v/>
      </c>
      <c r="E31">
        <f>'Delivery &amp; Installation'!L31</f>
        <v/>
      </c>
      <c r="F31">
        <f>'Delivery &amp; Installation'!M31</f>
        <v/>
      </c>
      <c r="G31">
        <f>'Delivery &amp; Installation'!N31</f>
        <v/>
      </c>
      <c r="H31">
        <f>'Delivery &amp; Installation'!I31</f>
        <v/>
      </c>
      <c r="I31">
        <f>'Delivery &amp; Installation'!O31</f>
        <v/>
      </c>
      <c r="J31">
        <f>IF(G31="Installed","Yes","No")</f>
        <v/>
      </c>
    </row>
    <row r="32">
      <c r="A32" s="12">
        <f>'Delivery &amp; Installation'!B32</f>
        <v/>
      </c>
      <c r="B32" s="12">
        <f>'Delivery &amp; Installation'!A32</f>
        <v/>
      </c>
      <c r="C32" s="12">
        <f>'Delivery &amp; Installation'!C32</f>
        <v/>
      </c>
      <c r="D32" s="12">
        <f>'Delivery &amp; Installation'!G32</f>
        <v/>
      </c>
      <c r="E32" s="12">
        <f>'Delivery &amp; Installation'!L32</f>
        <v/>
      </c>
      <c r="F32" s="12">
        <f>'Delivery &amp; Installation'!M32</f>
        <v/>
      </c>
      <c r="G32" s="12">
        <f>'Delivery &amp; Installation'!N32</f>
        <v/>
      </c>
      <c r="H32" s="12">
        <f>'Delivery &amp; Installation'!I32</f>
        <v/>
      </c>
      <c r="I32" s="12">
        <f>'Delivery &amp; Installation'!O32</f>
        <v/>
      </c>
      <c r="J32" s="12">
        <f>IF(G32="Installed","Yes","No")</f>
        <v/>
      </c>
    </row>
    <row r="33">
      <c r="A33">
        <f>'Delivery &amp; Installation'!B33</f>
        <v/>
      </c>
      <c r="B33">
        <f>'Delivery &amp; Installation'!A33</f>
        <v/>
      </c>
      <c r="C33">
        <f>'Delivery &amp; Installation'!C33</f>
        <v/>
      </c>
      <c r="D33">
        <f>'Delivery &amp; Installation'!G33</f>
        <v/>
      </c>
      <c r="E33">
        <f>'Delivery &amp; Installation'!L33</f>
        <v/>
      </c>
      <c r="F33">
        <f>'Delivery &amp; Installation'!M33</f>
        <v/>
      </c>
      <c r="G33">
        <f>'Delivery &amp; Installation'!N33</f>
        <v/>
      </c>
      <c r="H33">
        <f>'Delivery &amp; Installation'!I33</f>
        <v/>
      </c>
      <c r="I33">
        <f>'Delivery &amp; Installation'!O33</f>
        <v/>
      </c>
      <c r="J33">
        <f>IF(G33="Installed","Yes","No")</f>
        <v/>
      </c>
    </row>
    <row r="34">
      <c r="A34" s="12">
        <f>'Delivery &amp; Installation'!B34</f>
        <v/>
      </c>
      <c r="B34" s="12">
        <f>'Delivery &amp; Installation'!A34</f>
        <v/>
      </c>
      <c r="C34" s="12">
        <f>'Delivery &amp; Installation'!C34</f>
        <v/>
      </c>
      <c r="D34" s="12">
        <f>'Delivery &amp; Installation'!G34</f>
        <v/>
      </c>
      <c r="E34" s="12">
        <f>'Delivery &amp; Installation'!L34</f>
        <v/>
      </c>
      <c r="F34" s="12">
        <f>'Delivery &amp; Installation'!M34</f>
        <v/>
      </c>
      <c r="G34" s="12">
        <f>'Delivery &amp; Installation'!N34</f>
        <v/>
      </c>
      <c r="H34" s="12">
        <f>'Delivery &amp; Installation'!I34</f>
        <v/>
      </c>
      <c r="I34" s="12">
        <f>'Delivery &amp; Installation'!O34</f>
        <v/>
      </c>
      <c r="J34" s="12">
        <f>IF(G34="Installed","Yes","No")</f>
        <v/>
      </c>
    </row>
    <row r="35">
      <c r="A35">
        <f>'Delivery &amp; Installation'!B35</f>
        <v/>
      </c>
      <c r="B35">
        <f>'Delivery &amp; Installation'!A35</f>
        <v/>
      </c>
      <c r="C35">
        <f>'Delivery &amp; Installation'!C35</f>
        <v/>
      </c>
      <c r="D35">
        <f>'Delivery &amp; Installation'!G35</f>
        <v/>
      </c>
      <c r="E35">
        <f>'Delivery &amp; Installation'!L35</f>
        <v/>
      </c>
      <c r="F35">
        <f>'Delivery &amp; Installation'!M35</f>
        <v/>
      </c>
      <c r="G35">
        <f>'Delivery &amp; Installation'!N35</f>
        <v/>
      </c>
      <c r="H35">
        <f>'Delivery &amp; Installation'!I35</f>
        <v/>
      </c>
      <c r="I35">
        <f>'Delivery &amp; Installation'!O35</f>
        <v/>
      </c>
      <c r="J35">
        <f>IF(G35="Installed","Yes","No")</f>
        <v/>
      </c>
    </row>
    <row r="36">
      <c r="A36" s="12">
        <f>'Delivery &amp; Installation'!B36</f>
        <v/>
      </c>
      <c r="B36" s="12">
        <f>'Delivery &amp; Installation'!A36</f>
        <v/>
      </c>
      <c r="C36" s="12">
        <f>'Delivery &amp; Installation'!C36</f>
        <v/>
      </c>
      <c r="D36" s="12">
        <f>'Delivery &amp; Installation'!G36</f>
        <v/>
      </c>
      <c r="E36" s="12">
        <f>'Delivery &amp; Installation'!L36</f>
        <v/>
      </c>
      <c r="F36" s="12">
        <f>'Delivery &amp; Installation'!M36</f>
        <v/>
      </c>
      <c r="G36" s="12">
        <f>'Delivery &amp; Installation'!N36</f>
        <v/>
      </c>
      <c r="H36" s="12">
        <f>'Delivery &amp; Installation'!I36</f>
        <v/>
      </c>
      <c r="I36" s="12">
        <f>'Delivery &amp; Installation'!O36</f>
        <v/>
      </c>
      <c r="J36" s="12">
        <f>IF(G36="Installed","Yes","No")</f>
        <v/>
      </c>
    </row>
    <row r="37">
      <c r="A37">
        <f>'Delivery &amp; Installation'!B37</f>
        <v/>
      </c>
      <c r="B37">
        <f>'Delivery &amp; Installation'!A37</f>
        <v/>
      </c>
      <c r="C37">
        <f>'Delivery &amp; Installation'!C37</f>
        <v/>
      </c>
      <c r="D37">
        <f>'Delivery &amp; Installation'!G37</f>
        <v/>
      </c>
      <c r="E37">
        <f>'Delivery &amp; Installation'!L37</f>
        <v/>
      </c>
      <c r="F37">
        <f>'Delivery &amp; Installation'!M37</f>
        <v/>
      </c>
      <c r="G37">
        <f>'Delivery &amp; Installation'!N37</f>
        <v/>
      </c>
      <c r="H37">
        <f>'Delivery &amp; Installation'!I37</f>
        <v/>
      </c>
      <c r="I37">
        <f>'Delivery &amp; Installation'!O37</f>
        <v/>
      </c>
      <c r="J37">
        <f>IF(G37="Installed","Yes","No")</f>
        <v/>
      </c>
    </row>
    <row r="38">
      <c r="A38" s="12">
        <f>'Delivery &amp; Installation'!B38</f>
        <v/>
      </c>
      <c r="B38" s="12">
        <f>'Delivery &amp; Installation'!A38</f>
        <v/>
      </c>
      <c r="C38" s="12">
        <f>'Delivery &amp; Installation'!C38</f>
        <v/>
      </c>
      <c r="D38" s="12">
        <f>'Delivery &amp; Installation'!G38</f>
        <v/>
      </c>
      <c r="E38" s="12">
        <f>'Delivery &amp; Installation'!L38</f>
        <v/>
      </c>
      <c r="F38" s="12">
        <f>'Delivery &amp; Installation'!M38</f>
        <v/>
      </c>
      <c r="G38" s="12">
        <f>'Delivery &amp; Installation'!N38</f>
        <v/>
      </c>
      <c r="H38" s="12">
        <f>'Delivery &amp; Installation'!I38</f>
        <v/>
      </c>
      <c r="I38" s="12">
        <f>'Delivery &amp; Installation'!O38</f>
        <v/>
      </c>
      <c r="J38" s="12">
        <f>IF(G38="Installed","Yes","No")</f>
        <v/>
      </c>
    </row>
    <row r="39">
      <c r="A39">
        <f>'Delivery &amp; Installation'!B39</f>
        <v/>
      </c>
      <c r="B39">
        <f>'Delivery &amp; Installation'!A39</f>
        <v/>
      </c>
      <c r="C39">
        <f>'Delivery &amp; Installation'!C39</f>
        <v/>
      </c>
      <c r="D39">
        <f>'Delivery &amp; Installation'!G39</f>
        <v/>
      </c>
      <c r="E39">
        <f>'Delivery &amp; Installation'!L39</f>
        <v/>
      </c>
      <c r="F39">
        <f>'Delivery &amp; Installation'!M39</f>
        <v/>
      </c>
      <c r="G39">
        <f>'Delivery &amp; Installation'!N39</f>
        <v/>
      </c>
      <c r="H39">
        <f>'Delivery &amp; Installation'!I39</f>
        <v/>
      </c>
      <c r="I39">
        <f>'Delivery &amp; Installation'!O39</f>
        <v/>
      </c>
      <c r="J39">
        <f>IF(G39="Installed","Yes","No")</f>
        <v/>
      </c>
    </row>
    <row r="40">
      <c r="A40" s="12">
        <f>'Delivery &amp; Installation'!B40</f>
        <v/>
      </c>
      <c r="B40" s="12">
        <f>'Delivery &amp; Installation'!A40</f>
        <v/>
      </c>
      <c r="C40" s="12">
        <f>'Delivery &amp; Installation'!C40</f>
        <v/>
      </c>
      <c r="D40" s="12">
        <f>'Delivery &amp; Installation'!G40</f>
        <v/>
      </c>
      <c r="E40" s="12">
        <f>'Delivery &amp; Installation'!L40</f>
        <v/>
      </c>
      <c r="F40" s="12">
        <f>'Delivery &amp; Installation'!M40</f>
        <v/>
      </c>
      <c r="G40" s="12">
        <f>'Delivery &amp; Installation'!N40</f>
        <v/>
      </c>
      <c r="H40" s="12">
        <f>'Delivery &amp; Installation'!I40</f>
        <v/>
      </c>
      <c r="I40" s="12">
        <f>'Delivery &amp; Installation'!O40</f>
        <v/>
      </c>
      <c r="J40" s="12">
        <f>IF(G40="Installed","Yes","No")</f>
        <v/>
      </c>
    </row>
    <row r="41">
      <c r="A41">
        <f>'Delivery &amp; Installation'!B41</f>
        <v/>
      </c>
      <c r="B41">
        <f>'Delivery &amp; Installation'!A41</f>
        <v/>
      </c>
      <c r="C41">
        <f>'Delivery &amp; Installation'!C41</f>
        <v/>
      </c>
      <c r="D41">
        <f>'Delivery &amp; Installation'!G41</f>
        <v/>
      </c>
      <c r="E41">
        <f>'Delivery &amp; Installation'!L41</f>
        <v/>
      </c>
      <c r="F41">
        <f>'Delivery &amp; Installation'!M41</f>
        <v/>
      </c>
      <c r="G41">
        <f>'Delivery &amp; Installation'!N41</f>
        <v/>
      </c>
      <c r="H41">
        <f>'Delivery &amp; Installation'!I41</f>
        <v/>
      </c>
      <c r="I41">
        <f>'Delivery &amp; Installation'!O41</f>
        <v/>
      </c>
      <c r="J41">
        <f>IF(G41="Installed","Yes","No")</f>
        <v/>
      </c>
    </row>
    <row r="42">
      <c r="A42" s="12">
        <f>'Delivery &amp; Installation'!B42</f>
        <v/>
      </c>
      <c r="B42" s="12">
        <f>'Delivery &amp; Installation'!A42</f>
        <v/>
      </c>
      <c r="C42" s="12">
        <f>'Delivery &amp; Installation'!C42</f>
        <v/>
      </c>
      <c r="D42" s="12">
        <f>'Delivery &amp; Installation'!G42</f>
        <v/>
      </c>
      <c r="E42" s="12">
        <f>'Delivery &amp; Installation'!L42</f>
        <v/>
      </c>
      <c r="F42" s="12">
        <f>'Delivery &amp; Installation'!M42</f>
        <v/>
      </c>
      <c r="G42" s="12">
        <f>'Delivery &amp; Installation'!N42</f>
        <v/>
      </c>
      <c r="H42" s="12">
        <f>'Delivery &amp; Installation'!I42</f>
        <v/>
      </c>
      <c r="I42" s="12">
        <f>'Delivery &amp; Installation'!O42</f>
        <v/>
      </c>
      <c r="J42" s="12">
        <f>IF(G42="Installed","Yes","No")</f>
        <v/>
      </c>
    </row>
    <row r="43">
      <c r="A43">
        <f>'Delivery &amp; Installation'!B43</f>
        <v/>
      </c>
      <c r="B43">
        <f>'Delivery &amp; Installation'!A43</f>
        <v/>
      </c>
      <c r="C43">
        <f>'Delivery &amp; Installation'!C43</f>
        <v/>
      </c>
      <c r="D43">
        <f>'Delivery &amp; Installation'!G43</f>
        <v/>
      </c>
      <c r="E43">
        <f>'Delivery &amp; Installation'!L43</f>
        <v/>
      </c>
      <c r="F43">
        <f>'Delivery &amp; Installation'!M43</f>
        <v/>
      </c>
      <c r="G43">
        <f>'Delivery &amp; Installation'!N43</f>
        <v/>
      </c>
      <c r="H43">
        <f>'Delivery &amp; Installation'!I43</f>
        <v/>
      </c>
      <c r="I43">
        <f>'Delivery &amp; Installation'!O43</f>
        <v/>
      </c>
      <c r="J43">
        <f>IF(G43="Installed","Yes","No")</f>
        <v/>
      </c>
    </row>
    <row r="44">
      <c r="A44" s="12">
        <f>'Delivery &amp; Installation'!B44</f>
        <v/>
      </c>
      <c r="B44" s="12">
        <f>'Delivery &amp; Installation'!A44</f>
        <v/>
      </c>
      <c r="C44" s="12">
        <f>'Delivery &amp; Installation'!C44</f>
        <v/>
      </c>
      <c r="D44" s="12">
        <f>'Delivery &amp; Installation'!G44</f>
        <v/>
      </c>
      <c r="E44" s="12">
        <f>'Delivery &amp; Installation'!L44</f>
        <v/>
      </c>
      <c r="F44" s="12">
        <f>'Delivery &amp; Installation'!M44</f>
        <v/>
      </c>
      <c r="G44" s="12">
        <f>'Delivery &amp; Installation'!N44</f>
        <v/>
      </c>
      <c r="H44" s="12">
        <f>'Delivery &amp; Installation'!I44</f>
        <v/>
      </c>
      <c r="I44" s="12">
        <f>'Delivery &amp; Installation'!O44</f>
        <v/>
      </c>
      <c r="J44" s="12">
        <f>IF(G44="Installed","Yes","No")</f>
        <v/>
      </c>
    </row>
    <row r="45">
      <c r="A45">
        <f>'Delivery &amp; Installation'!B45</f>
        <v/>
      </c>
      <c r="B45">
        <f>'Delivery &amp; Installation'!A45</f>
        <v/>
      </c>
      <c r="C45">
        <f>'Delivery &amp; Installation'!C45</f>
        <v/>
      </c>
      <c r="D45">
        <f>'Delivery &amp; Installation'!G45</f>
        <v/>
      </c>
      <c r="E45">
        <f>'Delivery &amp; Installation'!L45</f>
        <v/>
      </c>
      <c r="F45">
        <f>'Delivery &amp; Installation'!M45</f>
        <v/>
      </c>
      <c r="G45">
        <f>'Delivery &amp; Installation'!N45</f>
        <v/>
      </c>
      <c r="H45">
        <f>'Delivery &amp; Installation'!I45</f>
        <v/>
      </c>
      <c r="I45">
        <f>'Delivery &amp; Installation'!O45</f>
        <v/>
      </c>
      <c r="J45">
        <f>IF(G45="Installed","Yes","No")</f>
        <v/>
      </c>
    </row>
    <row r="46">
      <c r="A46" s="12">
        <f>'Delivery &amp; Installation'!B46</f>
        <v/>
      </c>
      <c r="B46" s="12">
        <f>'Delivery &amp; Installation'!A46</f>
        <v/>
      </c>
      <c r="C46" s="12">
        <f>'Delivery &amp; Installation'!C46</f>
        <v/>
      </c>
      <c r="D46" s="12">
        <f>'Delivery &amp; Installation'!G46</f>
        <v/>
      </c>
      <c r="E46" s="12">
        <f>'Delivery &amp; Installation'!L46</f>
        <v/>
      </c>
      <c r="F46" s="12">
        <f>'Delivery &amp; Installation'!M46</f>
        <v/>
      </c>
      <c r="G46" s="12">
        <f>'Delivery &amp; Installation'!N46</f>
        <v/>
      </c>
      <c r="H46" s="12">
        <f>'Delivery &amp; Installation'!I46</f>
        <v/>
      </c>
      <c r="I46" s="12">
        <f>'Delivery &amp; Installation'!O46</f>
        <v/>
      </c>
      <c r="J46" s="12">
        <f>IF(G46="Installed","Yes","No")</f>
        <v/>
      </c>
    </row>
    <row r="47">
      <c r="A47">
        <f>'Delivery &amp; Installation'!B47</f>
        <v/>
      </c>
      <c r="B47">
        <f>'Delivery &amp; Installation'!A47</f>
        <v/>
      </c>
      <c r="C47">
        <f>'Delivery &amp; Installation'!C47</f>
        <v/>
      </c>
      <c r="D47">
        <f>'Delivery &amp; Installation'!G47</f>
        <v/>
      </c>
      <c r="E47">
        <f>'Delivery &amp; Installation'!L47</f>
        <v/>
      </c>
      <c r="F47">
        <f>'Delivery &amp; Installation'!M47</f>
        <v/>
      </c>
      <c r="G47">
        <f>'Delivery &amp; Installation'!N47</f>
        <v/>
      </c>
      <c r="H47">
        <f>'Delivery &amp; Installation'!I47</f>
        <v/>
      </c>
      <c r="I47">
        <f>'Delivery &amp; Installation'!O47</f>
        <v/>
      </c>
      <c r="J47">
        <f>IF(G47="Installed","Yes","No")</f>
        <v/>
      </c>
    </row>
    <row r="48">
      <c r="A48" s="12">
        <f>'Delivery &amp; Installation'!B48</f>
        <v/>
      </c>
      <c r="B48" s="12">
        <f>'Delivery &amp; Installation'!A48</f>
        <v/>
      </c>
      <c r="C48" s="12">
        <f>'Delivery &amp; Installation'!C48</f>
        <v/>
      </c>
      <c r="D48" s="12">
        <f>'Delivery &amp; Installation'!G48</f>
        <v/>
      </c>
      <c r="E48" s="12">
        <f>'Delivery &amp; Installation'!L48</f>
        <v/>
      </c>
      <c r="F48" s="12">
        <f>'Delivery &amp; Installation'!M48</f>
        <v/>
      </c>
      <c r="G48" s="12">
        <f>'Delivery &amp; Installation'!N48</f>
        <v/>
      </c>
      <c r="H48" s="12">
        <f>'Delivery &amp; Installation'!I48</f>
        <v/>
      </c>
      <c r="I48" s="12">
        <f>'Delivery &amp; Installation'!O48</f>
        <v/>
      </c>
      <c r="J48" s="12">
        <f>IF(G48="Installed","Yes","No")</f>
        <v/>
      </c>
    </row>
    <row r="49">
      <c r="A49">
        <f>'Delivery &amp; Installation'!B49</f>
        <v/>
      </c>
      <c r="B49">
        <f>'Delivery &amp; Installation'!A49</f>
        <v/>
      </c>
      <c r="C49">
        <f>'Delivery &amp; Installation'!C49</f>
        <v/>
      </c>
      <c r="D49">
        <f>'Delivery &amp; Installation'!G49</f>
        <v/>
      </c>
      <c r="E49">
        <f>'Delivery &amp; Installation'!L49</f>
        <v/>
      </c>
      <c r="F49">
        <f>'Delivery &amp; Installation'!M49</f>
        <v/>
      </c>
      <c r="G49">
        <f>'Delivery &amp; Installation'!N49</f>
        <v/>
      </c>
      <c r="H49">
        <f>'Delivery &amp; Installation'!I49</f>
        <v/>
      </c>
      <c r="I49">
        <f>'Delivery &amp; Installation'!O49</f>
        <v/>
      </c>
      <c r="J49">
        <f>IF(G49="Installed","Yes","No")</f>
        <v/>
      </c>
    </row>
    <row r="50">
      <c r="A50" s="12">
        <f>'Delivery &amp; Installation'!B50</f>
        <v/>
      </c>
      <c r="B50" s="12">
        <f>'Delivery &amp; Installation'!A50</f>
        <v/>
      </c>
      <c r="C50" s="12">
        <f>'Delivery &amp; Installation'!C50</f>
        <v/>
      </c>
      <c r="D50" s="12">
        <f>'Delivery &amp; Installation'!G50</f>
        <v/>
      </c>
      <c r="E50" s="12">
        <f>'Delivery &amp; Installation'!L50</f>
        <v/>
      </c>
      <c r="F50" s="12">
        <f>'Delivery &amp; Installation'!M50</f>
        <v/>
      </c>
      <c r="G50" s="12">
        <f>'Delivery &amp; Installation'!N50</f>
        <v/>
      </c>
      <c r="H50" s="12">
        <f>'Delivery &amp; Installation'!I50</f>
        <v/>
      </c>
      <c r="I50" s="12">
        <f>'Delivery &amp; Installation'!O50</f>
        <v/>
      </c>
      <c r="J50" s="12">
        <f>IF(G50="Installed","Yes","No")</f>
        <v/>
      </c>
    </row>
    <row r="51">
      <c r="A51">
        <f>'Delivery &amp; Installation'!B51</f>
        <v/>
      </c>
      <c r="B51">
        <f>'Delivery &amp; Installation'!A51</f>
        <v/>
      </c>
      <c r="C51">
        <f>'Delivery &amp; Installation'!C51</f>
        <v/>
      </c>
      <c r="D51">
        <f>'Delivery &amp; Installation'!G51</f>
        <v/>
      </c>
      <c r="E51">
        <f>'Delivery &amp; Installation'!L51</f>
        <v/>
      </c>
      <c r="F51">
        <f>'Delivery &amp; Installation'!M51</f>
        <v/>
      </c>
      <c r="G51">
        <f>'Delivery &amp; Installation'!N51</f>
        <v/>
      </c>
      <c r="H51">
        <f>'Delivery &amp; Installation'!I51</f>
        <v/>
      </c>
      <c r="I51">
        <f>'Delivery &amp; Installation'!O51</f>
        <v/>
      </c>
      <c r="J51">
        <f>IF(G51="Installed","Yes","No")</f>
        <v/>
      </c>
    </row>
    <row r="52">
      <c r="A52" s="12">
        <f>'Delivery &amp; Installation'!B52</f>
        <v/>
      </c>
      <c r="B52" s="12">
        <f>'Delivery &amp; Installation'!A52</f>
        <v/>
      </c>
      <c r="C52" s="12">
        <f>'Delivery &amp; Installation'!C52</f>
        <v/>
      </c>
      <c r="D52" s="12">
        <f>'Delivery &amp; Installation'!G52</f>
        <v/>
      </c>
      <c r="E52" s="12">
        <f>'Delivery &amp; Installation'!L52</f>
        <v/>
      </c>
      <c r="F52" s="12">
        <f>'Delivery &amp; Installation'!M52</f>
        <v/>
      </c>
      <c r="G52" s="12">
        <f>'Delivery &amp; Installation'!N52</f>
        <v/>
      </c>
      <c r="H52" s="12">
        <f>'Delivery &amp; Installation'!I52</f>
        <v/>
      </c>
      <c r="I52" s="12">
        <f>'Delivery &amp; Installation'!O52</f>
        <v/>
      </c>
      <c r="J52" s="12">
        <f>IF(G52="Installed","Yes","No")</f>
        <v/>
      </c>
    </row>
    <row r="53">
      <c r="A53">
        <f>'Delivery &amp; Installation'!B53</f>
        <v/>
      </c>
      <c r="B53">
        <f>'Delivery &amp; Installation'!A53</f>
        <v/>
      </c>
      <c r="C53">
        <f>'Delivery &amp; Installation'!C53</f>
        <v/>
      </c>
      <c r="D53">
        <f>'Delivery &amp; Installation'!G53</f>
        <v/>
      </c>
      <c r="E53">
        <f>'Delivery &amp; Installation'!L53</f>
        <v/>
      </c>
      <c r="F53">
        <f>'Delivery &amp; Installation'!M53</f>
        <v/>
      </c>
      <c r="G53">
        <f>'Delivery &amp; Installation'!N53</f>
        <v/>
      </c>
      <c r="H53">
        <f>'Delivery &amp; Installation'!I53</f>
        <v/>
      </c>
      <c r="I53">
        <f>'Delivery &amp; Installation'!O53</f>
        <v/>
      </c>
      <c r="J53">
        <f>IF(G53="Installed","Yes","No")</f>
        <v/>
      </c>
    </row>
    <row r="54">
      <c r="A54" s="12">
        <f>'Delivery &amp; Installation'!B54</f>
        <v/>
      </c>
      <c r="B54" s="12">
        <f>'Delivery &amp; Installation'!A54</f>
        <v/>
      </c>
      <c r="C54" s="12">
        <f>'Delivery &amp; Installation'!C54</f>
        <v/>
      </c>
      <c r="D54" s="12">
        <f>'Delivery &amp; Installation'!G54</f>
        <v/>
      </c>
      <c r="E54" s="12">
        <f>'Delivery &amp; Installation'!L54</f>
        <v/>
      </c>
      <c r="F54" s="12">
        <f>'Delivery &amp; Installation'!M54</f>
        <v/>
      </c>
      <c r="G54" s="12">
        <f>'Delivery &amp; Installation'!N54</f>
        <v/>
      </c>
      <c r="H54" s="12">
        <f>'Delivery &amp; Installation'!I54</f>
        <v/>
      </c>
      <c r="I54" s="12">
        <f>'Delivery &amp; Installation'!O54</f>
        <v/>
      </c>
      <c r="J54" s="12">
        <f>IF(G54="Installed","Yes","No")</f>
        <v/>
      </c>
    </row>
    <row r="55">
      <c r="A55">
        <f>'Delivery &amp; Installation'!B55</f>
        <v/>
      </c>
      <c r="B55">
        <f>'Delivery &amp; Installation'!A55</f>
        <v/>
      </c>
      <c r="C55">
        <f>'Delivery &amp; Installation'!C55</f>
        <v/>
      </c>
      <c r="D55">
        <f>'Delivery &amp; Installation'!G55</f>
        <v/>
      </c>
      <c r="E55">
        <f>'Delivery &amp; Installation'!L55</f>
        <v/>
      </c>
      <c r="F55">
        <f>'Delivery &amp; Installation'!M55</f>
        <v/>
      </c>
      <c r="G55">
        <f>'Delivery &amp; Installation'!N55</f>
        <v/>
      </c>
      <c r="H55">
        <f>'Delivery &amp; Installation'!I55</f>
        <v/>
      </c>
      <c r="I55">
        <f>'Delivery &amp; Installation'!O55</f>
        <v/>
      </c>
      <c r="J55">
        <f>IF(G55="Installed","Yes","No")</f>
        <v/>
      </c>
    </row>
    <row r="56">
      <c r="A56" s="12">
        <f>'Delivery &amp; Installation'!B56</f>
        <v/>
      </c>
      <c r="B56" s="12">
        <f>'Delivery &amp; Installation'!A56</f>
        <v/>
      </c>
      <c r="C56" s="12">
        <f>'Delivery &amp; Installation'!C56</f>
        <v/>
      </c>
      <c r="D56" s="12">
        <f>'Delivery &amp; Installation'!G56</f>
        <v/>
      </c>
      <c r="E56" s="12">
        <f>'Delivery &amp; Installation'!L56</f>
        <v/>
      </c>
      <c r="F56" s="12">
        <f>'Delivery &amp; Installation'!M56</f>
        <v/>
      </c>
      <c r="G56" s="12">
        <f>'Delivery &amp; Installation'!N56</f>
        <v/>
      </c>
      <c r="H56" s="12">
        <f>'Delivery &amp; Installation'!I56</f>
        <v/>
      </c>
      <c r="I56" s="12">
        <f>'Delivery &amp; Installation'!O56</f>
        <v/>
      </c>
      <c r="J56" s="12">
        <f>IF(G56="Installed","Yes","No")</f>
        <v/>
      </c>
    </row>
    <row r="57">
      <c r="A57">
        <f>'Delivery &amp; Installation'!B57</f>
        <v/>
      </c>
      <c r="B57">
        <f>'Delivery &amp; Installation'!A57</f>
        <v/>
      </c>
      <c r="C57">
        <f>'Delivery &amp; Installation'!C57</f>
        <v/>
      </c>
      <c r="D57">
        <f>'Delivery &amp; Installation'!G57</f>
        <v/>
      </c>
      <c r="E57">
        <f>'Delivery &amp; Installation'!L57</f>
        <v/>
      </c>
      <c r="F57">
        <f>'Delivery &amp; Installation'!M57</f>
        <v/>
      </c>
      <c r="G57">
        <f>'Delivery &amp; Installation'!N57</f>
        <v/>
      </c>
      <c r="H57">
        <f>'Delivery &amp; Installation'!I57</f>
        <v/>
      </c>
      <c r="I57">
        <f>'Delivery &amp; Installation'!O57</f>
        <v/>
      </c>
      <c r="J57">
        <f>IF(G57="Installed","Yes","No")</f>
        <v/>
      </c>
    </row>
    <row r="58">
      <c r="A58" s="12">
        <f>'Delivery &amp; Installation'!B58</f>
        <v/>
      </c>
      <c r="B58" s="12">
        <f>'Delivery &amp; Installation'!A58</f>
        <v/>
      </c>
      <c r="C58" s="12">
        <f>'Delivery &amp; Installation'!C58</f>
        <v/>
      </c>
      <c r="D58" s="12">
        <f>'Delivery &amp; Installation'!G58</f>
        <v/>
      </c>
      <c r="E58" s="12">
        <f>'Delivery &amp; Installation'!L58</f>
        <v/>
      </c>
      <c r="F58" s="12">
        <f>'Delivery &amp; Installation'!M58</f>
        <v/>
      </c>
      <c r="G58" s="12">
        <f>'Delivery &amp; Installation'!N58</f>
        <v/>
      </c>
      <c r="H58" s="12">
        <f>'Delivery &amp; Installation'!I58</f>
        <v/>
      </c>
      <c r="I58" s="12">
        <f>'Delivery &amp; Installation'!O58</f>
        <v/>
      </c>
      <c r="J58" s="12">
        <f>IF(G58="Installed","Yes","No")</f>
        <v/>
      </c>
    </row>
    <row r="59">
      <c r="A59">
        <f>'Delivery &amp; Installation'!B59</f>
        <v/>
      </c>
      <c r="B59">
        <f>'Delivery &amp; Installation'!A59</f>
        <v/>
      </c>
      <c r="C59">
        <f>'Delivery &amp; Installation'!C59</f>
        <v/>
      </c>
      <c r="D59">
        <f>'Delivery &amp; Installation'!G59</f>
        <v/>
      </c>
      <c r="E59">
        <f>'Delivery &amp; Installation'!L59</f>
        <v/>
      </c>
      <c r="F59">
        <f>'Delivery &amp; Installation'!M59</f>
        <v/>
      </c>
      <c r="G59">
        <f>'Delivery &amp; Installation'!N59</f>
        <v/>
      </c>
      <c r="H59">
        <f>'Delivery &amp; Installation'!I59</f>
        <v/>
      </c>
      <c r="I59">
        <f>'Delivery &amp; Installation'!O59</f>
        <v/>
      </c>
      <c r="J59">
        <f>IF(G59="Installed","Yes","No")</f>
        <v/>
      </c>
    </row>
    <row r="60">
      <c r="A60" s="12">
        <f>'Delivery &amp; Installation'!B60</f>
        <v/>
      </c>
      <c r="B60" s="12">
        <f>'Delivery &amp; Installation'!A60</f>
        <v/>
      </c>
      <c r="C60" s="12">
        <f>'Delivery &amp; Installation'!C60</f>
        <v/>
      </c>
      <c r="D60" s="12">
        <f>'Delivery &amp; Installation'!G60</f>
        <v/>
      </c>
      <c r="E60" s="12">
        <f>'Delivery &amp; Installation'!L60</f>
        <v/>
      </c>
      <c r="F60" s="12">
        <f>'Delivery &amp; Installation'!M60</f>
        <v/>
      </c>
      <c r="G60" s="12">
        <f>'Delivery &amp; Installation'!N60</f>
        <v/>
      </c>
      <c r="H60" s="12">
        <f>'Delivery &amp; Installation'!I60</f>
        <v/>
      </c>
      <c r="I60" s="12">
        <f>'Delivery &amp; Installation'!O60</f>
        <v/>
      </c>
      <c r="J60" s="12">
        <f>IF(G60="Installed","Yes","No")</f>
        <v/>
      </c>
    </row>
    <row r="61">
      <c r="A61">
        <f>'Delivery &amp; Installation'!B61</f>
        <v/>
      </c>
      <c r="B61">
        <f>'Delivery &amp; Installation'!A61</f>
        <v/>
      </c>
      <c r="C61">
        <f>'Delivery &amp; Installation'!C61</f>
        <v/>
      </c>
      <c r="D61">
        <f>'Delivery &amp; Installation'!G61</f>
        <v/>
      </c>
      <c r="E61">
        <f>'Delivery &amp; Installation'!L61</f>
        <v/>
      </c>
      <c r="F61">
        <f>'Delivery &amp; Installation'!M61</f>
        <v/>
      </c>
      <c r="G61">
        <f>'Delivery &amp; Installation'!N61</f>
        <v/>
      </c>
      <c r="H61">
        <f>'Delivery &amp; Installation'!I61</f>
        <v/>
      </c>
      <c r="I61">
        <f>'Delivery &amp; Installation'!O61</f>
        <v/>
      </c>
      <c r="J61">
        <f>IF(G61="Installed","Yes","No")</f>
        <v/>
      </c>
    </row>
    <row r="62">
      <c r="A62" s="12">
        <f>'Delivery &amp; Installation'!B62</f>
        <v/>
      </c>
      <c r="B62" s="12">
        <f>'Delivery &amp; Installation'!A62</f>
        <v/>
      </c>
      <c r="C62" s="12">
        <f>'Delivery &amp; Installation'!C62</f>
        <v/>
      </c>
      <c r="D62" s="12">
        <f>'Delivery &amp; Installation'!G62</f>
        <v/>
      </c>
      <c r="E62" s="12">
        <f>'Delivery &amp; Installation'!L62</f>
        <v/>
      </c>
      <c r="F62" s="12">
        <f>'Delivery &amp; Installation'!M62</f>
        <v/>
      </c>
      <c r="G62" s="12">
        <f>'Delivery &amp; Installation'!N62</f>
        <v/>
      </c>
      <c r="H62" s="12">
        <f>'Delivery &amp; Installation'!I62</f>
        <v/>
      </c>
      <c r="I62" s="12">
        <f>'Delivery &amp; Installation'!O62</f>
        <v/>
      </c>
      <c r="J62" s="12">
        <f>IF(G62="Installed","Yes","No")</f>
        <v/>
      </c>
    </row>
    <row r="63">
      <c r="A63">
        <f>'Delivery &amp; Installation'!B63</f>
        <v/>
      </c>
      <c r="B63">
        <f>'Delivery &amp; Installation'!A63</f>
        <v/>
      </c>
      <c r="C63">
        <f>'Delivery &amp; Installation'!C63</f>
        <v/>
      </c>
      <c r="D63">
        <f>'Delivery &amp; Installation'!G63</f>
        <v/>
      </c>
      <c r="E63">
        <f>'Delivery &amp; Installation'!L63</f>
        <v/>
      </c>
      <c r="F63">
        <f>'Delivery &amp; Installation'!M63</f>
        <v/>
      </c>
      <c r="G63">
        <f>'Delivery &amp; Installation'!N63</f>
        <v/>
      </c>
      <c r="H63">
        <f>'Delivery &amp; Installation'!I63</f>
        <v/>
      </c>
      <c r="I63">
        <f>'Delivery &amp; Installation'!O63</f>
        <v/>
      </c>
      <c r="J63">
        <f>IF(G63="Installed","Yes","No")</f>
        <v/>
      </c>
    </row>
    <row r="64">
      <c r="A64" s="12">
        <f>'Delivery &amp; Installation'!B64</f>
        <v/>
      </c>
      <c r="B64" s="12">
        <f>'Delivery &amp; Installation'!A64</f>
        <v/>
      </c>
      <c r="C64" s="12">
        <f>'Delivery &amp; Installation'!C64</f>
        <v/>
      </c>
      <c r="D64" s="12">
        <f>'Delivery &amp; Installation'!G64</f>
        <v/>
      </c>
      <c r="E64" s="12">
        <f>'Delivery &amp; Installation'!L64</f>
        <v/>
      </c>
      <c r="F64" s="12">
        <f>'Delivery &amp; Installation'!M64</f>
        <v/>
      </c>
      <c r="G64" s="12">
        <f>'Delivery &amp; Installation'!N64</f>
        <v/>
      </c>
      <c r="H64" s="12">
        <f>'Delivery &amp; Installation'!I64</f>
        <v/>
      </c>
      <c r="I64" s="12">
        <f>'Delivery &amp; Installation'!O64</f>
        <v/>
      </c>
      <c r="J64" s="12">
        <f>IF(G64="Installed","Yes","No")</f>
        <v/>
      </c>
    </row>
    <row r="65">
      <c r="A65">
        <f>'Delivery &amp; Installation'!B65</f>
        <v/>
      </c>
      <c r="B65">
        <f>'Delivery &amp; Installation'!A65</f>
        <v/>
      </c>
      <c r="C65">
        <f>'Delivery &amp; Installation'!C65</f>
        <v/>
      </c>
      <c r="D65">
        <f>'Delivery &amp; Installation'!G65</f>
        <v/>
      </c>
      <c r="E65">
        <f>'Delivery &amp; Installation'!L65</f>
        <v/>
      </c>
      <c r="F65">
        <f>'Delivery &amp; Installation'!M65</f>
        <v/>
      </c>
      <c r="G65">
        <f>'Delivery &amp; Installation'!N65</f>
        <v/>
      </c>
      <c r="H65">
        <f>'Delivery &amp; Installation'!I65</f>
        <v/>
      </c>
      <c r="I65">
        <f>'Delivery &amp; Installation'!O65</f>
        <v/>
      </c>
      <c r="J65">
        <f>IF(G65="Installed","Yes","No")</f>
        <v/>
      </c>
    </row>
    <row r="66">
      <c r="A66" s="12">
        <f>'Delivery &amp; Installation'!B66</f>
        <v/>
      </c>
      <c r="B66" s="12">
        <f>'Delivery &amp; Installation'!A66</f>
        <v/>
      </c>
      <c r="C66" s="12">
        <f>'Delivery &amp; Installation'!C66</f>
        <v/>
      </c>
      <c r="D66" s="12">
        <f>'Delivery &amp; Installation'!G66</f>
        <v/>
      </c>
      <c r="E66" s="12">
        <f>'Delivery &amp; Installation'!L66</f>
        <v/>
      </c>
      <c r="F66" s="12">
        <f>'Delivery &amp; Installation'!M66</f>
        <v/>
      </c>
      <c r="G66" s="12">
        <f>'Delivery &amp; Installation'!N66</f>
        <v/>
      </c>
      <c r="H66" s="12">
        <f>'Delivery &amp; Installation'!I66</f>
        <v/>
      </c>
      <c r="I66" s="12">
        <f>'Delivery &amp; Installation'!O66</f>
        <v/>
      </c>
      <c r="J66" s="12">
        <f>IF(G66="Installed","Yes","No")</f>
        <v/>
      </c>
    </row>
    <row r="67">
      <c r="A67">
        <f>'Delivery &amp; Installation'!B67</f>
        <v/>
      </c>
      <c r="B67">
        <f>'Delivery &amp; Installation'!A67</f>
        <v/>
      </c>
      <c r="C67">
        <f>'Delivery &amp; Installation'!C67</f>
        <v/>
      </c>
      <c r="D67">
        <f>'Delivery &amp; Installation'!G67</f>
        <v/>
      </c>
      <c r="E67">
        <f>'Delivery &amp; Installation'!L67</f>
        <v/>
      </c>
      <c r="F67">
        <f>'Delivery &amp; Installation'!M67</f>
        <v/>
      </c>
      <c r="G67">
        <f>'Delivery &amp; Installation'!N67</f>
        <v/>
      </c>
      <c r="H67">
        <f>'Delivery &amp; Installation'!I67</f>
        <v/>
      </c>
      <c r="I67">
        <f>'Delivery &amp; Installation'!O67</f>
        <v/>
      </c>
      <c r="J67">
        <f>IF(G67="Installed","Yes","No")</f>
        <v/>
      </c>
    </row>
    <row r="68">
      <c r="A68" s="12">
        <f>'Delivery &amp; Installation'!B68</f>
        <v/>
      </c>
      <c r="B68" s="12">
        <f>'Delivery &amp; Installation'!A68</f>
        <v/>
      </c>
      <c r="C68" s="12">
        <f>'Delivery &amp; Installation'!C68</f>
        <v/>
      </c>
      <c r="D68" s="12">
        <f>'Delivery &amp; Installation'!G68</f>
        <v/>
      </c>
      <c r="E68" s="12">
        <f>'Delivery &amp; Installation'!L68</f>
        <v/>
      </c>
      <c r="F68" s="12">
        <f>'Delivery &amp; Installation'!M68</f>
        <v/>
      </c>
      <c r="G68" s="12">
        <f>'Delivery &amp; Installation'!N68</f>
        <v/>
      </c>
      <c r="H68" s="12">
        <f>'Delivery &amp; Installation'!I68</f>
        <v/>
      </c>
      <c r="I68" s="12">
        <f>'Delivery &amp; Installation'!O68</f>
        <v/>
      </c>
      <c r="J68" s="12">
        <f>IF(G68="Installed","Yes","No")</f>
        <v/>
      </c>
    </row>
    <row r="69">
      <c r="A69">
        <f>'Delivery &amp; Installation'!B69</f>
        <v/>
      </c>
      <c r="B69">
        <f>'Delivery &amp; Installation'!A69</f>
        <v/>
      </c>
      <c r="C69">
        <f>'Delivery &amp; Installation'!C69</f>
        <v/>
      </c>
      <c r="D69">
        <f>'Delivery &amp; Installation'!G69</f>
        <v/>
      </c>
      <c r="E69">
        <f>'Delivery &amp; Installation'!L69</f>
        <v/>
      </c>
      <c r="F69">
        <f>'Delivery &amp; Installation'!M69</f>
        <v/>
      </c>
      <c r="G69">
        <f>'Delivery &amp; Installation'!N69</f>
        <v/>
      </c>
      <c r="H69">
        <f>'Delivery &amp; Installation'!I69</f>
        <v/>
      </c>
      <c r="I69">
        <f>'Delivery &amp; Installation'!O69</f>
        <v/>
      </c>
      <c r="J69">
        <f>IF(G69="Installed","Yes","No")</f>
        <v/>
      </c>
    </row>
    <row r="70">
      <c r="A70" s="12">
        <f>'Delivery &amp; Installation'!B70</f>
        <v/>
      </c>
      <c r="B70" s="12">
        <f>'Delivery &amp; Installation'!A70</f>
        <v/>
      </c>
      <c r="C70" s="12">
        <f>'Delivery &amp; Installation'!C70</f>
        <v/>
      </c>
      <c r="D70" s="12">
        <f>'Delivery &amp; Installation'!G70</f>
        <v/>
      </c>
      <c r="E70" s="12">
        <f>'Delivery &amp; Installation'!L70</f>
        <v/>
      </c>
      <c r="F70" s="12">
        <f>'Delivery &amp; Installation'!M70</f>
        <v/>
      </c>
      <c r="G70" s="12">
        <f>'Delivery &amp; Installation'!N70</f>
        <v/>
      </c>
      <c r="H70" s="12">
        <f>'Delivery &amp; Installation'!I70</f>
        <v/>
      </c>
      <c r="I70" s="12">
        <f>'Delivery &amp; Installation'!O70</f>
        <v/>
      </c>
      <c r="J70" s="12">
        <f>IF(G70="Installed","Yes","No")</f>
        <v/>
      </c>
    </row>
    <row r="71">
      <c r="A71">
        <f>'Delivery &amp; Installation'!B71</f>
        <v/>
      </c>
      <c r="B71">
        <f>'Delivery &amp; Installation'!A71</f>
        <v/>
      </c>
      <c r="C71">
        <f>'Delivery &amp; Installation'!C71</f>
        <v/>
      </c>
      <c r="D71">
        <f>'Delivery &amp; Installation'!G71</f>
        <v/>
      </c>
      <c r="E71">
        <f>'Delivery &amp; Installation'!L71</f>
        <v/>
      </c>
      <c r="F71">
        <f>'Delivery &amp; Installation'!M71</f>
        <v/>
      </c>
      <c r="G71">
        <f>'Delivery &amp; Installation'!N71</f>
        <v/>
      </c>
      <c r="H71">
        <f>'Delivery &amp; Installation'!I71</f>
        <v/>
      </c>
      <c r="I71">
        <f>'Delivery &amp; Installation'!O71</f>
        <v/>
      </c>
      <c r="J71">
        <f>IF(G71="Installed","Yes","No")</f>
        <v/>
      </c>
    </row>
    <row r="72">
      <c r="A72" s="12">
        <f>'Delivery &amp; Installation'!B72</f>
        <v/>
      </c>
      <c r="B72" s="12">
        <f>'Delivery &amp; Installation'!A72</f>
        <v/>
      </c>
      <c r="C72" s="12">
        <f>'Delivery &amp; Installation'!C72</f>
        <v/>
      </c>
      <c r="D72" s="12">
        <f>'Delivery &amp; Installation'!G72</f>
        <v/>
      </c>
      <c r="E72" s="12">
        <f>'Delivery &amp; Installation'!L72</f>
        <v/>
      </c>
      <c r="F72" s="12">
        <f>'Delivery &amp; Installation'!M72</f>
        <v/>
      </c>
      <c r="G72" s="12">
        <f>'Delivery &amp; Installation'!N72</f>
        <v/>
      </c>
      <c r="H72" s="12">
        <f>'Delivery &amp; Installation'!I72</f>
        <v/>
      </c>
      <c r="I72" s="12">
        <f>'Delivery &amp; Installation'!O72</f>
        <v/>
      </c>
      <c r="J72" s="12">
        <f>IF(G72="Installed","Yes","No")</f>
        <v/>
      </c>
    </row>
    <row r="73">
      <c r="A73">
        <f>'Delivery &amp; Installation'!B73</f>
        <v/>
      </c>
      <c r="B73">
        <f>'Delivery &amp; Installation'!A73</f>
        <v/>
      </c>
      <c r="C73">
        <f>'Delivery &amp; Installation'!C73</f>
        <v/>
      </c>
      <c r="D73">
        <f>'Delivery &amp; Installation'!G73</f>
        <v/>
      </c>
      <c r="E73">
        <f>'Delivery &amp; Installation'!L73</f>
        <v/>
      </c>
      <c r="F73">
        <f>'Delivery &amp; Installation'!M73</f>
        <v/>
      </c>
      <c r="G73">
        <f>'Delivery &amp; Installation'!N73</f>
        <v/>
      </c>
      <c r="H73">
        <f>'Delivery &amp; Installation'!I73</f>
        <v/>
      </c>
      <c r="I73">
        <f>'Delivery &amp; Installation'!O73</f>
        <v/>
      </c>
      <c r="J73">
        <f>IF(G73="Installed","Yes","No")</f>
        <v/>
      </c>
    </row>
    <row r="74">
      <c r="A74" s="12">
        <f>'Delivery &amp; Installation'!B74</f>
        <v/>
      </c>
      <c r="B74" s="12">
        <f>'Delivery &amp; Installation'!A74</f>
        <v/>
      </c>
      <c r="C74" s="12">
        <f>'Delivery &amp; Installation'!C74</f>
        <v/>
      </c>
      <c r="D74" s="12">
        <f>'Delivery &amp; Installation'!G74</f>
        <v/>
      </c>
      <c r="E74" s="12">
        <f>'Delivery &amp; Installation'!L74</f>
        <v/>
      </c>
      <c r="F74" s="12">
        <f>'Delivery &amp; Installation'!M74</f>
        <v/>
      </c>
      <c r="G74" s="12">
        <f>'Delivery &amp; Installation'!N74</f>
        <v/>
      </c>
      <c r="H74" s="12">
        <f>'Delivery &amp; Installation'!I74</f>
        <v/>
      </c>
      <c r="I74" s="12">
        <f>'Delivery &amp; Installation'!O74</f>
        <v/>
      </c>
      <c r="J74" s="12">
        <f>IF(G74="Installed","Yes","No")</f>
        <v/>
      </c>
    </row>
    <row r="75">
      <c r="A75">
        <f>'Delivery &amp; Installation'!B75</f>
        <v/>
      </c>
      <c r="B75">
        <f>'Delivery &amp; Installation'!A75</f>
        <v/>
      </c>
      <c r="C75">
        <f>'Delivery &amp; Installation'!C75</f>
        <v/>
      </c>
      <c r="D75">
        <f>'Delivery &amp; Installation'!G75</f>
        <v/>
      </c>
      <c r="E75">
        <f>'Delivery &amp; Installation'!L75</f>
        <v/>
      </c>
      <c r="F75">
        <f>'Delivery &amp; Installation'!M75</f>
        <v/>
      </c>
      <c r="G75">
        <f>'Delivery &amp; Installation'!N75</f>
        <v/>
      </c>
      <c r="H75">
        <f>'Delivery &amp; Installation'!I75</f>
        <v/>
      </c>
      <c r="I75">
        <f>'Delivery &amp; Installation'!O75</f>
        <v/>
      </c>
      <c r="J75">
        <f>IF(G75="Installed","Yes","No")</f>
        <v/>
      </c>
    </row>
    <row r="76">
      <c r="A76" s="12">
        <f>'Delivery &amp; Installation'!B76</f>
        <v/>
      </c>
      <c r="B76" s="12">
        <f>'Delivery &amp; Installation'!A76</f>
        <v/>
      </c>
      <c r="C76" s="12">
        <f>'Delivery &amp; Installation'!C76</f>
        <v/>
      </c>
      <c r="D76" s="12">
        <f>'Delivery &amp; Installation'!G76</f>
        <v/>
      </c>
      <c r="E76" s="12">
        <f>'Delivery &amp; Installation'!L76</f>
        <v/>
      </c>
      <c r="F76" s="12">
        <f>'Delivery &amp; Installation'!M76</f>
        <v/>
      </c>
      <c r="G76" s="12">
        <f>'Delivery &amp; Installation'!N76</f>
        <v/>
      </c>
      <c r="H76" s="12">
        <f>'Delivery &amp; Installation'!I76</f>
        <v/>
      </c>
      <c r="I76" s="12">
        <f>'Delivery &amp; Installation'!O76</f>
        <v/>
      </c>
      <c r="J76" s="12">
        <f>IF(G76="Installed","Yes","No")</f>
        <v/>
      </c>
    </row>
    <row r="77">
      <c r="A77">
        <f>'Delivery &amp; Installation'!B77</f>
        <v/>
      </c>
      <c r="B77">
        <f>'Delivery &amp; Installation'!A77</f>
        <v/>
      </c>
      <c r="C77">
        <f>'Delivery &amp; Installation'!C77</f>
        <v/>
      </c>
      <c r="D77">
        <f>'Delivery &amp; Installation'!G77</f>
        <v/>
      </c>
      <c r="E77">
        <f>'Delivery &amp; Installation'!L77</f>
        <v/>
      </c>
      <c r="F77">
        <f>'Delivery &amp; Installation'!M77</f>
        <v/>
      </c>
      <c r="G77">
        <f>'Delivery &amp; Installation'!N77</f>
        <v/>
      </c>
      <c r="H77">
        <f>'Delivery &amp; Installation'!I77</f>
        <v/>
      </c>
      <c r="I77">
        <f>'Delivery &amp; Installation'!O77</f>
        <v/>
      </c>
      <c r="J77">
        <f>IF(G77="Installed","Yes","No")</f>
        <v/>
      </c>
    </row>
    <row r="78">
      <c r="A78" s="12">
        <f>'Delivery &amp; Installation'!B78</f>
        <v/>
      </c>
      <c r="B78" s="12">
        <f>'Delivery &amp; Installation'!A78</f>
        <v/>
      </c>
      <c r="C78" s="12">
        <f>'Delivery &amp; Installation'!C78</f>
        <v/>
      </c>
      <c r="D78" s="12">
        <f>'Delivery &amp; Installation'!G78</f>
        <v/>
      </c>
      <c r="E78" s="12">
        <f>'Delivery &amp; Installation'!L78</f>
        <v/>
      </c>
      <c r="F78" s="12">
        <f>'Delivery &amp; Installation'!M78</f>
        <v/>
      </c>
      <c r="G78" s="12">
        <f>'Delivery &amp; Installation'!N78</f>
        <v/>
      </c>
      <c r="H78" s="12">
        <f>'Delivery &amp; Installation'!I78</f>
        <v/>
      </c>
      <c r="I78" s="12">
        <f>'Delivery &amp; Installation'!O78</f>
        <v/>
      </c>
      <c r="J78" s="12">
        <f>IF(G78="Installed","Yes","No")</f>
        <v/>
      </c>
    </row>
    <row r="79">
      <c r="A79">
        <f>'Delivery &amp; Installation'!B79</f>
        <v/>
      </c>
      <c r="B79">
        <f>'Delivery &amp; Installation'!A79</f>
        <v/>
      </c>
      <c r="C79">
        <f>'Delivery &amp; Installation'!C79</f>
        <v/>
      </c>
      <c r="D79">
        <f>'Delivery &amp; Installation'!G79</f>
        <v/>
      </c>
      <c r="E79">
        <f>'Delivery &amp; Installation'!L79</f>
        <v/>
      </c>
      <c r="F79">
        <f>'Delivery &amp; Installation'!M79</f>
        <v/>
      </c>
      <c r="G79">
        <f>'Delivery &amp; Installation'!N79</f>
        <v/>
      </c>
      <c r="H79">
        <f>'Delivery &amp; Installation'!I79</f>
        <v/>
      </c>
      <c r="I79">
        <f>'Delivery &amp; Installation'!O79</f>
        <v/>
      </c>
      <c r="J79">
        <f>IF(G79="Installed","Yes","No")</f>
        <v/>
      </c>
    </row>
    <row r="80">
      <c r="A80" s="12">
        <f>'Delivery &amp; Installation'!B80</f>
        <v/>
      </c>
      <c r="B80" s="12">
        <f>'Delivery &amp; Installation'!A80</f>
        <v/>
      </c>
      <c r="C80" s="12">
        <f>'Delivery &amp; Installation'!C80</f>
        <v/>
      </c>
      <c r="D80" s="12">
        <f>'Delivery &amp; Installation'!G80</f>
        <v/>
      </c>
      <c r="E80" s="12">
        <f>'Delivery &amp; Installation'!L80</f>
        <v/>
      </c>
      <c r="F80" s="12">
        <f>'Delivery &amp; Installation'!M80</f>
        <v/>
      </c>
      <c r="G80" s="12">
        <f>'Delivery &amp; Installation'!N80</f>
        <v/>
      </c>
      <c r="H80" s="12">
        <f>'Delivery &amp; Installation'!I80</f>
        <v/>
      </c>
      <c r="I80" s="12">
        <f>'Delivery &amp; Installation'!O80</f>
        <v/>
      </c>
      <c r="J80" s="12">
        <f>IF(G80="Installed","Yes","No")</f>
        <v/>
      </c>
    </row>
    <row r="81">
      <c r="A81">
        <f>'Delivery &amp; Installation'!B81</f>
        <v/>
      </c>
      <c r="B81">
        <f>'Delivery &amp; Installation'!A81</f>
        <v/>
      </c>
      <c r="C81">
        <f>'Delivery &amp; Installation'!C81</f>
        <v/>
      </c>
      <c r="D81">
        <f>'Delivery &amp; Installation'!G81</f>
        <v/>
      </c>
      <c r="E81">
        <f>'Delivery &amp; Installation'!L81</f>
        <v/>
      </c>
      <c r="F81">
        <f>'Delivery &amp; Installation'!M81</f>
        <v/>
      </c>
      <c r="G81">
        <f>'Delivery &amp; Installation'!N81</f>
        <v/>
      </c>
      <c r="H81">
        <f>'Delivery &amp; Installation'!I81</f>
        <v/>
      </c>
      <c r="I81">
        <f>'Delivery &amp; Installation'!O81</f>
        <v/>
      </c>
      <c r="J81">
        <f>IF(G81="Installed","Yes","No")</f>
        <v/>
      </c>
    </row>
    <row r="82">
      <c r="A82" s="12">
        <f>'Delivery &amp; Installation'!B82</f>
        <v/>
      </c>
      <c r="B82" s="12">
        <f>'Delivery &amp; Installation'!A82</f>
        <v/>
      </c>
      <c r="C82" s="12">
        <f>'Delivery &amp; Installation'!C82</f>
        <v/>
      </c>
      <c r="D82" s="12">
        <f>'Delivery &amp; Installation'!G82</f>
        <v/>
      </c>
      <c r="E82" s="12">
        <f>'Delivery &amp; Installation'!L82</f>
        <v/>
      </c>
      <c r="F82" s="12">
        <f>'Delivery &amp; Installation'!M82</f>
        <v/>
      </c>
      <c r="G82" s="12">
        <f>'Delivery &amp; Installation'!N82</f>
        <v/>
      </c>
      <c r="H82" s="12">
        <f>'Delivery &amp; Installation'!I82</f>
        <v/>
      </c>
      <c r="I82" s="12">
        <f>'Delivery &amp; Installation'!O82</f>
        <v/>
      </c>
      <c r="J82" s="12">
        <f>IF(G82="Installed","Yes","No")</f>
        <v/>
      </c>
    </row>
    <row r="83">
      <c r="A83">
        <f>'Delivery &amp; Installation'!B83</f>
        <v/>
      </c>
      <c r="B83">
        <f>'Delivery &amp; Installation'!A83</f>
        <v/>
      </c>
      <c r="C83">
        <f>'Delivery &amp; Installation'!C83</f>
        <v/>
      </c>
      <c r="D83">
        <f>'Delivery &amp; Installation'!G83</f>
        <v/>
      </c>
      <c r="E83">
        <f>'Delivery &amp; Installation'!L83</f>
        <v/>
      </c>
      <c r="F83">
        <f>'Delivery &amp; Installation'!M83</f>
        <v/>
      </c>
      <c r="G83">
        <f>'Delivery &amp; Installation'!N83</f>
        <v/>
      </c>
      <c r="H83">
        <f>'Delivery &amp; Installation'!I83</f>
        <v/>
      </c>
      <c r="I83">
        <f>'Delivery &amp; Installation'!O83</f>
        <v/>
      </c>
      <c r="J83">
        <f>IF(G83="Installed","Yes","No")</f>
        <v/>
      </c>
    </row>
    <row r="84">
      <c r="A84" s="12">
        <f>'Delivery &amp; Installation'!B84</f>
        <v/>
      </c>
      <c r="B84" s="12">
        <f>'Delivery &amp; Installation'!A84</f>
        <v/>
      </c>
      <c r="C84" s="12">
        <f>'Delivery &amp; Installation'!C84</f>
        <v/>
      </c>
      <c r="D84" s="12">
        <f>'Delivery &amp; Installation'!G84</f>
        <v/>
      </c>
      <c r="E84" s="12">
        <f>'Delivery &amp; Installation'!L84</f>
        <v/>
      </c>
      <c r="F84" s="12">
        <f>'Delivery &amp; Installation'!M84</f>
        <v/>
      </c>
      <c r="G84" s="12">
        <f>'Delivery &amp; Installation'!N84</f>
        <v/>
      </c>
      <c r="H84" s="12">
        <f>'Delivery &amp; Installation'!I84</f>
        <v/>
      </c>
      <c r="I84" s="12">
        <f>'Delivery &amp; Installation'!O84</f>
        <v/>
      </c>
      <c r="J84" s="12">
        <f>IF(G84="Installed","Yes","No")</f>
        <v/>
      </c>
    </row>
    <row r="85">
      <c r="A85">
        <f>'Delivery &amp; Installation'!B85</f>
        <v/>
      </c>
      <c r="B85">
        <f>'Delivery &amp; Installation'!A85</f>
        <v/>
      </c>
      <c r="C85">
        <f>'Delivery &amp; Installation'!C85</f>
        <v/>
      </c>
      <c r="D85">
        <f>'Delivery &amp; Installation'!G85</f>
        <v/>
      </c>
      <c r="E85">
        <f>'Delivery &amp; Installation'!L85</f>
        <v/>
      </c>
      <c r="F85">
        <f>'Delivery &amp; Installation'!M85</f>
        <v/>
      </c>
      <c r="G85">
        <f>'Delivery &amp; Installation'!N85</f>
        <v/>
      </c>
      <c r="H85">
        <f>'Delivery &amp; Installation'!I85</f>
        <v/>
      </c>
      <c r="I85">
        <f>'Delivery &amp; Installation'!O85</f>
        <v/>
      </c>
      <c r="J85">
        <f>IF(G85="Installed","Yes","No")</f>
        <v/>
      </c>
    </row>
    <row r="86">
      <c r="A86" s="12">
        <f>'Delivery &amp; Installation'!B86</f>
        <v/>
      </c>
      <c r="B86" s="12">
        <f>'Delivery &amp; Installation'!A86</f>
        <v/>
      </c>
      <c r="C86" s="12">
        <f>'Delivery &amp; Installation'!C86</f>
        <v/>
      </c>
      <c r="D86" s="12">
        <f>'Delivery &amp; Installation'!G86</f>
        <v/>
      </c>
      <c r="E86" s="12">
        <f>'Delivery &amp; Installation'!L86</f>
        <v/>
      </c>
      <c r="F86" s="12">
        <f>'Delivery &amp; Installation'!M86</f>
        <v/>
      </c>
      <c r="G86" s="12">
        <f>'Delivery &amp; Installation'!N86</f>
        <v/>
      </c>
      <c r="H86" s="12">
        <f>'Delivery &amp; Installation'!I86</f>
        <v/>
      </c>
      <c r="I86" s="12">
        <f>'Delivery &amp; Installation'!O86</f>
        <v/>
      </c>
      <c r="J86" s="12">
        <f>IF(G86="Installed","Yes","No")</f>
        <v/>
      </c>
    </row>
    <row r="87">
      <c r="A87">
        <f>'Delivery &amp; Installation'!B87</f>
        <v/>
      </c>
      <c r="B87">
        <f>'Delivery &amp; Installation'!A87</f>
        <v/>
      </c>
      <c r="C87">
        <f>'Delivery &amp; Installation'!C87</f>
        <v/>
      </c>
      <c r="D87">
        <f>'Delivery &amp; Installation'!G87</f>
        <v/>
      </c>
      <c r="E87">
        <f>'Delivery &amp; Installation'!L87</f>
        <v/>
      </c>
      <c r="F87">
        <f>'Delivery &amp; Installation'!M87</f>
        <v/>
      </c>
      <c r="G87">
        <f>'Delivery &amp; Installation'!N87</f>
        <v/>
      </c>
      <c r="H87">
        <f>'Delivery &amp; Installation'!I87</f>
        <v/>
      </c>
      <c r="I87">
        <f>'Delivery &amp; Installation'!O87</f>
        <v/>
      </c>
      <c r="J87">
        <f>IF(G87="Installed","Yes","No")</f>
        <v/>
      </c>
    </row>
    <row r="88">
      <c r="A88" s="12">
        <f>'Delivery &amp; Installation'!B88</f>
        <v/>
      </c>
      <c r="B88" s="12">
        <f>'Delivery &amp; Installation'!A88</f>
        <v/>
      </c>
      <c r="C88" s="12">
        <f>'Delivery &amp; Installation'!C88</f>
        <v/>
      </c>
      <c r="D88" s="12">
        <f>'Delivery &amp; Installation'!G88</f>
        <v/>
      </c>
      <c r="E88" s="12">
        <f>'Delivery &amp; Installation'!L88</f>
        <v/>
      </c>
      <c r="F88" s="12">
        <f>'Delivery &amp; Installation'!M88</f>
        <v/>
      </c>
      <c r="G88" s="12">
        <f>'Delivery &amp; Installation'!N88</f>
        <v/>
      </c>
      <c r="H88" s="12">
        <f>'Delivery &amp; Installation'!I88</f>
        <v/>
      </c>
      <c r="I88" s="12">
        <f>'Delivery &amp; Installation'!O88</f>
        <v/>
      </c>
      <c r="J88" s="12">
        <f>IF(G88="Installed","Yes","No")</f>
        <v/>
      </c>
    </row>
    <row r="89">
      <c r="A89">
        <f>'Delivery &amp; Installation'!B89</f>
        <v/>
      </c>
      <c r="B89">
        <f>'Delivery &amp; Installation'!A89</f>
        <v/>
      </c>
      <c r="C89">
        <f>'Delivery &amp; Installation'!C89</f>
        <v/>
      </c>
      <c r="D89">
        <f>'Delivery &amp; Installation'!G89</f>
        <v/>
      </c>
      <c r="E89">
        <f>'Delivery &amp; Installation'!L89</f>
        <v/>
      </c>
      <c r="F89">
        <f>'Delivery &amp; Installation'!M89</f>
        <v/>
      </c>
      <c r="G89">
        <f>'Delivery &amp; Installation'!N89</f>
        <v/>
      </c>
      <c r="H89">
        <f>'Delivery &amp; Installation'!I89</f>
        <v/>
      </c>
      <c r="I89">
        <f>'Delivery &amp; Installation'!O89</f>
        <v/>
      </c>
      <c r="J89">
        <f>IF(G89="Installed","Yes","No")</f>
        <v/>
      </c>
    </row>
    <row r="90">
      <c r="A90" s="12">
        <f>'Delivery &amp; Installation'!B90</f>
        <v/>
      </c>
      <c r="B90" s="12">
        <f>'Delivery &amp; Installation'!A90</f>
        <v/>
      </c>
      <c r="C90" s="12">
        <f>'Delivery &amp; Installation'!C90</f>
        <v/>
      </c>
      <c r="D90" s="12">
        <f>'Delivery &amp; Installation'!G90</f>
        <v/>
      </c>
      <c r="E90" s="12">
        <f>'Delivery &amp; Installation'!L90</f>
        <v/>
      </c>
      <c r="F90" s="12">
        <f>'Delivery &amp; Installation'!M90</f>
        <v/>
      </c>
      <c r="G90" s="12">
        <f>'Delivery &amp; Installation'!N90</f>
        <v/>
      </c>
      <c r="H90" s="12">
        <f>'Delivery &amp; Installation'!I90</f>
        <v/>
      </c>
      <c r="I90" s="12">
        <f>'Delivery &amp; Installation'!O90</f>
        <v/>
      </c>
      <c r="J90" s="12">
        <f>IF(G90="Installed","Yes","No")</f>
        <v/>
      </c>
    </row>
    <row r="91">
      <c r="A91">
        <f>'Delivery &amp; Installation'!B91</f>
        <v/>
      </c>
      <c r="B91">
        <f>'Delivery &amp; Installation'!A91</f>
        <v/>
      </c>
      <c r="C91">
        <f>'Delivery &amp; Installation'!C91</f>
        <v/>
      </c>
      <c r="D91">
        <f>'Delivery &amp; Installation'!G91</f>
        <v/>
      </c>
      <c r="E91">
        <f>'Delivery &amp; Installation'!L91</f>
        <v/>
      </c>
      <c r="F91">
        <f>'Delivery &amp; Installation'!M91</f>
        <v/>
      </c>
      <c r="G91">
        <f>'Delivery &amp; Installation'!N91</f>
        <v/>
      </c>
      <c r="H91">
        <f>'Delivery &amp; Installation'!I91</f>
        <v/>
      </c>
      <c r="I91">
        <f>'Delivery &amp; Installation'!O91</f>
        <v/>
      </c>
      <c r="J91">
        <f>IF(G91="Installed","Yes","No")</f>
        <v/>
      </c>
    </row>
    <row r="92">
      <c r="A92" s="12">
        <f>'Delivery &amp; Installation'!B92</f>
        <v/>
      </c>
      <c r="B92" s="12">
        <f>'Delivery &amp; Installation'!A92</f>
        <v/>
      </c>
      <c r="C92" s="12">
        <f>'Delivery &amp; Installation'!C92</f>
        <v/>
      </c>
      <c r="D92" s="12">
        <f>'Delivery &amp; Installation'!G92</f>
        <v/>
      </c>
      <c r="E92" s="12">
        <f>'Delivery &amp; Installation'!L92</f>
        <v/>
      </c>
      <c r="F92" s="12">
        <f>'Delivery &amp; Installation'!M92</f>
        <v/>
      </c>
      <c r="G92" s="12">
        <f>'Delivery &amp; Installation'!N92</f>
        <v/>
      </c>
      <c r="H92" s="12">
        <f>'Delivery &amp; Installation'!I92</f>
        <v/>
      </c>
      <c r="I92" s="12">
        <f>'Delivery &amp; Installation'!O92</f>
        <v/>
      </c>
      <c r="J92" s="12">
        <f>IF(G92="Installed","Yes","No")</f>
        <v/>
      </c>
    </row>
    <row r="93">
      <c r="A93">
        <f>'Delivery &amp; Installation'!B93</f>
        <v/>
      </c>
      <c r="B93">
        <f>'Delivery &amp; Installation'!A93</f>
        <v/>
      </c>
      <c r="C93">
        <f>'Delivery &amp; Installation'!C93</f>
        <v/>
      </c>
      <c r="D93">
        <f>'Delivery &amp; Installation'!G93</f>
        <v/>
      </c>
      <c r="E93">
        <f>'Delivery &amp; Installation'!L93</f>
        <v/>
      </c>
      <c r="F93">
        <f>'Delivery &amp; Installation'!M93</f>
        <v/>
      </c>
      <c r="G93">
        <f>'Delivery &amp; Installation'!N93</f>
        <v/>
      </c>
      <c r="H93">
        <f>'Delivery &amp; Installation'!I93</f>
        <v/>
      </c>
      <c r="I93">
        <f>'Delivery &amp; Installation'!O93</f>
        <v/>
      </c>
      <c r="J93">
        <f>IF(G93="Installed","Yes","No")</f>
        <v/>
      </c>
    </row>
    <row r="94">
      <c r="A94" s="12">
        <f>'Delivery &amp; Installation'!B94</f>
        <v/>
      </c>
      <c r="B94" s="12">
        <f>'Delivery &amp; Installation'!A94</f>
        <v/>
      </c>
      <c r="C94" s="12">
        <f>'Delivery &amp; Installation'!C94</f>
        <v/>
      </c>
      <c r="D94" s="12">
        <f>'Delivery &amp; Installation'!G94</f>
        <v/>
      </c>
      <c r="E94" s="12">
        <f>'Delivery &amp; Installation'!L94</f>
        <v/>
      </c>
      <c r="F94" s="12">
        <f>'Delivery &amp; Installation'!M94</f>
        <v/>
      </c>
      <c r="G94" s="12">
        <f>'Delivery &amp; Installation'!N94</f>
        <v/>
      </c>
      <c r="H94" s="12">
        <f>'Delivery &amp; Installation'!I94</f>
        <v/>
      </c>
      <c r="I94" s="12">
        <f>'Delivery &amp; Installation'!O94</f>
        <v/>
      </c>
      <c r="J94" s="12">
        <f>IF(G94="Installed","Yes","No")</f>
        <v/>
      </c>
    </row>
    <row r="95">
      <c r="A95">
        <f>'Delivery &amp; Installation'!B95</f>
        <v/>
      </c>
      <c r="B95">
        <f>'Delivery &amp; Installation'!A95</f>
        <v/>
      </c>
      <c r="C95">
        <f>'Delivery &amp; Installation'!C95</f>
        <v/>
      </c>
      <c r="D95">
        <f>'Delivery &amp; Installation'!G95</f>
        <v/>
      </c>
      <c r="E95">
        <f>'Delivery &amp; Installation'!L95</f>
        <v/>
      </c>
      <c r="F95">
        <f>'Delivery &amp; Installation'!M95</f>
        <v/>
      </c>
      <c r="G95">
        <f>'Delivery &amp; Installation'!N95</f>
        <v/>
      </c>
      <c r="H95">
        <f>'Delivery &amp; Installation'!I95</f>
        <v/>
      </c>
      <c r="I95">
        <f>'Delivery &amp; Installation'!O95</f>
        <v/>
      </c>
      <c r="J95">
        <f>IF(G95="Installed","Yes","No")</f>
        <v/>
      </c>
    </row>
    <row r="96">
      <c r="A96" s="12">
        <f>'Delivery &amp; Installation'!B96</f>
        <v/>
      </c>
      <c r="B96" s="12">
        <f>'Delivery &amp; Installation'!A96</f>
        <v/>
      </c>
      <c r="C96" s="12">
        <f>'Delivery &amp; Installation'!C96</f>
        <v/>
      </c>
      <c r="D96" s="12">
        <f>'Delivery &amp; Installation'!G96</f>
        <v/>
      </c>
      <c r="E96" s="12">
        <f>'Delivery &amp; Installation'!L96</f>
        <v/>
      </c>
      <c r="F96" s="12">
        <f>'Delivery &amp; Installation'!M96</f>
        <v/>
      </c>
      <c r="G96" s="12">
        <f>'Delivery &amp; Installation'!N96</f>
        <v/>
      </c>
      <c r="H96" s="12">
        <f>'Delivery &amp; Installation'!I96</f>
        <v/>
      </c>
      <c r="I96" s="12">
        <f>'Delivery &amp; Installation'!O96</f>
        <v/>
      </c>
      <c r="J96" s="12">
        <f>IF(G96="Installed","Yes","No")</f>
        <v/>
      </c>
    </row>
    <row r="97">
      <c r="A97">
        <f>'Delivery &amp; Installation'!B97</f>
        <v/>
      </c>
      <c r="B97">
        <f>'Delivery &amp; Installation'!A97</f>
        <v/>
      </c>
      <c r="C97">
        <f>'Delivery &amp; Installation'!C97</f>
        <v/>
      </c>
      <c r="D97">
        <f>'Delivery &amp; Installation'!G97</f>
        <v/>
      </c>
      <c r="E97">
        <f>'Delivery &amp; Installation'!L97</f>
        <v/>
      </c>
      <c r="F97">
        <f>'Delivery &amp; Installation'!M97</f>
        <v/>
      </c>
      <c r="G97">
        <f>'Delivery &amp; Installation'!N97</f>
        <v/>
      </c>
      <c r="H97">
        <f>'Delivery &amp; Installation'!I97</f>
        <v/>
      </c>
      <c r="I97">
        <f>'Delivery &amp; Installation'!O97</f>
        <v/>
      </c>
      <c r="J97">
        <f>IF(G97="Installed","Yes","No")</f>
        <v/>
      </c>
    </row>
    <row r="98">
      <c r="A98" s="12">
        <f>'Delivery &amp; Installation'!B98</f>
        <v/>
      </c>
      <c r="B98" s="12">
        <f>'Delivery &amp; Installation'!A98</f>
        <v/>
      </c>
      <c r="C98" s="12">
        <f>'Delivery &amp; Installation'!C98</f>
        <v/>
      </c>
      <c r="D98" s="12">
        <f>'Delivery &amp; Installation'!G98</f>
        <v/>
      </c>
      <c r="E98" s="12">
        <f>'Delivery &amp; Installation'!L98</f>
        <v/>
      </c>
      <c r="F98" s="12">
        <f>'Delivery &amp; Installation'!M98</f>
        <v/>
      </c>
      <c r="G98" s="12">
        <f>'Delivery &amp; Installation'!N98</f>
        <v/>
      </c>
      <c r="H98" s="12">
        <f>'Delivery &amp; Installation'!I98</f>
        <v/>
      </c>
      <c r="I98" s="12">
        <f>'Delivery &amp; Installation'!O98</f>
        <v/>
      </c>
      <c r="J98" s="12">
        <f>IF(G98="Installed","Yes","No")</f>
        <v/>
      </c>
    </row>
    <row r="99">
      <c r="A99">
        <f>'Delivery &amp; Installation'!B99</f>
        <v/>
      </c>
      <c r="B99">
        <f>'Delivery &amp; Installation'!A99</f>
        <v/>
      </c>
      <c r="C99">
        <f>'Delivery &amp; Installation'!C99</f>
        <v/>
      </c>
      <c r="D99">
        <f>'Delivery &amp; Installation'!G99</f>
        <v/>
      </c>
      <c r="E99">
        <f>'Delivery &amp; Installation'!L99</f>
        <v/>
      </c>
      <c r="F99">
        <f>'Delivery &amp; Installation'!M99</f>
        <v/>
      </c>
      <c r="G99">
        <f>'Delivery &amp; Installation'!N99</f>
        <v/>
      </c>
      <c r="H99">
        <f>'Delivery &amp; Installation'!I99</f>
        <v/>
      </c>
      <c r="I99">
        <f>'Delivery &amp; Installation'!O99</f>
        <v/>
      </c>
      <c r="J99">
        <f>IF(G99="Installed","Yes","No")</f>
        <v/>
      </c>
    </row>
    <row r="100">
      <c r="A100" s="12">
        <f>'Delivery &amp; Installation'!B100</f>
        <v/>
      </c>
      <c r="B100" s="12">
        <f>'Delivery &amp; Installation'!A100</f>
        <v/>
      </c>
      <c r="C100" s="12">
        <f>'Delivery &amp; Installation'!C100</f>
        <v/>
      </c>
      <c r="D100" s="12">
        <f>'Delivery &amp; Installation'!G100</f>
        <v/>
      </c>
      <c r="E100" s="12">
        <f>'Delivery &amp; Installation'!L100</f>
        <v/>
      </c>
      <c r="F100" s="12">
        <f>'Delivery &amp; Installation'!M100</f>
        <v/>
      </c>
      <c r="G100" s="12">
        <f>'Delivery &amp; Installation'!N100</f>
        <v/>
      </c>
      <c r="H100" s="12">
        <f>'Delivery &amp; Installation'!I100</f>
        <v/>
      </c>
      <c r="I100" s="12">
        <f>'Delivery &amp; Installation'!O100</f>
        <v/>
      </c>
      <c r="J100" s="12">
        <f>IF(G100="Installed","Yes","No")</f>
        <v/>
      </c>
    </row>
    <row r="101">
      <c r="A101">
        <f>'Delivery &amp; Installation'!B101</f>
        <v/>
      </c>
      <c r="B101">
        <f>'Delivery &amp; Installation'!A101</f>
        <v/>
      </c>
      <c r="C101">
        <f>'Delivery &amp; Installation'!C101</f>
        <v/>
      </c>
      <c r="D101">
        <f>'Delivery &amp; Installation'!G101</f>
        <v/>
      </c>
      <c r="E101">
        <f>'Delivery &amp; Installation'!L101</f>
        <v/>
      </c>
      <c r="F101">
        <f>'Delivery &amp; Installation'!M101</f>
        <v/>
      </c>
      <c r="G101">
        <f>'Delivery &amp; Installation'!N101</f>
        <v/>
      </c>
      <c r="H101">
        <f>'Delivery &amp; Installation'!I101</f>
        <v/>
      </c>
      <c r="I101">
        <f>'Delivery &amp; Installation'!O101</f>
        <v/>
      </c>
      <c r="J101">
        <f>IF(G101="Installed","Yes","No")</f>
        <v/>
      </c>
    </row>
    <row r="102">
      <c r="A102" s="12">
        <f>'Delivery &amp; Installation'!B102</f>
        <v/>
      </c>
      <c r="B102" s="12">
        <f>'Delivery &amp; Installation'!A102</f>
        <v/>
      </c>
      <c r="C102" s="12">
        <f>'Delivery &amp; Installation'!C102</f>
        <v/>
      </c>
      <c r="D102" s="12">
        <f>'Delivery &amp; Installation'!G102</f>
        <v/>
      </c>
      <c r="E102" s="12">
        <f>'Delivery &amp; Installation'!L102</f>
        <v/>
      </c>
      <c r="F102" s="12">
        <f>'Delivery &amp; Installation'!M102</f>
        <v/>
      </c>
      <c r="G102" s="12">
        <f>'Delivery &amp; Installation'!N102</f>
        <v/>
      </c>
      <c r="H102" s="12">
        <f>'Delivery &amp; Installation'!I102</f>
        <v/>
      </c>
      <c r="I102" s="12">
        <f>'Delivery &amp; Installation'!O102</f>
        <v/>
      </c>
      <c r="J102" s="12">
        <f>IF(G102="Installed","Yes","No")</f>
        <v/>
      </c>
    </row>
    <row r="103">
      <c r="A103">
        <f>'Delivery &amp; Installation'!B103</f>
        <v/>
      </c>
      <c r="B103">
        <f>'Delivery &amp; Installation'!A103</f>
        <v/>
      </c>
      <c r="C103">
        <f>'Delivery &amp; Installation'!C103</f>
        <v/>
      </c>
      <c r="D103">
        <f>'Delivery &amp; Installation'!G103</f>
        <v/>
      </c>
      <c r="E103">
        <f>'Delivery &amp; Installation'!L103</f>
        <v/>
      </c>
      <c r="F103">
        <f>'Delivery &amp; Installation'!M103</f>
        <v/>
      </c>
      <c r="G103">
        <f>'Delivery &amp; Installation'!N103</f>
        <v/>
      </c>
      <c r="H103">
        <f>'Delivery &amp; Installation'!I103</f>
        <v/>
      </c>
      <c r="I103">
        <f>'Delivery &amp; Installation'!O103</f>
        <v/>
      </c>
      <c r="J103">
        <f>IF(G103="Installed","Yes","No")</f>
        <v/>
      </c>
    </row>
    <row r="104">
      <c r="A104" s="12">
        <f>'Delivery &amp; Installation'!B104</f>
        <v/>
      </c>
      <c r="B104" s="12">
        <f>'Delivery &amp; Installation'!A104</f>
        <v/>
      </c>
      <c r="C104" s="12">
        <f>'Delivery &amp; Installation'!C104</f>
        <v/>
      </c>
      <c r="D104" s="12">
        <f>'Delivery &amp; Installation'!G104</f>
        <v/>
      </c>
      <c r="E104" s="12">
        <f>'Delivery &amp; Installation'!L104</f>
        <v/>
      </c>
      <c r="F104" s="12">
        <f>'Delivery &amp; Installation'!M104</f>
        <v/>
      </c>
      <c r="G104" s="12">
        <f>'Delivery &amp; Installation'!N104</f>
        <v/>
      </c>
      <c r="H104" s="12">
        <f>'Delivery &amp; Installation'!I104</f>
        <v/>
      </c>
      <c r="I104" s="12">
        <f>'Delivery &amp; Installation'!O104</f>
        <v/>
      </c>
      <c r="J104" s="12">
        <f>IF(G104="Installed","Yes","No")</f>
        <v/>
      </c>
    </row>
    <row r="105">
      <c r="A105">
        <f>'Delivery &amp; Installation'!B105</f>
        <v/>
      </c>
      <c r="B105">
        <f>'Delivery &amp; Installation'!A105</f>
        <v/>
      </c>
      <c r="C105">
        <f>'Delivery &amp; Installation'!C105</f>
        <v/>
      </c>
      <c r="D105">
        <f>'Delivery &amp; Installation'!G105</f>
        <v/>
      </c>
      <c r="E105">
        <f>'Delivery &amp; Installation'!L105</f>
        <v/>
      </c>
      <c r="F105">
        <f>'Delivery &amp; Installation'!M105</f>
        <v/>
      </c>
      <c r="G105">
        <f>'Delivery &amp; Installation'!N105</f>
        <v/>
      </c>
      <c r="H105">
        <f>'Delivery &amp; Installation'!I105</f>
        <v/>
      </c>
      <c r="I105">
        <f>'Delivery &amp; Installation'!O105</f>
        <v/>
      </c>
      <c r="J105">
        <f>IF(G105="Installed","Yes","No")</f>
        <v/>
      </c>
    </row>
    <row r="106">
      <c r="A106" s="12">
        <f>'Delivery &amp; Installation'!B106</f>
        <v/>
      </c>
      <c r="B106" s="12">
        <f>'Delivery &amp; Installation'!A106</f>
        <v/>
      </c>
      <c r="C106" s="12">
        <f>'Delivery &amp; Installation'!C106</f>
        <v/>
      </c>
      <c r="D106" s="12">
        <f>'Delivery &amp; Installation'!G106</f>
        <v/>
      </c>
      <c r="E106" s="12">
        <f>'Delivery &amp; Installation'!L106</f>
        <v/>
      </c>
      <c r="F106" s="12">
        <f>'Delivery &amp; Installation'!M106</f>
        <v/>
      </c>
      <c r="G106" s="12">
        <f>'Delivery &amp; Installation'!N106</f>
        <v/>
      </c>
      <c r="H106" s="12">
        <f>'Delivery &amp; Installation'!I106</f>
        <v/>
      </c>
      <c r="I106" s="12">
        <f>'Delivery &amp; Installation'!O106</f>
        <v/>
      </c>
      <c r="J106" s="12">
        <f>IF(G106="Installed","Yes","No")</f>
        <v/>
      </c>
    </row>
    <row r="107">
      <c r="A107">
        <f>'Delivery &amp; Installation'!B107</f>
        <v/>
      </c>
      <c r="B107">
        <f>'Delivery &amp; Installation'!A107</f>
        <v/>
      </c>
      <c r="C107">
        <f>'Delivery &amp; Installation'!C107</f>
        <v/>
      </c>
      <c r="D107">
        <f>'Delivery &amp; Installation'!G107</f>
        <v/>
      </c>
      <c r="E107">
        <f>'Delivery &amp; Installation'!L107</f>
        <v/>
      </c>
      <c r="F107">
        <f>'Delivery &amp; Installation'!M107</f>
        <v/>
      </c>
      <c r="G107">
        <f>'Delivery &amp; Installation'!N107</f>
        <v/>
      </c>
      <c r="H107">
        <f>'Delivery &amp; Installation'!I107</f>
        <v/>
      </c>
      <c r="I107">
        <f>'Delivery &amp; Installation'!O107</f>
        <v/>
      </c>
      <c r="J107">
        <f>IF(G107="Installed","Yes","No")</f>
        <v/>
      </c>
    </row>
    <row r="108">
      <c r="A108" s="12">
        <f>'Delivery &amp; Installation'!B108</f>
        <v/>
      </c>
      <c r="B108" s="12">
        <f>'Delivery &amp; Installation'!A108</f>
        <v/>
      </c>
      <c r="C108" s="12">
        <f>'Delivery &amp; Installation'!C108</f>
        <v/>
      </c>
      <c r="D108" s="12">
        <f>'Delivery &amp; Installation'!G108</f>
        <v/>
      </c>
      <c r="E108" s="12">
        <f>'Delivery &amp; Installation'!L108</f>
        <v/>
      </c>
      <c r="F108" s="12">
        <f>'Delivery &amp; Installation'!M108</f>
        <v/>
      </c>
      <c r="G108" s="12">
        <f>'Delivery &amp; Installation'!N108</f>
        <v/>
      </c>
      <c r="H108" s="12">
        <f>'Delivery &amp; Installation'!I108</f>
        <v/>
      </c>
      <c r="I108" s="12">
        <f>'Delivery &amp; Installation'!O108</f>
        <v/>
      </c>
      <c r="J108" s="12">
        <f>IF(G108="Installed","Yes","No")</f>
        <v/>
      </c>
    </row>
    <row r="109">
      <c r="A109">
        <f>'Delivery &amp; Installation'!B109</f>
        <v/>
      </c>
      <c r="B109">
        <f>'Delivery &amp; Installation'!A109</f>
        <v/>
      </c>
      <c r="C109">
        <f>'Delivery &amp; Installation'!C109</f>
        <v/>
      </c>
      <c r="D109">
        <f>'Delivery &amp; Installation'!G109</f>
        <v/>
      </c>
      <c r="E109">
        <f>'Delivery &amp; Installation'!L109</f>
        <v/>
      </c>
      <c r="F109">
        <f>'Delivery &amp; Installation'!M109</f>
        <v/>
      </c>
      <c r="G109">
        <f>'Delivery &amp; Installation'!N109</f>
        <v/>
      </c>
      <c r="H109">
        <f>'Delivery &amp; Installation'!I109</f>
        <v/>
      </c>
      <c r="I109">
        <f>'Delivery &amp; Installation'!O109</f>
        <v/>
      </c>
      <c r="J109">
        <f>IF(G109="Installed","Yes","No")</f>
        <v/>
      </c>
    </row>
    <row r="110">
      <c r="A110" s="12">
        <f>'Delivery &amp; Installation'!B110</f>
        <v/>
      </c>
      <c r="B110" s="12">
        <f>'Delivery &amp; Installation'!A110</f>
        <v/>
      </c>
      <c r="C110" s="12">
        <f>'Delivery &amp; Installation'!C110</f>
        <v/>
      </c>
      <c r="D110" s="12">
        <f>'Delivery &amp; Installation'!G110</f>
        <v/>
      </c>
      <c r="E110" s="12">
        <f>'Delivery &amp; Installation'!L110</f>
        <v/>
      </c>
      <c r="F110" s="12">
        <f>'Delivery &amp; Installation'!M110</f>
        <v/>
      </c>
      <c r="G110" s="12">
        <f>'Delivery &amp; Installation'!N110</f>
        <v/>
      </c>
      <c r="H110" s="12">
        <f>'Delivery &amp; Installation'!I110</f>
        <v/>
      </c>
      <c r="I110" s="12">
        <f>'Delivery &amp; Installation'!O110</f>
        <v/>
      </c>
      <c r="J110" s="12">
        <f>IF(G110="Installed","Yes","No")</f>
        <v/>
      </c>
    </row>
    <row r="111">
      <c r="A111">
        <f>'Delivery &amp; Installation'!B111</f>
        <v/>
      </c>
      <c r="B111">
        <f>'Delivery &amp; Installation'!A111</f>
        <v/>
      </c>
      <c r="C111">
        <f>'Delivery &amp; Installation'!C111</f>
        <v/>
      </c>
      <c r="D111">
        <f>'Delivery &amp; Installation'!G111</f>
        <v/>
      </c>
      <c r="E111">
        <f>'Delivery &amp; Installation'!L111</f>
        <v/>
      </c>
      <c r="F111">
        <f>'Delivery &amp; Installation'!M111</f>
        <v/>
      </c>
      <c r="G111">
        <f>'Delivery &amp; Installation'!N111</f>
        <v/>
      </c>
      <c r="H111">
        <f>'Delivery &amp; Installation'!I111</f>
        <v/>
      </c>
      <c r="I111">
        <f>'Delivery &amp; Installation'!O111</f>
        <v/>
      </c>
      <c r="J111">
        <f>IF(G111="Installed","Yes","No")</f>
        <v/>
      </c>
    </row>
    <row r="112">
      <c r="A112" s="12">
        <f>'Delivery &amp; Installation'!B112</f>
        <v/>
      </c>
      <c r="B112" s="12">
        <f>'Delivery &amp; Installation'!A112</f>
        <v/>
      </c>
      <c r="C112" s="12">
        <f>'Delivery &amp; Installation'!C112</f>
        <v/>
      </c>
      <c r="D112" s="12">
        <f>'Delivery &amp; Installation'!G112</f>
        <v/>
      </c>
      <c r="E112" s="12">
        <f>'Delivery &amp; Installation'!L112</f>
        <v/>
      </c>
      <c r="F112" s="12">
        <f>'Delivery &amp; Installation'!M112</f>
        <v/>
      </c>
      <c r="G112" s="12">
        <f>'Delivery &amp; Installation'!N112</f>
        <v/>
      </c>
      <c r="H112" s="12">
        <f>'Delivery &amp; Installation'!I112</f>
        <v/>
      </c>
      <c r="I112" s="12">
        <f>'Delivery &amp; Installation'!O112</f>
        <v/>
      </c>
      <c r="J112" s="12">
        <f>IF(G112="Installed","Yes","No")</f>
        <v/>
      </c>
    </row>
    <row r="113">
      <c r="A113">
        <f>'Delivery &amp; Installation'!B113</f>
        <v/>
      </c>
      <c r="B113">
        <f>'Delivery &amp; Installation'!A113</f>
        <v/>
      </c>
      <c r="C113">
        <f>'Delivery &amp; Installation'!C113</f>
        <v/>
      </c>
      <c r="D113">
        <f>'Delivery &amp; Installation'!G113</f>
        <v/>
      </c>
      <c r="E113">
        <f>'Delivery &amp; Installation'!L113</f>
        <v/>
      </c>
      <c r="F113">
        <f>'Delivery &amp; Installation'!M113</f>
        <v/>
      </c>
      <c r="G113">
        <f>'Delivery &amp; Installation'!N113</f>
        <v/>
      </c>
      <c r="H113">
        <f>'Delivery &amp; Installation'!I113</f>
        <v/>
      </c>
      <c r="I113">
        <f>'Delivery &amp; Installation'!O113</f>
        <v/>
      </c>
      <c r="J113">
        <f>IF(G113="Installed","Yes","No")</f>
        <v/>
      </c>
    </row>
    <row r="114">
      <c r="A114" s="12">
        <f>'Delivery &amp; Installation'!B114</f>
        <v/>
      </c>
      <c r="B114" s="12">
        <f>'Delivery &amp; Installation'!A114</f>
        <v/>
      </c>
      <c r="C114" s="12">
        <f>'Delivery &amp; Installation'!C114</f>
        <v/>
      </c>
      <c r="D114" s="12">
        <f>'Delivery &amp; Installation'!G114</f>
        <v/>
      </c>
      <c r="E114" s="12">
        <f>'Delivery &amp; Installation'!L114</f>
        <v/>
      </c>
      <c r="F114" s="12">
        <f>'Delivery &amp; Installation'!M114</f>
        <v/>
      </c>
      <c r="G114" s="12">
        <f>'Delivery &amp; Installation'!N114</f>
        <v/>
      </c>
      <c r="H114" s="12">
        <f>'Delivery &amp; Installation'!I114</f>
        <v/>
      </c>
      <c r="I114" s="12">
        <f>'Delivery &amp; Installation'!O114</f>
        <v/>
      </c>
      <c r="J114" s="12">
        <f>IF(G114="Installed","Yes","No")</f>
        <v/>
      </c>
    </row>
    <row r="115">
      <c r="A115">
        <f>'Delivery &amp; Installation'!B115</f>
        <v/>
      </c>
      <c r="B115">
        <f>'Delivery &amp; Installation'!A115</f>
        <v/>
      </c>
      <c r="C115">
        <f>'Delivery &amp; Installation'!C115</f>
        <v/>
      </c>
      <c r="D115">
        <f>'Delivery &amp; Installation'!G115</f>
        <v/>
      </c>
      <c r="E115">
        <f>'Delivery &amp; Installation'!L115</f>
        <v/>
      </c>
      <c r="F115">
        <f>'Delivery &amp; Installation'!M115</f>
        <v/>
      </c>
      <c r="G115">
        <f>'Delivery &amp; Installation'!N115</f>
        <v/>
      </c>
      <c r="H115">
        <f>'Delivery &amp; Installation'!I115</f>
        <v/>
      </c>
      <c r="I115">
        <f>'Delivery &amp; Installation'!O115</f>
        <v/>
      </c>
      <c r="J115">
        <f>IF(G115="Installed","Yes","No")</f>
        <v/>
      </c>
    </row>
    <row r="116">
      <c r="A116" s="12">
        <f>'Delivery &amp; Installation'!B116</f>
        <v/>
      </c>
      <c r="B116" s="12">
        <f>'Delivery &amp; Installation'!A116</f>
        <v/>
      </c>
      <c r="C116" s="12">
        <f>'Delivery &amp; Installation'!C116</f>
        <v/>
      </c>
      <c r="D116" s="12">
        <f>'Delivery &amp; Installation'!G116</f>
        <v/>
      </c>
      <c r="E116" s="12">
        <f>'Delivery &amp; Installation'!L116</f>
        <v/>
      </c>
      <c r="F116" s="12">
        <f>'Delivery &amp; Installation'!M116</f>
        <v/>
      </c>
      <c r="G116" s="12">
        <f>'Delivery &amp; Installation'!N116</f>
        <v/>
      </c>
      <c r="H116" s="12">
        <f>'Delivery &amp; Installation'!I116</f>
        <v/>
      </c>
      <c r="I116" s="12">
        <f>'Delivery &amp; Installation'!O116</f>
        <v/>
      </c>
      <c r="J116" s="12">
        <f>IF(G116="Installed","Yes","No")</f>
        <v/>
      </c>
    </row>
    <row r="117">
      <c r="A117">
        <f>'Delivery &amp; Installation'!B117</f>
        <v/>
      </c>
      <c r="B117">
        <f>'Delivery &amp; Installation'!A117</f>
        <v/>
      </c>
      <c r="C117">
        <f>'Delivery &amp; Installation'!C117</f>
        <v/>
      </c>
      <c r="D117">
        <f>'Delivery &amp; Installation'!G117</f>
        <v/>
      </c>
      <c r="E117">
        <f>'Delivery &amp; Installation'!L117</f>
        <v/>
      </c>
      <c r="F117">
        <f>'Delivery &amp; Installation'!M117</f>
        <v/>
      </c>
      <c r="G117">
        <f>'Delivery &amp; Installation'!N117</f>
        <v/>
      </c>
      <c r="H117">
        <f>'Delivery &amp; Installation'!I117</f>
        <v/>
      </c>
      <c r="I117">
        <f>'Delivery &amp; Installation'!O117</f>
        <v/>
      </c>
      <c r="J117">
        <f>IF(G117="Installed","Yes","No")</f>
        <v/>
      </c>
    </row>
    <row r="118">
      <c r="A118" s="12">
        <f>'Delivery &amp; Installation'!B118</f>
        <v/>
      </c>
      <c r="B118" s="12">
        <f>'Delivery &amp; Installation'!A118</f>
        <v/>
      </c>
      <c r="C118" s="12">
        <f>'Delivery &amp; Installation'!C118</f>
        <v/>
      </c>
      <c r="D118" s="12">
        <f>'Delivery &amp; Installation'!G118</f>
        <v/>
      </c>
      <c r="E118" s="12">
        <f>'Delivery &amp; Installation'!L118</f>
        <v/>
      </c>
      <c r="F118" s="12">
        <f>'Delivery &amp; Installation'!M118</f>
        <v/>
      </c>
      <c r="G118" s="12">
        <f>'Delivery &amp; Installation'!N118</f>
        <v/>
      </c>
      <c r="H118" s="12">
        <f>'Delivery &amp; Installation'!I118</f>
        <v/>
      </c>
      <c r="I118" s="12">
        <f>'Delivery &amp; Installation'!O118</f>
        <v/>
      </c>
      <c r="J118" s="12">
        <f>IF(G118="Installed","Yes","No")</f>
        <v/>
      </c>
    </row>
    <row r="119">
      <c r="A119">
        <f>'Delivery &amp; Installation'!B119</f>
        <v/>
      </c>
      <c r="B119">
        <f>'Delivery &amp; Installation'!A119</f>
        <v/>
      </c>
      <c r="C119">
        <f>'Delivery &amp; Installation'!C119</f>
        <v/>
      </c>
      <c r="D119">
        <f>'Delivery &amp; Installation'!G119</f>
        <v/>
      </c>
      <c r="E119">
        <f>'Delivery &amp; Installation'!L119</f>
        <v/>
      </c>
      <c r="F119">
        <f>'Delivery &amp; Installation'!M119</f>
        <v/>
      </c>
      <c r="G119">
        <f>'Delivery &amp; Installation'!N119</f>
        <v/>
      </c>
      <c r="H119">
        <f>'Delivery &amp; Installation'!I119</f>
        <v/>
      </c>
      <c r="I119">
        <f>'Delivery &amp; Installation'!O119</f>
        <v/>
      </c>
      <c r="J119">
        <f>IF(G119="Installed","Yes","No")</f>
        <v/>
      </c>
    </row>
    <row r="120">
      <c r="A120" s="12">
        <f>'Delivery &amp; Installation'!B120</f>
        <v/>
      </c>
      <c r="B120" s="12">
        <f>'Delivery &amp; Installation'!A120</f>
        <v/>
      </c>
      <c r="C120" s="12">
        <f>'Delivery &amp; Installation'!C120</f>
        <v/>
      </c>
      <c r="D120" s="12">
        <f>'Delivery &amp; Installation'!G120</f>
        <v/>
      </c>
      <c r="E120" s="12">
        <f>'Delivery &amp; Installation'!L120</f>
        <v/>
      </c>
      <c r="F120" s="12">
        <f>'Delivery &amp; Installation'!M120</f>
        <v/>
      </c>
      <c r="G120" s="12">
        <f>'Delivery &amp; Installation'!N120</f>
        <v/>
      </c>
      <c r="H120" s="12">
        <f>'Delivery &amp; Installation'!I120</f>
        <v/>
      </c>
      <c r="I120" s="12">
        <f>'Delivery &amp; Installation'!O120</f>
        <v/>
      </c>
      <c r="J120" s="12">
        <f>IF(G120="Installed","Yes","No")</f>
        <v/>
      </c>
    </row>
    <row r="121">
      <c r="A121">
        <f>'Delivery &amp; Installation'!B121</f>
        <v/>
      </c>
      <c r="B121">
        <f>'Delivery &amp; Installation'!A121</f>
        <v/>
      </c>
      <c r="C121">
        <f>'Delivery &amp; Installation'!C121</f>
        <v/>
      </c>
      <c r="D121">
        <f>'Delivery &amp; Installation'!G121</f>
        <v/>
      </c>
      <c r="E121">
        <f>'Delivery &amp; Installation'!L121</f>
        <v/>
      </c>
      <c r="F121">
        <f>'Delivery &amp; Installation'!M121</f>
        <v/>
      </c>
      <c r="G121">
        <f>'Delivery &amp; Installation'!N121</f>
        <v/>
      </c>
      <c r="H121">
        <f>'Delivery &amp; Installation'!I121</f>
        <v/>
      </c>
      <c r="I121">
        <f>'Delivery &amp; Installation'!O121</f>
        <v/>
      </c>
      <c r="J121">
        <f>IF(G121="Installed","Yes","No")</f>
        <v/>
      </c>
    </row>
    <row r="122">
      <c r="A122" s="12">
        <f>'Delivery &amp; Installation'!B122</f>
        <v/>
      </c>
      <c r="B122" s="12">
        <f>'Delivery &amp; Installation'!A122</f>
        <v/>
      </c>
      <c r="C122" s="12">
        <f>'Delivery &amp; Installation'!C122</f>
        <v/>
      </c>
      <c r="D122" s="12">
        <f>'Delivery &amp; Installation'!G122</f>
        <v/>
      </c>
      <c r="E122" s="12">
        <f>'Delivery &amp; Installation'!L122</f>
        <v/>
      </c>
      <c r="F122" s="12">
        <f>'Delivery &amp; Installation'!M122</f>
        <v/>
      </c>
      <c r="G122" s="12">
        <f>'Delivery &amp; Installation'!N122</f>
        <v/>
      </c>
      <c r="H122" s="12">
        <f>'Delivery &amp; Installation'!I122</f>
        <v/>
      </c>
      <c r="I122" s="12">
        <f>'Delivery &amp; Installation'!O122</f>
        <v/>
      </c>
      <c r="J122" s="12">
        <f>IF(G122="Installed","Yes","No")</f>
        <v/>
      </c>
    </row>
    <row r="123">
      <c r="A123">
        <f>'Delivery &amp; Installation'!B123</f>
        <v/>
      </c>
      <c r="B123">
        <f>'Delivery &amp; Installation'!A123</f>
        <v/>
      </c>
      <c r="C123">
        <f>'Delivery &amp; Installation'!C123</f>
        <v/>
      </c>
      <c r="D123">
        <f>'Delivery &amp; Installation'!G123</f>
        <v/>
      </c>
      <c r="E123">
        <f>'Delivery &amp; Installation'!L123</f>
        <v/>
      </c>
      <c r="F123">
        <f>'Delivery &amp; Installation'!M123</f>
        <v/>
      </c>
      <c r="G123">
        <f>'Delivery &amp; Installation'!N123</f>
        <v/>
      </c>
      <c r="H123">
        <f>'Delivery &amp; Installation'!I123</f>
        <v/>
      </c>
      <c r="I123">
        <f>'Delivery &amp; Installation'!O123</f>
        <v/>
      </c>
      <c r="J123">
        <f>IF(G123="Installed","Yes","No")</f>
        <v/>
      </c>
    </row>
    <row r="124">
      <c r="A124" s="12">
        <f>'Delivery &amp; Installation'!B124</f>
        <v/>
      </c>
      <c r="B124" s="12">
        <f>'Delivery &amp; Installation'!A124</f>
        <v/>
      </c>
      <c r="C124" s="12">
        <f>'Delivery &amp; Installation'!C124</f>
        <v/>
      </c>
      <c r="D124" s="12">
        <f>'Delivery &amp; Installation'!G124</f>
        <v/>
      </c>
      <c r="E124" s="12">
        <f>'Delivery &amp; Installation'!L124</f>
        <v/>
      </c>
      <c r="F124" s="12">
        <f>'Delivery &amp; Installation'!M124</f>
        <v/>
      </c>
      <c r="G124" s="12">
        <f>'Delivery &amp; Installation'!N124</f>
        <v/>
      </c>
      <c r="H124" s="12">
        <f>'Delivery &amp; Installation'!I124</f>
        <v/>
      </c>
      <c r="I124" s="12">
        <f>'Delivery &amp; Installation'!O124</f>
        <v/>
      </c>
      <c r="J124" s="12">
        <f>IF(G124="Installed","Yes","No")</f>
        <v/>
      </c>
    </row>
    <row r="125">
      <c r="A125">
        <f>'Delivery &amp; Installation'!B125</f>
        <v/>
      </c>
      <c r="B125">
        <f>'Delivery &amp; Installation'!A125</f>
        <v/>
      </c>
      <c r="C125">
        <f>'Delivery &amp; Installation'!C125</f>
        <v/>
      </c>
      <c r="D125">
        <f>'Delivery &amp; Installation'!G125</f>
        <v/>
      </c>
      <c r="E125">
        <f>'Delivery &amp; Installation'!L125</f>
        <v/>
      </c>
      <c r="F125">
        <f>'Delivery &amp; Installation'!M125</f>
        <v/>
      </c>
      <c r="G125">
        <f>'Delivery &amp; Installation'!N125</f>
        <v/>
      </c>
      <c r="H125">
        <f>'Delivery &amp; Installation'!I125</f>
        <v/>
      </c>
      <c r="I125">
        <f>'Delivery &amp; Installation'!O125</f>
        <v/>
      </c>
      <c r="J125">
        <f>IF(G125="Installed","Yes","No")</f>
        <v/>
      </c>
    </row>
    <row r="126">
      <c r="A126" s="12">
        <f>'Delivery &amp; Installation'!B126</f>
        <v/>
      </c>
      <c r="B126" s="12">
        <f>'Delivery &amp; Installation'!A126</f>
        <v/>
      </c>
      <c r="C126" s="12">
        <f>'Delivery &amp; Installation'!C126</f>
        <v/>
      </c>
      <c r="D126" s="12">
        <f>'Delivery &amp; Installation'!G126</f>
        <v/>
      </c>
      <c r="E126" s="12">
        <f>'Delivery &amp; Installation'!L126</f>
        <v/>
      </c>
      <c r="F126" s="12">
        <f>'Delivery &amp; Installation'!M126</f>
        <v/>
      </c>
      <c r="G126" s="12">
        <f>'Delivery &amp; Installation'!N126</f>
        <v/>
      </c>
      <c r="H126" s="12">
        <f>'Delivery &amp; Installation'!I126</f>
        <v/>
      </c>
      <c r="I126" s="12">
        <f>'Delivery &amp; Installation'!O126</f>
        <v/>
      </c>
      <c r="J126" s="12">
        <f>IF(G126="Installed","Yes","No")</f>
        <v/>
      </c>
    </row>
    <row r="127">
      <c r="A127">
        <f>'Delivery &amp; Installation'!B127</f>
        <v/>
      </c>
      <c r="B127">
        <f>'Delivery &amp; Installation'!A127</f>
        <v/>
      </c>
      <c r="C127">
        <f>'Delivery &amp; Installation'!C127</f>
        <v/>
      </c>
      <c r="D127">
        <f>'Delivery &amp; Installation'!G127</f>
        <v/>
      </c>
      <c r="E127">
        <f>'Delivery &amp; Installation'!L127</f>
        <v/>
      </c>
      <c r="F127">
        <f>'Delivery &amp; Installation'!M127</f>
        <v/>
      </c>
      <c r="G127">
        <f>'Delivery &amp; Installation'!N127</f>
        <v/>
      </c>
      <c r="H127">
        <f>'Delivery &amp; Installation'!I127</f>
        <v/>
      </c>
      <c r="I127">
        <f>'Delivery &amp; Installation'!O127</f>
        <v/>
      </c>
      <c r="J127">
        <f>IF(G127="Installed","Yes","No")</f>
        <v/>
      </c>
    </row>
    <row r="128">
      <c r="A128" s="12">
        <f>'Delivery &amp; Installation'!B128</f>
        <v/>
      </c>
      <c r="B128" s="12">
        <f>'Delivery &amp; Installation'!A128</f>
        <v/>
      </c>
      <c r="C128" s="12">
        <f>'Delivery &amp; Installation'!C128</f>
        <v/>
      </c>
      <c r="D128" s="12">
        <f>'Delivery &amp; Installation'!G128</f>
        <v/>
      </c>
      <c r="E128" s="12">
        <f>'Delivery &amp; Installation'!L128</f>
        <v/>
      </c>
      <c r="F128" s="12">
        <f>'Delivery &amp; Installation'!M128</f>
        <v/>
      </c>
      <c r="G128" s="12">
        <f>'Delivery &amp; Installation'!N128</f>
        <v/>
      </c>
      <c r="H128" s="12">
        <f>'Delivery &amp; Installation'!I128</f>
        <v/>
      </c>
      <c r="I128" s="12">
        <f>'Delivery &amp; Installation'!O128</f>
        <v/>
      </c>
      <c r="J128" s="12">
        <f>IF(G128="Installed","Yes","No")</f>
        <v/>
      </c>
    </row>
    <row r="129">
      <c r="A129">
        <f>'Delivery &amp; Installation'!B129</f>
        <v/>
      </c>
      <c r="B129">
        <f>'Delivery &amp; Installation'!A129</f>
        <v/>
      </c>
      <c r="C129">
        <f>'Delivery &amp; Installation'!C129</f>
        <v/>
      </c>
      <c r="D129">
        <f>'Delivery &amp; Installation'!G129</f>
        <v/>
      </c>
      <c r="E129">
        <f>'Delivery &amp; Installation'!L129</f>
        <v/>
      </c>
      <c r="F129">
        <f>'Delivery &amp; Installation'!M129</f>
        <v/>
      </c>
      <c r="G129">
        <f>'Delivery &amp; Installation'!N129</f>
        <v/>
      </c>
      <c r="H129">
        <f>'Delivery &amp; Installation'!I129</f>
        <v/>
      </c>
      <c r="I129">
        <f>'Delivery &amp; Installation'!O129</f>
        <v/>
      </c>
      <c r="J129">
        <f>IF(G129="Installed","Yes","No")</f>
        <v/>
      </c>
    </row>
    <row r="130">
      <c r="A130" s="12">
        <f>'Delivery &amp; Installation'!B130</f>
        <v/>
      </c>
      <c r="B130" s="12">
        <f>'Delivery &amp; Installation'!A130</f>
        <v/>
      </c>
      <c r="C130" s="12">
        <f>'Delivery &amp; Installation'!C130</f>
        <v/>
      </c>
      <c r="D130" s="12">
        <f>'Delivery &amp; Installation'!G130</f>
        <v/>
      </c>
      <c r="E130" s="12">
        <f>'Delivery &amp; Installation'!L130</f>
        <v/>
      </c>
      <c r="F130" s="12">
        <f>'Delivery &amp; Installation'!M130</f>
        <v/>
      </c>
      <c r="G130" s="12">
        <f>'Delivery &amp; Installation'!N130</f>
        <v/>
      </c>
      <c r="H130" s="12">
        <f>'Delivery &amp; Installation'!I130</f>
        <v/>
      </c>
      <c r="I130" s="12">
        <f>'Delivery &amp; Installation'!O130</f>
        <v/>
      </c>
      <c r="J130" s="12">
        <f>IF(G130="Installed","Yes","No")</f>
        <v/>
      </c>
    </row>
    <row r="131">
      <c r="A131">
        <f>'Delivery &amp; Installation'!B131</f>
        <v/>
      </c>
      <c r="B131">
        <f>'Delivery &amp; Installation'!A131</f>
        <v/>
      </c>
      <c r="C131">
        <f>'Delivery &amp; Installation'!C131</f>
        <v/>
      </c>
      <c r="D131">
        <f>'Delivery &amp; Installation'!G131</f>
        <v/>
      </c>
      <c r="E131">
        <f>'Delivery &amp; Installation'!L131</f>
        <v/>
      </c>
      <c r="F131">
        <f>'Delivery &amp; Installation'!M131</f>
        <v/>
      </c>
      <c r="G131">
        <f>'Delivery &amp; Installation'!N131</f>
        <v/>
      </c>
      <c r="H131">
        <f>'Delivery &amp; Installation'!I131</f>
        <v/>
      </c>
      <c r="I131">
        <f>'Delivery &amp; Installation'!O131</f>
        <v/>
      </c>
      <c r="J131">
        <f>IF(G131="Installed","Yes","No")</f>
        <v/>
      </c>
    </row>
    <row r="132">
      <c r="A132" s="12">
        <f>'Delivery &amp; Installation'!B132</f>
        <v/>
      </c>
      <c r="B132" s="12">
        <f>'Delivery &amp; Installation'!A132</f>
        <v/>
      </c>
      <c r="C132" s="12">
        <f>'Delivery &amp; Installation'!C132</f>
        <v/>
      </c>
      <c r="D132" s="12">
        <f>'Delivery &amp; Installation'!G132</f>
        <v/>
      </c>
      <c r="E132" s="12">
        <f>'Delivery &amp; Installation'!L132</f>
        <v/>
      </c>
      <c r="F132" s="12">
        <f>'Delivery &amp; Installation'!M132</f>
        <v/>
      </c>
      <c r="G132" s="12">
        <f>'Delivery &amp; Installation'!N132</f>
        <v/>
      </c>
      <c r="H132" s="12">
        <f>'Delivery &amp; Installation'!I132</f>
        <v/>
      </c>
      <c r="I132" s="12">
        <f>'Delivery &amp; Installation'!O132</f>
        <v/>
      </c>
      <c r="J132" s="12">
        <f>IF(G132="Installed","Yes","No")</f>
        <v/>
      </c>
    </row>
    <row r="133">
      <c r="A133">
        <f>'Delivery &amp; Installation'!B133</f>
        <v/>
      </c>
      <c r="B133">
        <f>'Delivery &amp; Installation'!A133</f>
        <v/>
      </c>
      <c r="C133">
        <f>'Delivery &amp; Installation'!C133</f>
        <v/>
      </c>
      <c r="D133">
        <f>'Delivery &amp; Installation'!G133</f>
        <v/>
      </c>
      <c r="E133">
        <f>'Delivery &amp; Installation'!L133</f>
        <v/>
      </c>
      <c r="F133">
        <f>'Delivery &amp; Installation'!M133</f>
        <v/>
      </c>
      <c r="G133">
        <f>'Delivery &amp; Installation'!N133</f>
        <v/>
      </c>
      <c r="H133">
        <f>'Delivery &amp; Installation'!I133</f>
        <v/>
      </c>
      <c r="I133">
        <f>'Delivery &amp; Installation'!O133</f>
        <v/>
      </c>
      <c r="J133">
        <f>IF(G133="Installed","Yes","No")</f>
        <v/>
      </c>
    </row>
    <row r="134">
      <c r="A134" s="12">
        <f>'Delivery &amp; Installation'!B134</f>
        <v/>
      </c>
      <c r="B134" s="12">
        <f>'Delivery &amp; Installation'!A134</f>
        <v/>
      </c>
      <c r="C134" s="12">
        <f>'Delivery &amp; Installation'!C134</f>
        <v/>
      </c>
      <c r="D134" s="12">
        <f>'Delivery &amp; Installation'!G134</f>
        <v/>
      </c>
      <c r="E134" s="12">
        <f>'Delivery &amp; Installation'!L134</f>
        <v/>
      </c>
      <c r="F134" s="12">
        <f>'Delivery &amp; Installation'!M134</f>
        <v/>
      </c>
      <c r="G134" s="12">
        <f>'Delivery &amp; Installation'!N134</f>
        <v/>
      </c>
      <c r="H134" s="12">
        <f>'Delivery &amp; Installation'!I134</f>
        <v/>
      </c>
      <c r="I134" s="12">
        <f>'Delivery &amp; Installation'!O134</f>
        <v/>
      </c>
      <c r="J134" s="12">
        <f>IF(G134="Installed","Yes","No")</f>
        <v/>
      </c>
    </row>
    <row r="135">
      <c r="A135">
        <f>'Delivery &amp; Installation'!B135</f>
        <v/>
      </c>
      <c r="B135">
        <f>'Delivery &amp; Installation'!A135</f>
        <v/>
      </c>
      <c r="C135">
        <f>'Delivery &amp; Installation'!C135</f>
        <v/>
      </c>
      <c r="D135">
        <f>'Delivery &amp; Installation'!G135</f>
        <v/>
      </c>
      <c r="E135">
        <f>'Delivery &amp; Installation'!L135</f>
        <v/>
      </c>
      <c r="F135">
        <f>'Delivery &amp; Installation'!M135</f>
        <v/>
      </c>
      <c r="G135">
        <f>'Delivery &amp; Installation'!N135</f>
        <v/>
      </c>
      <c r="H135">
        <f>'Delivery &amp; Installation'!I135</f>
        <v/>
      </c>
      <c r="I135">
        <f>'Delivery &amp; Installation'!O135</f>
        <v/>
      </c>
      <c r="J135">
        <f>IF(G135="Installed","Yes","No")</f>
        <v/>
      </c>
    </row>
    <row r="136">
      <c r="A136" s="12">
        <f>'Delivery &amp; Installation'!B136</f>
        <v/>
      </c>
      <c r="B136" s="12">
        <f>'Delivery &amp; Installation'!A136</f>
        <v/>
      </c>
      <c r="C136" s="12">
        <f>'Delivery &amp; Installation'!C136</f>
        <v/>
      </c>
      <c r="D136" s="12">
        <f>'Delivery &amp; Installation'!G136</f>
        <v/>
      </c>
      <c r="E136" s="12">
        <f>'Delivery &amp; Installation'!L136</f>
        <v/>
      </c>
      <c r="F136" s="12">
        <f>'Delivery &amp; Installation'!M136</f>
        <v/>
      </c>
      <c r="G136" s="12">
        <f>'Delivery &amp; Installation'!N136</f>
        <v/>
      </c>
      <c r="H136" s="12">
        <f>'Delivery &amp; Installation'!I136</f>
        <v/>
      </c>
      <c r="I136" s="12">
        <f>'Delivery &amp; Installation'!O136</f>
        <v/>
      </c>
      <c r="J136" s="12">
        <f>IF(G136="Installed","Yes","No")</f>
        <v/>
      </c>
    </row>
    <row r="137">
      <c r="A137">
        <f>'Delivery &amp; Installation'!B137</f>
        <v/>
      </c>
      <c r="B137">
        <f>'Delivery &amp; Installation'!A137</f>
        <v/>
      </c>
      <c r="C137">
        <f>'Delivery &amp; Installation'!C137</f>
        <v/>
      </c>
      <c r="D137">
        <f>'Delivery &amp; Installation'!G137</f>
        <v/>
      </c>
      <c r="E137">
        <f>'Delivery &amp; Installation'!L137</f>
        <v/>
      </c>
      <c r="F137">
        <f>'Delivery &amp; Installation'!M137</f>
        <v/>
      </c>
      <c r="G137">
        <f>'Delivery &amp; Installation'!N137</f>
        <v/>
      </c>
      <c r="H137">
        <f>'Delivery &amp; Installation'!I137</f>
        <v/>
      </c>
      <c r="I137">
        <f>'Delivery &amp; Installation'!O137</f>
        <v/>
      </c>
      <c r="J137">
        <f>IF(G137="Installed","Yes","No")</f>
        <v/>
      </c>
    </row>
    <row r="138">
      <c r="A138" s="12">
        <f>'Delivery &amp; Installation'!B138</f>
        <v/>
      </c>
      <c r="B138" s="12">
        <f>'Delivery &amp; Installation'!A138</f>
        <v/>
      </c>
      <c r="C138" s="12">
        <f>'Delivery &amp; Installation'!C138</f>
        <v/>
      </c>
      <c r="D138" s="12">
        <f>'Delivery &amp; Installation'!G138</f>
        <v/>
      </c>
      <c r="E138" s="12">
        <f>'Delivery &amp; Installation'!L138</f>
        <v/>
      </c>
      <c r="F138" s="12">
        <f>'Delivery &amp; Installation'!M138</f>
        <v/>
      </c>
      <c r="G138" s="12">
        <f>'Delivery &amp; Installation'!N138</f>
        <v/>
      </c>
      <c r="H138" s="12">
        <f>'Delivery &amp; Installation'!I138</f>
        <v/>
      </c>
      <c r="I138" s="12">
        <f>'Delivery &amp; Installation'!O138</f>
        <v/>
      </c>
      <c r="J138" s="12">
        <f>IF(G138="Installed","Yes","No")</f>
        <v/>
      </c>
    </row>
    <row r="139">
      <c r="A139">
        <f>'Delivery &amp; Installation'!B139</f>
        <v/>
      </c>
      <c r="B139">
        <f>'Delivery &amp; Installation'!A139</f>
        <v/>
      </c>
      <c r="C139">
        <f>'Delivery &amp; Installation'!C139</f>
        <v/>
      </c>
      <c r="D139">
        <f>'Delivery &amp; Installation'!G139</f>
        <v/>
      </c>
      <c r="E139">
        <f>'Delivery &amp; Installation'!L139</f>
        <v/>
      </c>
      <c r="F139">
        <f>'Delivery &amp; Installation'!M139</f>
        <v/>
      </c>
      <c r="G139">
        <f>'Delivery &amp; Installation'!N139</f>
        <v/>
      </c>
      <c r="H139">
        <f>'Delivery &amp; Installation'!I139</f>
        <v/>
      </c>
      <c r="I139">
        <f>'Delivery &amp; Installation'!O139</f>
        <v/>
      </c>
      <c r="J139">
        <f>IF(G139="Installed","Yes","No")</f>
        <v/>
      </c>
    </row>
    <row r="140">
      <c r="A140" s="12">
        <f>'Delivery &amp; Installation'!B140</f>
        <v/>
      </c>
      <c r="B140" s="12">
        <f>'Delivery &amp; Installation'!A140</f>
        <v/>
      </c>
      <c r="C140" s="12">
        <f>'Delivery &amp; Installation'!C140</f>
        <v/>
      </c>
      <c r="D140" s="12">
        <f>'Delivery &amp; Installation'!G140</f>
        <v/>
      </c>
      <c r="E140" s="12">
        <f>'Delivery &amp; Installation'!L140</f>
        <v/>
      </c>
      <c r="F140" s="12">
        <f>'Delivery &amp; Installation'!M140</f>
        <v/>
      </c>
      <c r="G140" s="12">
        <f>'Delivery &amp; Installation'!N140</f>
        <v/>
      </c>
      <c r="H140" s="12">
        <f>'Delivery &amp; Installation'!I140</f>
        <v/>
      </c>
      <c r="I140" s="12">
        <f>'Delivery &amp; Installation'!O140</f>
        <v/>
      </c>
      <c r="J140" s="12">
        <f>IF(G140="Installed","Yes","No")</f>
        <v/>
      </c>
    </row>
    <row r="141">
      <c r="A141">
        <f>'Delivery &amp; Installation'!B141</f>
        <v/>
      </c>
      <c r="B141">
        <f>'Delivery &amp; Installation'!A141</f>
        <v/>
      </c>
      <c r="C141">
        <f>'Delivery &amp; Installation'!C141</f>
        <v/>
      </c>
      <c r="D141">
        <f>'Delivery &amp; Installation'!G141</f>
        <v/>
      </c>
      <c r="E141">
        <f>'Delivery &amp; Installation'!L141</f>
        <v/>
      </c>
      <c r="F141">
        <f>'Delivery &amp; Installation'!M141</f>
        <v/>
      </c>
      <c r="G141">
        <f>'Delivery &amp; Installation'!N141</f>
        <v/>
      </c>
      <c r="H141">
        <f>'Delivery &amp; Installation'!I141</f>
        <v/>
      </c>
      <c r="I141">
        <f>'Delivery &amp; Installation'!O141</f>
        <v/>
      </c>
      <c r="J141">
        <f>IF(G141="Installed","Yes","No")</f>
        <v/>
      </c>
    </row>
    <row r="142">
      <c r="A142" s="12">
        <f>'Delivery &amp; Installation'!B142</f>
        <v/>
      </c>
      <c r="B142" s="12">
        <f>'Delivery &amp; Installation'!A142</f>
        <v/>
      </c>
      <c r="C142" s="12">
        <f>'Delivery &amp; Installation'!C142</f>
        <v/>
      </c>
      <c r="D142" s="12">
        <f>'Delivery &amp; Installation'!G142</f>
        <v/>
      </c>
      <c r="E142" s="12">
        <f>'Delivery &amp; Installation'!L142</f>
        <v/>
      </c>
      <c r="F142" s="12">
        <f>'Delivery &amp; Installation'!M142</f>
        <v/>
      </c>
      <c r="G142" s="12">
        <f>'Delivery &amp; Installation'!N142</f>
        <v/>
      </c>
      <c r="H142" s="12">
        <f>'Delivery &amp; Installation'!I142</f>
        <v/>
      </c>
      <c r="I142" s="12">
        <f>'Delivery &amp; Installation'!O142</f>
        <v/>
      </c>
      <c r="J142" s="12">
        <f>IF(G142="Installed","Yes","No")</f>
        <v/>
      </c>
    </row>
    <row r="143">
      <c r="A143">
        <f>'Delivery &amp; Installation'!B143</f>
        <v/>
      </c>
      <c r="B143">
        <f>'Delivery &amp; Installation'!A143</f>
        <v/>
      </c>
      <c r="C143">
        <f>'Delivery &amp; Installation'!C143</f>
        <v/>
      </c>
      <c r="D143">
        <f>'Delivery &amp; Installation'!G143</f>
        <v/>
      </c>
      <c r="E143">
        <f>'Delivery &amp; Installation'!L143</f>
        <v/>
      </c>
      <c r="F143">
        <f>'Delivery &amp; Installation'!M143</f>
        <v/>
      </c>
      <c r="G143">
        <f>'Delivery &amp; Installation'!N143</f>
        <v/>
      </c>
      <c r="H143">
        <f>'Delivery &amp; Installation'!I143</f>
        <v/>
      </c>
      <c r="I143">
        <f>'Delivery &amp; Installation'!O143</f>
        <v/>
      </c>
      <c r="J143">
        <f>IF(G143="Installed","Yes","No")</f>
        <v/>
      </c>
    </row>
    <row r="144">
      <c r="A144" s="12">
        <f>'Delivery &amp; Installation'!B144</f>
        <v/>
      </c>
      <c r="B144" s="12">
        <f>'Delivery &amp; Installation'!A144</f>
        <v/>
      </c>
      <c r="C144" s="12">
        <f>'Delivery &amp; Installation'!C144</f>
        <v/>
      </c>
      <c r="D144" s="12">
        <f>'Delivery &amp; Installation'!G144</f>
        <v/>
      </c>
      <c r="E144" s="12">
        <f>'Delivery &amp; Installation'!L144</f>
        <v/>
      </c>
      <c r="F144" s="12">
        <f>'Delivery &amp; Installation'!M144</f>
        <v/>
      </c>
      <c r="G144" s="12">
        <f>'Delivery &amp; Installation'!N144</f>
        <v/>
      </c>
      <c r="H144" s="12">
        <f>'Delivery &amp; Installation'!I144</f>
        <v/>
      </c>
      <c r="I144" s="12">
        <f>'Delivery &amp; Installation'!O144</f>
        <v/>
      </c>
      <c r="J144" s="12">
        <f>IF(G144="Installed","Yes","No")</f>
        <v/>
      </c>
    </row>
    <row r="145">
      <c r="A145">
        <f>'Delivery &amp; Installation'!B145</f>
        <v/>
      </c>
      <c r="B145">
        <f>'Delivery &amp; Installation'!A145</f>
        <v/>
      </c>
      <c r="C145">
        <f>'Delivery &amp; Installation'!C145</f>
        <v/>
      </c>
      <c r="D145">
        <f>'Delivery &amp; Installation'!G145</f>
        <v/>
      </c>
      <c r="E145">
        <f>'Delivery &amp; Installation'!L145</f>
        <v/>
      </c>
      <c r="F145">
        <f>'Delivery &amp; Installation'!M145</f>
        <v/>
      </c>
      <c r="G145">
        <f>'Delivery &amp; Installation'!N145</f>
        <v/>
      </c>
      <c r="H145">
        <f>'Delivery &amp; Installation'!I145</f>
        <v/>
      </c>
      <c r="I145">
        <f>'Delivery &amp; Installation'!O145</f>
        <v/>
      </c>
      <c r="J145">
        <f>IF(G145="Installed","Yes","No")</f>
        <v/>
      </c>
    </row>
    <row r="146">
      <c r="A146" s="12">
        <f>'Delivery &amp; Installation'!B146</f>
        <v/>
      </c>
      <c r="B146" s="12">
        <f>'Delivery &amp; Installation'!A146</f>
        <v/>
      </c>
      <c r="C146" s="12">
        <f>'Delivery &amp; Installation'!C146</f>
        <v/>
      </c>
      <c r="D146" s="12">
        <f>'Delivery &amp; Installation'!G146</f>
        <v/>
      </c>
      <c r="E146" s="12">
        <f>'Delivery &amp; Installation'!L146</f>
        <v/>
      </c>
      <c r="F146" s="12">
        <f>'Delivery &amp; Installation'!M146</f>
        <v/>
      </c>
      <c r="G146" s="12">
        <f>'Delivery &amp; Installation'!N146</f>
        <v/>
      </c>
      <c r="H146" s="12">
        <f>'Delivery &amp; Installation'!I146</f>
        <v/>
      </c>
      <c r="I146" s="12">
        <f>'Delivery &amp; Installation'!O146</f>
        <v/>
      </c>
      <c r="J146" s="12">
        <f>IF(G146="Installed","Yes","No")</f>
        <v/>
      </c>
    </row>
    <row r="147">
      <c r="A147">
        <f>'Delivery &amp; Installation'!B147</f>
        <v/>
      </c>
      <c r="B147">
        <f>'Delivery &amp; Installation'!A147</f>
        <v/>
      </c>
      <c r="C147">
        <f>'Delivery &amp; Installation'!C147</f>
        <v/>
      </c>
      <c r="D147">
        <f>'Delivery &amp; Installation'!G147</f>
        <v/>
      </c>
      <c r="E147">
        <f>'Delivery &amp; Installation'!L147</f>
        <v/>
      </c>
      <c r="F147">
        <f>'Delivery &amp; Installation'!M147</f>
        <v/>
      </c>
      <c r="G147">
        <f>'Delivery &amp; Installation'!N147</f>
        <v/>
      </c>
      <c r="H147">
        <f>'Delivery &amp; Installation'!I147</f>
        <v/>
      </c>
      <c r="I147">
        <f>'Delivery &amp; Installation'!O147</f>
        <v/>
      </c>
      <c r="J147">
        <f>IF(G147="Installed","Yes","No")</f>
        <v/>
      </c>
    </row>
    <row r="148">
      <c r="A148" s="12">
        <f>'Delivery &amp; Installation'!B148</f>
        <v/>
      </c>
      <c r="B148" s="12">
        <f>'Delivery &amp; Installation'!A148</f>
        <v/>
      </c>
      <c r="C148" s="12">
        <f>'Delivery &amp; Installation'!C148</f>
        <v/>
      </c>
      <c r="D148" s="12">
        <f>'Delivery &amp; Installation'!G148</f>
        <v/>
      </c>
      <c r="E148" s="12">
        <f>'Delivery &amp; Installation'!L148</f>
        <v/>
      </c>
      <c r="F148" s="12">
        <f>'Delivery &amp; Installation'!M148</f>
        <v/>
      </c>
      <c r="G148" s="12">
        <f>'Delivery &amp; Installation'!N148</f>
        <v/>
      </c>
      <c r="H148" s="12">
        <f>'Delivery &amp; Installation'!I148</f>
        <v/>
      </c>
      <c r="I148" s="12">
        <f>'Delivery &amp; Installation'!O148</f>
        <v/>
      </c>
      <c r="J148" s="12">
        <f>IF(G148="Installed","Yes","No")</f>
        <v/>
      </c>
    </row>
    <row r="149">
      <c r="A149">
        <f>'Delivery &amp; Installation'!B149</f>
        <v/>
      </c>
      <c r="B149">
        <f>'Delivery &amp; Installation'!A149</f>
        <v/>
      </c>
      <c r="C149">
        <f>'Delivery &amp; Installation'!C149</f>
        <v/>
      </c>
      <c r="D149">
        <f>'Delivery &amp; Installation'!G149</f>
        <v/>
      </c>
      <c r="E149">
        <f>'Delivery &amp; Installation'!L149</f>
        <v/>
      </c>
      <c r="F149">
        <f>'Delivery &amp; Installation'!M149</f>
        <v/>
      </c>
      <c r="G149">
        <f>'Delivery &amp; Installation'!N149</f>
        <v/>
      </c>
      <c r="H149">
        <f>'Delivery &amp; Installation'!I149</f>
        <v/>
      </c>
      <c r="I149">
        <f>'Delivery &amp; Installation'!O149</f>
        <v/>
      </c>
      <c r="J149">
        <f>IF(G149="Installed","Yes","No")</f>
        <v/>
      </c>
    </row>
    <row r="150">
      <c r="A150" s="12">
        <f>'Delivery &amp; Installation'!B150</f>
        <v/>
      </c>
      <c r="B150" s="12">
        <f>'Delivery &amp; Installation'!A150</f>
        <v/>
      </c>
      <c r="C150" s="12">
        <f>'Delivery &amp; Installation'!C150</f>
        <v/>
      </c>
      <c r="D150" s="12">
        <f>'Delivery &amp; Installation'!G150</f>
        <v/>
      </c>
      <c r="E150" s="12">
        <f>'Delivery &amp; Installation'!L150</f>
        <v/>
      </c>
      <c r="F150" s="12">
        <f>'Delivery &amp; Installation'!M150</f>
        <v/>
      </c>
      <c r="G150" s="12">
        <f>'Delivery &amp; Installation'!N150</f>
        <v/>
      </c>
      <c r="H150" s="12">
        <f>'Delivery &amp; Installation'!I150</f>
        <v/>
      </c>
      <c r="I150" s="12">
        <f>'Delivery &amp; Installation'!O150</f>
        <v/>
      </c>
      <c r="J150" s="12">
        <f>IF(G150="Installed","Yes","No")</f>
        <v/>
      </c>
    </row>
    <row r="151">
      <c r="A151">
        <f>'Delivery &amp; Installation'!B151</f>
        <v/>
      </c>
      <c r="B151">
        <f>'Delivery &amp; Installation'!A151</f>
        <v/>
      </c>
      <c r="C151">
        <f>'Delivery &amp; Installation'!C151</f>
        <v/>
      </c>
      <c r="D151">
        <f>'Delivery &amp; Installation'!G151</f>
        <v/>
      </c>
      <c r="E151">
        <f>'Delivery &amp; Installation'!L151</f>
        <v/>
      </c>
      <c r="F151">
        <f>'Delivery &amp; Installation'!M151</f>
        <v/>
      </c>
      <c r="G151">
        <f>'Delivery &amp; Installation'!N151</f>
        <v/>
      </c>
      <c r="H151">
        <f>'Delivery &amp; Installation'!I151</f>
        <v/>
      </c>
      <c r="I151">
        <f>'Delivery &amp; Installation'!O151</f>
        <v/>
      </c>
      <c r="J151">
        <f>IF(G151="Installed","Yes","No")</f>
        <v/>
      </c>
    </row>
    <row r="152">
      <c r="A152" s="12">
        <f>'Delivery &amp; Installation'!B152</f>
        <v/>
      </c>
      <c r="B152" s="12">
        <f>'Delivery &amp; Installation'!A152</f>
        <v/>
      </c>
      <c r="C152" s="12">
        <f>'Delivery &amp; Installation'!C152</f>
        <v/>
      </c>
      <c r="D152" s="12">
        <f>'Delivery &amp; Installation'!G152</f>
        <v/>
      </c>
      <c r="E152" s="12">
        <f>'Delivery &amp; Installation'!L152</f>
        <v/>
      </c>
      <c r="F152" s="12">
        <f>'Delivery &amp; Installation'!M152</f>
        <v/>
      </c>
      <c r="G152" s="12">
        <f>'Delivery &amp; Installation'!N152</f>
        <v/>
      </c>
      <c r="H152" s="12">
        <f>'Delivery &amp; Installation'!I152</f>
        <v/>
      </c>
      <c r="I152" s="12">
        <f>'Delivery &amp; Installation'!O152</f>
        <v/>
      </c>
      <c r="J152" s="12">
        <f>IF(G152="Installed","Yes","No")</f>
        <v/>
      </c>
    </row>
    <row r="153">
      <c r="A153">
        <f>'Delivery &amp; Installation'!B153</f>
        <v/>
      </c>
      <c r="B153">
        <f>'Delivery &amp; Installation'!A153</f>
        <v/>
      </c>
      <c r="C153">
        <f>'Delivery &amp; Installation'!C153</f>
        <v/>
      </c>
      <c r="D153">
        <f>'Delivery &amp; Installation'!G153</f>
        <v/>
      </c>
      <c r="E153">
        <f>'Delivery &amp; Installation'!L153</f>
        <v/>
      </c>
      <c r="F153">
        <f>'Delivery &amp; Installation'!M153</f>
        <v/>
      </c>
      <c r="G153">
        <f>'Delivery &amp; Installation'!N153</f>
        <v/>
      </c>
      <c r="H153">
        <f>'Delivery &amp; Installation'!I153</f>
        <v/>
      </c>
      <c r="I153">
        <f>'Delivery &amp; Installation'!O153</f>
        <v/>
      </c>
      <c r="J153">
        <f>IF(G153="Installed","Yes","No")</f>
        <v/>
      </c>
    </row>
    <row r="154">
      <c r="A154" s="12">
        <f>'Delivery &amp; Installation'!B154</f>
        <v/>
      </c>
      <c r="B154" s="12">
        <f>'Delivery &amp; Installation'!A154</f>
        <v/>
      </c>
      <c r="C154" s="12">
        <f>'Delivery &amp; Installation'!C154</f>
        <v/>
      </c>
      <c r="D154" s="12">
        <f>'Delivery &amp; Installation'!G154</f>
        <v/>
      </c>
      <c r="E154" s="12">
        <f>'Delivery &amp; Installation'!L154</f>
        <v/>
      </c>
      <c r="F154" s="12">
        <f>'Delivery &amp; Installation'!M154</f>
        <v/>
      </c>
      <c r="G154" s="12">
        <f>'Delivery &amp; Installation'!N154</f>
        <v/>
      </c>
      <c r="H154" s="12">
        <f>'Delivery &amp; Installation'!I154</f>
        <v/>
      </c>
      <c r="I154" s="12">
        <f>'Delivery &amp; Installation'!O154</f>
        <v/>
      </c>
      <c r="J154" s="12">
        <f>IF(G154="Installed","Yes","No")</f>
        <v/>
      </c>
    </row>
    <row r="155">
      <c r="A155">
        <f>'Delivery &amp; Installation'!B155</f>
        <v/>
      </c>
      <c r="B155">
        <f>'Delivery &amp; Installation'!A155</f>
        <v/>
      </c>
      <c r="C155">
        <f>'Delivery &amp; Installation'!C155</f>
        <v/>
      </c>
      <c r="D155">
        <f>'Delivery &amp; Installation'!G155</f>
        <v/>
      </c>
      <c r="E155">
        <f>'Delivery &amp; Installation'!L155</f>
        <v/>
      </c>
      <c r="F155">
        <f>'Delivery &amp; Installation'!M155</f>
        <v/>
      </c>
      <c r="G155">
        <f>'Delivery &amp; Installation'!N155</f>
        <v/>
      </c>
      <c r="H155">
        <f>'Delivery &amp; Installation'!I155</f>
        <v/>
      </c>
      <c r="I155">
        <f>'Delivery &amp; Installation'!O155</f>
        <v/>
      </c>
      <c r="J155">
        <f>IF(G155="Installed","Yes","No")</f>
        <v/>
      </c>
    </row>
    <row r="156">
      <c r="A156" s="12">
        <f>'Delivery &amp; Installation'!B156</f>
        <v/>
      </c>
      <c r="B156" s="12">
        <f>'Delivery &amp; Installation'!A156</f>
        <v/>
      </c>
      <c r="C156" s="12">
        <f>'Delivery &amp; Installation'!C156</f>
        <v/>
      </c>
      <c r="D156" s="12">
        <f>'Delivery &amp; Installation'!G156</f>
        <v/>
      </c>
      <c r="E156" s="12">
        <f>'Delivery &amp; Installation'!L156</f>
        <v/>
      </c>
      <c r="F156" s="12">
        <f>'Delivery &amp; Installation'!M156</f>
        <v/>
      </c>
      <c r="G156" s="12">
        <f>'Delivery &amp; Installation'!N156</f>
        <v/>
      </c>
      <c r="H156" s="12">
        <f>'Delivery &amp; Installation'!I156</f>
        <v/>
      </c>
      <c r="I156" s="12">
        <f>'Delivery &amp; Installation'!O156</f>
        <v/>
      </c>
      <c r="J156" s="12">
        <f>IF(G156="Installed","Yes","No")</f>
        <v/>
      </c>
    </row>
    <row r="157">
      <c r="A157">
        <f>'Delivery &amp; Installation'!B157</f>
        <v/>
      </c>
      <c r="B157">
        <f>'Delivery &amp; Installation'!A157</f>
        <v/>
      </c>
      <c r="C157">
        <f>'Delivery &amp; Installation'!C157</f>
        <v/>
      </c>
      <c r="D157">
        <f>'Delivery &amp; Installation'!G157</f>
        <v/>
      </c>
      <c r="E157">
        <f>'Delivery &amp; Installation'!L157</f>
        <v/>
      </c>
      <c r="F157">
        <f>'Delivery &amp; Installation'!M157</f>
        <v/>
      </c>
      <c r="G157">
        <f>'Delivery &amp; Installation'!N157</f>
        <v/>
      </c>
      <c r="H157">
        <f>'Delivery &amp; Installation'!I157</f>
        <v/>
      </c>
      <c r="I157">
        <f>'Delivery &amp; Installation'!O157</f>
        <v/>
      </c>
      <c r="J157">
        <f>IF(G157="Installed","Yes","No")</f>
        <v/>
      </c>
    </row>
    <row r="158">
      <c r="A158" s="12">
        <f>'Delivery &amp; Installation'!B158</f>
        <v/>
      </c>
      <c r="B158" s="12">
        <f>'Delivery &amp; Installation'!A158</f>
        <v/>
      </c>
      <c r="C158" s="12">
        <f>'Delivery &amp; Installation'!C158</f>
        <v/>
      </c>
      <c r="D158" s="12">
        <f>'Delivery &amp; Installation'!G158</f>
        <v/>
      </c>
      <c r="E158" s="12">
        <f>'Delivery &amp; Installation'!L158</f>
        <v/>
      </c>
      <c r="F158" s="12">
        <f>'Delivery &amp; Installation'!M158</f>
        <v/>
      </c>
      <c r="G158" s="12">
        <f>'Delivery &amp; Installation'!N158</f>
        <v/>
      </c>
      <c r="H158" s="12">
        <f>'Delivery &amp; Installation'!I158</f>
        <v/>
      </c>
      <c r="I158" s="12">
        <f>'Delivery &amp; Installation'!O158</f>
        <v/>
      </c>
      <c r="J158" s="12">
        <f>IF(G158="Installed","Yes","No")</f>
        <v/>
      </c>
    </row>
    <row r="159">
      <c r="A159">
        <f>'Delivery &amp; Installation'!B159</f>
        <v/>
      </c>
      <c r="B159">
        <f>'Delivery &amp; Installation'!A159</f>
        <v/>
      </c>
      <c r="C159">
        <f>'Delivery &amp; Installation'!C159</f>
        <v/>
      </c>
      <c r="D159">
        <f>'Delivery &amp; Installation'!G159</f>
        <v/>
      </c>
      <c r="E159">
        <f>'Delivery &amp; Installation'!L159</f>
        <v/>
      </c>
      <c r="F159">
        <f>'Delivery &amp; Installation'!M159</f>
        <v/>
      </c>
      <c r="G159">
        <f>'Delivery &amp; Installation'!N159</f>
        <v/>
      </c>
      <c r="H159">
        <f>'Delivery &amp; Installation'!I159</f>
        <v/>
      </c>
      <c r="I159">
        <f>'Delivery &amp; Installation'!O159</f>
        <v/>
      </c>
      <c r="J159">
        <f>IF(G159="Installed","Yes","No")</f>
        <v/>
      </c>
    </row>
    <row r="160">
      <c r="A160" s="12">
        <f>'Delivery &amp; Installation'!B160</f>
        <v/>
      </c>
      <c r="B160" s="12">
        <f>'Delivery &amp; Installation'!A160</f>
        <v/>
      </c>
      <c r="C160" s="12">
        <f>'Delivery &amp; Installation'!C160</f>
        <v/>
      </c>
      <c r="D160" s="12">
        <f>'Delivery &amp; Installation'!G160</f>
        <v/>
      </c>
      <c r="E160" s="12">
        <f>'Delivery &amp; Installation'!L160</f>
        <v/>
      </c>
      <c r="F160" s="12">
        <f>'Delivery &amp; Installation'!M160</f>
        <v/>
      </c>
      <c r="G160" s="12">
        <f>'Delivery &amp; Installation'!N160</f>
        <v/>
      </c>
      <c r="H160" s="12">
        <f>'Delivery &amp; Installation'!I160</f>
        <v/>
      </c>
      <c r="I160" s="12">
        <f>'Delivery &amp; Installation'!O160</f>
        <v/>
      </c>
      <c r="J160" s="12">
        <f>IF(G160="Installed","Yes","No")</f>
        <v/>
      </c>
    </row>
    <row r="161">
      <c r="A161">
        <f>'Delivery &amp; Installation'!B161</f>
        <v/>
      </c>
      <c r="B161">
        <f>'Delivery &amp; Installation'!A161</f>
        <v/>
      </c>
      <c r="C161">
        <f>'Delivery &amp; Installation'!C161</f>
        <v/>
      </c>
      <c r="D161">
        <f>'Delivery &amp; Installation'!G161</f>
        <v/>
      </c>
      <c r="E161">
        <f>'Delivery &amp; Installation'!L161</f>
        <v/>
      </c>
      <c r="F161">
        <f>'Delivery &amp; Installation'!M161</f>
        <v/>
      </c>
      <c r="G161">
        <f>'Delivery &amp; Installation'!N161</f>
        <v/>
      </c>
      <c r="H161">
        <f>'Delivery &amp; Installation'!I161</f>
        <v/>
      </c>
      <c r="I161">
        <f>'Delivery &amp; Installation'!O161</f>
        <v/>
      </c>
      <c r="J161">
        <f>IF(G161="Installed","Yes","No")</f>
        <v/>
      </c>
    </row>
    <row r="162">
      <c r="A162" s="12">
        <f>'Delivery &amp; Installation'!B162</f>
        <v/>
      </c>
      <c r="B162" s="12">
        <f>'Delivery &amp; Installation'!A162</f>
        <v/>
      </c>
      <c r="C162" s="12">
        <f>'Delivery &amp; Installation'!C162</f>
        <v/>
      </c>
      <c r="D162" s="12">
        <f>'Delivery &amp; Installation'!G162</f>
        <v/>
      </c>
      <c r="E162" s="12">
        <f>'Delivery &amp; Installation'!L162</f>
        <v/>
      </c>
      <c r="F162" s="12">
        <f>'Delivery &amp; Installation'!M162</f>
        <v/>
      </c>
      <c r="G162" s="12">
        <f>'Delivery &amp; Installation'!N162</f>
        <v/>
      </c>
      <c r="H162" s="12">
        <f>'Delivery &amp; Installation'!I162</f>
        <v/>
      </c>
      <c r="I162" s="12">
        <f>'Delivery &amp; Installation'!O162</f>
        <v/>
      </c>
      <c r="J162" s="12">
        <f>IF(G162="Installed","Yes","No")</f>
        <v/>
      </c>
    </row>
    <row r="163">
      <c r="A163">
        <f>'Delivery &amp; Installation'!B163</f>
        <v/>
      </c>
      <c r="B163">
        <f>'Delivery &amp; Installation'!A163</f>
        <v/>
      </c>
      <c r="C163">
        <f>'Delivery &amp; Installation'!C163</f>
        <v/>
      </c>
      <c r="D163">
        <f>'Delivery &amp; Installation'!G163</f>
        <v/>
      </c>
      <c r="E163">
        <f>'Delivery &amp; Installation'!L163</f>
        <v/>
      </c>
      <c r="F163">
        <f>'Delivery &amp; Installation'!M163</f>
        <v/>
      </c>
      <c r="G163">
        <f>'Delivery &amp; Installation'!N163</f>
        <v/>
      </c>
      <c r="H163">
        <f>'Delivery &amp; Installation'!I163</f>
        <v/>
      </c>
      <c r="I163">
        <f>'Delivery &amp; Installation'!O163</f>
        <v/>
      </c>
      <c r="J163">
        <f>IF(G163="Installed","Yes","No")</f>
        <v/>
      </c>
    </row>
    <row r="164">
      <c r="A164" s="12">
        <f>'Delivery &amp; Installation'!B164</f>
        <v/>
      </c>
      <c r="B164" s="12">
        <f>'Delivery &amp; Installation'!A164</f>
        <v/>
      </c>
      <c r="C164" s="12">
        <f>'Delivery &amp; Installation'!C164</f>
        <v/>
      </c>
      <c r="D164" s="12">
        <f>'Delivery &amp; Installation'!G164</f>
        <v/>
      </c>
      <c r="E164" s="12">
        <f>'Delivery &amp; Installation'!L164</f>
        <v/>
      </c>
      <c r="F164" s="12">
        <f>'Delivery &amp; Installation'!M164</f>
        <v/>
      </c>
      <c r="G164" s="12">
        <f>'Delivery &amp; Installation'!N164</f>
        <v/>
      </c>
      <c r="H164" s="12">
        <f>'Delivery &amp; Installation'!I164</f>
        <v/>
      </c>
      <c r="I164" s="12">
        <f>'Delivery &amp; Installation'!O164</f>
        <v/>
      </c>
      <c r="J164" s="12">
        <f>IF(G164="Installed","Yes","No")</f>
        <v/>
      </c>
    </row>
    <row r="165">
      <c r="A165">
        <f>'Delivery &amp; Installation'!B165</f>
        <v/>
      </c>
      <c r="B165">
        <f>'Delivery &amp; Installation'!A165</f>
        <v/>
      </c>
      <c r="C165">
        <f>'Delivery &amp; Installation'!C165</f>
        <v/>
      </c>
      <c r="D165">
        <f>'Delivery &amp; Installation'!G165</f>
        <v/>
      </c>
      <c r="E165">
        <f>'Delivery &amp; Installation'!L165</f>
        <v/>
      </c>
      <c r="F165">
        <f>'Delivery &amp; Installation'!M165</f>
        <v/>
      </c>
      <c r="G165">
        <f>'Delivery &amp; Installation'!N165</f>
        <v/>
      </c>
      <c r="H165">
        <f>'Delivery &amp; Installation'!I165</f>
        <v/>
      </c>
      <c r="I165">
        <f>'Delivery &amp; Installation'!O165</f>
        <v/>
      </c>
      <c r="J165">
        <f>IF(G165="Installed","Yes","No")</f>
        <v/>
      </c>
    </row>
    <row r="166">
      <c r="A166" s="12">
        <f>'Delivery &amp; Installation'!B166</f>
        <v/>
      </c>
      <c r="B166" s="12">
        <f>'Delivery &amp; Installation'!A166</f>
        <v/>
      </c>
      <c r="C166" s="12">
        <f>'Delivery &amp; Installation'!C166</f>
        <v/>
      </c>
      <c r="D166" s="12">
        <f>'Delivery &amp; Installation'!G166</f>
        <v/>
      </c>
      <c r="E166" s="12">
        <f>'Delivery &amp; Installation'!L166</f>
        <v/>
      </c>
      <c r="F166" s="12">
        <f>'Delivery &amp; Installation'!M166</f>
        <v/>
      </c>
      <c r="G166" s="12">
        <f>'Delivery &amp; Installation'!N166</f>
        <v/>
      </c>
      <c r="H166" s="12">
        <f>'Delivery &amp; Installation'!I166</f>
        <v/>
      </c>
      <c r="I166" s="12">
        <f>'Delivery &amp; Installation'!O166</f>
        <v/>
      </c>
      <c r="J166" s="12">
        <f>IF(G166="Installed","Yes","No")</f>
        <v/>
      </c>
    </row>
    <row r="167">
      <c r="A167">
        <f>'Delivery &amp; Installation'!B167</f>
        <v/>
      </c>
      <c r="B167">
        <f>'Delivery &amp; Installation'!A167</f>
        <v/>
      </c>
      <c r="C167">
        <f>'Delivery &amp; Installation'!C167</f>
        <v/>
      </c>
      <c r="D167">
        <f>'Delivery &amp; Installation'!G167</f>
        <v/>
      </c>
      <c r="E167">
        <f>'Delivery &amp; Installation'!L167</f>
        <v/>
      </c>
      <c r="F167">
        <f>'Delivery &amp; Installation'!M167</f>
        <v/>
      </c>
      <c r="G167">
        <f>'Delivery &amp; Installation'!N167</f>
        <v/>
      </c>
      <c r="H167">
        <f>'Delivery &amp; Installation'!I167</f>
        <v/>
      </c>
      <c r="I167">
        <f>'Delivery &amp; Installation'!O167</f>
        <v/>
      </c>
      <c r="J167">
        <f>IF(G167="Installed","Yes","No")</f>
        <v/>
      </c>
    </row>
    <row r="168">
      <c r="A168" s="12">
        <f>'Delivery &amp; Installation'!B168</f>
        <v/>
      </c>
      <c r="B168" s="12">
        <f>'Delivery &amp; Installation'!A168</f>
        <v/>
      </c>
      <c r="C168" s="12">
        <f>'Delivery &amp; Installation'!C168</f>
        <v/>
      </c>
      <c r="D168" s="12">
        <f>'Delivery &amp; Installation'!G168</f>
        <v/>
      </c>
      <c r="E168" s="12">
        <f>'Delivery &amp; Installation'!L168</f>
        <v/>
      </c>
      <c r="F168" s="12">
        <f>'Delivery &amp; Installation'!M168</f>
        <v/>
      </c>
      <c r="G168" s="12">
        <f>'Delivery &amp; Installation'!N168</f>
        <v/>
      </c>
      <c r="H168" s="12">
        <f>'Delivery &amp; Installation'!I168</f>
        <v/>
      </c>
      <c r="I168" s="12">
        <f>'Delivery &amp; Installation'!O168</f>
        <v/>
      </c>
      <c r="J168" s="12">
        <f>IF(G168="Installed","Yes","No")</f>
        <v/>
      </c>
    </row>
    <row r="169">
      <c r="A169">
        <f>'Delivery &amp; Installation'!B169</f>
        <v/>
      </c>
      <c r="B169">
        <f>'Delivery &amp; Installation'!A169</f>
        <v/>
      </c>
      <c r="C169">
        <f>'Delivery &amp; Installation'!C169</f>
        <v/>
      </c>
      <c r="D169">
        <f>'Delivery &amp; Installation'!G169</f>
        <v/>
      </c>
      <c r="E169">
        <f>'Delivery &amp; Installation'!L169</f>
        <v/>
      </c>
      <c r="F169">
        <f>'Delivery &amp; Installation'!M169</f>
        <v/>
      </c>
      <c r="G169">
        <f>'Delivery &amp; Installation'!N169</f>
        <v/>
      </c>
      <c r="H169">
        <f>'Delivery &amp; Installation'!I169</f>
        <v/>
      </c>
      <c r="I169">
        <f>'Delivery &amp; Installation'!O169</f>
        <v/>
      </c>
      <c r="J169">
        <f>IF(G169="Installed","Yes","No")</f>
        <v/>
      </c>
    </row>
    <row r="170">
      <c r="A170" s="12">
        <f>'Delivery &amp; Installation'!B170</f>
        <v/>
      </c>
      <c r="B170" s="12">
        <f>'Delivery &amp; Installation'!A170</f>
        <v/>
      </c>
      <c r="C170" s="12">
        <f>'Delivery &amp; Installation'!C170</f>
        <v/>
      </c>
      <c r="D170" s="12">
        <f>'Delivery &amp; Installation'!G170</f>
        <v/>
      </c>
      <c r="E170" s="12">
        <f>'Delivery &amp; Installation'!L170</f>
        <v/>
      </c>
      <c r="F170" s="12">
        <f>'Delivery &amp; Installation'!M170</f>
        <v/>
      </c>
      <c r="G170" s="12">
        <f>'Delivery &amp; Installation'!N170</f>
        <v/>
      </c>
      <c r="H170" s="12">
        <f>'Delivery &amp; Installation'!I170</f>
        <v/>
      </c>
      <c r="I170" s="12">
        <f>'Delivery &amp; Installation'!O170</f>
        <v/>
      </c>
      <c r="J170" s="12">
        <f>IF(G170="Installed","Yes","No")</f>
        <v/>
      </c>
    </row>
    <row r="171">
      <c r="A171">
        <f>'Delivery &amp; Installation'!B171</f>
        <v/>
      </c>
      <c r="B171">
        <f>'Delivery &amp; Installation'!A171</f>
        <v/>
      </c>
      <c r="C171">
        <f>'Delivery &amp; Installation'!C171</f>
        <v/>
      </c>
      <c r="D171">
        <f>'Delivery &amp; Installation'!G171</f>
        <v/>
      </c>
      <c r="E171">
        <f>'Delivery &amp; Installation'!L171</f>
        <v/>
      </c>
      <c r="F171">
        <f>'Delivery &amp; Installation'!M171</f>
        <v/>
      </c>
      <c r="G171">
        <f>'Delivery &amp; Installation'!N171</f>
        <v/>
      </c>
      <c r="H171">
        <f>'Delivery &amp; Installation'!I171</f>
        <v/>
      </c>
      <c r="I171">
        <f>'Delivery &amp; Installation'!O171</f>
        <v/>
      </c>
      <c r="J171">
        <f>IF(G171="Installed","Yes","No")</f>
        <v/>
      </c>
    </row>
    <row r="172">
      <c r="A172" s="12">
        <f>'Delivery &amp; Installation'!B172</f>
        <v/>
      </c>
      <c r="B172" s="12">
        <f>'Delivery &amp; Installation'!A172</f>
        <v/>
      </c>
      <c r="C172" s="12">
        <f>'Delivery &amp; Installation'!C172</f>
        <v/>
      </c>
      <c r="D172" s="12">
        <f>'Delivery &amp; Installation'!G172</f>
        <v/>
      </c>
      <c r="E172" s="12">
        <f>'Delivery &amp; Installation'!L172</f>
        <v/>
      </c>
      <c r="F172" s="12">
        <f>'Delivery &amp; Installation'!M172</f>
        <v/>
      </c>
      <c r="G172" s="12">
        <f>'Delivery &amp; Installation'!N172</f>
        <v/>
      </c>
      <c r="H172" s="12">
        <f>'Delivery &amp; Installation'!I172</f>
        <v/>
      </c>
      <c r="I172" s="12">
        <f>'Delivery &amp; Installation'!O172</f>
        <v/>
      </c>
      <c r="J172" s="12">
        <f>IF(G172="Installed","Yes","No")</f>
        <v/>
      </c>
    </row>
    <row r="173">
      <c r="A173">
        <f>'Delivery &amp; Installation'!B173</f>
        <v/>
      </c>
      <c r="B173">
        <f>'Delivery &amp; Installation'!A173</f>
        <v/>
      </c>
      <c r="C173">
        <f>'Delivery &amp; Installation'!C173</f>
        <v/>
      </c>
      <c r="D173">
        <f>'Delivery &amp; Installation'!G173</f>
        <v/>
      </c>
      <c r="E173">
        <f>'Delivery &amp; Installation'!L173</f>
        <v/>
      </c>
      <c r="F173">
        <f>'Delivery &amp; Installation'!M173</f>
        <v/>
      </c>
      <c r="G173">
        <f>'Delivery &amp; Installation'!N173</f>
        <v/>
      </c>
      <c r="H173">
        <f>'Delivery &amp; Installation'!I173</f>
        <v/>
      </c>
      <c r="I173">
        <f>'Delivery &amp; Installation'!O173</f>
        <v/>
      </c>
      <c r="J173">
        <f>IF(G173="Installed","Yes","No")</f>
        <v/>
      </c>
    </row>
    <row r="174">
      <c r="A174" s="12">
        <f>'Delivery &amp; Installation'!B174</f>
        <v/>
      </c>
      <c r="B174" s="12">
        <f>'Delivery &amp; Installation'!A174</f>
        <v/>
      </c>
      <c r="C174" s="12">
        <f>'Delivery &amp; Installation'!C174</f>
        <v/>
      </c>
      <c r="D174" s="12">
        <f>'Delivery &amp; Installation'!G174</f>
        <v/>
      </c>
      <c r="E174" s="12">
        <f>'Delivery &amp; Installation'!L174</f>
        <v/>
      </c>
      <c r="F174" s="12">
        <f>'Delivery &amp; Installation'!M174</f>
        <v/>
      </c>
      <c r="G174" s="12">
        <f>'Delivery &amp; Installation'!N174</f>
        <v/>
      </c>
      <c r="H174" s="12">
        <f>'Delivery &amp; Installation'!I174</f>
        <v/>
      </c>
      <c r="I174" s="12">
        <f>'Delivery &amp; Installation'!O174</f>
        <v/>
      </c>
      <c r="J174" s="12">
        <f>IF(G174="Installed","Yes","No")</f>
        <v/>
      </c>
    </row>
    <row r="175">
      <c r="A175">
        <f>'Delivery &amp; Installation'!B175</f>
        <v/>
      </c>
      <c r="B175">
        <f>'Delivery &amp; Installation'!A175</f>
        <v/>
      </c>
      <c r="C175">
        <f>'Delivery &amp; Installation'!C175</f>
        <v/>
      </c>
      <c r="D175">
        <f>'Delivery &amp; Installation'!G175</f>
        <v/>
      </c>
      <c r="E175">
        <f>'Delivery &amp; Installation'!L175</f>
        <v/>
      </c>
      <c r="F175">
        <f>'Delivery &amp; Installation'!M175</f>
        <v/>
      </c>
      <c r="G175">
        <f>'Delivery &amp; Installation'!N175</f>
        <v/>
      </c>
      <c r="H175">
        <f>'Delivery &amp; Installation'!I175</f>
        <v/>
      </c>
      <c r="I175">
        <f>'Delivery &amp; Installation'!O175</f>
        <v/>
      </c>
      <c r="J175">
        <f>IF(G175="Installed","Yes","No")</f>
        <v/>
      </c>
    </row>
    <row r="176">
      <c r="A176" s="12">
        <f>'Delivery &amp; Installation'!B176</f>
        <v/>
      </c>
      <c r="B176" s="12">
        <f>'Delivery &amp; Installation'!A176</f>
        <v/>
      </c>
      <c r="C176" s="12">
        <f>'Delivery &amp; Installation'!C176</f>
        <v/>
      </c>
      <c r="D176" s="12">
        <f>'Delivery &amp; Installation'!G176</f>
        <v/>
      </c>
      <c r="E176" s="12">
        <f>'Delivery &amp; Installation'!L176</f>
        <v/>
      </c>
      <c r="F176" s="12">
        <f>'Delivery &amp; Installation'!M176</f>
        <v/>
      </c>
      <c r="G176" s="12">
        <f>'Delivery &amp; Installation'!N176</f>
        <v/>
      </c>
      <c r="H176" s="12">
        <f>'Delivery &amp; Installation'!I176</f>
        <v/>
      </c>
      <c r="I176" s="12">
        <f>'Delivery &amp; Installation'!O176</f>
        <v/>
      </c>
      <c r="J176" s="12">
        <f>IF(G176="Installed","Yes","No")</f>
        <v/>
      </c>
    </row>
    <row r="177">
      <c r="A177">
        <f>'Delivery &amp; Installation'!B177</f>
        <v/>
      </c>
      <c r="B177">
        <f>'Delivery &amp; Installation'!A177</f>
        <v/>
      </c>
      <c r="C177">
        <f>'Delivery &amp; Installation'!C177</f>
        <v/>
      </c>
      <c r="D177">
        <f>'Delivery &amp; Installation'!G177</f>
        <v/>
      </c>
      <c r="E177">
        <f>'Delivery &amp; Installation'!L177</f>
        <v/>
      </c>
      <c r="F177">
        <f>'Delivery &amp; Installation'!M177</f>
        <v/>
      </c>
      <c r="G177">
        <f>'Delivery &amp; Installation'!N177</f>
        <v/>
      </c>
      <c r="H177">
        <f>'Delivery &amp; Installation'!I177</f>
        <v/>
      </c>
      <c r="I177">
        <f>'Delivery &amp; Installation'!O177</f>
        <v/>
      </c>
      <c r="J177">
        <f>IF(G177="Installed","Yes","No")</f>
        <v/>
      </c>
    </row>
    <row r="178">
      <c r="A178" s="12">
        <f>'Delivery &amp; Installation'!B178</f>
        <v/>
      </c>
      <c r="B178" s="12">
        <f>'Delivery &amp; Installation'!A178</f>
        <v/>
      </c>
      <c r="C178" s="12">
        <f>'Delivery &amp; Installation'!C178</f>
        <v/>
      </c>
      <c r="D178" s="12">
        <f>'Delivery &amp; Installation'!G178</f>
        <v/>
      </c>
      <c r="E178" s="12">
        <f>'Delivery &amp; Installation'!L178</f>
        <v/>
      </c>
      <c r="F178" s="12">
        <f>'Delivery &amp; Installation'!M178</f>
        <v/>
      </c>
      <c r="G178" s="12">
        <f>'Delivery &amp; Installation'!N178</f>
        <v/>
      </c>
      <c r="H178" s="12">
        <f>'Delivery &amp; Installation'!I178</f>
        <v/>
      </c>
      <c r="I178" s="12">
        <f>'Delivery &amp; Installation'!O178</f>
        <v/>
      </c>
      <c r="J178" s="12">
        <f>IF(G178="Installed","Yes","No")</f>
        <v/>
      </c>
    </row>
    <row r="179">
      <c r="A179">
        <f>'Delivery &amp; Installation'!B179</f>
        <v/>
      </c>
      <c r="B179">
        <f>'Delivery &amp; Installation'!A179</f>
        <v/>
      </c>
      <c r="C179">
        <f>'Delivery &amp; Installation'!C179</f>
        <v/>
      </c>
      <c r="D179">
        <f>'Delivery &amp; Installation'!G179</f>
        <v/>
      </c>
      <c r="E179">
        <f>'Delivery &amp; Installation'!L179</f>
        <v/>
      </c>
      <c r="F179">
        <f>'Delivery &amp; Installation'!M179</f>
        <v/>
      </c>
      <c r="G179">
        <f>'Delivery &amp; Installation'!N179</f>
        <v/>
      </c>
      <c r="H179">
        <f>'Delivery &amp; Installation'!I179</f>
        <v/>
      </c>
      <c r="I179">
        <f>'Delivery &amp; Installation'!O179</f>
        <v/>
      </c>
      <c r="J179">
        <f>IF(G179="Installed","Yes","No")</f>
        <v/>
      </c>
    </row>
    <row r="180">
      <c r="A180" s="12">
        <f>'Delivery &amp; Installation'!B180</f>
        <v/>
      </c>
      <c r="B180" s="12">
        <f>'Delivery &amp; Installation'!A180</f>
        <v/>
      </c>
      <c r="C180" s="12">
        <f>'Delivery &amp; Installation'!C180</f>
        <v/>
      </c>
      <c r="D180" s="12">
        <f>'Delivery &amp; Installation'!G180</f>
        <v/>
      </c>
      <c r="E180" s="12">
        <f>'Delivery &amp; Installation'!L180</f>
        <v/>
      </c>
      <c r="F180" s="12">
        <f>'Delivery &amp; Installation'!M180</f>
        <v/>
      </c>
      <c r="G180" s="12">
        <f>'Delivery &amp; Installation'!N180</f>
        <v/>
      </c>
      <c r="H180" s="12">
        <f>'Delivery &amp; Installation'!I180</f>
        <v/>
      </c>
      <c r="I180" s="12">
        <f>'Delivery &amp; Installation'!O180</f>
        <v/>
      </c>
      <c r="J180" s="12">
        <f>IF(G180="Installed","Yes","No")</f>
        <v/>
      </c>
    </row>
    <row r="181">
      <c r="A181">
        <f>'Delivery &amp; Installation'!B181</f>
        <v/>
      </c>
      <c r="B181">
        <f>'Delivery &amp; Installation'!A181</f>
        <v/>
      </c>
      <c r="C181">
        <f>'Delivery &amp; Installation'!C181</f>
        <v/>
      </c>
      <c r="D181">
        <f>'Delivery &amp; Installation'!G181</f>
        <v/>
      </c>
      <c r="E181">
        <f>'Delivery &amp; Installation'!L181</f>
        <v/>
      </c>
      <c r="F181">
        <f>'Delivery &amp; Installation'!M181</f>
        <v/>
      </c>
      <c r="G181">
        <f>'Delivery &amp; Installation'!N181</f>
        <v/>
      </c>
      <c r="H181">
        <f>'Delivery &amp; Installation'!I181</f>
        <v/>
      </c>
      <c r="I181">
        <f>'Delivery &amp; Installation'!O181</f>
        <v/>
      </c>
      <c r="J181">
        <f>IF(G181="Installed","Yes","No")</f>
        <v/>
      </c>
    </row>
    <row r="182">
      <c r="A182" s="12">
        <f>'Delivery &amp; Installation'!B182</f>
        <v/>
      </c>
      <c r="B182" s="12">
        <f>'Delivery &amp; Installation'!A182</f>
        <v/>
      </c>
      <c r="C182" s="12">
        <f>'Delivery &amp; Installation'!C182</f>
        <v/>
      </c>
      <c r="D182" s="12">
        <f>'Delivery &amp; Installation'!G182</f>
        <v/>
      </c>
      <c r="E182" s="12">
        <f>'Delivery &amp; Installation'!L182</f>
        <v/>
      </c>
      <c r="F182" s="12">
        <f>'Delivery &amp; Installation'!M182</f>
        <v/>
      </c>
      <c r="G182" s="12">
        <f>'Delivery &amp; Installation'!N182</f>
        <v/>
      </c>
      <c r="H182" s="12">
        <f>'Delivery &amp; Installation'!I182</f>
        <v/>
      </c>
      <c r="I182" s="12">
        <f>'Delivery &amp; Installation'!O182</f>
        <v/>
      </c>
      <c r="J182" s="12">
        <f>IF(G182="Installed","Yes","No")</f>
        <v/>
      </c>
    </row>
    <row r="183">
      <c r="A183">
        <f>'Delivery &amp; Installation'!B183</f>
        <v/>
      </c>
      <c r="B183">
        <f>'Delivery &amp; Installation'!A183</f>
        <v/>
      </c>
      <c r="C183">
        <f>'Delivery &amp; Installation'!C183</f>
        <v/>
      </c>
      <c r="D183">
        <f>'Delivery &amp; Installation'!G183</f>
        <v/>
      </c>
      <c r="E183">
        <f>'Delivery &amp; Installation'!L183</f>
        <v/>
      </c>
      <c r="F183">
        <f>'Delivery &amp; Installation'!M183</f>
        <v/>
      </c>
      <c r="G183">
        <f>'Delivery &amp; Installation'!N183</f>
        <v/>
      </c>
      <c r="H183">
        <f>'Delivery &amp; Installation'!I183</f>
        <v/>
      </c>
      <c r="I183">
        <f>'Delivery &amp; Installation'!O183</f>
        <v/>
      </c>
      <c r="J183">
        <f>IF(G183="Installed","Yes","No")</f>
        <v/>
      </c>
    </row>
    <row r="184">
      <c r="A184" s="12">
        <f>'Delivery &amp; Installation'!B184</f>
        <v/>
      </c>
      <c r="B184" s="12">
        <f>'Delivery &amp; Installation'!A184</f>
        <v/>
      </c>
      <c r="C184" s="12">
        <f>'Delivery &amp; Installation'!C184</f>
        <v/>
      </c>
      <c r="D184" s="12">
        <f>'Delivery &amp; Installation'!G184</f>
        <v/>
      </c>
      <c r="E184" s="12">
        <f>'Delivery &amp; Installation'!L184</f>
        <v/>
      </c>
      <c r="F184" s="12">
        <f>'Delivery &amp; Installation'!M184</f>
        <v/>
      </c>
      <c r="G184" s="12">
        <f>'Delivery &amp; Installation'!N184</f>
        <v/>
      </c>
      <c r="H184" s="12">
        <f>'Delivery &amp; Installation'!I184</f>
        <v/>
      </c>
      <c r="I184" s="12">
        <f>'Delivery &amp; Installation'!O184</f>
        <v/>
      </c>
      <c r="J184" s="12">
        <f>IF(G184="Installed","Yes","No")</f>
        <v/>
      </c>
    </row>
    <row r="185">
      <c r="A185">
        <f>'Delivery &amp; Installation'!B185</f>
        <v/>
      </c>
      <c r="B185">
        <f>'Delivery &amp; Installation'!A185</f>
        <v/>
      </c>
      <c r="C185">
        <f>'Delivery &amp; Installation'!C185</f>
        <v/>
      </c>
      <c r="D185">
        <f>'Delivery &amp; Installation'!G185</f>
        <v/>
      </c>
      <c r="E185">
        <f>'Delivery &amp; Installation'!L185</f>
        <v/>
      </c>
      <c r="F185">
        <f>'Delivery &amp; Installation'!M185</f>
        <v/>
      </c>
      <c r="G185">
        <f>'Delivery &amp; Installation'!N185</f>
        <v/>
      </c>
      <c r="H185">
        <f>'Delivery &amp; Installation'!I185</f>
        <v/>
      </c>
      <c r="I185">
        <f>'Delivery &amp; Installation'!O185</f>
        <v/>
      </c>
      <c r="J185">
        <f>IF(G185="Installed","Yes","No")</f>
        <v/>
      </c>
    </row>
    <row r="186">
      <c r="A186" s="12">
        <f>'Delivery &amp; Installation'!B186</f>
        <v/>
      </c>
      <c r="B186" s="12">
        <f>'Delivery &amp; Installation'!A186</f>
        <v/>
      </c>
      <c r="C186" s="12">
        <f>'Delivery &amp; Installation'!C186</f>
        <v/>
      </c>
      <c r="D186" s="12">
        <f>'Delivery &amp; Installation'!G186</f>
        <v/>
      </c>
      <c r="E186" s="12">
        <f>'Delivery &amp; Installation'!L186</f>
        <v/>
      </c>
      <c r="F186" s="12">
        <f>'Delivery &amp; Installation'!M186</f>
        <v/>
      </c>
      <c r="G186" s="12">
        <f>'Delivery &amp; Installation'!N186</f>
        <v/>
      </c>
      <c r="H186" s="12">
        <f>'Delivery &amp; Installation'!I186</f>
        <v/>
      </c>
      <c r="I186" s="12">
        <f>'Delivery &amp; Installation'!O186</f>
        <v/>
      </c>
      <c r="J186" s="12">
        <f>IF(G186="Installed","Yes","No")</f>
        <v/>
      </c>
    </row>
    <row r="187">
      <c r="A187">
        <f>'Delivery &amp; Installation'!B187</f>
        <v/>
      </c>
      <c r="B187">
        <f>'Delivery &amp; Installation'!A187</f>
        <v/>
      </c>
      <c r="C187">
        <f>'Delivery &amp; Installation'!C187</f>
        <v/>
      </c>
      <c r="D187">
        <f>'Delivery &amp; Installation'!G187</f>
        <v/>
      </c>
      <c r="E187">
        <f>'Delivery &amp; Installation'!L187</f>
        <v/>
      </c>
      <c r="F187">
        <f>'Delivery &amp; Installation'!M187</f>
        <v/>
      </c>
      <c r="G187">
        <f>'Delivery &amp; Installation'!N187</f>
        <v/>
      </c>
      <c r="H187">
        <f>'Delivery &amp; Installation'!I187</f>
        <v/>
      </c>
      <c r="I187">
        <f>'Delivery &amp; Installation'!O187</f>
        <v/>
      </c>
      <c r="J187">
        <f>IF(G187="Installed","Yes","No")</f>
        <v/>
      </c>
    </row>
    <row r="188">
      <c r="A188" s="12">
        <f>'Delivery &amp; Installation'!B188</f>
        <v/>
      </c>
      <c r="B188" s="12">
        <f>'Delivery &amp; Installation'!A188</f>
        <v/>
      </c>
      <c r="C188" s="12">
        <f>'Delivery &amp; Installation'!C188</f>
        <v/>
      </c>
      <c r="D188" s="12">
        <f>'Delivery &amp; Installation'!G188</f>
        <v/>
      </c>
      <c r="E188" s="12">
        <f>'Delivery &amp; Installation'!L188</f>
        <v/>
      </c>
      <c r="F188" s="12">
        <f>'Delivery &amp; Installation'!M188</f>
        <v/>
      </c>
      <c r="G188" s="12">
        <f>'Delivery &amp; Installation'!N188</f>
        <v/>
      </c>
      <c r="H188" s="12">
        <f>'Delivery &amp; Installation'!I188</f>
        <v/>
      </c>
      <c r="I188" s="12">
        <f>'Delivery &amp; Installation'!O188</f>
        <v/>
      </c>
      <c r="J188" s="12">
        <f>IF(G188="Installed","Yes","No")</f>
        <v/>
      </c>
    </row>
    <row r="189">
      <c r="A189">
        <f>'Delivery &amp; Installation'!B189</f>
        <v/>
      </c>
      <c r="B189">
        <f>'Delivery &amp; Installation'!A189</f>
        <v/>
      </c>
      <c r="C189">
        <f>'Delivery &amp; Installation'!C189</f>
        <v/>
      </c>
      <c r="D189">
        <f>'Delivery &amp; Installation'!G189</f>
        <v/>
      </c>
      <c r="E189">
        <f>'Delivery &amp; Installation'!L189</f>
        <v/>
      </c>
      <c r="F189">
        <f>'Delivery &amp; Installation'!M189</f>
        <v/>
      </c>
      <c r="G189">
        <f>'Delivery &amp; Installation'!N189</f>
        <v/>
      </c>
      <c r="H189">
        <f>'Delivery &amp; Installation'!I189</f>
        <v/>
      </c>
      <c r="I189">
        <f>'Delivery &amp; Installation'!O189</f>
        <v/>
      </c>
      <c r="J189">
        <f>IF(G189="Installed","Yes","No")</f>
        <v/>
      </c>
    </row>
    <row r="190">
      <c r="A190" s="12">
        <f>'Delivery &amp; Installation'!B190</f>
        <v/>
      </c>
      <c r="B190" s="12">
        <f>'Delivery &amp; Installation'!A190</f>
        <v/>
      </c>
      <c r="C190" s="12">
        <f>'Delivery &amp; Installation'!C190</f>
        <v/>
      </c>
      <c r="D190" s="12">
        <f>'Delivery &amp; Installation'!G190</f>
        <v/>
      </c>
      <c r="E190" s="12">
        <f>'Delivery &amp; Installation'!L190</f>
        <v/>
      </c>
      <c r="F190" s="12">
        <f>'Delivery &amp; Installation'!M190</f>
        <v/>
      </c>
      <c r="G190" s="12">
        <f>'Delivery &amp; Installation'!N190</f>
        <v/>
      </c>
      <c r="H190" s="12">
        <f>'Delivery &amp; Installation'!I190</f>
        <v/>
      </c>
      <c r="I190" s="12">
        <f>'Delivery &amp; Installation'!O190</f>
        <v/>
      </c>
      <c r="J190" s="12">
        <f>IF(G190="Installed","Yes","No")</f>
        <v/>
      </c>
    </row>
    <row r="191">
      <c r="A191">
        <f>'Delivery &amp; Installation'!B191</f>
        <v/>
      </c>
      <c r="B191">
        <f>'Delivery &amp; Installation'!A191</f>
        <v/>
      </c>
      <c r="C191">
        <f>'Delivery &amp; Installation'!C191</f>
        <v/>
      </c>
      <c r="D191">
        <f>'Delivery &amp; Installation'!G191</f>
        <v/>
      </c>
      <c r="E191">
        <f>'Delivery &amp; Installation'!L191</f>
        <v/>
      </c>
      <c r="F191">
        <f>'Delivery &amp; Installation'!M191</f>
        <v/>
      </c>
      <c r="G191">
        <f>'Delivery &amp; Installation'!N191</f>
        <v/>
      </c>
      <c r="H191">
        <f>'Delivery &amp; Installation'!I191</f>
        <v/>
      </c>
      <c r="I191">
        <f>'Delivery &amp; Installation'!O191</f>
        <v/>
      </c>
      <c r="J191">
        <f>IF(G191="Installed","Yes","No")</f>
        <v/>
      </c>
    </row>
    <row r="192">
      <c r="A192" s="12">
        <f>'Delivery &amp; Installation'!B192</f>
        <v/>
      </c>
      <c r="B192" s="12">
        <f>'Delivery &amp; Installation'!A192</f>
        <v/>
      </c>
      <c r="C192" s="12">
        <f>'Delivery &amp; Installation'!C192</f>
        <v/>
      </c>
      <c r="D192" s="12">
        <f>'Delivery &amp; Installation'!G192</f>
        <v/>
      </c>
      <c r="E192" s="12">
        <f>'Delivery &amp; Installation'!L192</f>
        <v/>
      </c>
      <c r="F192" s="12">
        <f>'Delivery &amp; Installation'!M192</f>
        <v/>
      </c>
      <c r="G192" s="12">
        <f>'Delivery &amp; Installation'!N192</f>
        <v/>
      </c>
      <c r="H192" s="12">
        <f>'Delivery &amp; Installation'!I192</f>
        <v/>
      </c>
      <c r="I192" s="12">
        <f>'Delivery &amp; Installation'!O192</f>
        <v/>
      </c>
      <c r="J192" s="12">
        <f>IF(G192="Installed","Yes","No")</f>
        <v/>
      </c>
    </row>
    <row r="193">
      <c r="A193">
        <f>'Delivery &amp; Installation'!B193</f>
        <v/>
      </c>
      <c r="B193">
        <f>'Delivery &amp; Installation'!A193</f>
        <v/>
      </c>
      <c r="C193">
        <f>'Delivery &amp; Installation'!C193</f>
        <v/>
      </c>
      <c r="D193">
        <f>'Delivery &amp; Installation'!G193</f>
        <v/>
      </c>
      <c r="E193">
        <f>'Delivery &amp; Installation'!L193</f>
        <v/>
      </c>
      <c r="F193">
        <f>'Delivery &amp; Installation'!M193</f>
        <v/>
      </c>
      <c r="G193">
        <f>'Delivery &amp; Installation'!N193</f>
        <v/>
      </c>
      <c r="H193">
        <f>'Delivery &amp; Installation'!I193</f>
        <v/>
      </c>
      <c r="I193">
        <f>'Delivery &amp; Installation'!O193</f>
        <v/>
      </c>
      <c r="J193">
        <f>IF(G193="Installed","Yes","No")</f>
        <v/>
      </c>
    </row>
    <row r="194">
      <c r="A194" s="12">
        <f>'Delivery &amp; Installation'!B194</f>
        <v/>
      </c>
      <c r="B194" s="12">
        <f>'Delivery &amp; Installation'!A194</f>
        <v/>
      </c>
      <c r="C194" s="12">
        <f>'Delivery &amp; Installation'!C194</f>
        <v/>
      </c>
      <c r="D194" s="12">
        <f>'Delivery &amp; Installation'!G194</f>
        <v/>
      </c>
      <c r="E194" s="12">
        <f>'Delivery &amp; Installation'!L194</f>
        <v/>
      </c>
      <c r="F194" s="12">
        <f>'Delivery &amp; Installation'!M194</f>
        <v/>
      </c>
      <c r="G194" s="12">
        <f>'Delivery &amp; Installation'!N194</f>
        <v/>
      </c>
      <c r="H194" s="12">
        <f>'Delivery &amp; Installation'!I194</f>
        <v/>
      </c>
      <c r="I194" s="12">
        <f>'Delivery &amp; Installation'!O194</f>
        <v/>
      </c>
      <c r="J194" s="12">
        <f>IF(G194="Installed","Yes","No")</f>
        <v/>
      </c>
    </row>
    <row r="195">
      <c r="A195">
        <f>'Delivery &amp; Installation'!B195</f>
        <v/>
      </c>
      <c r="B195">
        <f>'Delivery &amp; Installation'!A195</f>
        <v/>
      </c>
      <c r="C195">
        <f>'Delivery &amp; Installation'!C195</f>
        <v/>
      </c>
      <c r="D195">
        <f>'Delivery &amp; Installation'!G195</f>
        <v/>
      </c>
      <c r="E195">
        <f>'Delivery &amp; Installation'!L195</f>
        <v/>
      </c>
      <c r="F195">
        <f>'Delivery &amp; Installation'!M195</f>
        <v/>
      </c>
      <c r="G195">
        <f>'Delivery &amp; Installation'!N195</f>
        <v/>
      </c>
      <c r="H195">
        <f>'Delivery &amp; Installation'!I195</f>
        <v/>
      </c>
      <c r="I195">
        <f>'Delivery &amp; Installation'!O195</f>
        <v/>
      </c>
      <c r="J195">
        <f>IF(G195="Installed","Yes","No")</f>
        <v/>
      </c>
    </row>
    <row r="196">
      <c r="A196" s="12">
        <f>'Delivery &amp; Installation'!B196</f>
        <v/>
      </c>
      <c r="B196" s="12">
        <f>'Delivery &amp; Installation'!A196</f>
        <v/>
      </c>
      <c r="C196" s="12">
        <f>'Delivery &amp; Installation'!C196</f>
        <v/>
      </c>
      <c r="D196" s="12">
        <f>'Delivery &amp; Installation'!G196</f>
        <v/>
      </c>
      <c r="E196" s="12">
        <f>'Delivery &amp; Installation'!L196</f>
        <v/>
      </c>
      <c r="F196" s="12">
        <f>'Delivery &amp; Installation'!M196</f>
        <v/>
      </c>
      <c r="G196" s="12">
        <f>'Delivery &amp; Installation'!N196</f>
        <v/>
      </c>
      <c r="H196" s="12">
        <f>'Delivery &amp; Installation'!I196</f>
        <v/>
      </c>
      <c r="I196" s="12">
        <f>'Delivery &amp; Installation'!O196</f>
        <v/>
      </c>
      <c r="J196" s="12">
        <f>IF(G196="Installed","Yes","No")</f>
        <v/>
      </c>
    </row>
    <row r="197">
      <c r="A197">
        <f>'Delivery &amp; Installation'!B197</f>
        <v/>
      </c>
      <c r="B197">
        <f>'Delivery &amp; Installation'!A197</f>
        <v/>
      </c>
      <c r="C197">
        <f>'Delivery &amp; Installation'!C197</f>
        <v/>
      </c>
      <c r="D197">
        <f>'Delivery &amp; Installation'!G197</f>
        <v/>
      </c>
      <c r="E197">
        <f>'Delivery &amp; Installation'!L197</f>
        <v/>
      </c>
      <c r="F197">
        <f>'Delivery &amp; Installation'!M197</f>
        <v/>
      </c>
      <c r="G197">
        <f>'Delivery &amp; Installation'!N197</f>
        <v/>
      </c>
      <c r="H197">
        <f>'Delivery &amp; Installation'!I197</f>
        <v/>
      </c>
      <c r="I197">
        <f>'Delivery &amp; Installation'!O197</f>
        <v/>
      </c>
      <c r="J197">
        <f>IF(G197="Installed","Yes","No")</f>
        <v/>
      </c>
    </row>
    <row r="198">
      <c r="A198" s="12">
        <f>'Delivery &amp; Installation'!B198</f>
        <v/>
      </c>
      <c r="B198" s="12">
        <f>'Delivery &amp; Installation'!A198</f>
        <v/>
      </c>
      <c r="C198" s="12">
        <f>'Delivery &amp; Installation'!C198</f>
        <v/>
      </c>
      <c r="D198" s="12">
        <f>'Delivery &amp; Installation'!G198</f>
        <v/>
      </c>
      <c r="E198" s="12">
        <f>'Delivery &amp; Installation'!L198</f>
        <v/>
      </c>
      <c r="F198" s="12">
        <f>'Delivery &amp; Installation'!M198</f>
        <v/>
      </c>
      <c r="G198" s="12">
        <f>'Delivery &amp; Installation'!N198</f>
        <v/>
      </c>
      <c r="H198" s="12">
        <f>'Delivery &amp; Installation'!I198</f>
        <v/>
      </c>
      <c r="I198" s="12">
        <f>'Delivery &amp; Installation'!O198</f>
        <v/>
      </c>
      <c r="J198" s="12">
        <f>IF(G198="Installed","Yes","No")</f>
        <v/>
      </c>
    </row>
    <row r="199">
      <c r="A199">
        <f>'Delivery &amp; Installation'!B199</f>
        <v/>
      </c>
      <c r="B199">
        <f>'Delivery &amp; Installation'!A199</f>
        <v/>
      </c>
      <c r="C199">
        <f>'Delivery &amp; Installation'!C199</f>
        <v/>
      </c>
      <c r="D199">
        <f>'Delivery &amp; Installation'!G199</f>
        <v/>
      </c>
      <c r="E199">
        <f>'Delivery &amp; Installation'!L199</f>
        <v/>
      </c>
      <c r="F199">
        <f>'Delivery &amp; Installation'!M199</f>
        <v/>
      </c>
      <c r="G199">
        <f>'Delivery &amp; Installation'!N199</f>
        <v/>
      </c>
      <c r="H199">
        <f>'Delivery &amp; Installation'!I199</f>
        <v/>
      </c>
      <c r="I199">
        <f>'Delivery &amp; Installation'!O199</f>
        <v/>
      </c>
      <c r="J199">
        <f>IF(G199="Installed","Yes","No")</f>
        <v/>
      </c>
    </row>
    <row r="200">
      <c r="A200" s="12">
        <f>'Delivery &amp; Installation'!B200</f>
        <v/>
      </c>
      <c r="B200" s="12">
        <f>'Delivery &amp; Installation'!A200</f>
        <v/>
      </c>
      <c r="C200" s="12">
        <f>'Delivery &amp; Installation'!C200</f>
        <v/>
      </c>
      <c r="D200" s="12">
        <f>'Delivery &amp; Installation'!G200</f>
        <v/>
      </c>
      <c r="E200" s="12">
        <f>'Delivery &amp; Installation'!L200</f>
        <v/>
      </c>
      <c r="F200" s="12">
        <f>'Delivery &amp; Installation'!M200</f>
        <v/>
      </c>
      <c r="G200" s="12">
        <f>'Delivery &amp; Installation'!N200</f>
        <v/>
      </c>
      <c r="H200" s="12">
        <f>'Delivery &amp; Installation'!I200</f>
        <v/>
      </c>
      <c r="I200" s="12">
        <f>'Delivery &amp; Installation'!O200</f>
        <v/>
      </c>
      <c r="J200" s="12">
        <f>IF(G200="Installed","Yes","No")</f>
        <v/>
      </c>
    </row>
    <row r="201">
      <c r="A201">
        <f>'Delivery &amp; Installation'!B201</f>
        <v/>
      </c>
      <c r="B201">
        <f>'Delivery &amp; Installation'!A201</f>
        <v/>
      </c>
      <c r="C201">
        <f>'Delivery &amp; Installation'!C201</f>
        <v/>
      </c>
      <c r="D201">
        <f>'Delivery &amp; Installation'!G201</f>
        <v/>
      </c>
      <c r="E201">
        <f>'Delivery &amp; Installation'!L201</f>
        <v/>
      </c>
      <c r="F201">
        <f>'Delivery &amp; Installation'!M201</f>
        <v/>
      </c>
      <c r="G201">
        <f>'Delivery &amp; Installation'!N201</f>
        <v/>
      </c>
      <c r="H201">
        <f>'Delivery &amp; Installation'!I201</f>
        <v/>
      </c>
      <c r="I201">
        <f>'Delivery &amp; Installation'!O201</f>
        <v/>
      </c>
      <c r="J201">
        <f>IF(G201="Installed","Yes","No")</f>
        <v/>
      </c>
    </row>
    <row r="202">
      <c r="A202" s="12">
        <f>'Delivery &amp; Installation'!B202</f>
        <v/>
      </c>
      <c r="B202" s="12">
        <f>'Delivery &amp; Installation'!A202</f>
        <v/>
      </c>
      <c r="C202" s="12">
        <f>'Delivery &amp; Installation'!C202</f>
        <v/>
      </c>
      <c r="D202" s="12">
        <f>'Delivery &amp; Installation'!G202</f>
        <v/>
      </c>
      <c r="E202" s="12">
        <f>'Delivery &amp; Installation'!L202</f>
        <v/>
      </c>
      <c r="F202" s="12">
        <f>'Delivery &amp; Installation'!M202</f>
        <v/>
      </c>
      <c r="G202" s="12">
        <f>'Delivery &amp; Installation'!N202</f>
        <v/>
      </c>
      <c r="H202" s="12">
        <f>'Delivery &amp; Installation'!I202</f>
        <v/>
      </c>
      <c r="I202" s="12">
        <f>'Delivery &amp; Installation'!O202</f>
        <v/>
      </c>
      <c r="J202" s="12">
        <f>IF(G202="Installed","Yes","No")</f>
        <v/>
      </c>
    </row>
    <row r="203">
      <c r="A203">
        <f>'Delivery &amp; Installation'!B203</f>
        <v/>
      </c>
      <c r="B203">
        <f>'Delivery &amp; Installation'!A203</f>
        <v/>
      </c>
      <c r="C203">
        <f>'Delivery &amp; Installation'!C203</f>
        <v/>
      </c>
      <c r="D203">
        <f>'Delivery &amp; Installation'!G203</f>
        <v/>
      </c>
      <c r="E203">
        <f>'Delivery &amp; Installation'!L203</f>
        <v/>
      </c>
      <c r="F203">
        <f>'Delivery &amp; Installation'!M203</f>
        <v/>
      </c>
      <c r="G203">
        <f>'Delivery &amp; Installation'!N203</f>
        <v/>
      </c>
      <c r="H203">
        <f>'Delivery &amp; Installation'!I203</f>
        <v/>
      </c>
      <c r="I203">
        <f>'Delivery &amp; Installation'!O203</f>
        <v/>
      </c>
      <c r="J203">
        <f>IF(G203="Installed","Yes","No")</f>
        <v/>
      </c>
    </row>
    <row r="204">
      <c r="A204" s="12">
        <f>'Delivery &amp; Installation'!B204</f>
        <v/>
      </c>
      <c r="B204" s="12">
        <f>'Delivery &amp; Installation'!A204</f>
        <v/>
      </c>
      <c r="C204" s="12">
        <f>'Delivery &amp; Installation'!C204</f>
        <v/>
      </c>
      <c r="D204" s="12">
        <f>'Delivery &amp; Installation'!G204</f>
        <v/>
      </c>
      <c r="E204" s="12">
        <f>'Delivery &amp; Installation'!L204</f>
        <v/>
      </c>
      <c r="F204" s="12">
        <f>'Delivery &amp; Installation'!M204</f>
        <v/>
      </c>
      <c r="G204" s="12">
        <f>'Delivery &amp; Installation'!N204</f>
        <v/>
      </c>
      <c r="H204" s="12">
        <f>'Delivery &amp; Installation'!I204</f>
        <v/>
      </c>
      <c r="I204" s="12">
        <f>'Delivery &amp; Installation'!O204</f>
        <v/>
      </c>
      <c r="J204" s="12">
        <f>IF(G204="Installed","Yes","No")</f>
        <v/>
      </c>
    </row>
    <row r="205">
      <c r="A205">
        <f>'Delivery &amp; Installation'!B205</f>
        <v/>
      </c>
      <c r="B205">
        <f>'Delivery &amp; Installation'!A205</f>
        <v/>
      </c>
      <c r="C205">
        <f>'Delivery &amp; Installation'!C205</f>
        <v/>
      </c>
      <c r="D205">
        <f>'Delivery &amp; Installation'!G205</f>
        <v/>
      </c>
      <c r="E205">
        <f>'Delivery &amp; Installation'!L205</f>
        <v/>
      </c>
      <c r="F205">
        <f>'Delivery &amp; Installation'!M205</f>
        <v/>
      </c>
      <c r="G205">
        <f>'Delivery &amp; Installation'!N205</f>
        <v/>
      </c>
      <c r="H205">
        <f>'Delivery &amp; Installation'!I205</f>
        <v/>
      </c>
      <c r="I205">
        <f>'Delivery &amp; Installation'!O205</f>
        <v/>
      </c>
      <c r="J205">
        <f>IF(G205="Installed","Yes","No")</f>
        <v/>
      </c>
    </row>
    <row r="206">
      <c r="A206" s="12">
        <f>'Delivery &amp; Installation'!B206</f>
        <v/>
      </c>
      <c r="B206" s="12">
        <f>'Delivery &amp; Installation'!A206</f>
        <v/>
      </c>
      <c r="C206" s="12">
        <f>'Delivery &amp; Installation'!C206</f>
        <v/>
      </c>
      <c r="D206" s="12">
        <f>'Delivery &amp; Installation'!G206</f>
        <v/>
      </c>
      <c r="E206" s="12">
        <f>'Delivery &amp; Installation'!L206</f>
        <v/>
      </c>
      <c r="F206" s="12">
        <f>'Delivery &amp; Installation'!M206</f>
        <v/>
      </c>
      <c r="G206" s="12">
        <f>'Delivery &amp; Installation'!N206</f>
        <v/>
      </c>
      <c r="H206" s="12">
        <f>'Delivery &amp; Installation'!I206</f>
        <v/>
      </c>
      <c r="I206" s="12">
        <f>'Delivery &amp; Installation'!O206</f>
        <v/>
      </c>
      <c r="J206" s="12">
        <f>IF(G206="Installed","Yes","No")</f>
        <v/>
      </c>
    </row>
    <row r="207">
      <c r="A207">
        <f>'Delivery &amp; Installation'!B207</f>
        <v/>
      </c>
      <c r="B207">
        <f>'Delivery &amp; Installation'!A207</f>
        <v/>
      </c>
      <c r="C207">
        <f>'Delivery &amp; Installation'!C207</f>
        <v/>
      </c>
      <c r="D207">
        <f>'Delivery &amp; Installation'!G207</f>
        <v/>
      </c>
      <c r="E207">
        <f>'Delivery &amp; Installation'!L207</f>
        <v/>
      </c>
      <c r="F207">
        <f>'Delivery &amp; Installation'!M207</f>
        <v/>
      </c>
      <c r="G207">
        <f>'Delivery &amp; Installation'!N207</f>
        <v/>
      </c>
      <c r="H207">
        <f>'Delivery &amp; Installation'!I207</f>
        <v/>
      </c>
      <c r="I207">
        <f>'Delivery &amp; Installation'!O207</f>
        <v/>
      </c>
      <c r="J207">
        <f>IF(G207="Installed","Yes","No")</f>
        <v/>
      </c>
    </row>
    <row r="208">
      <c r="A208" s="12">
        <f>'Delivery &amp; Installation'!B208</f>
        <v/>
      </c>
      <c r="B208" s="12">
        <f>'Delivery &amp; Installation'!A208</f>
        <v/>
      </c>
      <c r="C208" s="12">
        <f>'Delivery &amp; Installation'!C208</f>
        <v/>
      </c>
      <c r="D208" s="12">
        <f>'Delivery &amp; Installation'!G208</f>
        <v/>
      </c>
      <c r="E208" s="12">
        <f>'Delivery &amp; Installation'!L208</f>
        <v/>
      </c>
      <c r="F208" s="12">
        <f>'Delivery &amp; Installation'!M208</f>
        <v/>
      </c>
      <c r="G208" s="12">
        <f>'Delivery &amp; Installation'!N208</f>
        <v/>
      </c>
      <c r="H208" s="12">
        <f>'Delivery &amp; Installation'!I208</f>
        <v/>
      </c>
      <c r="I208" s="12">
        <f>'Delivery &amp; Installation'!O208</f>
        <v/>
      </c>
      <c r="J208" s="12">
        <f>IF(G208="Installed","Yes","No")</f>
        <v/>
      </c>
    </row>
    <row r="209">
      <c r="A209">
        <f>'Delivery &amp; Installation'!B209</f>
        <v/>
      </c>
      <c r="B209">
        <f>'Delivery &amp; Installation'!A209</f>
        <v/>
      </c>
      <c r="C209">
        <f>'Delivery &amp; Installation'!C209</f>
        <v/>
      </c>
      <c r="D209">
        <f>'Delivery &amp; Installation'!G209</f>
        <v/>
      </c>
      <c r="E209">
        <f>'Delivery &amp; Installation'!L209</f>
        <v/>
      </c>
      <c r="F209">
        <f>'Delivery &amp; Installation'!M209</f>
        <v/>
      </c>
      <c r="G209">
        <f>'Delivery &amp; Installation'!N209</f>
        <v/>
      </c>
      <c r="H209">
        <f>'Delivery &amp; Installation'!I209</f>
        <v/>
      </c>
      <c r="I209">
        <f>'Delivery &amp; Installation'!O209</f>
        <v/>
      </c>
      <c r="J209">
        <f>IF(G209="Installed","Yes","No")</f>
        <v/>
      </c>
    </row>
    <row r="210">
      <c r="A210" s="12">
        <f>'Delivery &amp; Installation'!B210</f>
        <v/>
      </c>
      <c r="B210" s="12">
        <f>'Delivery &amp; Installation'!A210</f>
        <v/>
      </c>
      <c r="C210" s="12">
        <f>'Delivery &amp; Installation'!C210</f>
        <v/>
      </c>
      <c r="D210" s="12">
        <f>'Delivery &amp; Installation'!G210</f>
        <v/>
      </c>
      <c r="E210" s="12">
        <f>'Delivery &amp; Installation'!L210</f>
        <v/>
      </c>
      <c r="F210" s="12">
        <f>'Delivery &amp; Installation'!M210</f>
        <v/>
      </c>
      <c r="G210" s="12">
        <f>'Delivery &amp; Installation'!N210</f>
        <v/>
      </c>
      <c r="H210" s="12">
        <f>'Delivery &amp; Installation'!I210</f>
        <v/>
      </c>
      <c r="I210" s="12">
        <f>'Delivery &amp; Installation'!O210</f>
        <v/>
      </c>
      <c r="J210" s="12">
        <f>IF(G210="Installed","Yes","No")</f>
        <v/>
      </c>
    </row>
    <row r="211">
      <c r="A211">
        <f>'Delivery &amp; Installation'!B211</f>
        <v/>
      </c>
      <c r="B211">
        <f>'Delivery &amp; Installation'!A211</f>
        <v/>
      </c>
      <c r="C211">
        <f>'Delivery &amp; Installation'!C211</f>
        <v/>
      </c>
      <c r="D211">
        <f>'Delivery &amp; Installation'!G211</f>
        <v/>
      </c>
      <c r="E211">
        <f>'Delivery &amp; Installation'!L211</f>
        <v/>
      </c>
      <c r="F211">
        <f>'Delivery &amp; Installation'!M211</f>
        <v/>
      </c>
      <c r="G211">
        <f>'Delivery &amp; Installation'!N211</f>
        <v/>
      </c>
      <c r="H211">
        <f>'Delivery &amp; Installation'!I211</f>
        <v/>
      </c>
      <c r="I211">
        <f>'Delivery &amp; Installation'!O211</f>
        <v/>
      </c>
      <c r="J211">
        <f>IF(G211="Installed","Yes","No")</f>
        <v/>
      </c>
    </row>
    <row r="212">
      <c r="A212" s="12">
        <f>'Delivery &amp; Installation'!B212</f>
        <v/>
      </c>
      <c r="B212" s="12">
        <f>'Delivery &amp; Installation'!A212</f>
        <v/>
      </c>
      <c r="C212" s="12">
        <f>'Delivery &amp; Installation'!C212</f>
        <v/>
      </c>
      <c r="D212" s="12">
        <f>'Delivery &amp; Installation'!G212</f>
        <v/>
      </c>
      <c r="E212" s="12">
        <f>'Delivery &amp; Installation'!L212</f>
        <v/>
      </c>
      <c r="F212" s="12">
        <f>'Delivery &amp; Installation'!M212</f>
        <v/>
      </c>
      <c r="G212" s="12">
        <f>'Delivery &amp; Installation'!N212</f>
        <v/>
      </c>
      <c r="H212" s="12">
        <f>'Delivery &amp; Installation'!I212</f>
        <v/>
      </c>
      <c r="I212" s="12">
        <f>'Delivery &amp; Installation'!O212</f>
        <v/>
      </c>
      <c r="J212" s="12">
        <f>IF(G212="Installed","Yes","No")</f>
        <v/>
      </c>
    </row>
    <row r="213">
      <c r="A213">
        <f>'Delivery &amp; Installation'!B213</f>
        <v/>
      </c>
      <c r="B213">
        <f>'Delivery &amp; Installation'!A213</f>
        <v/>
      </c>
      <c r="C213">
        <f>'Delivery &amp; Installation'!C213</f>
        <v/>
      </c>
      <c r="D213">
        <f>'Delivery &amp; Installation'!G213</f>
        <v/>
      </c>
      <c r="E213">
        <f>'Delivery &amp; Installation'!L213</f>
        <v/>
      </c>
      <c r="F213">
        <f>'Delivery &amp; Installation'!M213</f>
        <v/>
      </c>
      <c r="G213">
        <f>'Delivery &amp; Installation'!N213</f>
        <v/>
      </c>
      <c r="H213">
        <f>'Delivery &amp; Installation'!I213</f>
        <v/>
      </c>
      <c r="I213">
        <f>'Delivery &amp; Installation'!O213</f>
        <v/>
      </c>
      <c r="J213">
        <f>IF(G213="Installed","Yes","No")</f>
        <v/>
      </c>
    </row>
    <row r="214">
      <c r="A214" s="12">
        <f>'Delivery &amp; Installation'!B214</f>
        <v/>
      </c>
      <c r="B214" s="12">
        <f>'Delivery &amp; Installation'!A214</f>
        <v/>
      </c>
      <c r="C214" s="12">
        <f>'Delivery &amp; Installation'!C214</f>
        <v/>
      </c>
      <c r="D214" s="12">
        <f>'Delivery &amp; Installation'!G214</f>
        <v/>
      </c>
      <c r="E214" s="12">
        <f>'Delivery &amp; Installation'!L214</f>
        <v/>
      </c>
      <c r="F214" s="12">
        <f>'Delivery &amp; Installation'!M214</f>
        <v/>
      </c>
      <c r="G214" s="12">
        <f>'Delivery &amp; Installation'!N214</f>
        <v/>
      </c>
      <c r="H214" s="12">
        <f>'Delivery &amp; Installation'!I214</f>
        <v/>
      </c>
      <c r="I214" s="12">
        <f>'Delivery &amp; Installation'!O214</f>
        <v/>
      </c>
      <c r="J214" s="12">
        <f>IF(G214="Installed","Yes","No")</f>
        <v/>
      </c>
    </row>
    <row r="215">
      <c r="A215">
        <f>'Delivery &amp; Installation'!B215</f>
        <v/>
      </c>
      <c r="B215">
        <f>'Delivery &amp; Installation'!A215</f>
        <v/>
      </c>
      <c r="C215">
        <f>'Delivery &amp; Installation'!C215</f>
        <v/>
      </c>
      <c r="D215">
        <f>'Delivery &amp; Installation'!G215</f>
        <v/>
      </c>
      <c r="E215">
        <f>'Delivery &amp; Installation'!L215</f>
        <v/>
      </c>
      <c r="F215">
        <f>'Delivery &amp; Installation'!M215</f>
        <v/>
      </c>
      <c r="G215">
        <f>'Delivery &amp; Installation'!N215</f>
        <v/>
      </c>
      <c r="H215">
        <f>'Delivery &amp; Installation'!I215</f>
        <v/>
      </c>
      <c r="I215">
        <f>'Delivery &amp; Installation'!O215</f>
        <v/>
      </c>
      <c r="J215">
        <f>IF(G215="Installed","Yes","No")</f>
        <v/>
      </c>
    </row>
    <row r="216">
      <c r="A216" s="12">
        <f>'Delivery &amp; Installation'!B216</f>
        <v/>
      </c>
      <c r="B216" s="12">
        <f>'Delivery &amp; Installation'!A216</f>
        <v/>
      </c>
      <c r="C216" s="12">
        <f>'Delivery &amp; Installation'!C216</f>
        <v/>
      </c>
      <c r="D216" s="12">
        <f>'Delivery &amp; Installation'!G216</f>
        <v/>
      </c>
      <c r="E216" s="12">
        <f>'Delivery &amp; Installation'!L216</f>
        <v/>
      </c>
      <c r="F216" s="12">
        <f>'Delivery &amp; Installation'!M216</f>
        <v/>
      </c>
      <c r="G216" s="12">
        <f>'Delivery &amp; Installation'!N216</f>
        <v/>
      </c>
      <c r="H216" s="12">
        <f>'Delivery &amp; Installation'!I216</f>
        <v/>
      </c>
      <c r="I216" s="12">
        <f>'Delivery &amp; Installation'!O216</f>
        <v/>
      </c>
      <c r="J216" s="12">
        <f>IF(G216="Installed","Yes","No")</f>
        <v/>
      </c>
    </row>
    <row r="217">
      <c r="A217">
        <f>'Delivery &amp; Installation'!B217</f>
        <v/>
      </c>
      <c r="B217">
        <f>'Delivery &amp; Installation'!A217</f>
        <v/>
      </c>
      <c r="C217">
        <f>'Delivery &amp; Installation'!C217</f>
        <v/>
      </c>
      <c r="D217">
        <f>'Delivery &amp; Installation'!G217</f>
        <v/>
      </c>
      <c r="E217">
        <f>'Delivery &amp; Installation'!L217</f>
        <v/>
      </c>
      <c r="F217">
        <f>'Delivery &amp; Installation'!M217</f>
        <v/>
      </c>
      <c r="G217">
        <f>'Delivery &amp; Installation'!N217</f>
        <v/>
      </c>
      <c r="H217">
        <f>'Delivery &amp; Installation'!I217</f>
        <v/>
      </c>
      <c r="I217">
        <f>'Delivery &amp; Installation'!O217</f>
        <v/>
      </c>
      <c r="J217">
        <f>IF(G217="Installed","Yes","No")</f>
        <v/>
      </c>
    </row>
    <row r="218">
      <c r="A218" s="12">
        <f>'Delivery &amp; Installation'!B218</f>
        <v/>
      </c>
      <c r="B218" s="12">
        <f>'Delivery &amp; Installation'!A218</f>
        <v/>
      </c>
      <c r="C218" s="12">
        <f>'Delivery &amp; Installation'!C218</f>
        <v/>
      </c>
      <c r="D218" s="12">
        <f>'Delivery &amp; Installation'!G218</f>
        <v/>
      </c>
      <c r="E218" s="12">
        <f>'Delivery &amp; Installation'!L218</f>
        <v/>
      </c>
      <c r="F218" s="12">
        <f>'Delivery &amp; Installation'!M218</f>
        <v/>
      </c>
      <c r="G218" s="12">
        <f>'Delivery &amp; Installation'!N218</f>
        <v/>
      </c>
      <c r="H218" s="12">
        <f>'Delivery &amp; Installation'!I218</f>
        <v/>
      </c>
      <c r="I218" s="12">
        <f>'Delivery &amp; Installation'!O218</f>
        <v/>
      </c>
      <c r="J218" s="12">
        <f>IF(G218="Installed","Yes","No")</f>
        <v/>
      </c>
    </row>
    <row r="219">
      <c r="A219">
        <f>'Delivery &amp; Installation'!B219</f>
        <v/>
      </c>
      <c r="B219">
        <f>'Delivery &amp; Installation'!A219</f>
        <v/>
      </c>
      <c r="C219">
        <f>'Delivery &amp; Installation'!C219</f>
        <v/>
      </c>
      <c r="D219">
        <f>'Delivery &amp; Installation'!G219</f>
        <v/>
      </c>
      <c r="E219">
        <f>'Delivery &amp; Installation'!L219</f>
        <v/>
      </c>
      <c r="F219">
        <f>'Delivery &amp; Installation'!M219</f>
        <v/>
      </c>
      <c r="G219">
        <f>'Delivery &amp; Installation'!N219</f>
        <v/>
      </c>
      <c r="H219">
        <f>'Delivery &amp; Installation'!I219</f>
        <v/>
      </c>
      <c r="I219">
        <f>'Delivery &amp; Installation'!O219</f>
        <v/>
      </c>
      <c r="J219">
        <f>IF(G219="Installed","Yes","No")</f>
        <v/>
      </c>
    </row>
    <row r="220">
      <c r="A220" s="12">
        <f>'Delivery &amp; Installation'!B220</f>
        <v/>
      </c>
      <c r="B220" s="12">
        <f>'Delivery &amp; Installation'!A220</f>
        <v/>
      </c>
      <c r="C220" s="12">
        <f>'Delivery &amp; Installation'!C220</f>
        <v/>
      </c>
      <c r="D220" s="12">
        <f>'Delivery &amp; Installation'!G220</f>
        <v/>
      </c>
      <c r="E220" s="12">
        <f>'Delivery &amp; Installation'!L220</f>
        <v/>
      </c>
      <c r="F220" s="12">
        <f>'Delivery &amp; Installation'!M220</f>
        <v/>
      </c>
      <c r="G220" s="12">
        <f>'Delivery &amp; Installation'!N220</f>
        <v/>
      </c>
      <c r="H220" s="12">
        <f>'Delivery &amp; Installation'!I220</f>
        <v/>
      </c>
      <c r="I220" s="12">
        <f>'Delivery &amp; Installation'!O220</f>
        <v/>
      </c>
      <c r="J220" s="12">
        <f>IF(G220="Installed","Yes","No")</f>
        <v/>
      </c>
    </row>
    <row r="221">
      <c r="A221">
        <f>'Delivery &amp; Installation'!B221</f>
        <v/>
      </c>
      <c r="B221">
        <f>'Delivery &amp; Installation'!A221</f>
        <v/>
      </c>
      <c r="C221">
        <f>'Delivery &amp; Installation'!C221</f>
        <v/>
      </c>
      <c r="D221">
        <f>'Delivery &amp; Installation'!G221</f>
        <v/>
      </c>
      <c r="E221">
        <f>'Delivery &amp; Installation'!L221</f>
        <v/>
      </c>
      <c r="F221">
        <f>'Delivery &amp; Installation'!M221</f>
        <v/>
      </c>
      <c r="G221">
        <f>'Delivery &amp; Installation'!N221</f>
        <v/>
      </c>
      <c r="H221">
        <f>'Delivery &amp; Installation'!I221</f>
        <v/>
      </c>
      <c r="I221">
        <f>'Delivery &amp; Installation'!O221</f>
        <v/>
      </c>
      <c r="J221">
        <f>IF(G221="Installed","Yes","No")</f>
        <v/>
      </c>
    </row>
    <row r="222">
      <c r="A222" s="12">
        <f>'Delivery &amp; Installation'!B222</f>
        <v/>
      </c>
      <c r="B222" s="12">
        <f>'Delivery &amp; Installation'!A222</f>
        <v/>
      </c>
      <c r="C222" s="12">
        <f>'Delivery &amp; Installation'!C222</f>
        <v/>
      </c>
      <c r="D222" s="12">
        <f>'Delivery &amp; Installation'!G222</f>
        <v/>
      </c>
      <c r="E222" s="12">
        <f>'Delivery &amp; Installation'!L222</f>
        <v/>
      </c>
      <c r="F222" s="12">
        <f>'Delivery &amp; Installation'!M222</f>
        <v/>
      </c>
      <c r="G222" s="12">
        <f>'Delivery &amp; Installation'!N222</f>
        <v/>
      </c>
      <c r="H222" s="12">
        <f>'Delivery &amp; Installation'!I222</f>
        <v/>
      </c>
      <c r="I222" s="12">
        <f>'Delivery &amp; Installation'!O222</f>
        <v/>
      </c>
      <c r="J222" s="12">
        <f>IF(G222="Installed","Yes","No")</f>
        <v/>
      </c>
    </row>
    <row r="223">
      <c r="A223">
        <f>'Delivery &amp; Installation'!B223</f>
        <v/>
      </c>
      <c r="B223">
        <f>'Delivery &amp; Installation'!A223</f>
        <v/>
      </c>
      <c r="C223">
        <f>'Delivery &amp; Installation'!C223</f>
        <v/>
      </c>
      <c r="D223">
        <f>'Delivery &amp; Installation'!G223</f>
        <v/>
      </c>
      <c r="E223">
        <f>'Delivery &amp; Installation'!L223</f>
        <v/>
      </c>
      <c r="F223">
        <f>'Delivery &amp; Installation'!M223</f>
        <v/>
      </c>
      <c r="G223">
        <f>'Delivery &amp; Installation'!N223</f>
        <v/>
      </c>
      <c r="H223">
        <f>'Delivery &amp; Installation'!I223</f>
        <v/>
      </c>
      <c r="I223">
        <f>'Delivery &amp; Installation'!O223</f>
        <v/>
      </c>
      <c r="J223">
        <f>IF(G223="Installed","Yes","No")</f>
        <v/>
      </c>
    </row>
    <row r="224">
      <c r="A224" s="12">
        <f>'Delivery &amp; Installation'!B224</f>
        <v/>
      </c>
      <c r="B224" s="12">
        <f>'Delivery &amp; Installation'!A224</f>
        <v/>
      </c>
      <c r="C224" s="12">
        <f>'Delivery &amp; Installation'!C224</f>
        <v/>
      </c>
      <c r="D224" s="12">
        <f>'Delivery &amp; Installation'!G224</f>
        <v/>
      </c>
      <c r="E224" s="12">
        <f>'Delivery &amp; Installation'!L224</f>
        <v/>
      </c>
      <c r="F224" s="12">
        <f>'Delivery &amp; Installation'!M224</f>
        <v/>
      </c>
      <c r="G224" s="12">
        <f>'Delivery &amp; Installation'!N224</f>
        <v/>
      </c>
      <c r="H224" s="12">
        <f>'Delivery &amp; Installation'!I224</f>
        <v/>
      </c>
      <c r="I224" s="12">
        <f>'Delivery &amp; Installation'!O224</f>
        <v/>
      </c>
      <c r="J224" s="12">
        <f>IF(G224="Installed","Yes","No")</f>
        <v/>
      </c>
    </row>
    <row r="225">
      <c r="A225">
        <f>'Delivery &amp; Installation'!B225</f>
        <v/>
      </c>
      <c r="B225">
        <f>'Delivery &amp; Installation'!A225</f>
        <v/>
      </c>
      <c r="C225">
        <f>'Delivery &amp; Installation'!C225</f>
        <v/>
      </c>
      <c r="D225">
        <f>'Delivery &amp; Installation'!G225</f>
        <v/>
      </c>
      <c r="E225">
        <f>'Delivery &amp; Installation'!L225</f>
        <v/>
      </c>
      <c r="F225">
        <f>'Delivery &amp; Installation'!M225</f>
        <v/>
      </c>
      <c r="G225">
        <f>'Delivery &amp; Installation'!N225</f>
        <v/>
      </c>
      <c r="H225">
        <f>'Delivery &amp; Installation'!I225</f>
        <v/>
      </c>
      <c r="I225">
        <f>'Delivery &amp; Installation'!O225</f>
        <v/>
      </c>
      <c r="J225">
        <f>IF(G225="Installed","Yes","No")</f>
        <v/>
      </c>
    </row>
    <row r="226">
      <c r="A226" s="12">
        <f>'Delivery &amp; Installation'!B226</f>
        <v/>
      </c>
      <c r="B226" s="12">
        <f>'Delivery &amp; Installation'!A226</f>
        <v/>
      </c>
      <c r="C226" s="12">
        <f>'Delivery &amp; Installation'!C226</f>
        <v/>
      </c>
      <c r="D226" s="12">
        <f>'Delivery &amp; Installation'!G226</f>
        <v/>
      </c>
      <c r="E226" s="12">
        <f>'Delivery &amp; Installation'!L226</f>
        <v/>
      </c>
      <c r="F226" s="12">
        <f>'Delivery &amp; Installation'!M226</f>
        <v/>
      </c>
      <c r="G226" s="12">
        <f>'Delivery &amp; Installation'!N226</f>
        <v/>
      </c>
      <c r="H226" s="12">
        <f>'Delivery &amp; Installation'!I226</f>
        <v/>
      </c>
      <c r="I226" s="12">
        <f>'Delivery &amp; Installation'!O226</f>
        <v/>
      </c>
      <c r="J226" s="12">
        <f>IF(G226="Installed","Yes","No")</f>
        <v/>
      </c>
    </row>
    <row r="227">
      <c r="A227">
        <f>'Delivery &amp; Installation'!B227</f>
        <v/>
      </c>
      <c r="B227">
        <f>'Delivery &amp; Installation'!A227</f>
        <v/>
      </c>
      <c r="C227">
        <f>'Delivery &amp; Installation'!C227</f>
        <v/>
      </c>
      <c r="D227">
        <f>'Delivery &amp; Installation'!G227</f>
        <v/>
      </c>
      <c r="E227">
        <f>'Delivery &amp; Installation'!L227</f>
        <v/>
      </c>
      <c r="F227">
        <f>'Delivery &amp; Installation'!M227</f>
        <v/>
      </c>
      <c r="G227">
        <f>'Delivery &amp; Installation'!N227</f>
        <v/>
      </c>
      <c r="H227">
        <f>'Delivery &amp; Installation'!I227</f>
        <v/>
      </c>
      <c r="I227">
        <f>'Delivery &amp; Installation'!O227</f>
        <v/>
      </c>
      <c r="J227">
        <f>IF(G227="Installed","Yes","No")</f>
        <v/>
      </c>
    </row>
    <row r="228">
      <c r="A228" s="12">
        <f>'Delivery &amp; Installation'!B228</f>
        <v/>
      </c>
      <c r="B228" s="12">
        <f>'Delivery &amp; Installation'!A228</f>
        <v/>
      </c>
      <c r="C228" s="12">
        <f>'Delivery &amp; Installation'!C228</f>
        <v/>
      </c>
      <c r="D228" s="12">
        <f>'Delivery &amp; Installation'!G228</f>
        <v/>
      </c>
      <c r="E228" s="12">
        <f>'Delivery &amp; Installation'!L228</f>
        <v/>
      </c>
      <c r="F228" s="12">
        <f>'Delivery &amp; Installation'!M228</f>
        <v/>
      </c>
      <c r="G228" s="12">
        <f>'Delivery &amp; Installation'!N228</f>
        <v/>
      </c>
      <c r="H228" s="12">
        <f>'Delivery &amp; Installation'!I228</f>
        <v/>
      </c>
      <c r="I228" s="12">
        <f>'Delivery &amp; Installation'!O228</f>
        <v/>
      </c>
      <c r="J228" s="12">
        <f>IF(G228="Installed","Yes","No")</f>
        <v/>
      </c>
    </row>
    <row r="229">
      <c r="A229">
        <f>'Delivery &amp; Installation'!B229</f>
        <v/>
      </c>
      <c r="B229">
        <f>'Delivery &amp; Installation'!A229</f>
        <v/>
      </c>
      <c r="C229">
        <f>'Delivery &amp; Installation'!C229</f>
        <v/>
      </c>
      <c r="D229">
        <f>'Delivery &amp; Installation'!G229</f>
        <v/>
      </c>
      <c r="E229">
        <f>'Delivery &amp; Installation'!L229</f>
        <v/>
      </c>
      <c r="F229">
        <f>'Delivery &amp; Installation'!M229</f>
        <v/>
      </c>
      <c r="G229">
        <f>'Delivery &amp; Installation'!N229</f>
        <v/>
      </c>
      <c r="H229">
        <f>'Delivery &amp; Installation'!I229</f>
        <v/>
      </c>
      <c r="I229">
        <f>'Delivery &amp; Installation'!O229</f>
        <v/>
      </c>
      <c r="J229">
        <f>IF(G229="Installed","Yes","No")</f>
        <v/>
      </c>
    </row>
    <row r="230">
      <c r="A230" s="12">
        <f>'Delivery &amp; Installation'!B230</f>
        <v/>
      </c>
      <c r="B230" s="12">
        <f>'Delivery &amp; Installation'!A230</f>
        <v/>
      </c>
      <c r="C230" s="12">
        <f>'Delivery &amp; Installation'!C230</f>
        <v/>
      </c>
      <c r="D230" s="12">
        <f>'Delivery &amp; Installation'!G230</f>
        <v/>
      </c>
      <c r="E230" s="12">
        <f>'Delivery &amp; Installation'!L230</f>
        <v/>
      </c>
      <c r="F230" s="12">
        <f>'Delivery &amp; Installation'!M230</f>
        <v/>
      </c>
      <c r="G230" s="12">
        <f>'Delivery &amp; Installation'!N230</f>
        <v/>
      </c>
      <c r="H230" s="12">
        <f>'Delivery &amp; Installation'!I230</f>
        <v/>
      </c>
      <c r="I230" s="12">
        <f>'Delivery &amp; Installation'!O230</f>
        <v/>
      </c>
      <c r="J230" s="12">
        <f>IF(G230="Installed","Yes","No")</f>
        <v/>
      </c>
    </row>
    <row r="231">
      <c r="A231">
        <f>'Delivery &amp; Installation'!B231</f>
        <v/>
      </c>
      <c r="B231">
        <f>'Delivery &amp; Installation'!A231</f>
        <v/>
      </c>
      <c r="C231">
        <f>'Delivery &amp; Installation'!C231</f>
        <v/>
      </c>
      <c r="D231">
        <f>'Delivery &amp; Installation'!G231</f>
        <v/>
      </c>
      <c r="E231">
        <f>'Delivery &amp; Installation'!L231</f>
        <v/>
      </c>
      <c r="F231">
        <f>'Delivery &amp; Installation'!M231</f>
        <v/>
      </c>
      <c r="G231">
        <f>'Delivery &amp; Installation'!N231</f>
        <v/>
      </c>
      <c r="H231">
        <f>'Delivery &amp; Installation'!I231</f>
        <v/>
      </c>
      <c r="I231">
        <f>'Delivery &amp; Installation'!O231</f>
        <v/>
      </c>
      <c r="J231">
        <f>IF(G231="Installed","Yes","No")</f>
        <v/>
      </c>
    </row>
    <row r="232">
      <c r="A232" s="12">
        <f>'Delivery &amp; Installation'!B232</f>
        <v/>
      </c>
      <c r="B232" s="12">
        <f>'Delivery &amp; Installation'!A232</f>
        <v/>
      </c>
      <c r="C232" s="12">
        <f>'Delivery &amp; Installation'!C232</f>
        <v/>
      </c>
      <c r="D232" s="12">
        <f>'Delivery &amp; Installation'!G232</f>
        <v/>
      </c>
      <c r="E232" s="12">
        <f>'Delivery &amp; Installation'!L232</f>
        <v/>
      </c>
      <c r="F232" s="12">
        <f>'Delivery &amp; Installation'!M232</f>
        <v/>
      </c>
      <c r="G232" s="12">
        <f>'Delivery &amp; Installation'!N232</f>
        <v/>
      </c>
      <c r="H232" s="12">
        <f>'Delivery &amp; Installation'!I232</f>
        <v/>
      </c>
      <c r="I232" s="12">
        <f>'Delivery &amp; Installation'!O232</f>
        <v/>
      </c>
      <c r="J232" s="12">
        <f>IF(G232="Installed","Yes","No")</f>
        <v/>
      </c>
    </row>
    <row r="233">
      <c r="A233">
        <f>'Delivery &amp; Installation'!B233</f>
        <v/>
      </c>
      <c r="B233">
        <f>'Delivery &amp; Installation'!A233</f>
        <v/>
      </c>
      <c r="C233">
        <f>'Delivery &amp; Installation'!C233</f>
        <v/>
      </c>
      <c r="D233">
        <f>'Delivery &amp; Installation'!G233</f>
        <v/>
      </c>
      <c r="E233">
        <f>'Delivery &amp; Installation'!L233</f>
        <v/>
      </c>
      <c r="F233">
        <f>'Delivery &amp; Installation'!M233</f>
        <v/>
      </c>
      <c r="G233">
        <f>'Delivery &amp; Installation'!N233</f>
        <v/>
      </c>
      <c r="H233">
        <f>'Delivery &amp; Installation'!I233</f>
        <v/>
      </c>
      <c r="I233">
        <f>'Delivery &amp; Installation'!O233</f>
        <v/>
      </c>
      <c r="J233">
        <f>IF(G233="Installed","Yes","No")</f>
        <v/>
      </c>
    </row>
    <row r="234">
      <c r="A234" s="12">
        <f>'Delivery &amp; Installation'!B234</f>
        <v/>
      </c>
      <c r="B234" s="12">
        <f>'Delivery &amp; Installation'!A234</f>
        <v/>
      </c>
      <c r="C234" s="12">
        <f>'Delivery &amp; Installation'!C234</f>
        <v/>
      </c>
      <c r="D234" s="12">
        <f>'Delivery &amp; Installation'!G234</f>
        <v/>
      </c>
      <c r="E234" s="12">
        <f>'Delivery &amp; Installation'!L234</f>
        <v/>
      </c>
      <c r="F234" s="12">
        <f>'Delivery &amp; Installation'!M234</f>
        <v/>
      </c>
      <c r="G234" s="12">
        <f>'Delivery &amp; Installation'!N234</f>
        <v/>
      </c>
      <c r="H234" s="12">
        <f>'Delivery &amp; Installation'!I234</f>
        <v/>
      </c>
      <c r="I234" s="12">
        <f>'Delivery &amp; Installation'!O234</f>
        <v/>
      </c>
      <c r="J234" s="12">
        <f>IF(G234="Installed","Yes","No")</f>
        <v/>
      </c>
    </row>
    <row r="235">
      <c r="A235">
        <f>'Delivery &amp; Installation'!B235</f>
        <v/>
      </c>
      <c r="B235">
        <f>'Delivery &amp; Installation'!A235</f>
        <v/>
      </c>
      <c r="C235">
        <f>'Delivery &amp; Installation'!C235</f>
        <v/>
      </c>
      <c r="D235">
        <f>'Delivery &amp; Installation'!G235</f>
        <v/>
      </c>
      <c r="E235">
        <f>'Delivery &amp; Installation'!L235</f>
        <v/>
      </c>
      <c r="F235">
        <f>'Delivery &amp; Installation'!M235</f>
        <v/>
      </c>
      <c r="G235">
        <f>'Delivery &amp; Installation'!N235</f>
        <v/>
      </c>
      <c r="H235">
        <f>'Delivery &amp; Installation'!I235</f>
        <v/>
      </c>
      <c r="I235">
        <f>'Delivery &amp; Installation'!O235</f>
        <v/>
      </c>
      <c r="J235">
        <f>IF(G235="Installed","Yes","No")</f>
        <v/>
      </c>
    </row>
    <row r="236">
      <c r="A236" s="12">
        <f>'Delivery &amp; Installation'!B236</f>
        <v/>
      </c>
      <c r="B236" s="12">
        <f>'Delivery &amp; Installation'!A236</f>
        <v/>
      </c>
      <c r="C236" s="12">
        <f>'Delivery &amp; Installation'!C236</f>
        <v/>
      </c>
      <c r="D236" s="12">
        <f>'Delivery &amp; Installation'!G236</f>
        <v/>
      </c>
      <c r="E236" s="12">
        <f>'Delivery &amp; Installation'!L236</f>
        <v/>
      </c>
      <c r="F236" s="12">
        <f>'Delivery &amp; Installation'!M236</f>
        <v/>
      </c>
      <c r="G236" s="12">
        <f>'Delivery &amp; Installation'!N236</f>
        <v/>
      </c>
      <c r="H236" s="12">
        <f>'Delivery &amp; Installation'!I236</f>
        <v/>
      </c>
      <c r="I236" s="12">
        <f>'Delivery &amp; Installation'!O236</f>
        <v/>
      </c>
      <c r="J236" s="12">
        <f>IF(G236="Installed","Yes","No")</f>
        <v/>
      </c>
    </row>
    <row r="237">
      <c r="A237">
        <f>'Delivery &amp; Installation'!B237</f>
        <v/>
      </c>
      <c r="B237">
        <f>'Delivery &amp; Installation'!A237</f>
        <v/>
      </c>
      <c r="C237">
        <f>'Delivery &amp; Installation'!C237</f>
        <v/>
      </c>
      <c r="D237">
        <f>'Delivery &amp; Installation'!G237</f>
        <v/>
      </c>
      <c r="E237">
        <f>'Delivery &amp; Installation'!L237</f>
        <v/>
      </c>
      <c r="F237">
        <f>'Delivery &amp; Installation'!M237</f>
        <v/>
      </c>
      <c r="G237">
        <f>'Delivery &amp; Installation'!N237</f>
        <v/>
      </c>
      <c r="H237">
        <f>'Delivery &amp; Installation'!I237</f>
        <v/>
      </c>
      <c r="I237">
        <f>'Delivery &amp; Installation'!O237</f>
        <v/>
      </c>
      <c r="J237">
        <f>IF(G237="Installed","Yes","No")</f>
        <v/>
      </c>
    </row>
    <row r="238">
      <c r="A238" s="12">
        <f>'Delivery &amp; Installation'!B238</f>
        <v/>
      </c>
      <c r="B238" s="12">
        <f>'Delivery &amp; Installation'!A238</f>
        <v/>
      </c>
      <c r="C238" s="12">
        <f>'Delivery &amp; Installation'!C238</f>
        <v/>
      </c>
      <c r="D238" s="12">
        <f>'Delivery &amp; Installation'!G238</f>
        <v/>
      </c>
      <c r="E238" s="12">
        <f>'Delivery &amp; Installation'!L238</f>
        <v/>
      </c>
      <c r="F238" s="12">
        <f>'Delivery &amp; Installation'!M238</f>
        <v/>
      </c>
      <c r="G238" s="12">
        <f>'Delivery &amp; Installation'!N238</f>
        <v/>
      </c>
      <c r="H238" s="12">
        <f>'Delivery &amp; Installation'!I238</f>
        <v/>
      </c>
      <c r="I238" s="12">
        <f>'Delivery &amp; Installation'!O238</f>
        <v/>
      </c>
      <c r="J238" s="12">
        <f>IF(G238="Installed","Yes","No")</f>
        <v/>
      </c>
    </row>
    <row r="239">
      <c r="A239">
        <f>'Delivery &amp; Installation'!B239</f>
        <v/>
      </c>
      <c r="B239">
        <f>'Delivery &amp; Installation'!A239</f>
        <v/>
      </c>
      <c r="C239">
        <f>'Delivery &amp; Installation'!C239</f>
        <v/>
      </c>
      <c r="D239">
        <f>'Delivery &amp; Installation'!G239</f>
        <v/>
      </c>
      <c r="E239">
        <f>'Delivery &amp; Installation'!L239</f>
        <v/>
      </c>
      <c r="F239">
        <f>'Delivery &amp; Installation'!M239</f>
        <v/>
      </c>
      <c r="G239">
        <f>'Delivery &amp; Installation'!N239</f>
        <v/>
      </c>
      <c r="H239">
        <f>'Delivery &amp; Installation'!I239</f>
        <v/>
      </c>
      <c r="I239">
        <f>'Delivery &amp; Installation'!O239</f>
        <v/>
      </c>
      <c r="J239">
        <f>IF(G239="Installed","Yes","No")</f>
        <v/>
      </c>
    </row>
    <row r="240">
      <c r="A240" s="12">
        <f>'Delivery &amp; Installation'!B240</f>
        <v/>
      </c>
      <c r="B240" s="12">
        <f>'Delivery &amp; Installation'!A240</f>
        <v/>
      </c>
      <c r="C240" s="12">
        <f>'Delivery &amp; Installation'!C240</f>
        <v/>
      </c>
      <c r="D240" s="12">
        <f>'Delivery &amp; Installation'!G240</f>
        <v/>
      </c>
      <c r="E240" s="12">
        <f>'Delivery &amp; Installation'!L240</f>
        <v/>
      </c>
      <c r="F240" s="12">
        <f>'Delivery &amp; Installation'!M240</f>
        <v/>
      </c>
      <c r="G240" s="12">
        <f>'Delivery &amp; Installation'!N240</f>
        <v/>
      </c>
      <c r="H240" s="12">
        <f>'Delivery &amp; Installation'!I240</f>
        <v/>
      </c>
      <c r="I240" s="12">
        <f>'Delivery &amp; Installation'!O240</f>
        <v/>
      </c>
      <c r="J240" s="12">
        <f>IF(G240="Installed","Yes","No")</f>
        <v/>
      </c>
    </row>
    <row r="241">
      <c r="A241">
        <f>'Delivery &amp; Installation'!B241</f>
        <v/>
      </c>
      <c r="B241">
        <f>'Delivery &amp; Installation'!A241</f>
        <v/>
      </c>
      <c r="C241">
        <f>'Delivery &amp; Installation'!C241</f>
        <v/>
      </c>
      <c r="D241">
        <f>'Delivery &amp; Installation'!G241</f>
        <v/>
      </c>
      <c r="E241">
        <f>'Delivery &amp; Installation'!L241</f>
        <v/>
      </c>
      <c r="F241">
        <f>'Delivery &amp; Installation'!M241</f>
        <v/>
      </c>
      <c r="G241">
        <f>'Delivery &amp; Installation'!N241</f>
        <v/>
      </c>
      <c r="H241">
        <f>'Delivery &amp; Installation'!I241</f>
        <v/>
      </c>
      <c r="I241">
        <f>'Delivery &amp; Installation'!O241</f>
        <v/>
      </c>
      <c r="J241">
        <f>IF(G241="Installed","Yes","No")</f>
        <v/>
      </c>
    </row>
    <row r="242">
      <c r="A242" s="12">
        <f>'Delivery &amp; Installation'!B242</f>
        <v/>
      </c>
      <c r="B242" s="12">
        <f>'Delivery &amp; Installation'!A242</f>
        <v/>
      </c>
      <c r="C242" s="12">
        <f>'Delivery &amp; Installation'!C242</f>
        <v/>
      </c>
      <c r="D242" s="12">
        <f>'Delivery &amp; Installation'!G242</f>
        <v/>
      </c>
      <c r="E242" s="12">
        <f>'Delivery &amp; Installation'!L242</f>
        <v/>
      </c>
      <c r="F242" s="12">
        <f>'Delivery &amp; Installation'!M242</f>
        <v/>
      </c>
      <c r="G242" s="12">
        <f>'Delivery &amp; Installation'!N242</f>
        <v/>
      </c>
      <c r="H242" s="12">
        <f>'Delivery &amp; Installation'!I242</f>
        <v/>
      </c>
      <c r="I242" s="12">
        <f>'Delivery &amp; Installation'!O242</f>
        <v/>
      </c>
      <c r="J242" s="12">
        <f>IF(G242="Installed","Yes","No")</f>
        <v/>
      </c>
    </row>
    <row r="243">
      <c r="A243">
        <f>'Delivery &amp; Installation'!B243</f>
        <v/>
      </c>
      <c r="B243">
        <f>'Delivery &amp; Installation'!A243</f>
        <v/>
      </c>
      <c r="C243">
        <f>'Delivery &amp; Installation'!C243</f>
        <v/>
      </c>
      <c r="D243">
        <f>'Delivery &amp; Installation'!G243</f>
        <v/>
      </c>
      <c r="E243">
        <f>'Delivery &amp; Installation'!L243</f>
        <v/>
      </c>
      <c r="F243">
        <f>'Delivery &amp; Installation'!M243</f>
        <v/>
      </c>
      <c r="G243">
        <f>'Delivery &amp; Installation'!N243</f>
        <v/>
      </c>
      <c r="H243">
        <f>'Delivery &amp; Installation'!I243</f>
        <v/>
      </c>
      <c r="I243">
        <f>'Delivery &amp; Installation'!O243</f>
        <v/>
      </c>
      <c r="J243">
        <f>IF(G243="Installed","Yes","No")</f>
        <v/>
      </c>
    </row>
    <row r="244">
      <c r="A244" s="12">
        <f>'Delivery &amp; Installation'!B244</f>
        <v/>
      </c>
      <c r="B244" s="12">
        <f>'Delivery &amp; Installation'!A244</f>
        <v/>
      </c>
      <c r="C244" s="12">
        <f>'Delivery &amp; Installation'!C244</f>
        <v/>
      </c>
      <c r="D244" s="12">
        <f>'Delivery &amp; Installation'!G244</f>
        <v/>
      </c>
      <c r="E244" s="12">
        <f>'Delivery &amp; Installation'!L244</f>
        <v/>
      </c>
      <c r="F244" s="12">
        <f>'Delivery &amp; Installation'!M244</f>
        <v/>
      </c>
      <c r="G244" s="12">
        <f>'Delivery &amp; Installation'!N244</f>
        <v/>
      </c>
      <c r="H244" s="12">
        <f>'Delivery &amp; Installation'!I244</f>
        <v/>
      </c>
      <c r="I244" s="12">
        <f>'Delivery &amp; Installation'!O244</f>
        <v/>
      </c>
      <c r="J244" s="12">
        <f>IF(G244="Installed","Yes","No")</f>
        <v/>
      </c>
    </row>
    <row r="245">
      <c r="A245">
        <f>'Delivery &amp; Installation'!B245</f>
        <v/>
      </c>
      <c r="B245">
        <f>'Delivery &amp; Installation'!A245</f>
        <v/>
      </c>
      <c r="C245">
        <f>'Delivery &amp; Installation'!C245</f>
        <v/>
      </c>
      <c r="D245">
        <f>'Delivery &amp; Installation'!G245</f>
        <v/>
      </c>
      <c r="E245">
        <f>'Delivery &amp; Installation'!L245</f>
        <v/>
      </c>
      <c r="F245">
        <f>'Delivery &amp; Installation'!M245</f>
        <v/>
      </c>
      <c r="G245">
        <f>'Delivery &amp; Installation'!N245</f>
        <v/>
      </c>
      <c r="H245">
        <f>'Delivery &amp; Installation'!I245</f>
        <v/>
      </c>
      <c r="I245">
        <f>'Delivery &amp; Installation'!O245</f>
        <v/>
      </c>
      <c r="J245">
        <f>IF(G245="Installed","Yes","No")</f>
        <v/>
      </c>
    </row>
    <row r="246">
      <c r="A246" s="12">
        <f>'Delivery &amp; Installation'!B246</f>
        <v/>
      </c>
      <c r="B246" s="12">
        <f>'Delivery &amp; Installation'!A246</f>
        <v/>
      </c>
      <c r="C246" s="12">
        <f>'Delivery &amp; Installation'!C246</f>
        <v/>
      </c>
      <c r="D246" s="12">
        <f>'Delivery &amp; Installation'!G246</f>
        <v/>
      </c>
      <c r="E246" s="12">
        <f>'Delivery &amp; Installation'!L246</f>
        <v/>
      </c>
      <c r="F246" s="12">
        <f>'Delivery &amp; Installation'!M246</f>
        <v/>
      </c>
      <c r="G246" s="12">
        <f>'Delivery &amp; Installation'!N246</f>
        <v/>
      </c>
      <c r="H246" s="12">
        <f>'Delivery &amp; Installation'!I246</f>
        <v/>
      </c>
      <c r="I246" s="12">
        <f>'Delivery &amp; Installation'!O246</f>
        <v/>
      </c>
      <c r="J246" s="12">
        <f>IF(G246="Installed","Yes","No")</f>
        <v/>
      </c>
    </row>
    <row r="247">
      <c r="A247">
        <f>'Delivery &amp; Installation'!B247</f>
        <v/>
      </c>
      <c r="B247">
        <f>'Delivery &amp; Installation'!A247</f>
        <v/>
      </c>
      <c r="C247">
        <f>'Delivery &amp; Installation'!C247</f>
        <v/>
      </c>
      <c r="D247">
        <f>'Delivery &amp; Installation'!G247</f>
        <v/>
      </c>
      <c r="E247">
        <f>'Delivery &amp; Installation'!L247</f>
        <v/>
      </c>
      <c r="F247">
        <f>'Delivery &amp; Installation'!M247</f>
        <v/>
      </c>
      <c r="G247">
        <f>'Delivery &amp; Installation'!N247</f>
        <v/>
      </c>
      <c r="H247">
        <f>'Delivery &amp; Installation'!I247</f>
        <v/>
      </c>
      <c r="I247">
        <f>'Delivery &amp; Installation'!O247</f>
        <v/>
      </c>
      <c r="J247">
        <f>IF(G247="Installed","Yes","No")</f>
        <v/>
      </c>
    </row>
    <row r="248">
      <c r="A248" s="12">
        <f>'Delivery &amp; Installation'!B248</f>
        <v/>
      </c>
      <c r="B248" s="12">
        <f>'Delivery &amp; Installation'!A248</f>
        <v/>
      </c>
      <c r="C248" s="12">
        <f>'Delivery &amp; Installation'!C248</f>
        <v/>
      </c>
      <c r="D248" s="12">
        <f>'Delivery &amp; Installation'!G248</f>
        <v/>
      </c>
      <c r="E248" s="12">
        <f>'Delivery &amp; Installation'!L248</f>
        <v/>
      </c>
      <c r="F248" s="12">
        <f>'Delivery &amp; Installation'!M248</f>
        <v/>
      </c>
      <c r="G248" s="12">
        <f>'Delivery &amp; Installation'!N248</f>
        <v/>
      </c>
      <c r="H248" s="12">
        <f>'Delivery &amp; Installation'!I248</f>
        <v/>
      </c>
      <c r="I248" s="12">
        <f>'Delivery &amp; Installation'!O248</f>
        <v/>
      </c>
      <c r="J248" s="12">
        <f>IF(G248="Installed","Yes","No")</f>
        <v/>
      </c>
    </row>
    <row r="249">
      <c r="A249">
        <f>'Delivery &amp; Installation'!B249</f>
        <v/>
      </c>
      <c r="B249">
        <f>'Delivery &amp; Installation'!A249</f>
        <v/>
      </c>
      <c r="C249">
        <f>'Delivery &amp; Installation'!C249</f>
        <v/>
      </c>
      <c r="D249">
        <f>'Delivery &amp; Installation'!G249</f>
        <v/>
      </c>
      <c r="E249">
        <f>'Delivery &amp; Installation'!L249</f>
        <v/>
      </c>
      <c r="F249">
        <f>'Delivery &amp; Installation'!M249</f>
        <v/>
      </c>
      <c r="G249">
        <f>'Delivery &amp; Installation'!N249</f>
        <v/>
      </c>
      <c r="H249">
        <f>'Delivery &amp; Installation'!I249</f>
        <v/>
      </c>
      <c r="I249">
        <f>'Delivery &amp; Installation'!O249</f>
        <v/>
      </c>
      <c r="J249">
        <f>IF(G249="Installed","Yes","No")</f>
        <v/>
      </c>
    </row>
    <row r="250">
      <c r="A250" s="12">
        <f>'Delivery &amp; Installation'!B250</f>
        <v/>
      </c>
      <c r="B250" s="12">
        <f>'Delivery &amp; Installation'!A250</f>
        <v/>
      </c>
      <c r="C250" s="12">
        <f>'Delivery &amp; Installation'!C250</f>
        <v/>
      </c>
      <c r="D250" s="12">
        <f>'Delivery &amp; Installation'!G250</f>
        <v/>
      </c>
      <c r="E250" s="12">
        <f>'Delivery &amp; Installation'!L250</f>
        <v/>
      </c>
      <c r="F250" s="12">
        <f>'Delivery &amp; Installation'!M250</f>
        <v/>
      </c>
      <c r="G250" s="12">
        <f>'Delivery &amp; Installation'!N250</f>
        <v/>
      </c>
      <c r="H250" s="12">
        <f>'Delivery &amp; Installation'!I250</f>
        <v/>
      </c>
      <c r="I250" s="12">
        <f>'Delivery &amp; Installation'!O250</f>
        <v/>
      </c>
      <c r="J250" s="12">
        <f>IF(G250="Installed","Yes","No")</f>
        <v/>
      </c>
    </row>
    <row r="251">
      <c r="A251">
        <f>'Delivery &amp; Installation'!B251</f>
        <v/>
      </c>
      <c r="B251">
        <f>'Delivery &amp; Installation'!A251</f>
        <v/>
      </c>
      <c r="C251">
        <f>'Delivery &amp; Installation'!C251</f>
        <v/>
      </c>
      <c r="D251">
        <f>'Delivery &amp; Installation'!G251</f>
        <v/>
      </c>
      <c r="E251">
        <f>'Delivery &amp; Installation'!L251</f>
        <v/>
      </c>
      <c r="F251">
        <f>'Delivery &amp; Installation'!M251</f>
        <v/>
      </c>
      <c r="G251">
        <f>'Delivery &amp; Installation'!N251</f>
        <v/>
      </c>
      <c r="H251">
        <f>'Delivery &amp; Installation'!I251</f>
        <v/>
      </c>
      <c r="I251">
        <f>'Delivery &amp; Installation'!O251</f>
        <v/>
      </c>
      <c r="J251">
        <f>IF(G251="Installed","Yes","No")</f>
        <v/>
      </c>
    </row>
  </sheetData>
  <autoFilter ref="A1:J251"/>
  <conditionalFormatting sqref="A2:J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2" customHeight="1">
      <c r="A1" s="11" t="inlineStr">
        <is>
          <t>Room</t>
        </is>
      </c>
      <c r="B1" s="11" t="inlineStr">
        <is>
          <t>Issue/item</t>
        </is>
      </c>
      <c r="C1" s="11" t="inlineStr">
        <is>
          <t>Responsible party</t>
        </is>
      </c>
      <c r="D1" s="11" t="inlineStr">
        <is>
          <t>Priority</t>
        </is>
      </c>
      <c r="E1" s="11" t="inlineStr">
        <is>
          <t>Due date</t>
        </is>
      </c>
      <c r="F1" s="11" t="inlineStr">
        <is>
          <t>Status</t>
        </is>
      </c>
      <c r="G1" s="11" t="inlineStr">
        <is>
          <t>Resolution notes</t>
        </is>
      </c>
      <c r="H1" s="11" t="inlineStr">
        <is>
          <t>Completed date</t>
        </is>
      </c>
    </row>
    <row r="2">
      <c r="A2" s="12" t="n"/>
      <c r="B2" s="12" t="n"/>
      <c r="C2" s="12" t="n"/>
      <c r="D2" s="12" t="n"/>
      <c r="E2" s="14" t="n"/>
      <c r="F2" s="12" t="n"/>
      <c r="G2" s="12" t="n"/>
      <c r="H2" s="14" t="n"/>
    </row>
    <row r="3">
      <c r="E3" s="9" t="n"/>
      <c r="H3" s="9" t="n"/>
    </row>
    <row r="4">
      <c r="A4" s="12" t="n"/>
      <c r="B4" s="12" t="n"/>
      <c r="C4" s="12" t="n"/>
      <c r="D4" s="12" t="n"/>
      <c r="E4" s="14" t="n"/>
      <c r="F4" s="12" t="n"/>
      <c r="G4" s="12" t="n"/>
      <c r="H4" s="14" t="n"/>
    </row>
    <row r="5">
      <c r="E5" s="9" t="n"/>
      <c r="H5" s="9" t="n"/>
    </row>
    <row r="6">
      <c r="A6" s="12" t="n"/>
      <c r="B6" s="12" t="n"/>
      <c r="C6" s="12" t="n"/>
      <c r="D6" s="12" t="n"/>
      <c r="E6" s="14" t="n"/>
      <c r="F6" s="12" t="n"/>
      <c r="G6" s="12" t="n"/>
      <c r="H6" s="14" t="n"/>
    </row>
    <row r="7">
      <c r="E7" s="9" t="n"/>
      <c r="H7" s="9" t="n"/>
    </row>
    <row r="8">
      <c r="A8" s="12" t="n"/>
      <c r="B8" s="12" t="n"/>
      <c r="C8" s="12" t="n"/>
      <c r="D8" s="12" t="n"/>
      <c r="E8" s="14" t="n"/>
      <c r="F8" s="12" t="n"/>
      <c r="G8" s="12" t="n"/>
      <c r="H8" s="14" t="n"/>
    </row>
    <row r="9">
      <c r="E9" s="9" t="n"/>
      <c r="H9" s="9" t="n"/>
    </row>
    <row r="10">
      <c r="A10" s="12" t="n"/>
      <c r="B10" s="12" t="n"/>
      <c r="C10" s="12" t="n"/>
      <c r="D10" s="12" t="n"/>
      <c r="E10" s="14" t="n"/>
      <c r="F10" s="12" t="n"/>
      <c r="G10" s="12" t="n"/>
      <c r="H10" s="14" t="n"/>
    </row>
    <row r="11">
      <c r="E11" s="9" t="n"/>
      <c r="H11" s="9" t="n"/>
    </row>
    <row r="12">
      <c r="A12" s="12" t="n"/>
      <c r="B12" s="12" t="n"/>
      <c r="C12" s="12" t="n"/>
      <c r="D12" s="12" t="n"/>
      <c r="E12" s="14" t="n"/>
      <c r="F12" s="12" t="n"/>
      <c r="G12" s="12" t="n"/>
      <c r="H12" s="14" t="n"/>
    </row>
    <row r="13">
      <c r="E13" s="9" t="n"/>
      <c r="H13" s="9" t="n"/>
    </row>
    <row r="14">
      <c r="A14" s="12" t="n"/>
      <c r="B14" s="12" t="n"/>
      <c r="C14" s="12" t="n"/>
      <c r="D14" s="12" t="n"/>
      <c r="E14" s="14" t="n"/>
      <c r="F14" s="12" t="n"/>
      <c r="G14" s="12" t="n"/>
      <c r="H14" s="14" t="n"/>
    </row>
    <row r="15">
      <c r="E15" s="9" t="n"/>
      <c r="H15" s="9" t="n"/>
    </row>
    <row r="16">
      <c r="A16" s="12" t="n"/>
      <c r="B16" s="12" t="n"/>
      <c r="C16" s="12" t="n"/>
      <c r="D16" s="12" t="n"/>
      <c r="E16" s="14" t="n"/>
      <c r="F16" s="12" t="n"/>
      <c r="G16" s="12" t="n"/>
      <c r="H16" s="14" t="n"/>
    </row>
    <row r="17">
      <c r="E17" s="9" t="n"/>
      <c r="H17" s="9" t="n"/>
    </row>
    <row r="18">
      <c r="A18" s="12" t="n"/>
      <c r="B18" s="12" t="n"/>
      <c r="C18" s="12" t="n"/>
      <c r="D18" s="12" t="n"/>
      <c r="E18" s="14" t="n"/>
      <c r="F18" s="12" t="n"/>
      <c r="G18" s="12" t="n"/>
      <c r="H18" s="14" t="n"/>
    </row>
    <row r="19">
      <c r="E19" s="9" t="n"/>
      <c r="H19" s="9" t="n"/>
    </row>
    <row r="20">
      <c r="A20" s="12" t="n"/>
      <c r="B20" s="12" t="n"/>
      <c r="C20" s="12" t="n"/>
      <c r="D20" s="12" t="n"/>
      <c r="E20" s="14" t="n"/>
      <c r="F20" s="12" t="n"/>
      <c r="G20" s="12" t="n"/>
      <c r="H20" s="14" t="n"/>
    </row>
    <row r="21">
      <c r="E21" s="9" t="n"/>
      <c r="H21" s="9" t="n"/>
    </row>
    <row r="22">
      <c r="A22" s="12" t="n"/>
      <c r="B22" s="12" t="n"/>
      <c r="C22" s="12" t="n"/>
      <c r="D22" s="12" t="n"/>
      <c r="E22" s="14" t="n"/>
      <c r="F22" s="12" t="n"/>
      <c r="G22" s="12" t="n"/>
      <c r="H22" s="14" t="n"/>
    </row>
    <row r="23">
      <c r="E23" s="9" t="n"/>
      <c r="H23" s="9" t="n"/>
    </row>
    <row r="24">
      <c r="A24" s="12" t="n"/>
      <c r="B24" s="12" t="n"/>
      <c r="C24" s="12" t="n"/>
      <c r="D24" s="12" t="n"/>
      <c r="E24" s="14" t="n"/>
      <c r="F24" s="12" t="n"/>
      <c r="G24" s="12" t="n"/>
      <c r="H24" s="14" t="n"/>
    </row>
    <row r="25">
      <c r="E25" s="9" t="n"/>
      <c r="H25" s="9" t="n"/>
    </row>
    <row r="26">
      <c r="A26" s="12" t="n"/>
      <c r="B26" s="12" t="n"/>
      <c r="C26" s="12" t="n"/>
      <c r="D26" s="12" t="n"/>
      <c r="E26" s="14" t="n"/>
      <c r="F26" s="12" t="n"/>
      <c r="G26" s="12" t="n"/>
      <c r="H26" s="14" t="n"/>
    </row>
    <row r="27">
      <c r="E27" s="9" t="n"/>
      <c r="H27" s="9" t="n"/>
    </row>
    <row r="28">
      <c r="A28" s="12" t="n"/>
      <c r="B28" s="12" t="n"/>
      <c r="C28" s="12" t="n"/>
      <c r="D28" s="12" t="n"/>
      <c r="E28" s="14" t="n"/>
      <c r="F28" s="12" t="n"/>
      <c r="G28" s="12" t="n"/>
      <c r="H28" s="14" t="n"/>
    </row>
    <row r="29">
      <c r="E29" s="9" t="n"/>
      <c r="H29" s="9" t="n"/>
    </row>
    <row r="30">
      <c r="A30" s="12" t="n"/>
      <c r="B30" s="12" t="n"/>
      <c r="C30" s="12" t="n"/>
      <c r="D30" s="12" t="n"/>
      <c r="E30" s="14" t="n"/>
      <c r="F30" s="12" t="n"/>
      <c r="G30" s="12" t="n"/>
      <c r="H30" s="14" t="n"/>
    </row>
    <row r="31">
      <c r="E31" s="9" t="n"/>
      <c r="H31" s="9" t="n"/>
    </row>
    <row r="32">
      <c r="A32" s="12" t="n"/>
      <c r="B32" s="12" t="n"/>
      <c r="C32" s="12" t="n"/>
      <c r="D32" s="12" t="n"/>
      <c r="E32" s="14" t="n"/>
      <c r="F32" s="12" t="n"/>
      <c r="G32" s="12" t="n"/>
      <c r="H32" s="14" t="n"/>
    </row>
    <row r="33">
      <c r="E33" s="9" t="n"/>
      <c r="H33" s="9" t="n"/>
    </row>
    <row r="34">
      <c r="A34" s="12" t="n"/>
      <c r="B34" s="12" t="n"/>
      <c r="C34" s="12" t="n"/>
      <c r="D34" s="12" t="n"/>
      <c r="E34" s="14" t="n"/>
      <c r="F34" s="12" t="n"/>
      <c r="G34" s="12" t="n"/>
      <c r="H34" s="14" t="n"/>
    </row>
    <row r="35">
      <c r="E35" s="9" t="n"/>
      <c r="H35" s="9" t="n"/>
    </row>
    <row r="36">
      <c r="A36" s="12" t="n"/>
      <c r="B36" s="12" t="n"/>
      <c r="C36" s="12" t="n"/>
      <c r="D36" s="12" t="n"/>
      <c r="E36" s="14" t="n"/>
      <c r="F36" s="12" t="n"/>
      <c r="G36" s="12" t="n"/>
      <c r="H36" s="14" t="n"/>
    </row>
    <row r="37">
      <c r="E37" s="9" t="n"/>
      <c r="H37" s="9" t="n"/>
    </row>
    <row r="38">
      <c r="A38" s="12" t="n"/>
      <c r="B38" s="12" t="n"/>
      <c r="C38" s="12" t="n"/>
      <c r="D38" s="12" t="n"/>
      <c r="E38" s="14" t="n"/>
      <c r="F38" s="12" t="n"/>
      <c r="G38" s="12" t="n"/>
      <c r="H38" s="14" t="n"/>
    </row>
    <row r="39">
      <c r="E39" s="9" t="n"/>
      <c r="H39" s="9" t="n"/>
    </row>
    <row r="40">
      <c r="A40" s="12" t="n"/>
      <c r="B40" s="12" t="n"/>
      <c r="C40" s="12" t="n"/>
      <c r="D40" s="12" t="n"/>
      <c r="E40" s="14" t="n"/>
      <c r="F40" s="12" t="n"/>
      <c r="G40" s="12" t="n"/>
      <c r="H40" s="14" t="n"/>
    </row>
    <row r="41">
      <c r="E41" s="9" t="n"/>
      <c r="H41" s="9" t="n"/>
    </row>
    <row r="42">
      <c r="A42" s="12" t="n"/>
      <c r="B42" s="12" t="n"/>
      <c r="C42" s="12" t="n"/>
      <c r="D42" s="12" t="n"/>
      <c r="E42" s="14" t="n"/>
      <c r="F42" s="12" t="n"/>
      <c r="G42" s="12" t="n"/>
      <c r="H42" s="14" t="n"/>
    </row>
    <row r="43">
      <c r="E43" s="9" t="n"/>
      <c r="H43" s="9" t="n"/>
    </row>
    <row r="44">
      <c r="A44" s="12" t="n"/>
      <c r="B44" s="12" t="n"/>
      <c r="C44" s="12" t="n"/>
      <c r="D44" s="12" t="n"/>
      <c r="E44" s="14" t="n"/>
      <c r="F44" s="12" t="n"/>
      <c r="G44" s="12" t="n"/>
      <c r="H44" s="14" t="n"/>
    </row>
    <row r="45">
      <c r="E45" s="9" t="n"/>
      <c r="H45" s="9" t="n"/>
    </row>
    <row r="46">
      <c r="A46" s="12" t="n"/>
      <c r="B46" s="12" t="n"/>
      <c r="C46" s="12" t="n"/>
      <c r="D46" s="12" t="n"/>
      <c r="E46" s="14" t="n"/>
      <c r="F46" s="12" t="n"/>
      <c r="G46" s="12" t="n"/>
      <c r="H46" s="14" t="n"/>
    </row>
    <row r="47">
      <c r="E47" s="9" t="n"/>
      <c r="H47" s="9" t="n"/>
    </row>
    <row r="48">
      <c r="A48" s="12" t="n"/>
      <c r="B48" s="12" t="n"/>
      <c r="C48" s="12" t="n"/>
      <c r="D48" s="12" t="n"/>
      <c r="E48" s="14" t="n"/>
      <c r="F48" s="12" t="n"/>
      <c r="G48" s="12" t="n"/>
      <c r="H48" s="14" t="n"/>
    </row>
    <row r="49">
      <c r="E49" s="9" t="n"/>
      <c r="H49" s="9" t="n"/>
    </row>
    <row r="50">
      <c r="A50" s="12" t="n"/>
      <c r="B50" s="12" t="n"/>
      <c r="C50" s="12" t="n"/>
      <c r="D50" s="12" t="n"/>
      <c r="E50" s="14" t="n"/>
      <c r="F50" s="12" t="n"/>
      <c r="G50" s="12" t="n"/>
      <c r="H50" s="14" t="n"/>
    </row>
    <row r="51">
      <c r="E51" s="9" t="n"/>
      <c r="H51" s="9" t="n"/>
    </row>
    <row r="52">
      <c r="A52" s="12" t="n"/>
      <c r="B52" s="12" t="n"/>
      <c r="C52" s="12" t="n"/>
      <c r="D52" s="12" t="n"/>
      <c r="E52" s="14" t="n"/>
      <c r="F52" s="12" t="n"/>
      <c r="G52" s="12" t="n"/>
      <c r="H52" s="14" t="n"/>
    </row>
    <row r="53">
      <c r="E53" s="9" t="n"/>
      <c r="H53" s="9" t="n"/>
    </row>
    <row r="54">
      <c r="A54" s="12" t="n"/>
      <c r="B54" s="12" t="n"/>
      <c r="C54" s="12" t="n"/>
      <c r="D54" s="12" t="n"/>
      <c r="E54" s="14" t="n"/>
      <c r="F54" s="12" t="n"/>
      <c r="G54" s="12" t="n"/>
      <c r="H54" s="14" t="n"/>
    </row>
    <row r="55">
      <c r="E55" s="9" t="n"/>
      <c r="H55" s="9" t="n"/>
    </row>
    <row r="56">
      <c r="A56" s="12" t="n"/>
      <c r="B56" s="12" t="n"/>
      <c r="C56" s="12" t="n"/>
      <c r="D56" s="12" t="n"/>
      <c r="E56" s="14" t="n"/>
      <c r="F56" s="12" t="n"/>
      <c r="G56" s="12" t="n"/>
      <c r="H56" s="14" t="n"/>
    </row>
    <row r="57">
      <c r="E57" s="9" t="n"/>
      <c r="H57" s="9" t="n"/>
    </row>
    <row r="58">
      <c r="A58" s="12" t="n"/>
      <c r="B58" s="12" t="n"/>
      <c r="C58" s="12" t="n"/>
      <c r="D58" s="12" t="n"/>
      <c r="E58" s="14" t="n"/>
      <c r="F58" s="12" t="n"/>
      <c r="G58" s="12" t="n"/>
      <c r="H58" s="14" t="n"/>
    </row>
    <row r="59">
      <c r="E59" s="9" t="n"/>
      <c r="H59" s="9" t="n"/>
    </row>
    <row r="60">
      <c r="A60" s="12" t="n"/>
      <c r="B60" s="12" t="n"/>
      <c r="C60" s="12" t="n"/>
      <c r="D60" s="12" t="n"/>
      <c r="E60" s="14" t="n"/>
      <c r="F60" s="12" t="n"/>
      <c r="G60" s="12" t="n"/>
      <c r="H60" s="14" t="n"/>
    </row>
    <row r="61">
      <c r="E61" s="9" t="n"/>
      <c r="H61" s="9" t="n"/>
    </row>
    <row r="62">
      <c r="A62" s="12" t="n"/>
      <c r="B62" s="12" t="n"/>
      <c r="C62" s="12" t="n"/>
      <c r="D62" s="12" t="n"/>
      <c r="E62" s="14" t="n"/>
      <c r="F62" s="12" t="n"/>
      <c r="G62" s="12" t="n"/>
      <c r="H62" s="14" t="n"/>
    </row>
    <row r="63">
      <c r="E63" s="9" t="n"/>
      <c r="H63" s="9" t="n"/>
    </row>
    <row r="64">
      <c r="A64" s="12" t="n"/>
      <c r="B64" s="12" t="n"/>
      <c r="C64" s="12" t="n"/>
      <c r="D64" s="12" t="n"/>
      <c r="E64" s="14" t="n"/>
      <c r="F64" s="12" t="n"/>
      <c r="G64" s="12" t="n"/>
      <c r="H64" s="14" t="n"/>
    </row>
    <row r="65">
      <c r="E65" s="9" t="n"/>
      <c r="H65" s="9" t="n"/>
    </row>
    <row r="66">
      <c r="A66" s="12" t="n"/>
      <c r="B66" s="12" t="n"/>
      <c r="C66" s="12" t="n"/>
      <c r="D66" s="12" t="n"/>
      <c r="E66" s="14" t="n"/>
      <c r="F66" s="12" t="n"/>
      <c r="G66" s="12" t="n"/>
      <c r="H66" s="14" t="n"/>
    </row>
    <row r="67">
      <c r="E67" s="9" t="n"/>
      <c r="H67" s="9" t="n"/>
    </row>
    <row r="68">
      <c r="A68" s="12" t="n"/>
      <c r="B68" s="12" t="n"/>
      <c r="C68" s="12" t="n"/>
      <c r="D68" s="12" t="n"/>
      <c r="E68" s="14" t="n"/>
      <c r="F68" s="12" t="n"/>
      <c r="G68" s="12" t="n"/>
      <c r="H68" s="14" t="n"/>
    </row>
    <row r="69">
      <c r="E69" s="9" t="n"/>
      <c r="H69" s="9" t="n"/>
    </row>
    <row r="70">
      <c r="A70" s="12" t="n"/>
      <c r="B70" s="12" t="n"/>
      <c r="C70" s="12" t="n"/>
      <c r="D70" s="12" t="n"/>
      <c r="E70" s="14" t="n"/>
      <c r="F70" s="12" t="n"/>
      <c r="G70" s="12" t="n"/>
      <c r="H70" s="14" t="n"/>
    </row>
    <row r="71">
      <c r="E71" s="9" t="n"/>
      <c r="H71" s="9" t="n"/>
    </row>
    <row r="72">
      <c r="A72" s="12" t="n"/>
      <c r="B72" s="12" t="n"/>
      <c r="C72" s="12" t="n"/>
      <c r="D72" s="12" t="n"/>
      <c r="E72" s="14" t="n"/>
      <c r="F72" s="12" t="n"/>
      <c r="G72" s="12" t="n"/>
      <c r="H72" s="14" t="n"/>
    </row>
    <row r="73">
      <c r="E73" s="9" t="n"/>
      <c r="H73" s="9" t="n"/>
    </row>
    <row r="74">
      <c r="A74" s="12" t="n"/>
      <c r="B74" s="12" t="n"/>
      <c r="C74" s="12" t="n"/>
      <c r="D74" s="12" t="n"/>
      <c r="E74" s="14" t="n"/>
      <c r="F74" s="12" t="n"/>
      <c r="G74" s="12" t="n"/>
      <c r="H74" s="14" t="n"/>
    </row>
    <row r="75">
      <c r="E75" s="9" t="n"/>
      <c r="H75" s="9" t="n"/>
    </row>
    <row r="76">
      <c r="A76" s="12" t="n"/>
      <c r="B76" s="12" t="n"/>
      <c r="C76" s="12" t="n"/>
      <c r="D76" s="12" t="n"/>
      <c r="E76" s="14" t="n"/>
      <c r="F76" s="12" t="n"/>
      <c r="G76" s="12" t="n"/>
      <c r="H76" s="14" t="n"/>
    </row>
    <row r="77">
      <c r="E77" s="9" t="n"/>
      <c r="H77" s="9" t="n"/>
    </row>
    <row r="78">
      <c r="A78" s="12" t="n"/>
      <c r="B78" s="12" t="n"/>
      <c r="C78" s="12" t="n"/>
      <c r="D78" s="12" t="n"/>
      <c r="E78" s="14" t="n"/>
      <c r="F78" s="12" t="n"/>
      <c r="G78" s="12" t="n"/>
      <c r="H78" s="14" t="n"/>
    </row>
    <row r="79">
      <c r="E79" s="9" t="n"/>
      <c r="H79" s="9" t="n"/>
    </row>
    <row r="80">
      <c r="A80" s="12" t="n"/>
      <c r="B80" s="12" t="n"/>
      <c r="C80" s="12" t="n"/>
      <c r="D80" s="12" t="n"/>
      <c r="E80" s="14" t="n"/>
      <c r="F80" s="12" t="n"/>
      <c r="G80" s="12" t="n"/>
      <c r="H80" s="14" t="n"/>
    </row>
    <row r="81">
      <c r="E81" s="9" t="n"/>
      <c r="H81" s="9" t="n"/>
    </row>
    <row r="82">
      <c r="A82" s="12" t="n"/>
      <c r="B82" s="12" t="n"/>
      <c r="C82" s="12" t="n"/>
      <c r="D82" s="12" t="n"/>
      <c r="E82" s="14" t="n"/>
      <c r="F82" s="12" t="n"/>
      <c r="G82" s="12" t="n"/>
      <c r="H82" s="14" t="n"/>
    </row>
    <row r="83">
      <c r="E83" s="9" t="n"/>
      <c r="H83" s="9" t="n"/>
    </row>
    <row r="84">
      <c r="A84" s="12" t="n"/>
      <c r="B84" s="12" t="n"/>
      <c r="C84" s="12" t="n"/>
      <c r="D84" s="12" t="n"/>
      <c r="E84" s="14" t="n"/>
      <c r="F84" s="12" t="n"/>
      <c r="G84" s="12" t="n"/>
      <c r="H84" s="14" t="n"/>
    </row>
    <row r="85">
      <c r="E85" s="9" t="n"/>
      <c r="H85" s="9" t="n"/>
    </row>
    <row r="86">
      <c r="A86" s="12" t="n"/>
      <c r="B86" s="12" t="n"/>
      <c r="C86" s="12" t="n"/>
      <c r="D86" s="12" t="n"/>
      <c r="E86" s="14" t="n"/>
      <c r="F86" s="12" t="n"/>
      <c r="G86" s="12" t="n"/>
      <c r="H86" s="14" t="n"/>
    </row>
    <row r="87">
      <c r="E87" s="9" t="n"/>
      <c r="H87" s="9" t="n"/>
    </row>
    <row r="88">
      <c r="A88" s="12" t="n"/>
      <c r="B88" s="12" t="n"/>
      <c r="C88" s="12" t="n"/>
      <c r="D88" s="12" t="n"/>
      <c r="E88" s="14" t="n"/>
      <c r="F88" s="12" t="n"/>
      <c r="G88" s="12" t="n"/>
      <c r="H88" s="14" t="n"/>
    </row>
    <row r="89">
      <c r="E89" s="9" t="n"/>
      <c r="H89" s="9" t="n"/>
    </row>
    <row r="90">
      <c r="A90" s="12" t="n"/>
      <c r="B90" s="12" t="n"/>
      <c r="C90" s="12" t="n"/>
      <c r="D90" s="12" t="n"/>
      <c r="E90" s="14" t="n"/>
      <c r="F90" s="12" t="n"/>
      <c r="G90" s="12" t="n"/>
      <c r="H90" s="14" t="n"/>
    </row>
    <row r="91">
      <c r="E91" s="9" t="n"/>
      <c r="H91" s="9" t="n"/>
    </row>
    <row r="92">
      <c r="A92" s="12" t="n"/>
      <c r="B92" s="12" t="n"/>
      <c r="C92" s="12" t="n"/>
      <c r="D92" s="12" t="n"/>
      <c r="E92" s="14" t="n"/>
      <c r="F92" s="12" t="n"/>
      <c r="G92" s="12" t="n"/>
      <c r="H92" s="14" t="n"/>
    </row>
    <row r="93">
      <c r="E93" s="9" t="n"/>
      <c r="H93" s="9" t="n"/>
    </row>
    <row r="94">
      <c r="A94" s="12" t="n"/>
      <c r="B94" s="12" t="n"/>
      <c r="C94" s="12" t="n"/>
      <c r="D94" s="12" t="n"/>
      <c r="E94" s="14" t="n"/>
      <c r="F94" s="12" t="n"/>
      <c r="G94" s="12" t="n"/>
      <c r="H94" s="14" t="n"/>
    </row>
    <row r="95">
      <c r="E95" s="9" t="n"/>
      <c r="H95" s="9" t="n"/>
    </row>
    <row r="96">
      <c r="A96" s="12" t="n"/>
      <c r="B96" s="12" t="n"/>
      <c r="C96" s="12" t="n"/>
      <c r="D96" s="12" t="n"/>
      <c r="E96" s="14" t="n"/>
      <c r="F96" s="12" t="n"/>
      <c r="G96" s="12" t="n"/>
      <c r="H96" s="14" t="n"/>
    </row>
    <row r="97">
      <c r="E97" s="9" t="n"/>
      <c r="H97" s="9" t="n"/>
    </row>
    <row r="98">
      <c r="A98" s="12" t="n"/>
      <c r="B98" s="12" t="n"/>
      <c r="C98" s="12" t="n"/>
      <c r="D98" s="12" t="n"/>
      <c r="E98" s="14" t="n"/>
      <c r="F98" s="12" t="n"/>
      <c r="G98" s="12" t="n"/>
      <c r="H98" s="14" t="n"/>
    </row>
    <row r="99">
      <c r="E99" s="9" t="n"/>
      <c r="H99" s="9" t="n"/>
    </row>
    <row r="100">
      <c r="A100" s="12" t="n"/>
      <c r="B100" s="12" t="n"/>
      <c r="C100" s="12" t="n"/>
      <c r="D100" s="12" t="n"/>
      <c r="E100" s="14" t="n"/>
      <c r="F100" s="12" t="n"/>
      <c r="G100" s="12" t="n"/>
      <c r="H100" s="14" t="n"/>
    </row>
    <row r="101">
      <c r="E101" s="9" t="n"/>
      <c r="H101" s="9" t="n"/>
    </row>
    <row r="102">
      <c r="A102" s="12" t="n"/>
      <c r="B102" s="12" t="n"/>
      <c r="C102" s="12" t="n"/>
      <c r="D102" s="12" t="n"/>
      <c r="E102" s="14" t="n"/>
      <c r="F102" s="12" t="n"/>
      <c r="G102" s="12" t="n"/>
      <c r="H102" s="14" t="n"/>
    </row>
    <row r="103">
      <c r="E103" s="9" t="n"/>
      <c r="H103" s="9" t="n"/>
    </row>
    <row r="104">
      <c r="A104" s="12" t="n"/>
      <c r="B104" s="12" t="n"/>
      <c r="C104" s="12" t="n"/>
      <c r="D104" s="12" t="n"/>
      <c r="E104" s="14" t="n"/>
      <c r="F104" s="12" t="n"/>
      <c r="G104" s="12" t="n"/>
      <c r="H104" s="14" t="n"/>
    </row>
    <row r="105">
      <c r="E105" s="9" t="n"/>
      <c r="H105" s="9" t="n"/>
    </row>
    <row r="106">
      <c r="A106" s="12" t="n"/>
      <c r="B106" s="12" t="n"/>
      <c r="C106" s="12" t="n"/>
      <c r="D106" s="12" t="n"/>
      <c r="E106" s="14" t="n"/>
      <c r="F106" s="12" t="n"/>
      <c r="G106" s="12" t="n"/>
      <c r="H106" s="14" t="n"/>
    </row>
    <row r="107">
      <c r="E107" s="9" t="n"/>
      <c r="H107" s="9" t="n"/>
    </row>
    <row r="108">
      <c r="A108" s="12" t="n"/>
      <c r="B108" s="12" t="n"/>
      <c r="C108" s="12" t="n"/>
      <c r="D108" s="12" t="n"/>
      <c r="E108" s="14" t="n"/>
      <c r="F108" s="12" t="n"/>
      <c r="G108" s="12" t="n"/>
      <c r="H108" s="14" t="n"/>
    </row>
    <row r="109">
      <c r="E109" s="9" t="n"/>
      <c r="H109" s="9" t="n"/>
    </row>
    <row r="110">
      <c r="A110" s="12" t="n"/>
      <c r="B110" s="12" t="n"/>
      <c r="C110" s="12" t="n"/>
      <c r="D110" s="12" t="n"/>
      <c r="E110" s="14" t="n"/>
      <c r="F110" s="12" t="n"/>
      <c r="G110" s="12" t="n"/>
      <c r="H110" s="14" t="n"/>
    </row>
    <row r="111">
      <c r="E111" s="9" t="n"/>
      <c r="H111" s="9" t="n"/>
    </row>
    <row r="112">
      <c r="A112" s="12" t="n"/>
      <c r="B112" s="12" t="n"/>
      <c r="C112" s="12" t="n"/>
      <c r="D112" s="12" t="n"/>
      <c r="E112" s="14" t="n"/>
      <c r="F112" s="12" t="n"/>
      <c r="G112" s="12" t="n"/>
      <c r="H112" s="14" t="n"/>
    </row>
    <row r="113">
      <c r="E113" s="9" t="n"/>
      <c r="H113" s="9" t="n"/>
    </row>
    <row r="114">
      <c r="A114" s="12" t="n"/>
      <c r="B114" s="12" t="n"/>
      <c r="C114" s="12" t="n"/>
      <c r="D114" s="12" t="n"/>
      <c r="E114" s="14" t="n"/>
      <c r="F114" s="12" t="n"/>
      <c r="G114" s="12" t="n"/>
      <c r="H114" s="14" t="n"/>
    </row>
    <row r="115">
      <c r="E115" s="9" t="n"/>
      <c r="H115" s="9" t="n"/>
    </row>
    <row r="116">
      <c r="A116" s="12" t="n"/>
      <c r="B116" s="12" t="n"/>
      <c r="C116" s="12" t="n"/>
      <c r="D116" s="12" t="n"/>
      <c r="E116" s="14" t="n"/>
      <c r="F116" s="12" t="n"/>
      <c r="G116" s="12" t="n"/>
      <c r="H116" s="14" t="n"/>
    </row>
    <row r="117">
      <c r="E117" s="9" t="n"/>
      <c r="H117" s="9" t="n"/>
    </row>
    <row r="118">
      <c r="A118" s="12" t="n"/>
      <c r="B118" s="12" t="n"/>
      <c r="C118" s="12" t="n"/>
      <c r="D118" s="12" t="n"/>
      <c r="E118" s="14" t="n"/>
      <c r="F118" s="12" t="n"/>
      <c r="G118" s="12" t="n"/>
      <c r="H118" s="14" t="n"/>
    </row>
    <row r="119">
      <c r="E119" s="9" t="n"/>
      <c r="H119" s="9" t="n"/>
    </row>
    <row r="120">
      <c r="A120" s="12" t="n"/>
      <c r="B120" s="12" t="n"/>
      <c r="C120" s="12" t="n"/>
      <c r="D120" s="12" t="n"/>
      <c r="E120" s="14" t="n"/>
      <c r="F120" s="12" t="n"/>
      <c r="G120" s="12" t="n"/>
      <c r="H120" s="14" t="n"/>
    </row>
    <row r="121">
      <c r="E121" s="9" t="n"/>
      <c r="H121" s="9" t="n"/>
    </row>
    <row r="122">
      <c r="A122" s="12" t="n"/>
      <c r="B122" s="12" t="n"/>
      <c r="C122" s="12" t="n"/>
      <c r="D122" s="12" t="n"/>
      <c r="E122" s="14" t="n"/>
      <c r="F122" s="12" t="n"/>
      <c r="G122" s="12" t="n"/>
      <c r="H122" s="14" t="n"/>
    </row>
    <row r="123">
      <c r="E123" s="9" t="n"/>
      <c r="H123" s="9" t="n"/>
    </row>
    <row r="124">
      <c r="A124" s="12" t="n"/>
      <c r="B124" s="12" t="n"/>
      <c r="C124" s="12" t="n"/>
      <c r="D124" s="12" t="n"/>
      <c r="E124" s="14" t="n"/>
      <c r="F124" s="12" t="n"/>
      <c r="G124" s="12" t="n"/>
      <c r="H124" s="14" t="n"/>
    </row>
    <row r="125">
      <c r="E125" s="9" t="n"/>
      <c r="H125" s="9" t="n"/>
    </row>
    <row r="126">
      <c r="A126" s="12" t="n"/>
      <c r="B126" s="12" t="n"/>
      <c r="C126" s="12" t="n"/>
      <c r="D126" s="12" t="n"/>
      <c r="E126" s="14" t="n"/>
      <c r="F126" s="12" t="n"/>
      <c r="G126" s="12" t="n"/>
      <c r="H126" s="14" t="n"/>
    </row>
    <row r="127">
      <c r="E127" s="9" t="n"/>
      <c r="H127" s="9" t="n"/>
    </row>
    <row r="128">
      <c r="A128" s="12" t="n"/>
      <c r="B128" s="12" t="n"/>
      <c r="C128" s="12" t="n"/>
      <c r="D128" s="12" t="n"/>
      <c r="E128" s="14" t="n"/>
      <c r="F128" s="12" t="n"/>
      <c r="G128" s="12" t="n"/>
      <c r="H128" s="14" t="n"/>
    </row>
    <row r="129">
      <c r="E129" s="9" t="n"/>
      <c r="H129" s="9" t="n"/>
    </row>
    <row r="130">
      <c r="A130" s="12" t="n"/>
      <c r="B130" s="12" t="n"/>
      <c r="C130" s="12" t="n"/>
      <c r="D130" s="12" t="n"/>
      <c r="E130" s="14" t="n"/>
      <c r="F130" s="12" t="n"/>
      <c r="G130" s="12" t="n"/>
      <c r="H130" s="14" t="n"/>
    </row>
    <row r="131">
      <c r="E131" s="9" t="n"/>
      <c r="H131" s="9" t="n"/>
    </row>
    <row r="132">
      <c r="A132" s="12" t="n"/>
      <c r="B132" s="12" t="n"/>
      <c r="C132" s="12" t="n"/>
      <c r="D132" s="12" t="n"/>
      <c r="E132" s="14" t="n"/>
      <c r="F132" s="12" t="n"/>
      <c r="G132" s="12" t="n"/>
      <c r="H132" s="14" t="n"/>
    </row>
    <row r="133">
      <c r="E133" s="9" t="n"/>
      <c r="H133" s="9" t="n"/>
    </row>
    <row r="134">
      <c r="A134" s="12" t="n"/>
      <c r="B134" s="12" t="n"/>
      <c r="C134" s="12" t="n"/>
      <c r="D134" s="12" t="n"/>
      <c r="E134" s="14" t="n"/>
      <c r="F134" s="12" t="n"/>
      <c r="G134" s="12" t="n"/>
      <c r="H134" s="14" t="n"/>
    </row>
    <row r="135">
      <c r="E135" s="9" t="n"/>
      <c r="H135" s="9" t="n"/>
    </row>
    <row r="136">
      <c r="A136" s="12" t="n"/>
      <c r="B136" s="12" t="n"/>
      <c r="C136" s="12" t="n"/>
      <c r="D136" s="12" t="n"/>
      <c r="E136" s="14" t="n"/>
      <c r="F136" s="12" t="n"/>
      <c r="G136" s="12" t="n"/>
      <c r="H136" s="14" t="n"/>
    </row>
    <row r="137">
      <c r="E137" s="9" t="n"/>
      <c r="H137" s="9" t="n"/>
    </row>
    <row r="138">
      <c r="A138" s="12" t="n"/>
      <c r="B138" s="12" t="n"/>
      <c r="C138" s="12" t="n"/>
      <c r="D138" s="12" t="n"/>
      <c r="E138" s="14" t="n"/>
      <c r="F138" s="12" t="n"/>
      <c r="G138" s="12" t="n"/>
      <c r="H138" s="14" t="n"/>
    </row>
    <row r="139">
      <c r="E139" s="9" t="n"/>
      <c r="H139" s="9" t="n"/>
    </row>
    <row r="140">
      <c r="A140" s="12" t="n"/>
      <c r="B140" s="12" t="n"/>
      <c r="C140" s="12" t="n"/>
      <c r="D140" s="12" t="n"/>
      <c r="E140" s="14" t="n"/>
      <c r="F140" s="12" t="n"/>
      <c r="G140" s="12" t="n"/>
      <c r="H140" s="14" t="n"/>
    </row>
    <row r="141">
      <c r="E141" s="9" t="n"/>
      <c r="H141" s="9" t="n"/>
    </row>
    <row r="142">
      <c r="A142" s="12" t="n"/>
      <c r="B142" s="12" t="n"/>
      <c r="C142" s="12" t="n"/>
      <c r="D142" s="12" t="n"/>
      <c r="E142" s="14" t="n"/>
      <c r="F142" s="12" t="n"/>
      <c r="G142" s="12" t="n"/>
      <c r="H142" s="14" t="n"/>
    </row>
    <row r="143">
      <c r="E143" s="9" t="n"/>
      <c r="H143" s="9" t="n"/>
    </row>
    <row r="144">
      <c r="A144" s="12" t="n"/>
      <c r="B144" s="12" t="n"/>
      <c r="C144" s="12" t="n"/>
      <c r="D144" s="12" t="n"/>
      <c r="E144" s="14" t="n"/>
      <c r="F144" s="12" t="n"/>
      <c r="G144" s="12" t="n"/>
      <c r="H144" s="14" t="n"/>
    </row>
    <row r="145">
      <c r="E145" s="9" t="n"/>
      <c r="H145" s="9" t="n"/>
    </row>
    <row r="146">
      <c r="A146" s="12" t="n"/>
      <c r="B146" s="12" t="n"/>
      <c r="C146" s="12" t="n"/>
      <c r="D146" s="12" t="n"/>
      <c r="E146" s="14" t="n"/>
      <c r="F146" s="12" t="n"/>
      <c r="G146" s="12" t="n"/>
      <c r="H146" s="14" t="n"/>
    </row>
    <row r="147">
      <c r="E147" s="9" t="n"/>
      <c r="H147" s="9" t="n"/>
    </row>
    <row r="148">
      <c r="A148" s="12" t="n"/>
      <c r="B148" s="12" t="n"/>
      <c r="C148" s="12" t="n"/>
      <c r="D148" s="12" t="n"/>
      <c r="E148" s="14" t="n"/>
      <c r="F148" s="12" t="n"/>
      <c r="G148" s="12" t="n"/>
      <c r="H148" s="14" t="n"/>
    </row>
    <row r="149">
      <c r="E149" s="9" t="n"/>
      <c r="H149" s="9" t="n"/>
    </row>
    <row r="150">
      <c r="A150" s="12" t="n"/>
      <c r="B150" s="12" t="n"/>
      <c r="C150" s="12" t="n"/>
      <c r="D150" s="12" t="n"/>
      <c r="E150" s="14" t="n"/>
      <c r="F150" s="12" t="n"/>
      <c r="G150" s="12" t="n"/>
      <c r="H150" s="14" t="n"/>
    </row>
    <row r="151">
      <c r="E151" s="9" t="n"/>
      <c r="H151" s="9" t="n"/>
    </row>
    <row r="152">
      <c r="A152" s="12" t="n"/>
      <c r="B152" s="12" t="n"/>
      <c r="C152" s="12" t="n"/>
      <c r="D152" s="12" t="n"/>
      <c r="E152" s="14" t="n"/>
      <c r="F152" s="12" t="n"/>
      <c r="G152" s="12" t="n"/>
      <c r="H152" s="14" t="n"/>
    </row>
    <row r="153">
      <c r="E153" s="9" t="n"/>
      <c r="H153" s="9" t="n"/>
    </row>
    <row r="154">
      <c r="A154" s="12" t="n"/>
      <c r="B154" s="12" t="n"/>
      <c r="C154" s="12" t="n"/>
      <c r="D154" s="12" t="n"/>
      <c r="E154" s="14" t="n"/>
      <c r="F154" s="12" t="n"/>
      <c r="G154" s="12" t="n"/>
      <c r="H154" s="14" t="n"/>
    </row>
    <row r="155">
      <c r="E155" s="9" t="n"/>
      <c r="H155" s="9" t="n"/>
    </row>
    <row r="156">
      <c r="A156" s="12" t="n"/>
      <c r="B156" s="12" t="n"/>
      <c r="C156" s="12" t="n"/>
      <c r="D156" s="12" t="n"/>
      <c r="E156" s="14" t="n"/>
      <c r="F156" s="12" t="n"/>
      <c r="G156" s="12" t="n"/>
      <c r="H156" s="14" t="n"/>
    </row>
    <row r="157">
      <c r="E157" s="9" t="n"/>
      <c r="H157" s="9" t="n"/>
    </row>
    <row r="158">
      <c r="A158" s="12" t="n"/>
      <c r="B158" s="12" t="n"/>
      <c r="C158" s="12" t="n"/>
      <c r="D158" s="12" t="n"/>
      <c r="E158" s="14" t="n"/>
      <c r="F158" s="12" t="n"/>
      <c r="G158" s="12" t="n"/>
      <c r="H158" s="14" t="n"/>
    </row>
    <row r="159">
      <c r="E159" s="9" t="n"/>
      <c r="H159" s="9" t="n"/>
    </row>
    <row r="160">
      <c r="A160" s="12" t="n"/>
      <c r="B160" s="12" t="n"/>
      <c r="C160" s="12" t="n"/>
      <c r="D160" s="12" t="n"/>
      <c r="E160" s="14" t="n"/>
      <c r="F160" s="12" t="n"/>
      <c r="G160" s="12" t="n"/>
      <c r="H160" s="14" t="n"/>
    </row>
    <row r="161">
      <c r="E161" s="9" t="n"/>
      <c r="H161" s="9" t="n"/>
    </row>
    <row r="162">
      <c r="A162" s="12" t="n"/>
      <c r="B162" s="12" t="n"/>
      <c r="C162" s="12" t="n"/>
      <c r="D162" s="12" t="n"/>
      <c r="E162" s="14" t="n"/>
      <c r="F162" s="12" t="n"/>
      <c r="G162" s="12" t="n"/>
      <c r="H162" s="14" t="n"/>
    </row>
    <row r="163">
      <c r="E163" s="9" t="n"/>
      <c r="H163" s="9" t="n"/>
    </row>
    <row r="164">
      <c r="A164" s="12" t="n"/>
      <c r="B164" s="12" t="n"/>
      <c r="C164" s="12" t="n"/>
      <c r="D164" s="12" t="n"/>
      <c r="E164" s="14" t="n"/>
      <c r="F164" s="12" t="n"/>
      <c r="G164" s="12" t="n"/>
      <c r="H164" s="14" t="n"/>
    </row>
    <row r="165">
      <c r="E165" s="9" t="n"/>
      <c r="H165" s="9" t="n"/>
    </row>
    <row r="166">
      <c r="A166" s="12" t="n"/>
      <c r="B166" s="12" t="n"/>
      <c r="C166" s="12" t="n"/>
      <c r="D166" s="12" t="n"/>
      <c r="E166" s="14" t="n"/>
      <c r="F166" s="12" t="n"/>
      <c r="G166" s="12" t="n"/>
      <c r="H166" s="14" t="n"/>
    </row>
    <row r="167">
      <c r="E167" s="9" t="n"/>
      <c r="H167" s="9" t="n"/>
    </row>
    <row r="168">
      <c r="A168" s="12" t="n"/>
      <c r="B168" s="12" t="n"/>
      <c r="C168" s="12" t="n"/>
      <c r="D168" s="12" t="n"/>
      <c r="E168" s="14" t="n"/>
      <c r="F168" s="12" t="n"/>
      <c r="G168" s="12" t="n"/>
      <c r="H168" s="14" t="n"/>
    </row>
    <row r="169">
      <c r="E169" s="9" t="n"/>
      <c r="H169" s="9" t="n"/>
    </row>
    <row r="170">
      <c r="A170" s="12" t="n"/>
      <c r="B170" s="12" t="n"/>
      <c r="C170" s="12" t="n"/>
      <c r="D170" s="12" t="n"/>
      <c r="E170" s="14" t="n"/>
      <c r="F170" s="12" t="n"/>
      <c r="G170" s="12" t="n"/>
      <c r="H170" s="14" t="n"/>
    </row>
    <row r="171">
      <c r="E171" s="9" t="n"/>
      <c r="H171" s="9" t="n"/>
    </row>
    <row r="172">
      <c r="A172" s="12" t="n"/>
      <c r="B172" s="12" t="n"/>
      <c r="C172" s="12" t="n"/>
      <c r="D172" s="12" t="n"/>
      <c r="E172" s="14" t="n"/>
      <c r="F172" s="12" t="n"/>
      <c r="G172" s="12" t="n"/>
      <c r="H172" s="14" t="n"/>
    </row>
    <row r="173">
      <c r="E173" s="9" t="n"/>
      <c r="H173" s="9" t="n"/>
    </row>
    <row r="174">
      <c r="A174" s="12" t="n"/>
      <c r="B174" s="12" t="n"/>
      <c r="C174" s="12" t="n"/>
      <c r="D174" s="12" t="n"/>
      <c r="E174" s="14" t="n"/>
      <c r="F174" s="12" t="n"/>
      <c r="G174" s="12" t="n"/>
      <c r="H174" s="14" t="n"/>
    </row>
    <row r="175">
      <c r="E175" s="9" t="n"/>
      <c r="H175" s="9" t="n"/>
    </row>
    <row r="176">
      <c r="A176" s="12" t="n"/>
      <c r="B176" s="12" t="n"/>
      <c r="C176" s="12" t="n"/>
      <c r="D176" s="12" t="n"/>
      <c r="E176" s="14" t="n"/>
      <c r="F176" s="12" t="n"/>
      <c r="G176" s="12" t="n"/>
      <c r="H176" s="14" t="n"/>
    </row>
    <row r="177">
      <c r="E177" s="9" t="n"/>
      <c r="H177" s="9" t="n"/>
    </row>
    <row r="178">
      <c r="A178" s="12" t="n"/>
      <c r="B178" s="12" t="n"/>
      <c r="C178" s="12" t="n"/>
      <c r="D178" s="12" t="n"/>
      <c r="E178" s="14" t="n"/>
      <c r="F178" s="12" t="n"/>
      <c r="G178" s="12" t="n"/>
      <c r="H178" s="14" t="n"/>
    </row>
    <row r="179">
      <c r="E179" s="9" t="n"/>
      <c r="H179" s="9" t="n"/>
    </row>
    <row r="180">
      <c r="A180" s="12" t="n"/>
      <c r="B180" s="12" t="n"/>
      <c r="C180" s="12" t="n"/>
      <c r="D180" s="12" t="n"/>
      <c r="E180" s="14" t="n"/>
      <c r="F180" s="12" t="n"/>
      <c r="G180" s="12" t="n"/>
      <c r="H180" s="14" t="n"/>
    </row>
    <row r="181">
      <c r="E181" s="9" t="n"/>
      <c r="H181" s="9" t="n"/>
    </row>
    <row r="182">
      <c r="A182" s="12" t="n"/>
      <c r="B182" s="12" t="n"/>
      <c r="C182" s="12" t="n"/>
      <c r="D182" s="12" t="n"/>
      <c r="E182" s="14" t="n"/>
      <c r="F182" s="12" t="n"/>
      <c r="G182" s="12" t="n"/>
      <c r="H182" s="14" t="n"/>
    </row>
    <row r="183">
      <c r="E183" s="9" t="n"/>
      <c r="H183" s="9" t="n"/>
    </row>
    <row r="184">
      <c r="A184" s="12" t="n"/>
      <c r="B184" s="12" t="n"/>
      <c r="C184" s="12" t="n"/>
      <c r="D184" s="12" t="n"/>
      <c r="E184" s="14" t="n"/>
      <c r="F184" s="12" t="n"/>
      <c r="G184" s="12" t="n"/>
      <c r="H184" s="14" t="n"/>
    </row>
    <row r="185">
      <c r="E185" s="9" t="n"/>
      <c r="H185" s="9" t="n"/>
    </row>
    <row r="186">
      <c r="A186" s="12" t="n"/>
      <c r="B186" s="12" t="n"/>
      <c r="C186" s="12" t="n"/>
      <c r="D186" s="12" t="n"/>
      <c r="E186" s="14" t="n"/>
      <c r="F186" s="12" t="n"/>
      <c r="G186" s="12" t="n"/>
      <c r="H186" s="14" t="n"/>
    </row>
    <row r="187">
      <c r="E187" s="9" t="n"/>
      <c r="H187" s="9" t="n"/>
    </row>
    <row r="188">
      <c r="A188" s="12" t="n"/>
      <c r="B188" s="12" t="n"/>
      <c r="C188" s="12" t="n"/>
      <c r="D188" s="12" t="n"/>
      <c r="E188" s="14" t="n"/>
      <c r="F188" s="12" t="n"/>
      <c r="G188" s="12" t="n"/>
      <c r="H188" s="14" t="n"/>
    </row>
    <row r="189">
      <c r="E189" s="9" t="n"/>
      <c r="H189" s="9" t="n"/>
    </row>
    <row r="190">
      <c r="A190" s="12" t="n"/>
      <c r="B190" s="12" t="n"/>
      <c r="C190" s="12" t="n"/>
      <c r="D190" s="12" t="n"/>
      <c r="E190" s="14" t="n"/>
      <c r="F190" s="12" t="n"/>
      <c r="G190" s="12" t="n"/>
      <c r="H190" s="14" t="n"/>
    </row>
    <row r="191">
      <c r="E191" s="9" t="n"/>
      <c r="H191" s="9" t="n"/>
    </row>
    <row r="192">
      <c r="A192" s="12" t="n"/>
      <c r="B192" s="12" t="n"/>
      <c r="C192" s="12" t="n"/>
      <c r="D192" s="12" t="n"/>
      <c r="E192" s="14" t="n"/>
      <c r="F192" s="12" t="n"/>
      <c r="G192" s="12" t="n"/>
      <c r="H192" s="14" t="n"/>
    </row>
    <row r="193">
      <c r="E193" s="9" t="n"/>
      <c r="H193" s="9" t="n"/>
    </row>
    <row r="194">
      <c r="A194" s="12" t="n"/>
      <c r="B194" s="12" t="n"/>
      <c r="C194" s="12" t="n"/>
      <c r="D194" s="12" t="n"/>
      <c r="E194" s="14" t="n"/>
      <c r="F194" s="12" t="n"/>
      <c r="G194" s="12" t="n"/>
      <c r="H194" s="14" t="n"/>
    </row>
    <row r="195">
      <c r="E195" s="9" t="n"/>
      <c r="H195" s="9" t="n"/>
    </row>
    <row r="196">
      <c r="A196" s="12" t="n"/>
      <c r="B196" s="12" t="n"/>
      <c r="C196" s="12" t="n"/>
      <c r="D196" s="12" t="n"/>
      <c r="E196" s="14" t="n"/>
      <c r="F196" s="12" t="n"/>
      <c r="G196" s="12" t="n"/>
      <c r="H196" s="14" t="n"/>
    </row>
    <row r="197">
      <c r="E197" s="9" t="n"/>
      <c r="H197" s="9" t="n"/>
    </row>
    <row r="198">
      <c r="A198" s="12" t="n"/>
      <c r="B198" s="12" t="n"/>
      <c r="C198" s="12" t="n"/>
      <c r="D198" s="12" t="n"/>
      <c r="E198" s="14" t="n"/>
      <c r="F198" s="12" t="n"/>
      <c r="G198" s="12" t="n"/>
      <c r="H198" s="14" t="n"/>
    </row>
    <row r="199">
      <c r="E199" s="9" t="n"/>
      <c r="H199" s="9" t="n"/>
    </row>
    <row r="200">
      <c r="A200" s="12" t="n"/>
      <c r="B200" s="12" t="n"/>
      <c r="C200" s="12" t="n"/>
      <c r="D200" s="12" t="n"/>
      <c r="E200" s="14" t="n"/>
      <c r="F200" s="12" t="n"/>
      <c r="G200" s="12" t="n"/>
      <c r="H200" s="14" t="n"/>
    </row>
    <row r="201">
      <c r="E201" s="9" t="n"/>
      <c r="H201" s="9" t="n"/>
    </row>
    <row r="202">
      <c r="A202" s="12" t="n"/>
      <c r="B202" s="12" t="n"/>
      <c r="C202" s="12" t="n"/>
      <c r="D202" s="12" t="n"/>
      <c r="E202" s="14" t="n"/>
      <c r="F202" s="12" t="n"/>
      <c r="G202" s="12" t="n"/>
      <c r="H202" s="14" t="n"/>
    </row>
    <row r="203">
      <c r="E203" s="9" t="n"/>
      <c r="H203" s="9" t="n"/>
    </row>
    <row r="204">
      <c r="A204" s="12" t="n"/>
      <c r="B204" s="12" t="n"/>
      <c r="C204" s="12" t="n"/>
      <c r="D204" s="12" t="n"/>
      <c r="E204" s="14" t="n"/>
      <c r="F204" s="12" t="n"/>
      <c r="G204" s="12" t="n"/>
      <c r="H204" s="14" t="n"/>
    </row>
    <row r="205">
      <c r="E205" s="9" t="n"/>
      <c r="H205" s="9" t="n"/>
    </row>
    <row r="206">
      <c r="A206" s="12" t="n"/>
      <c r="B206" s="12" t="n"/>
      <c r="C206" s="12" t="n"/>
      <c r="D206" s="12" t="n"/>
      <c r="E206" s="14" t="n"/>
      <c r="F206" s="12" t="n"/>
      <c r="G206" s="12" t="n"/>
      <c r="H206" s="14" t="n"/>
    </row>
    <row r="207">
      <c r="E207" s="9" t="n"/>
      <c r="H207" s="9" t="n"/>
    </row>
    <row r="208">
      <c r="A208" s="12" t="n"/>
      <c r="B208" s="12" t="n"/>
      <c r="C208" s="12" t="n"/>
      <c r="D208" s="12" t="n"/>
      <c r="E208" s="14" t="n"/>
      <c r="F208" s="12" t="n"/>
      <c r="G208" s="12" t="n"/>
      <c r="H208" s="14" t="n"/>
    </row>
    <row r="209">
      <c r="E209" s="9" t="n"/>
      <c r="H209" s="9" t="n"/>
    </row>
    <row r="210">
      <c r="A210" s="12" t="n"/>
      <c r="B210" s="12" t="n"/>
      <c r="C210" s="12" t="n"/>
      <c r="D210" s="12" t="n"/>
      <c r="E210" s="14" t="n"/>
      <c r="F210" s="12" t="n"/>
      <c r="G210" s="12" t="n"/>
      <c r="H210" s="14" t="n"/>
    </row>
    <row r="211">
      <c r="E211" s="9" t="n"/>
      <c r="H211" s="9" t="n"/>
    </row>
    <row r="212">
      <c r="A212" s="12" t="n"/>
      <c r="B212" s="12" t="n"/>
      <c r="C212" s="12" t="n"/>
      <c r="D212" s="12" t="n"/>
      <c r="E212" s="14" t="n"/>
      <c r="F212" s="12" t="n"/>
      <c r="G212" s="12" t="n"/>
      <c r="H212" s="14" t="n"/>
    </row>
    <row r="213">
      <c r="E213" s="9" t="n"/>
      <c r="H213" s="9" t="n"/>
    </row>
    <row r="214">
      <c r="A214" s="12" t="n"/>
      <c r="B214" s="12" t="n"/>
      <c r="C214" s="12" t="n"/>
      <c r="D214" s="12" t="n"/>
      <c r="E214" s="14" t="n"/>
      <c r="F214" s="12" t="n"/>
      <c r="G214" s="12" t="n"/>
      <c r="H214" s="14" t="n"/>
    </row>
    <row r="215">
      <c r="E215" s="9" t="n"/>
      <c r="H215" s="9" t="n"/>
    </row>
    <row r="216">
      <c r="A216" s="12" t="n"/>
      <c r="B216" s="12" t="n"/>
      <c r="C216" s="12" t="n"/>
      <c r="D216" s="12" t="n"/>
      <c r="E216" s="14" t="n"/>
      <c r="F216" s="12" t="n"/>
      <c r="G216" s="12" t="n"/>
      <c r="H216" s="14" t="n"/>
    </row>
    <row r="217">
      <c r="E217" s="9" t="n"/>
      <c r="H217" s="9" t="n"/>
    </row>
    <row r="218">
      <c r="A218" s="12" t="n"/>
      <c r="B218" s="12" t="n"/>
      <c r="C218" s="12" t="n"/>
      <c r="D218" s="12" t="n"/>
      <c r="E218" s="14" t="n"/>
      <c r="F218" s="12" t="n"/>
      <c r="G218" s="12" t="n"/>
      <c r="H218" s="14" t="n"/>
    </row>
    <row r="219">
      <c r="E219" s="9" t="n"/>
      <c r="H219" s="9" t="n"/>
    </row>
    <row r="220">
      <c r="A220" s="12" t="n"/>
      <c r="B220" s="12" t="n"/>
      <c r="C220" s="12" t="n"/>
      <c r="D220" s="12" t="n"/>
      <c r="E220" s="14" t="n"/>
      <c r="F220" s="12" t="n"/>
      <c r="G220" s="12" t="n"/>
      <c r="H220" s="14" t="n"/>
    </row>
    <row r="221">
      <c r="E221" s="9" t="n"/>
      <c r="H221" s="9" t="n"/>
    </row>
    <row r="222">
      <c r="A222" s="12" t="n"/>
      <c r="B222" s="12" t="n"/>
      <c r="C222" s="12" t="n"/>
      <c r="D222" s="12" t="n"/>
      <c r="E222" s="14" t="n"/>
      <c r="F222" s="12" t="n"/>
      <c r="G222" s="12" t="n"/>
      <c r="H222" s="14" t="n"/>
    </row>
    <row r="223">
      <c r="E223" s="9" t="n"/>
      <c r="H223" s="9" t="n"/>
    </row>
    <row r="224">
      <c r="A224" s="12" t="n"/>
      <c r="B224" s="12" t="n"/>
      <c r="C224" s="12" t="n"/>
      <c r="D224" s="12" t="n"/>
      <c r="E224" s="14" t="n"/>
      <c r="F224" s="12" t="n"/>
      <c r="G224" s="12" t="n"/>
      <c r="H224" s="14" t="n"/>
    </row>
    <row r="225">
      <c r="E225" s="9" t="n"/>
      <c r="H225" s="9" t="n"/>
    </row>
    <row r="226">
      <c r="A226" s="12" t="n"/>
      <c r="B226" s="12" t="n"/>
      <c r="C226" s="12" t="n"/>
      <c r="D226" s="12" t="n"/>
      <c r="E226" s="14" t="n"/>
      <c r="F226" s="12" t="n"/>
      <c r="G226" s="12" t="n"/>
      <c r="H226" s="14" t="n"/>
    </row>
    <row r="227">
      <c r="E227" s="9" t="n"/>
      <c r="H227" s="9" t="n"/>
    </row>
    <row r="228">
      <c r="A228" s="12" t="n"/>
      <c r="B228" s="12" t="n"/>
      <c r="C228" s="12" t="n"/>
      <c r="D228" s="12" t="n"/>
      <c r="E228" s="14" t="n"/>
      <c r="F228" s="12" t="n"/>
      <c r="G228" s="12" t="n"/>
      <c r="H228" s="14" t="n"/>
    </row>
    <row r="229">
      <c r="E229" s="9" t="n"/>
      <c r="H229" s="9" t="n"/>
    </row>
    <row r="230">
      <c r="A230" s="12" t="n"/>
      <c r="B230" s="12" t="n"/>
      <c r="C230" s="12" t="n"/>
      <c r="D230" s="12" t="n"/>
      <c r="E230" s="14" t="n"/>
      <c r="F230" s="12" t="n"/>
      <c r="G230" s="12" t="n"/>
      <c r="H230" s="14" t="n"/>
    </row>
    <row r="231">
      <c r="E231" s="9" t="n"/>
      <c r="H231" s="9" t="n"/>
    </row>
    <row r="232">
      <c r="A232" s="12" t="n"/>
      <c r="B232" s="12" t="n"/>
      <c r="C232" s="12" t="n"/>
      <c r="D232" s="12" t="n"/>
      <c r="E232" s="14" t="n"/>
      <c r="F232" s="12" t="n"/>
      <c r="G232" s="12" t="n"/>
      <c r="H232" s="14" t="n"/>
    </row>
    <row r="233">
      <c r="E233" s="9" t="n"/>
      <c r="H233" s="9" t="n"/>
    </row>
    <row r="234">
      <c r="A234" s="12" t="n"/>
      <c r="B234" s="12" t="n"/>
      <c r="C234" s="12" t="n"/>
      <c r="D234" s="12" t="n"/>
      <c r="E234" s="14" t="n"/>
      <c r="F234" s="12" t="n"/>
      <c r="G234" s="12" t="n"/>
      <c r="H234" s="14" t="n"/>
    </row>
    <row r="235">
      <c r="E235" s="9" t="n"/>
      <c r="H235" s="9" t="n"/>
    </row>
    <row r="236">
      <c r="A236" s="12" t="n"/>
      <c r="B236" s="12" t="n"/>
      <c r="C236" s="12" t="n"/>
      <c r="D236" s="12" t="n"/>
      <c r="E236" s="14" t="n"/>
      <c r="F236" s="12" t="n"/>
      <c r="G236" s="12" t="n"/>
      <c r="H236" s="14" t="n"/>
    </row>
    <row r="237">
      <c r="E237" s="9" t="n"/>
      <c r="H237" s="9" t="n"/>
    </row>
    <row r="238">
      <c r="A238" s="12" t="n"/>
      <c r="B238" s="12" t="n"/>
      <c r="C238" s="12" t="n"/>
      <c r="D238" s="12" t="n"/>
      <c r="E238" s="14" t="n"/>
      <c r="F238" s="12" t="n"/>
      <c r="G238" s="12" t="n"/>
      <c r="H238" s="14" t="n"/>
    </row>
    <row r="239">
      <c r="E239" s="9" t="n"/>
      <c r="H239" s="9" t="n"/>
    </row>
    <row r="240">
      <c r="A240" s="12" t="n"/>
      <c r="B240" s="12" t="n"/>
      <c r="C240" s="12" t="n"/>
      <c r="D240" s="12" t="n"/>
      <c r="E240" s="14" t="n"/>
      <c r="F240" s="12" t="n"/>
      <c r="G240" s="12" t="n"/>
      <c r="H240" s="14" t="n"/>
    </row>
    <row r="241">
      <c r="E241" s="9" t="n"/>
      <c r="H241" s="9" t="n"/>
    </row>
    <row r="242">
      <c r="A242" s="12" t="n"/>
      <c r="B242" s="12" t="n"/>
      <c r="C242" s="12" t="n"/>
      <c r="D242" s="12" t="n"/>
      <c r="E242" s="14" t="n"/>
      <c r="F242" s="12" t="n"/>
      <c r="G242" s="12" t="n"/>
      <c r="H242" s="14" t="n"/>
    </row>
    <row r="243">
      <c r="E243" s="9" t="n"/>
      <c r="H243" s="9" t="n"/>
    </row>
    <row r="244">
      <c r="A244" s="12" t="n"/>
      <c r="B244" s="12" t="n"/>
      <c r="C244" s="12" t="n"/>
      <c r="D244" s="12" t="n"/>
      <c r="E244" s="14" t="n"/>
      <c r="F244" s="12" t="n"/>
      <c r="G244" s="12" t="n"/>
      <c r="H244" s="14" t="n"/>
    </row>
    <row r="245">
      <c r="E245" s="9" t="n"/>
      <c r="H245" s="9" t="n"/>
    </row>
    <row r="246">
      <c r="A246" s="12" t="n"/>
      <c r="B246" s="12" t="n"/>
      <c r="C246" s="12" t="n"/>
      <c r="D246" s="12" t="n"/>
      <c r="E246" s="14" t="n"/>
      <c r="F246" s="12" t="n"/>
      <c r="G246" s="12" t="n"/>
      <c r="H246" s="14" t="n"/>
    </row>
    <row r="247">
      <c r="E247" s="9" t="n"/>
      <c r="H247" s="9" t="n"/>
    </row>
    <row r="248">
      <c r="A248" s="12" t="n"/>
      <c r="B248" s="12" t="n"/>
      <c r="C248" s="12" t="n"/>
      <c r="D248" s="12" t="n"/>
      <c r="E248" s="14" t="n"/>
      <c r="F248" s="12" t="n"/>
      <c r="G248" s="12" t="n"/>
      <c r="H248" s="14" t="n"/>
    </row>
    <row r="249">
      <c r="E249" s="9" t="n"/>
      <c r="H249" s="9" t="n"/>
    </row>
    <row r="250">
      <c r="A250" s="12" t="n"/>
      <c r="B250" s="12" t="n"/>
      <c r="C250" s="12" t="n"/>
      <c r="D250" s="12" t="n"/>
      <c r="E250" s="14" t="n"/>
      <c r="F250" s="12" t="n"/>
      <c r="G250" s="12" t="n"/>
      <c r="H250" s="14" t="n"/>
    </row>
    <row r="251">
      <c r="E251" s="9" t="n"/>
      <c r="H251" s="9" t="n"/>
    </row>
  </sheetData>
  <autoFilter ref="A1:H251"/>
  <conditionalFormatting sqref="A2:H251">
    <cfRule type="expression" priority="1" dxfId="0">
      <formula>ISNUMBER(SEARCH("Complete",A2))</formula>
    </cfRule>
    <cfRule type="expression" priority="2" dxfId="0">
      <formula>ISNUMBER(SEARCH("Approved",A2))</formula>
    </cfRule>
    <cfRule type="expression" priority="3" dxfId="0">
      <formula>ISNUMBER(SEARCH("Installed",A2))</formula>
    </cfRule>
    <cfRule type="expression" priority="4" dxfId="0">
      <formula>ISNUMBER(SEARCH("Paid",A2))</formula>
    </cfRule>
    <cfRule type="expression" priority="5" dxfId="1">
      <formula>ISNUMBER(SEARCH("Pending",A2))</formula>
    </cfRule>
    <cfRule type="expression" priority="6" dxfId="1">
      <formula>ISNUMBER(SEARCH("In progress",A2))</formula>
    </cfRule>
    <cfRule type="expression" priority="7" dxfId="1">
      <formula>ISNUMBER(SEARCH("Sent",A2))</formula>
    </cfRule>
    <cfRule type="expression" priority="8" dxfId="2">
      <formula>ISNUMBER(SEARCH("Delayed",A2))</formula>
    </cfRule>
    <cfRule type="expression" priority="9" dxfId="2">
      <formula>ISNUMBER(SEARCH("Overdue",A2))</formula>
    </cfRule>
    <cfRule type="expression" priority="10" dxfId="2">
      <formula>ISNUMBER(SEARCH("Rejected",A2))</formula>
    </cfRule>
    <cfRule type="expression" priority="11" dxfId="3">
      <formula>ISNUMBER(SEARCH("Cancelled",A2))</formula>
    </cfRule>
    <cfRule type="expression" priority="12" dxfId="3">
      <formula>ISNUMBER(SEARCH("On hold",A2))</formula>
    </cfRule>
  </conditionalFormatting>
  <dataValidations count="2">
    <dataValidation sqref="D2:D251" showDropDown="0" showInputMessage="0" showErrorMessage="0" allowBlank="1" type="list">
      <formula1>='Lists'!$F$2:$F$5</formula1>
    </dataValidation>
    <dataValidation sqref="F2:F251" showDropDown="0" showInputMessage="0" showErrorMessage="0" allowBlank="1" type="list">
      <formula1>='Lists'!$V$2:$V$7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6" customWidth="1" min="4" max="4"/>
    <col width="16" customWidth="1" min="5" max="5"/>
    <col width="14" customWidth="1" min="6" max="6"/>
    <col width="14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17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4" customWidth="1" min="19" max="19"/>
    <col width="15" customWidth="1" min="20" max="20"/>
    <col width="14" customWidth="1" min="21" max="21"/>
    <col width="14" customWidth="1" min="22" max="22"/>
    <col width="18" customWidth="1" min="23" max="23"/>
    <col width="14" customWidth="1" min="24" max="24"/>
    <col width="17" customWidth="1" min="25" max="25"/>
    <col width="14" customWidth="1" min="26" max="26"/>
    <col width="18" customWidth="1" min="27" max="27"/>
  </cols>
  <sheetData>
    <row r="1">
      <c r="A1" s="15" t="inlineStr">
        <is>
          <t>projectTypes</t>
        </is>
      </c>
      <c r="B1" s="15" t="inlineStr">
        <is>
          <t>yesNo</t>
        </is>
      </c>
      <c r="C1" s="15" t="inlineStr">
        <is>
          <t>projectStatuses</t>
        </is>
      </c>
      <c r="D1" s="15" t="inlineStr">
        <is>
          <t>billingMethods</t>
        </is>
      </c>
      <c r="E1" s="15" t="inlineStr">
        <is>
          <t>designStatuses</t>
        </is>
      </c>
      <c r="F1" s="15" t="inlineStr">
        <is>
          <t>priorities</t>
        </is>
      </c>
      <c r="G1" s="15" t="inlineStr">
        <is>
          <t>roomTypes</t>
        </is>
      </c>
      <c r="H1" s="15" t="inlineStr">
        <is>
          <t>ffeCategories</t>
        </is>
      </c>
      <c r="I1" s="15" t="inlineStr">
        <is>
          <t>itemStatuses</t>
        </is>
      </c>
      <c r="J1" s="15" t="inlineStr">
        <is>
          <t>orderStatuses</t>
        </is>
      </c>
      <c r="K1" s="15" t="inlineStr">
        <is>
          <t>approvalStatuses</t>
        </is>
      </c>
      <c r="L1" s="15" t="inlineStr">
        <is>
          <t>deliveryStatuses</t>
        </is>
      </c>
      <c r="M1" s="15" t="inlineStr">
        <is>
          <t>installStatuses</t>
        </is>
      </c>
      <c r="N1" s="15" t="inlineStr">
        <is>
          <t>fixtureTypes</t>
        </is>
      </c>
      <c r="O1" s="15" t="inlineStr">
        <is>
          <t>finishTypes</t>
        </is>
      </c>
      <c r="P1" s="15" t="inlineStr">
        <is>
          <t>surfaces</t>
        </is>
      </c>
      <c r="Q1" s="15" t="inlineStr">
        <is>
          <t>vendorTypes</t>
        </is>
      </c>
      <c r="R1" s="15" t="inlineStr">
        <is>
          <t>budgetCategories</t>
        </is>
      </c>
      <c r="S1" s="15" t="inlineStr">
        <is>
          <t>damageChecks</t>
        </is>
      </c>
      <c r="T1" s="15" t="inlineStr">
        <is>
          <t>approvalTypes</t>
        </is>
      </c>
      <c r="U1" s="15" t="inlineStr">
        <is>
          <t>phases</t>
        </is>
      </c>
      <c r="V1" s="15" t="inlineStr">
        <is>
          <t>taskStatuses</t>
        </is>
      </c>
      <c r="W1" s="15" t="inlineStr">
        <is>
          <t>measurementTypes</t>
        </is>
      </c>
      <c r="X1" s="15" t="inlineStr">
        <is>
          <t>trades</t>
        </is>
      </c>
      <c r="Y1" s="15" t="inlineStr">
        <is>
          <t>paymentStatuses</t>
        </is>
      </c>
      <c r="Z1" s="15" t="inlineStr">
        <is>
          <t>meetingTypes</t>
        </is>
      </c>
      <c r="AA1" s="15" t="inlineStr">
        <is>
          <t>preferredOptions</t>
        </is>
      </c>
    </row>
    <row r="2">
      <c r="A2" t="inlineStr">
        <is>
          <t>Residential</t>
        </is>
      </c>
      <c r="B2" t="inlineStr">
        <is>
          <t>Yes</t>
        </is>
      </c>
      <c r="C2" t="inlineStr">
        <is>
          <t>Not started</t>
        </is>
      </c>
      <c r="D2" t="inlineStr">
        <is>
          <t>Flat fee</t>
        </is>
      </c>
      <c r="E2" t="inlineStr">
        <is>
          <t>Not started</t>
        </is>
      </c>
      <c r="F2" t="inlineStr">
        <is>
          <t>Low</t>
        </is>
      </c>
      <c r="G2" t="inlineStr">
        <is>
          <t>Living room</t>
        </is>
      </c>
      <c r="H2" t="inlineStr">
        <is>
          <t>Sofa</t>
        </is>
      </c>
      <c r="I2" t="inlineStr">
        <is>
          <t>Sourcing</t>
        </is>
      </c>
      <c r="J2" t="inlineStr">
        <is>
          <t>Not ordered</t>
        </is>
      </c>
      <c r="K2" t="inlineStr">
        <is>
          <t>Not sent</t>
        </is>
      </c>
      <c r="L2" t="inlineStr">
        <is>
          <t>Not ordered</t>
        </is>
      </c>
      <c r="M2" t="inlineStr">
        <is>
          <t>Not scheduled</t>
        </is>
      </c>
      <c r="N2" t="inlineStr">
        <is>
          <t>Lighting</t>
        </is>
      </c>
      <c r="O2" t="inlineStr">
        <is>
          <t>Paint</t>
        </is>
      </c>
      <c r="P2" t="inlineStr">
        <is>
          <t>Wall</t>
        </is>
      </c>
      <c r="Q2" t="inlineStr">
        <is>
          <t>Furniture</t>
        </is>
      </c>
      <c r="R2" t="inlineStr">
        <is>
          <t>Furniture</t>
        </is>
      </c>
      <c r="S2" t="inlineStr">
        <is>
          <t>Not checked</t>
        </is>
      </c>
      <c r="T2" t="inlineStr">
        <is>
          <t>Furniture</t>
        </is>
      </c>
      <c r="U2" t="inlineStr">
        <is>
          <t>Consultation</t>
        </is>
      </c>
      <c r="V2" t="inlineStr">
        <is>
          <t>Not started</t>
        </is>
      </c>
      <c r="W2" t="inlineStr">
        <is>
          <t>Room</t>
        </is>
      </c>
      <c r="X2" t="inlineStr">
        <is>
          <t>General contractor</t>
        </is>
      </c>
      <c r="Y2" t="inlineStr">
        <is>
          <t>Draft</t>
        </is>
      </c>
      <c r="Z2" t="inlineStr">
        <is>
          <t>Client consultation</t>
        </is>
      </c>
      <c r="AA2" t="inlineStr">
        <is>
          <t>Option 1</t>
        </is>
      </c>
    </row>
    <row r="3">
      <c r="A3" t="inlineStr">
        <is>
          <t>Commercial</t>
        </is>
      </c>
      <c r="B3" t="inlineStr">
        <is>
          <t>No</t>
        </is>
      </c>
      <c r="C3" t="inlineStr">
        <is>
          <t>In progress</t>
        </is>
      </c>
      <c r="D3" t="inlineStr">
        <is>
          <t>Hourly</t>
        </is>
      </c>
      <c r="E3" t="inlineStr">
        <is>
          <t>Concept</t>
        </is>
      </c>
      <c r="F3" t="inlineStr">
        <is>
          <t>Medium</t>
        </is>
      </c>
      <c r="G3" t="inlineStr">
        <is>
          <t>Bedroom</t>
        </is>
      </c>
      <c r="H3" t="inlineStr">
        <is>
          <t>Chair</t>
        </is>
      </c>
      <c r="I3" t="inlineStr">
        <is>
          <t>Option selected</t>
        </is>
      </c>
      <c r="J3" t="inlineStr">
        <is>
          <t>Ordered</t>
        </is>
      </c>
      <c r="K3" t="inlineStr">
        <is>
          <t>Sent</t>
        </is>
      </c>
      <c r="L3" t="inlineStr">
        <is>
          <t>Ordered</t>
        </is>
      </c>
      <c r="M3" t="inlineStr">
        <is>
          <t>Scheduled</t>
        </is>
      </c>
      <c r="N3" t="inlineStr">
        <is>
          <t>Faucet</t>
        </is>
      </c>
      <c r="O3" t="inlineStr">
        <is>
          <t>Wallpaper</t>
        </is>
      </c>
      <c r="P3" t="inlineStr">
        <is>
          <t>Ceiling</t>
        </is>
      </c>
      <c r="Q3" t="inlineStr">
        <is>
          <t>Lighting</t>
        </is>
      </c>
      <c r="R3" t="inlineStr">
        <is>
          <t>Lighting</t>
        </is>
      </c>
      <c r="S3" t="inlineStr">
        <is>
          <t>Good condition</t>
        </is>
      </c>
      <c r="T3" t="inlineStr">
        <is>
          <t>Finish</t>
        </is>
      </c>
      <c r="U3" t="inlineStr">
        <is>
          <t>Measurements</t>
        </is>
      </c>
      <c r="V3" t="inlineStr">
        <is>
          <t>In progress</t>
        </is>
      </c>
      <c r="W3" t="inlineStr">
        <is>
          <t>Wall</t>
        </is>
      </c>
      <c r="X3" t="inlineStr">
        <is>
          <t>Painter</t>
        </is>
      </c>
      <c r="Y3" t="inlineStr">
        <is>
          <t>Sent</t>
        </is>
      </c>
      <c r="Z3" t="inlineStr">
        <is>
          <t>Vendor meeting</t>
        </is>
      </c>
      <c r="AA3" t="inlineStr">
        <is>
          <t>Option 2</t>
        </is>
      </c>
    </row>
    <row r="4">
      <c r="A4" t="inlineStr">
        <is>
          <t>Office</t>
        </is>
      </c>
      <c r="C4" t="inlineStr">
        <is>
          <t>On hold</t>
        </is>
      </c>
      <c r="D4" t="inlineStr">
        <is>
          <t>Percentage</t>
        </is>
      </c>
      <c r="E4" t="inlineStr">
        <is>
          <t>Sourcing</t>
        </is>
      </c>
      <c r="F4" t="inlineStr">
        <is>
          <t>High</t>
        </is>
      </c>
      <c r="G4" t="inlineStr">
        <is>
          <t>Kitchen</t>
        </is>
      </c>
      <c r="H4" t="inlineStr">
        <is>
          <t>Table</t>
        </is>
      </c>
      <c r="I4" t="inlineStr">
        <is>
          <t>Client review</t>
        </is>
      </c>
      <c r="J4" t="inlineStr">
        <is>
          <t>Confirmed</t>
        </is>
      </c>
      <c r="K4" t="inlineStr">
        <is>
          <t>Client review</t>
        </is>
      </c>
      <c r="L4" t="inlineStr">
        <is>
          <t>Shipped</t>
        </is>
      </c>
      <c r="M4" t="inlineStr">
        <is>
          <t>Installed</t>
        </is>
      </c>
      <c r="N4" t="inlineStr">
        <is>
          <t>Sink</t>
        </is>
      </c>
      <c r="O4" t="inlineStr">
        <is>
          <t>Flooring</t>
        </is>
      </c>
      <c r="P4" t="inlineStr">
        <is>
          <t>Floor</t>
        </is>
      </c>
      <c r="Q4" t="inlineStr">
        <is>
          <t>Fabric</t>
        </is>
      </c>
      <c r="R4" t="inlineStr">
        <is>
          <t>Rugs</t>
        </is>
      </c>
      <c r="S4" t="inlineStr">
        <is>
          <t>Damaged</t>
        </is>
      </c>
      <c r="T4" t="inlineStr">
        <is>
          <t>Layout</t>
        </is>
      </c>
      <c r="U4" t="inlineStr">
        <is>
          <t>Concept design</t>
        </is>
      </c>
      <c r="V4" t="inlineStr">
        <is>
          <t>Waiting on client</t>
        </is>
      </c>
      <c r="W4" t="inlineStr">
        <is>
          <t>Window</t>
        </is>
      </c>
      <c r="X4" t="inlineStr">
        <is>
          <t>Electrician</t>
        </is>
      </c>
      <c r="Y4" t="inlineStr">
        <is>
          <t>Paid</t>
        </is>
      </c>
      <c r="Z4" t="inlineStr">
        <is>
          <t>Site visit</t>
        </is>
      </c>
      <c r="AA4" t="inlineStr">
        <is>
          <t>Option 3</t>
        </is>
      </c>
    </row>
    <row r="5">
      <c r="A5" t="inlineStr">
        <is>
          <t>Retail</t>
        </is>
      </c>
      <c r="C5" t="inlineStr">
        <is>
          <t>Complete</t>
        </is>
      </c>
      <c r="D5" t="inlineStr">
        <is>
          <t>Hybrid</t>
        </is>
      </c>
      <c r="E5" t="inlineStr">
        <is>
          <t>Client review</t>
        </is>
      </c>
      <c r="F5" t="inlineStr">
        <is>
          <t>Urgent</t>
        </is>
      </c>
      <c r="G5" t="inlineStr">
        <is>
          <t>Bathroom</t>
        </is>
      </c>
      <c r="H5" t="inlineStr">
        <is>
          <t>Bed</t>
        </is>
      </c>
      <c r="I5" t="inlineStr">
        <is>
          <t>Approved</t>
        </is>
      </c>
      <c r="J5" t="inlineStr">
        <is>
          <t>In production</t>
        </is>
      </c>
      <c r="K5" t="inlineStr">
        <is>
          <t>Approved</t>
        </is>
      </c>
      <c r="L5" t="inlineStr">
        <is>
          <t>Delivered</t>
        </is>
      </c>
      <c r="M5" t="inlineStr">
        <is>
          <t>Punch list</t>
        </is>
      </c>
      <c r="N5" t="inlineStr">
        <is>
          <t>Shower fixture</t>
        </is>
      </c>
      <c r="O5" t="inlineStr">
        <is>
          <t>Tile</t>
        </is>
      </c>
      <c r="P5" t="inlineStr">
        <is>
          <t>Cabinet</t>
        </is>
      </c>
      <c r="Q5" t="inlineStr">
        <is>
          <t>Flooring</t>
        </is>
      </c>
      <c r="R5" t="inlineStr">
        <is>
          <t>Decor</t>
        </is>
      </c>
      <c r="S5" t="inlineStr">
        <is>
          <t>Missing item</t>
        </is>
      </c>
      <c r="T5" t="inlineStr">
        <is>
          <t>Color palette</t>
        </is>
      </c>
      <c r="U5" t="inlineStr">
        <is>
          <t>Sourcing</t>
        </is>
      </c>
      <c r="V5" t="inlineStr">
        <is>
          <t>Waiting on vendor</t>
        </is>
      </c>
      <c r="W5" t="inlineStr">
        <is>
          <t>Door</t>
        </is>
      </c>
      <c r="X5" t="inlineStr">
        <is>
          <t>Plumber</t>
        </is>
      </c>
      <c r="Y5" t="inlineStr">
        <is>
          <t>Partially paid</t>
        </is>
      </c>
      <c r="Z5" t="inlineStr">
        <is>
          <t>Installation meeting</t>
        </is>
      </c>
    </row>
    <row r="6">
      <c r="A6" t="inlineStr">
        <is>
          <t>Hospitality</t>
        </is>
      </c>
      <c r="C6" t="inlineStr">
        <is>
          <t>Delayed</t>
        </is>
      </c>
      <c r="E6" t="inlineStr">
        <is>
          <t>Approved</t>
        </is>
      </c>
      <c r="G6" t="inlineStr">
        <is>
          <t>Dining room</t>
        </is>
      </c>
      <c r="H6" t="inlineStr">
        <is>
          <t>Rug</t>
        </is>
      </c>
      <c r="I6" t="inlineStr">
        <is>
          <t>Ordered</t>
        </is>
      </c>
      <c r="J6" t="inlineStr">
        <is>
          <t>Shipped</t>
        </is>
      </c>
      <c r="K6" t="inlineStr">
        <is>
          <t>Revisions requested</t>
        </is>
      </c>
      <c r="L6" t="inlineStr">
        <is>
          <t>Delayed</t>
        </is>
      </c>
      <c r="M6" t="inlineStr">
        <is>
          <t>Delayed</t>
        </is>
      </c>
      <c r="N6" t="inlineStr">
        <is>
          <t>Tub</t>
        </is>
      </c>
      <c r="O6" t="inlineStr">
        <is>
          <t>Countertop</t>
        </is>
      </c>
      <c r="P6" t="inlineStr">
        <is>
          <t>Countertop</t>
        </is>
      </c>
      <c r="Q6" t="inlineStr">
        <is>
          <t>Tile</t>
        </is>
      </c>
      <c r="R6" t="inlineStr">
        <is>
          <t>Artwork</t>
        </is>
      </c>
      <c r="S6" t="inlineStr">
        <is>
          <t>Wrong item</t>
        </is>
      </c>
      <c r="T6" t="inlineStr">
        <is>
          <t>Budget</t>
        </is>
      </c>
      <c r="U6" t="inlineStr">
        <is>
          <t>Client approval</t>
        </is>
      </c>
      <c r="V6" t="inlineStr">
        <is>
          <t>Complete</t>
        </is>
      </c>
      <c r="W6" t="inlineStr">
        <is>
          <t>Cabinet</t>
        </is>
      </c>
      <c r="X6" t="inlineStr">
        <is>
          <t>Flooring installer</t>
        </is>
      </c>
      <c r="Y6" t="inlineStr">
        <is>
          <t>Overdue</t>
        </is>
      </c>
      <c r="Z6" t="inlineStr">
        <is>
          <t>Contractor meeting</t>
        </is>
      </c>
    </row>
    <row r="7">
      <c r="A7" t="inlineStr">
        <is>
          <t>Staging</t>
        </is>
      </c>
      <c r="C7" t="inlineStr">
        <is>
          <t>Cancelled</t>
        </is>
      </c>
      <c r="E7" t="inlineStr">
        <is>
          <t>Ordered</t>
        </is>
      </c>
      <c r="G7" t="inlineStr">
        <is>
          <t>Entryway</t>
        </is>
      </c>
      <c r="H7" t="inlineStr">
        <is>
          <t>Lighting</t>
        </is>
      </c>
      <c r="I7" t="inlineStr">
        <is>
          <t>Shipped</t>
        </is>
      </c>
      <c r="J7" t="inlineStr">
        <is>
          <t>Delivered</t>
        </is>
      </c>
      <c r="K7" t="inlineStr">
        <is>
          <t>Rejected</t>
        </is>
      </c>
      <c r="L7" t="inlineStr">
        <is>
          <t>Cancelled</t>
        </is>
      </c>
      <c r="M7" t="inlineStr">
        <is>
          <t>Cancelled</t>
        </is>
      </c>
      <c r="N7" t="inlineStr">
        <is>
          <t>Toilet</t>
        </is>
      </c>
      <c r="O7" t="inlineStr">
        <is>
          <t>Backsplash</t>
        </is>
      </c>
      <c r="P7" t="inlineStr">
        <is>
          <t>Shower wall</t>
        </is>
      </c>
      <c r="Q7" t="inlineStr">
        <is>
          <t>Paint</t>
        </is>
      </c>
      <c r="R7" t="inlineStr">
        <is>
          <t>Window treatments</t>
        </is>
      </c>
      <c r="T7" t="inlineStr">
        <is>
          <t>Purchase</t>
        </is>
      </c>
      <c r="U7" t="inlineStr">
        <is>
          <t>Purchasing</t>
        </is>
      </c>
      <c r="V7" t="inlineStr">
        <is>
          <t>Delayed</t>
        </is>
      </c>
      <c r="W7" t="inlineStr">
        <is>
          <t>Furniture space</t>
        </is>
      </c>
      <c r="X7" t="inlineStr">
        <is>
          <t>Tile installer</t>
        </is>
      </c>
      <c r="Y7" t="inlineStr">
        <is>
          <t>Cancelled</t>
        </is>
      </c>
      <c r="Z7" t="inlineStr">
        <is>
          <t>Final walkthrough</t>
        </is>
      </c>
    </row>
    <row r="8">
      <c r="E8" t="inlineStr">
        <is>
          <t>Installed</t>
        </is>
      </c>
      <c r="G8" t="inlineStr">
        <is>
          <t>Office</t>
        </is>
      </c>
      <c r="H8" t="inlineStr">
        <is>
          <t>Artwork</t>
        </is>
      </c>
      <c r="I8" t="inlineStr">
        <is>
          <t>Delivered</t>
        </is>
      </c>
      <c r="J8" t="inlineStr">
        <is>
          <t>Delayed</t>
        </is>
      </c>
      <c r="K8" t="inlineStr">
        <is>
          <t>On hold</t>
        </is>
      </c>
      <c r="L8" t="inlineStr">
        <is>
          <t>Returned</t>
        </is>
      </c>
      <c r="N8" t="inlineStr">
        <is>
          <t>Cabinet hardware</t>
        </is>
      </c>
      <c r="O8" t="inlineStr">
        <is>
          <t>Cabinet finish</t>
        </is>
      </c>
      <c r="P8" t="inlineStr">
        <is>
          <t>Backsplash</t>
        </is>
      </c>
      <c r="Q8" t="inlineStr">
        <is>
          <t>Wallpaper</t>
        </is>
      </c>
      <c r="R8" t="inlineStr">
        <is>
          <t>Flooring</t>
        </is>
      </c>
      <c r="T8" t="inlineStr">
        <is>
          <t>Vendor</t>
        </is>
      </c>
      <c r="U8" t="inlineStr">
        <is>
          <t>Construction</t>
        </is>
      </c>
      <c r="W8" t="inlineStr">
        <is>
          <t>Rug area</t>
        </is>
      </c>
      <c r="X8" t="inlineStr">
        <is>
          <t>Wallpaper installer</t>
        </is>
      </c>
      <c r="Y8" t="inlineStr">
        <is>
          <t>Unpaid</t>
        </is>
      </c>
    </row>
    <row r="9">
      <c r="E9" t="inlineStr">
        <is>
          <t>Complete</t>
        </is>
      </c>
      <c r="G9" t="inlineStr">
        <is>
          <t>Nursery</t>
        </is>
      </c>
      <c r="H9" t="inlineStr">
        <is>
          <t>Mirror</t>
        </is>
      </c>
      <c r="I9" t="inlineStr">
        <is>
          <t>Installed</t>
        </is>
      </c>
      <c r="J9" t="inlineStr">
        <is>
          <t>Cancelled</t>
        </is>
      </c>
      <c r="L9" t="inlineStr">
        <is>
          <t>Backordered</t>
        </is>
      </c>
      <c r="N9" t="inlineStr">
        <is>
          <t>Door hardware</t>
        </is>
      </c>
      <c r="O9" t="inlineStr">
        <is>
          <t>Fabric</t>
        </is>
      </c>
      <c r="P9" t="inlineStr">
        <is>
          <t>Upholstery</t>
        </is>
      </c>
      <c r="Q9" t="inlineStr">
        <is>
          <t>Decor</t>
        </is>
      </c>
      <c r="R9" t="inlineStr">
        <is>
          <t>Paint/wallcovering</t>
        </is>
      </c>
      <c r="T9" t="inlineStr">
        <is>
          <t>Design concept</t>
        </is>
      </c>
      <c r="U9" t="inlineStr">
        <is>
          <t>Delivery</t>
        </is>
      </c>
      <c r="W9" t="inlineStr">
        <is>
          <t>Lighting location</t>
        </is>
      </c>
      <c r="X9" t="inlineStr">
        <is>
          <t>Carpenter</t>
        </is>
      </c>
    </row>
    <row r="10">
      <c r="E10" t="inlineStr">
        <is>
          <t>On hold</t>
        </is>
      </c>
      <c r="G10" t="inlineStr">
        <is>
          <t>Outdoor</t>
        </is>
      </c>
      <c r="H10" t="inlineStr">
        <is>
          <t>Window treatment</t>
        </is>
      </c>
      <c r="I10" t="inlineStr">
        <is>
          <t>Cancelled</t>
        </is>
      </c>
      <c r="J10" t="inlineStr">
        <is>
          <t>Returned</t>
        </is>
      </c>
      <c r="N10" t="inlineStr">
        <is>
          <t>Appliance</t>
        </is>
      </c>
      <c r="O10" t="inlineStr">
        <is>
          <t>Trim</t>
        </is>
      </c>
      <c r="P10" t="inlineStr">
        <is>
          <t>Drapery</t>
        </is>
      </c>
      <c r="Q10" t="inlineStr">
        <is>
          <t>Hardware</t>
        </is>
      </c>
      <c r="R10" t="inlineStr">
        <is>
          <t>Contractor labor</t>
        </is>
      </c>
      <c r="U10" t="inlineStr">
        <is>
          <t>Installation</t>
        </is>
      </c>
      <c r="X10" t="inlineStr">
        <is>
          <t>Window treatment installer</t>
        </is>
      </c>
    </row>
    <row r="11">
      <c r="G11" t="inlineStr">
        <is>
          <t>Commercial space</t>
        </is>
      </c>
      <c r="H11" t="inlineStr">
        <is>
          <t>Hardware</t>
        </is>
      </c>
      <c r="I11" t="inlineStr">
        <is>
          <t>Backordered</t>
        </is>
      </c>
      <c r="N11" t="inlineStr">
        <is>
          <t>Electrical</t>
        </is>
      </c>
      <c r="O11" t="inlineStr">
        <is>
          <t>Stone</t>
        </is>
      </c>
      <c r="Q11" t="inlineStr">
        <is>
          <t>Contractor</t>
        </is>
      </c>
      <c r="R11" t="inlineStr">
        <is>
          <t>Installation</t>
        </is>
      </c>
      <c r="U11" t="inlineStr">
        <is>
          <t>Styling</t>
        </is>
      </c>
      <c r="X11" t="inlineStr">
        <is>
          <t>Furniture installer</t>
        </is>
      </c>
    </row>
    <row r="12">
      <c r="G12" t="inlineStr">
        <is>
          <t>Other</t>
        </is>
      </c>
      <c r="H12" t="inlineStr">
        <is>
          <t>Plumbing fixture</t>
        </is>
      </c>
      <c r="N12" t="inlineStr">
        <is>
          <t>Other</t>
        </is>
      </c>
      <c r="O12" t="inlineStr">
        <is>
          <t>Wood</t>
        </is>
      </c>
      <c r="Q12" t="inlineStr">
        <is>
          <t>Installer</t>
        </is>
      </c>
      <c r="R12" t="inlineStr">
        <is>
          <t>Shipping</t>
        </is>
      </c>
      <c r="U12" t="inlineStr">
        <is>
          <t>Final reveal</t>
        </is>
      </c>
      <c r="X12" t="inlineStr">
        <is>
          <t>Cleaner</t>
        </is>
      </c>
    </row>
    <row r="13">
      <c r="H13" t="inlineStr">
        <is>
          <t>Appliance</t>
        </is>
      </c>
      <c r="O13" t="inlineStr">
        <is>
          <t>Metal</t>
        </is>
      </c>
      <c r="Q13" t="inlineStr">
        <is>
          <t>Workroom</t>
        </is>
      </c>
      <c r="R13" t="inlineStr">
        <is>
          <t>Taxes</t>
        </is>
      </c>
      <c r="U13" t="inlineStr">
        <is>
          <t>Punch list</t>
        </is>
      </c>
      <c r="X13" t="inlineStr">
        <is>
          <t>Other</t>
        </is>
      </c>
    </row>
    <row r="14">
      <c r="H14" t="inlineStr">
        <is>
          <t>Decor</t>
        </is>
      </c>
      <c r="O14" t="inlineStr">
        <is>
          <t>Other</t>
        </is>
      </c>
      <c r="Q14" t="inlineStr">
        <is>
          <t>Custom furniture</t>
        </is>
      </c>
      <c r="R14" t="inlineStr">
        <is>
          <t>Design fee</t>
        </is>
      </c>
    </row>
    <row r="15">
      <c r="H15" t="inlineStr">
        <is>
          <t>Textile</t>
        </is>
      </c>
      <c r="Q15" t="inlineStr">
        <is>
          <t>Other</t>
        </is>
      </c>
      <c r="R15" t="inlineStr">
        <is>
          <t>Contingency</t>
        </is>
      </c>
    </row>
    <row r="16">
      <c r="H16" t="inlineStr">
        <is>
          <t>Cabinetry</t>
        </is>
      </c>
    </row>
    <row r="17">
      <c r="H17" t="inlineStr">
        <is>
          <t>Flooring</t>
        </is>
      </c>
    </row>
    <row r="18">
      <c r="H18" t="inlineStr">
        <is>
          <t>Wallcovering</t>
        </is>
      </c>
    </row>
    <row r="19">
      <c r="H1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2026-08-16T08:05:01Z</dcterms:created>
  <dcterms:modified xsi:type="dcterms:W3CDTF">2026-08-16T08:05:02Z</dcterms:modified>
</cp:coreProperties>
</file>