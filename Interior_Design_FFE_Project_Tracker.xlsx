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Lists" sheetId="1" state="hidden" r:id="rId1"/>
    <sheet name="01 Welcome" sheetId="2" state="visible" r:id="rId2"/>
    <sheet name="02 Dashboard" sheetId="3" state="visible" r:id="rId3"/>
    <sheet name="03 Client Profile" sheetId="4" state="visible" r:id="rId4"/>
    <sheet name="04 Room List" sheetId="5" state="visible" r:id="rId5"/>
    <sheet name="05 Master FF&amp;E" sheetId="6" state="visible" r:id="rId6"/>
    <sheet name="06 Furniture" sheetId="7" state="visible" r:id="rId7"/>
    <sheet name="07 Fixtures" sheetId="8" state="visible" r:id="rId8"/>
    <sheet name="08 Finishes" sheetId="9" state="visible" r:id="rId9"/>
    <sheet name="09 Sourcing" sheetId="10" state="visible" r:id="rId10"/>
    <sheet name="10 Vendors" sheetId="11" state="visible" r:id="rId11"/>
    <sheet name="11 Budget" sheetId="12" state="visible" r:id="rId12"/>
    <sheet name="12 Purchase Orders" sheetId="13" state="visible" r:id="rId13"/>
    <sheet name="13 Delivery &amp; Install" sheetId="14" state="visible" r:id="rId14"/>
    <sheet name="14 Client Approvals" sheetId="15" state="visible" r:id="rId15"/>
    <sheet name="15 Timeline" sheetId="16" state="visible" r:id="rId16"/>
    <sheet name="16 To-Do List" sheetId="17" state="visible" r:id="rId17"/>
    <sheet name="17 Measurements" sheetId="18" state="visible" r:id="rId18"/>
    <sheet name="18 Contractors" sheetId="19" state="visible" r:id="rId19"/>
    <sheet name="19 Invoices" sheetId="20" state="visible" r:id="rId20"/>
    <sheet name="20 Meeting Notes" sheetId="21" state="visible" r:id="rId21"/>
    <sheet name="21 Client FF&amp;E Report" sheetId="22" state="visible" r:id="rId22"/>
    <sheet name="22 Room Budget Report" sheetId="23" state="visible" r:id="rId23"/>
    <sheet name="23 Vendor Order Report" sheetId="24" state="visible" r:id="rId24"/>
    <sheet name="24 Install Checklist" sheetId="25" state="visible" r:id="rId25"/>
    <sheet name="25 Punch List" sheetId="26" state="visible" r:id="rId26"/>
  </sheets>
  <definedNames>
    <definedName name="_xlnm._FilterDatabase" localSheetId="4" hidden="1">'04 Room List'!$A$4:$K$34</definedName>
    <definedName name="_xlnm._FilterDatabase" localSheetId="5" hidden="1">'05 Master FF&amp;E'!$A$4:$AA$84</definedName>
    <definedName name="_xlnm._FilterDatabase" localSheetId="6" hidden="1">'06 Furniture'!$A$4:$N$49</definedName>
    <definedName name="_xlnm._FilterDatabase" localSheetId="7" hidden="1">'07 Fixtures'!$A$4:$N$39</definedName>
    <definedName name="_xlnm._FilterDatabase" localSheetId="8" hidden="1">'08 Finishes'!$A$4:$O$39</definedName>
    <definedName name="_xlnm._FilterDatabase" localSheetId="9" hidden="1">'09 Sourcing'!$A$4:$M$34</definedName>
    <definedName name="_xlnm._FilterDatabase" localSheetId="10" hidden="1">'10 Vendors'!$A$4:$L$39</definedName>
    <definedName name="_xlnm._FilterDatabase" localSheetId="11" hidden="1">'11 Budget'!$A$4:$I$18</definedName>
    <definedName name="_xlnm._FilterDatabase" localSheetId="12" hidden="1">'12 Purchase Orders'!$A$4:$P$39</definedName>
    <definedName name="_xlnm._FilterDatabase" localSheetId="13" hidden="1">'13 Delivery &amp; Install'!$A$4:$O$39</definedName>
    <definedName name="_xlnm._FilterDatabase" localSheetId="14" hidden="1">'14 Client Approvals'!$A$4:$J$39</definedName>
    <definedName name="_xlnm._FilterDatabase" localSheetId="15" hidden="1">'15 Timeline'!$A$4:$J$39</definedName>
    <definedName name="_xlnm._FilterDatabase" localSheetId="16" hidden="1">'16 To-Do List'!$A$4:$H$49</definedName>
    <definedName name="_xlnm._FilterDatabase" localSheetId="17" hidden="1">'17 Measurements'!$A$4:$K$39</definedName>
    <definedName name="_xlnm._FilterDatabase" localSheetId="18" hidden="1">'18 Contractors'!$A$4:$K$34</definedName>
    <definedName name="_xlnm._FilterDatabase" localSheetId="19" hidden="1">'19 Invoices'!$A$4:$J$34</definedName>
    <definedName name="_xlnm._FilterDatabase" localSheetId="20" hidden="1">'20 Meeting Notes'!$A$4:$H$39</definedName>
    <definedName name="_xlnm._FilterDatabase" localSheetId="21" hidden="1">'21 Client FF&amp;E Report'!$A$4:$J$19</definedName>
    <definedName name="_xlnm.Print_Titles" localSheetId="21">'21 Client FF&amp;E Report'!$1:$4</definedName>
    <definedName name="_xlnm._FilterDatabase" localSheetId="23" hidden="1">'23 Vendor Order Report'!$A$4:$I$20</definedName>
    <definedName name="_xlnm._FilterDatabase" localSheetId="24" hidden="1">'24 Install Checklist'!$A$4:$H$30</definedName>
    <definedName name="_xlnm._FilterDatabase" localSheetId="25" hidden="1">'25 Punch List'!$A$4:$I$29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_(&quot;$&quot;* #,##0.00_);_(&quot;$&quot;* (#,##0.00);_(&quot;$&quot;* &quot;-&quot;??_);_(@_)"/>
    <numFmt numFmtId="165" formatCode="0.0%"/>
    <numFmt numFmtId="166" formatCode="yyyy-mm-dd h:mm:ss"/>
    <numFmt numFmtId="167" formatCode="YYYY-MM-DD"/>
  </numFmts>
  <fonts count="38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b val="1"/>
      <color rgb="00FFFFFF"/>
      <sz val="24"/>
    </font>
    <font>
      <name val="Calibri"/>
      <i val="1"/>
      <color rgb="001F8A7E"/>
      <sz val="11"/>
    </font>
    <font>
      <name val="Calibri"/>
      <b val="1"/>
      <color rgb="000F2744"/>
      <sz val="13"/>
    </font>
    <font>
      <name val="Calibri"/>
      <b val="1"/>
      <color rgb="00FFFFFF"/>
      <sz val="12"/>
    </font>
    <font>
      <name val="Calibri"/>
      <b val="1"/>
      <color rgb="000F2744"/>
      <sz val="12"/>
    </font>
    <font>
      <name val="Calibri"/>
      <color rgb="001C1C1C"/>
      <sz val="10"/>
    </font>
    <font>
      <name val="Calibri"/>
      <b val="1"/>
      <color rgb="001F8A7E"/>
      <sz val="10"/>
    </font>
    <font>
      <name val="Calibri"/>
      <b val="1"/>
      <color rgb="002F6B4F"/>
      <sz val="10"/>
    </font>
    <font>
      <name val="Calibri"/>
      <b val="1"/>
      <color rgb="00F57F17"/>
      <sz val="10"/>
    </font>
    <font>
      <name val="Calibri"/>
      <b val="1"/>
      <color rgb="00A33B32"/>
      <sz val="10"/>
    </font>
    <font>
      <name val="Calibri"/>
      <b val="1"/>
      <color rgb="00616161"/>
      <sz val="10"/>
    </font>
    <font>
      <name val="Calibri"/>
      <b val="1"/>
      <color rgb="00C45C4A"/>
      <sz val="10"/>
    </font>
    <font>
      <name val="Calibri"/>
      <b val="1"/>
      <color rgb="000F2744"/>
      <sz val="10"/>
    </font>
    <font>
      <name val="Calibri"/>
      <b val="1"/>
      <color rgb="00FFFFFF"/>
      <sz val="22"/>
    </font>
    <font>
      <name val="Calibri"/>
      <b val="1"/>
      <color rgb="006B6560"/>
      <sz val="8"/>
    </font>
    <font>
      <name val="Calibri"/>
      <b val="1"/>
      <color rgb="00E8D48B"/>
      <sz val="8"/>
    </font>
    <font>
      <name val="Calibri"/>
      <b val="1"/>
      <color rgb="000F2744"/>
      <sz val="18"/>
    </font>
    <font>
      <name val="Calibri"/>
      <b val="1"/>
      <color rgb="001F8A7E"/>
      <sz val="18"/>
    </font>
    <font>
      <name val="Calibri"/>
      <b val="1"/>
      <color rgb="000D6B61"/>
      <sz val="18"/>
    </font>
    <font>
      <name val="Calibri"/>
      <b val="1"/>
      <color rgb="00C45C4A"/>
      <sz val="18"/>
    </font>
    <font>
      <name val="Calibri"/>
      <b val="1"/>
      <color rgb="00C9A227"/>
      <sz val="18"/>
    </font>
    <font>
      <name val="Calibri"/>
      <b val="1"/>
      <color rgb="002F6B4F"/>
      <sz val="18"/>
    </font>
    <font>
      <name val="Calibri"/>
      <b val="1"/>
      <color rgb="00A33B32"/>
      <sz val="18"/>
    </font>
    <font>
      <name val="Calibri"/>
      <b val="1"/>
      <color rgb="00B8860B"/>
      <sz val="18"/>
    </font>
    <font>
      <name val="Calibri"/>
      <b val="1"/>
      <color rgb="006B6560"/>
      <sz val="18"/>
    </font>
    <font>
      <name val="Calibri"/>
      <b val="1"/>
      <color rgb="00FFFFFF"/>
      <sz val="13"/>
    </font>
    <font>
      <name val="Calibri"/>
      <b val="1"/>
      <color rgb="000F2744"/>
      <sz val="11"/>
    </font>
    <font>
      <name val="Calibri"/>
      <b val="1"/>
      <color rgb="00FFFFFF"/>
      <sz val="11"/>
    </font>
    <font>
      <name val="Calibri"/>
      <i val="1"/>
      <color rgb="006B6560"/>
      <sz val="9"/>
    </font>
    <font>
      <name val="Calibri"/>
      <b val="1"/>
      <color rgb="00FFFFFF"/>
      <sz val="18"/>
    </font>
    <font>
      <name val="Calibri"/>
      <b val="1"/>
      <color rgb="001C1C1C"/>
      <sz val="11"/>
    </font>
    <font>
      <name val="Calibri"/>
      <color rgb="001C1C1C"/>
      <sz val="11"/>
    </font>
    <font>
      <name val="Calibri"/>
      <color rgb="006B6560"/>
      <sz val="10"/>
    </font>
    <font>
      <name val="Calibri"/>
      <color rgb="00C45C4A"/>
      <sz val="10"/>
    </font>
    <font>
      <name val="Calibri"/>
      <color rgb="001B3A5F"/>
      <sz val="11"/>
    </font>
    <font>
      <name val="Calibri"/>
      <color rgb="001F8A7E"/>
      <sz val="10"/>
    </font>
  </fonts>
  <fills count="16">
    <fill>
      <patternFill/>
    </fill>
    <fill>
      <patternFill patternType="gray125"/>
    </fill>
    <fill>
      <patternFill patternType="solid">
        <fgColor rgb="000F2744"/>
      </patternFill>
    </fill>
    <fill>
      <patternFill patternType="solid">
        <fgColor rgb="00C9A227"/>
      </patternFill>
    </fill>
    <fill>
      <patternFill patternType="solid">
        <fgColor rgb="00FBF7F1"/>
      </patternFill>
    </fill>
    <fill>
      <patternFill patternType="solid">
        <fgColor rgb="00E4F3F0"/>
      </patternFill>
    </fill>
    <fill>
      <patternFill patternType="solid">
        <fgColor rgb="001F8A7E"/>
      </patternFill>
    </fill>
    <fill>
      <patternFill patternType="solid">
        <fgColor rgb="00E9EEF5"/>
      </patternFill>
    </fill>
    <fill>
      <patternFill patternType="solid">
        <fgColor rgb="00F8F1DC"/>
      </patternFill>
    </fill>
    <fill>
      <patternFill patternType="solid">
        <fgColor rgb="00DCEFE4"/>
      </patternFill>
    </fill>
    <fill>
      <patternFill patternType="solid">
        <fgColor rgb="00FBF0D0"/>
      </patternFill>
    </fill>
    <fill>
      <patternFill patternType="solid">
        <fgColor rgb="00F5D9D6"/>
      </patternFill>
    </fill>
    <fill>
      <patternFill patternType="solid">
        <fgColor rgb="00E8E4DC"/>
      </patternFill>
    </fill>
    <fill>
      <patternFill patternType="solid">
        <fgColor rgb="00EEF4FA"/>
      </patternFill>
    </fill>
    <fill>
      <patternFill patternType="solid">
        <fgColor rgb="00FFFCF5"/>
      </patternFill>
    </fill>
    <fill>
      <patternFill patternType="solid">
        <fgColor rgb="00F0EBE3"/>
      </patternFill>
    </fill>
  </fills>
  <borders count="5">
    <border>
      <left/>
      <right/>
      <top/>
      <bottom/>
      <diagonal/>
    </border>
    <border>
      <left style="thin">
        <color rgb="00D6D0C6"/>
      </left>
      <right style="thin">
        <color rgb="00D6D0C6"/>
      </right>
      <top style="thin">
        <color rgb="00D6D0C6"/>
      </top>
      <bottom style="thin">
        <color rgb="00D6D0C6"/>
      </bottom>
    </border>
    <border>
      <left style="thin">
        <color rgb="001F8A7E"/>
      </left>
      <right style="thin">
        <color rgb="001F8A7E"/>
      </right>
      <top style="thin">
        <color rgb="001F8A7E"/>
      </top>
      <bottom style="medium">
        <color rgb="00C9A227"/>
      </bottom>
    </border>
    <border>
      <bottom style="medium">
        <color rgb="00C9A227"/>
      </bottom>
    </border>
    <border>
      <left style="thin">
        <color rgb="000F2744"/>
      </left>
      <right style="thin">
        <color rgb="000F2744"/>
      </right>
      <top style="thin">
        <color rgb="00C9A227"/>
      </top>
      <bottom style="medium">
        <color rgb="00C9A227"/>
      </bottom>
    </border>
  </borders>
  <cellStyleXfs count="1">
    <xf numFmtId="0" fontId="0" fillId="0" borderId="0"/>
  </cellStyleXfs>
  <cellXfs count="93">
    <xf numFmtId="0" fontId="0" fillId="0" borderId="0" pivotButton="0" quotePrefix="0" xfId="0"/>
    <xf numFmtId="0" fontId="1" fillId="2" borderId="0" pivotButton="0" quotePrefix="0" xfId="0"/>
    <xf numFmtId="0" fontId="2" fillId="2" borderId="0" applyAlignment="1" pivotButton="0" quotePrefix="0" xfId="0">
      <alignment horizontal="left" vertical="center" indent="1"/>
    </xf>
    <xf numFmtId="0" fontId="0" fillId="3" borderId="0" pivotButton="0" quotePrefix="0" xfId="0"/>
    <xf numFmtId="0" fontId="3" fillId="4" borderId="0" pivotButton="0" quotePrefix="0" xfId="0"/>
    <xf numFmtId="0" fontId="0" fillId="4" borderId="0" pivotButton="0" quotePrefix="0" xfId="0"/>
    <xf numFmtId="0" fontId="4" fillId="5" borderId="0" pivotButton="0" quotePrefix="0" xfId="0"/>
    <xf numFmtId="0" fontId="5" fillId="6" borderId="0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0" borderId="0" applyAlignment="1" pivotButton="0" quotePrefix="0" xfId="0">
      <alignment horizontal="left" vertical="center" wrapText="1"/>
    </xf>
    <xf numFmtId="0" fontId="4" fillId="7" borderId="0" pivotButton="0" quotePrefix="0" xfId="0"/>
    <xf numFmtId="0" fontId="8" fillId="0" borderId="1" pivotButton="0" quotePrefix="0" xfId="0"/>
    <xf numFmtId="0" fontId="7" fillId="0" borderId="1" pivotButton="0" quotePrefix="0" xfId="0"/>
    <xf numFmtId="0" fontId="8" fillId="4" borderId="1" pivotButton="0" quotePrefix="0" xfId="0"/>
    <xf numFmtId="0" fontId="7" fillId="4" borderId="1" pivotButton="0" quotePrefix="0" xfId="0"/>
    <xf numFmtId="0" fontId="4" fillId="8" borderId="0" pivotButton="0" quotePrefix="0" xfId="0"/>
    <xf numFmtId="0" fontId="7" fillId="0" borderId="0" pivotButton="0" quotePrefix="0" xfId="0"/>
    <xf numFmtId="0" fontId="9" fillId="9" borderId="1" applyAlignment="1" pivotButton="0" quotePrefix="0" xfId="0">
      <alignment horizontal="center" vertical="center" wrapText="1"/>
    </xf>
    <xf numFmtId="0" fontId="10" fillId="10" borderId="1" applyAlignment="1" pivotButton="0" quotePrefix="0" xfId="0">
      <alignment horizontal="center" vertical="center" wrapText="1"/>
    </xf>
    <xf numFmtId="0" fontId="11" fillId="11" borderId="1" applyAlignment="1" pivotButton="0" quotePrefix="0" xfId="0">
      <alignment horizontal="center" vertical="center" wrapText="1"/>
    </xf>
    <xf numFmtId="0" fontId="12" fillId="12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13" fillId="0" borderId="0" pivotButton="0" quotePrefix="0" xfId="0"/>
    <xf numFmtId="0" fontId="14" fillId="13" borderId="1" applyAlignment="1" pivotButton="0" quotePrefix="0" xfId="0">
      <alignment horizontal="center" vertical="center" wrapText="1"/>
    </xf>
    <xf numFmtId="0" fontId="14" fillId="14" borderId="1" applyAlignment="1" pivotButton="0" quotePrefix="0" xfId="0">
      <alignment horizontal="center" vertical="center" wrapText="1"/>
    </xf>
    <xf numFmtId="0" fontId="14" fillId="8" borderId="1" applyAlignment="1" pivotButton="0" quotePrefix="0" xfId="0">
      <alignment horizontal="center" vertical="center" wrapText="1"/>
    </xf>
    <xf numFmtId="0" fontId="15" fillId="2" borderId="0" applyAlignment="1" pivotButton="0" quotePrefix="0" xfId="0">
      <alignment horizontal="left" vertical="center" indent="1"/>
    </xf>
    <xf numFmtId="0" fontId="17" fillId="2" borderId="2" applyAlignment="1" pivotButton="0" quotePrefix="0" xfId="0">
      <alignment horizontal="center" vertical="center" wrapText="1"/>
    </xf>
    <xf numFmtId="164" fontId="18" fillId="13" borderId="2" applyAlignment="1" pivotButton="0" quotePrefix="0" xfId="0">
      <alignment horizontal="center" vertical="center" wrapText="1"/>
    </xf>
    <xf numFmtId="164" fontId="19" fillId="13" borderId="2" applyAlignment="1" pivotButton="0" quotePrefix="0" xfId="0">
      <alignment horizontal="center" vertical="center" wrapText="1"/>
    </xf>
    <xf numFmtId="164" fontId="21" fillId="13" borderId="2" applyAlignment="1" pivotButton="0" quotePrefix="0" xfId="0">
      <alignment horizontal="center" vertical="center" wrapText="1"/>
    </xf>
    <xf numFmtId="165" fontId="22" fillId="13" borderId="2" applyAlignment="1" pivotButton="0" quotePrefix="0" xfId="0">
      <alignment horizontal="center" vertical="center" wrapText="1"/>
    </xf>
    <xf numFmtId="1" fontId="23" fillId="13" borderId="2" applyAlignment="1" pivotButton="0" quotePrefix="0" xfId="0">
      <alignment horizontal="center" vertical="center" wrapText="1"/>
    </xf>
    <xf numFmtId="1" fontId="24" fillId="13" borderId="2" applyAlignment="1" pivotButton="0" quotePrefix="0" xfId="0">
      <alignment horizontal="center" vertical="center" wrapText="1"/>
    </xf>
    <xf numFmtId="1" fontId="25" fillId="13" borderId="2" applyAlignment="1" pivotButton="0" quotePrefix="0" xfId="0">
      <alignment horizontal="center" vertical="center" wrapText="1"/>
    </xf>
    <xf numFmtId="1" fontId="21" fillId="13" borderId="2" applyAlignment="1" pivotButton="0" quotePrefix="0" xfId="0">
      <alignment horizontal="center" vertical="center" wrapText="1"/>
    </xf>
    <xf numFmtId="1" fontId="26" fillId="13" borderId="2" applyAlignment="1" pivotButton="0" quotePrefix="0" xfId="0">
      <alignment horizontal="center" vertical="center" wrapText="1"/>
    </xf>
    <xf numFmtId="1" fontId="18" fillId="13" borderId="2" applyAlignment="1" pivotButton="0" quotePrefix="0" xfId="0">
      <alignment horizontal="center" vertical="center" wrapText="1"/>
    </xf>
    <xf numFmtId="0" fontId="27" fillId="6" borderId="0" pivotButton="0" quotePrefix="0" xfId="0"/>
    <xf numFmtId="0" fontId="0" fillId="6" borderId="0" pivotButton="0" quotePrefix="0" xfId="0"/>
    <xf numFmtId="0" fontId="28" fillId="0" borderId="0" pivotButton="0" quotePrefix="0" xfId="0"/>
    <xf numFmtId="0" fontId="0" fillId="13" borderId="0" pivotButton="0" quotePrefix="0" xfId="0"/>
    <xf numFmtId="164" fontId="0" fillId="13" borderId="0" pivotButton="0" quotePrefix="0" xfId="0"/>
    <xf numFmtId="0" fontId="29" fillId="2" borderId="0" pivotButton="0" quotePrefix="0" xfId="0"/>
    <xf numFmtId="0" fontId="7" fillId="9" borderId="0" pivotButton="0" quotePrefix="0" xfId="0"/>
    <xf numFmtId="0" fontId="7" fillId="10" borderId="0" pivotButton="0" quotePrefix="0" xfId="0"/>
    <xf numFmtId="0" fontId="7" fillId="11" borderId="0" pivotButton="0" quotePrefix="0" xfId="0"/>
    <xf numFmtId="0" fontId="7" fillId="12" borderId="0" pivotButton="0" quotePrefix="0" xfId="0"/>
    <xf numFmtId="0" fontId="7" fillId="13" borderId="0" pivotButton="0" quotePrefix="0" xfId="0"/>
    <xf numFmtId="0" fontId="30" fillId="0" borderId="0" applyAlignment="1" pivotButton="0" quotePrefix="0" xfId="0">
      <alignment horizontal="center" vertical="center" wrapText="1"/>
    </xf>
    <xf numFmtId="0" fontId="31" fillId="2" borderId="3" applyAlignment="1" pivotButton="0" quotePrefix="0" xfId="0">
      <alignment horizontal="left" vertical="center" indent="1"/>
    </xf>
    <xf numFmtId="0" fontId="0" fillId="2" borderId="3" pivotButton="0" quotePrefix="0" xfId="0"/>
    <xf numFmtId="0" fontId="30" fillId="4" borderId="0" applyAlignment="1" pivotButton="0" quotePrefix="0" xfId="0">
      <alignment horizontal="left" vertical="center" indent="1"/>
    </xf>
    <xf numFmtId="0" fontId="0" fillId="5" borderId="0" pivotButton="0" quotePrefix="0" xfId="0"/>
    <xf numFmtId="0" fontId="4" fillId="0" borderId="0" pivotButton="0" quotePrefix="0" xfId="0"/>
    <xf numFmtId="0" fontId="0" fillId="0" borderId="0" applyProtection="1" pivotButton="0" quotePrefix="0" xfId="0">
      <protection locked="0" hidden="0"/>
    </xf>
    <xf numFmtId="0" fontId="32" fillId="15" borderId="1" pivotButton="0" quotePrefix="0" xfId="0"/>
    <xf numFmtId="0" fontId="33" fillId="8" borderId="1" applyProtection="1" pivotButton="0" quotePrefix="0" xfId="0">
      <protection locked="0" hidden="0"/>
    </xf>
    <xf numFmtId="0" fontId="34" fillId="0" borderId="0" applyProtection="1" pivotButton="0" quotePrefix="0" xfId="0">
      <protection locked="0" hidden="0"/>
    </xf>
    <xf numFmtId="0" fontId="0" fillId="5" borderId="0" applyProtection="1" pivotButton="0" quotePrefix="0" xfId="0">
      <protection locked="0" hidden="0"/>
    </xf>
    <xf numFmtId="0" fontId="13" fillId="0" borderId="0" applyProtection="1" pivotButton="0" quotePrefix="0" xfId="0">
      <protection locked="0" hidden="0"/>
    </xf>
    <xf numFmtId="0" fontId="35" fillId="0" borderId="0" applyProtection="1" pivotButton="0" quotePrefix="0" xfId="0">
      <protection locked="0" hidden="0"/>
    </xf>
    <xf numFmtId="167" fontId="33" fillId="8" borderId="1" applyProtection="1" pivotButton="0" quotePrefix="0" xfId="0">
      <protection locked="0" hidden="0"/>
    </xf>
    <xf numFmtId="164" fontId="33" fillId="8" borderId="1" applyProtection="1" pivotButton="0" quotePrefix="0" xfId="0">
      <protection locked="0" hidden="0"/>
    </xf>
    <xf numFmtId="0" fontId="1" fillId="2" borderId="4" applyAlignment="1" pivotButton="0" quotePrefix="0" xfId="0">
      <alignment horizontal="center" vertical="center" wrapText="1"/>
    </xf>
    <xf numFmtId="0" fontId="0" fillId="0" borderId="1" applyAlignment="1" applyProtection="1" pivotButton="0" quotePrefix="0" xfId="0">
      <alignment horizontal="left" vertical="center" wrapText="1"/>
      <protection locked="0" hidden="0"/>
    </xf>
    <xf numFmtId="0" fontId="0" fillId="0" borderId="1" applyAlignment="1" applyProtection="1" pivotButton="0" quotePrefix="0" xfId="0">
      <alignment horizontal="center" vertical="center" wrapText="1"/>
      <protection locked="0" hidden="0"/>
    </xf>
    <xf numFmtId="164" fontId="0" fillId="0" borderId="1" applyAlignment="1" applyProtection="1" pivotButton="0" quotePrefix="0" xfId="0">
      <alignment horizontal="left" vertical="center" wrapText="1"/>
      <protection locked="0" hidden="0"/>
    </xf>
    <xf numFmtId="164" fontId="36" fillId="13" borderId="1" applyAlignment="1" pivotButton="0" quotePrefix="0" xfId="0">
      <alignment horizontal="center" vertical="center" wrapText="1"/>
    </xf>
    <xf numFmtId="0" fontId="29" fillId="2" borderId="0" applyProtection="1" pivotButton="0" quotePrefix="0" xfId="0">
      <protection locked="0" hidden="0"/>
    </xf>
    <xf numFmtId="164" fontId="29" fillId="2" borderId="1" pivotButton="0" quotePrefix="0" xfId="0"/>
    <xf numFmtId="164" fontId="29" fillId="2" borderId="0" pivotButton="0" quotePrefix="0" xfId="0"/>
    <xf numFmtId="167" fontId="0" fillId="0" borderId="1" applyAlignment="1" applyProtection="1" pivotButton="0" quotePrefix="0" xfId="0">
      <alignment horizontal="left" vertical="center" wrapText="1"/>
      <protection locked="0" hidden="0"/>
    </xf>
    <xf numFmtId="165" fontId="0" fillId="0" borderId="1" applyAlignment="1" applyProtection="1" pivotButton="0" quotePrefix="0" xfId="0">
      <alignment horizontal="center" vertical="center" wrapText="1"/>
      <protection locked="0" hidden="0"/>
    </xf>
    <xf numFmtId="165" fontId="0" fillId="0" borderId="1" applyAlignment="1" applyProtection="1" pivotButton="0" quotePrefix="0" xfId="0">
      <alignment horizontal="left" vertical="center" wrapText="1"/>
      <protection locked="0" hidden="0"/>
    </xf>
    <xf numFmtId="0" fontId="0" fillId="0" borderId="1" applyProtection="1" pivotButton="0" quotePrefix="0" xfId="0">
      <protection locked="0" hidden="0"/>
    </xf>
    <xf numFmtId="164" fontId="0" fillId="14" borderId="1" applyProtection="1" pivotButton="0" quotePrefix="0" xfId="0">
      <protection locked="0" hidden="0"/>
    </xf>
    <xf numFmtId="164" fontId="0" fillId="0" borderId="1" applyProtection="1" pivotButton="0" quotePrefix="0" xfId="0">
      <protection locked="0" hidden="0"/>
    </xf>
    <xf numFmtId="0" fontId="4" fillId="0" borderId="0" applyProtection="1" pivotButton="0" quotePrefix="0" xfId="0">
      <protection locked="0" hidden="0"/>
    </xf>
    <xf numFmtId="0" fontId="32" fillId="15" borderId="0" applyProtection="1" pivotButton="0" quotePrefix="0" xfId="0">
      <protection locked="0" hidden="0"/>
    </xf>
    <xf numFmtId="164" fontId="6" fillId="13" borderId="1" pivotButton="0" quotePrefix="0" xfId="0"/>
    <xf numFmtId="165" fontId="6" fillId="13" borderId="1" pivotButton="0" quotePrefix="0" xfId="0"/>
    <xf numFmtId="0" fontId="37" fillId="6" borderId="1" applyAlignment="1" applyProtection="1" pivotButton="0" quotePrefix="0" xfId="0">
      <alignment horizontal="center" vertical="center" wrapText="1"/>
      <protection locked="0" hidden="0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left" vertical="center" wrapText="1"/>
    </xf>
    <xf numFmtId="0" fontId="36" fillId="13" borderId="1" applyAlignment="1" pivotButton="0" quotePrefix="0" xfId="0">
      <alignment horizontal="left" vertical="center" wrapText="1"/>
    </xf>
    <xf numFmtId="165" fontId="36" fillId="13" borderId="1" applyAlignment="1" pivotButton="0" quotePrefix="0" xfId="0">
      <alignment horizontal="center" vertical="center" wrapText="1"/>
    </xf>
    <xf numFmtId="0" fontId="36" fillId="13" borderId="1" applyAlignment="1" pivotButton="0" quotePrefix="0" xfId="0">
      <alignment horizontal="center" vertical="center" wrapText="1"/>
    </xf>
    <xf numFmtId="167" fontId="36" fillId="13" borderId="1" applyAlignment="1" pivotButton="0" quotePrefix="0" xfId="0">
      <alignment horizontal="left" vertical="center" wrapText="1"/>
    </xf>
    <xf numFmtId="164" fontId="36" fillId="13" borderId="1" applyAlignment="1" pivotButton="0" quotePrefix="0" xfId="0">
      <alignment horizontal="left" vertical="center" wrapText="1"/>
    </xf>
    <xf numFmtId="167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dxfs count="6">
    <dxf>
      <font>
        <name val="Calibri"/>
        <b val="1"/>
        <color rgb="002F6B4F"/>
        <sz val="10"/>
      </font>
      <fill>
        <patternFill patternType="solid">
          <fgColor rgb="00DCEFE4"/>
        </patternFill>
      </fill>
    </dxf>
    <dxf>
      <font>
        <name val="Calibri"/>
        <b val="1"/>
        <color rgb="00F57F17"/>
        <sz val="10"/>
      </font>
      <fill>
        <patternFill patternType="solid">
          <fgColor rgb="00FBF0D0"/>
        </patternFill>
      </fill>
    </dxf>
    <dxf>
      <font>
        <name val="Calibri"/>
        <b val="1"/>
        <color rgb="00A33B32"/>
        <sz val="10"/>
      </font>
      <fill>
        <patternFill patternType="solid">
          <fgColor rgb="00F5D9D6"/>
        </patternFill>
      </fill>
    </dxf>
    <dxf>
      <font>
        <name val="Calibri"/>
        <b val="1"/>
        <color rgb="00616161"/>
        <sz val="10"/>
      </font>
      <fill>
        <patternFill patternType="solid">
          <fgColor rgb="00E8E4DC"/>
        </patternFill>
      </fill>
    </dxf>
    <dxf>
      <font>
        <name val="Calibri"/>
        <b val="1"/>
        <color rgb="00A33B32"/>
        <sz val="11"/>
      </font>
      <fill>
        <patternFill patternType="solid">
          <fgColor rgb="00F5D9D6"/>
        </patternFill>
      </fill>
    </dxf>
    <dxf>
      <font>
        <name val="Calibri"/>
        <b val="1"/>
        <color rgb="002F6B4F"/>
        <sz val="11"/>
      </font>
      <fill>
        <patternFill patternType="solid">
          <fgColor rgb="00DCEFE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styles" Target="styles.xml" Id="rId27" /><Relationship Type="http://schemas.openxmlformats.org/officeDocument/2006/relationships/theme" Target="theme/theme1.xml" Id="rId28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Budget vs Actual by Room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'02 Dashboard'!C15</f>
            </strRef>
          </tx>
          <spPr>
            <a:ln>
              <a:prstDash val="solid"/>
            </a:ln>
          </spPr>
          <cat>
            <numRef>
              <f>'02 Dashboard'!$B$16:$B$21</f>
            </numRef>
          </cat>
          <val>
            <numRef>
              <f>'02 Dashboard'!$C$16:$C$21</f>
            </numRef>
          </val>
        </ser>
        <ser>
          <idx val="1"/>
          <order val="1"/>
          <tx>
            <strRef>
              <f>'02 Dashboard'!D15</f>
            </strRef>
          </tx>
          <spPr>
            <a:ln>
              <a:prstDash val="solid"/>
            </a:ln>
          </spPr>
          <cat>
            <numRef>
              <f>'02 Dashboard'!$B$16:$B$21</f>
            </numRef>
          </cat>
          <val>
            <numRef>
              <f>'02 Dashboard'!$D$16:$D$21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Amount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Item Status Breakdown</a:t>
            </a:r>
          </a:p>
        </rich>
      </tx>
    </title>
    <plotArea>
      <pieChart>
        <varyColors val="1"/>
        <ser>
          <idx val="0"/>
          <order val="0"/>
          <tx>
            <strRef>
              <f>'02 Dashboard'!C25</f>
            </strRef>
          </tx>
          <spPr>
            <a:ln>
              <a:prstDash val="solid"/>
            </a:ln>
          </spPr>
          <cat>
            <numRef>
              <f>'02 Dashboard'!$B$26:$B$32</f>
            </numRef>
          </cat>
          <val>
            <numRef>
              <f>'02 Dashboard'!$C$26:$C$32</f>
            </numRef>
          </val>
        </ser>
        <dLbls>
          <showVal val="0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1"/>
  <chart>
    <title>
      <tx>
        <rich>
          <a:bodyPr/>
          <a:p>
            <a:pPr>
              <a:defRPr/>
            </a:pPr>
            <a:r>
              <a:t>Category Spend Breakdown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'02 Dashboard'!C36</f>
            </strRef>
          </tx>
          <spPr>
            <a:ln>
              <a:prstDash val="solid"/>
            </a:ln>
          </spPr>
          <cat>
            <numRef>
              <f>'02 Dashboard'!$B$37:$B$46</f>
            </numRef>
          </cat>
          <val>
            <numRef>
              <f>'02 Dashboard'!$C$37:$C$46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Delivery Status Breakdown</a:t>
            </a:r>
          </a:p>
        </rich>
      </tx>
    </title>
    <plotArea>
      <pieChart>
        <varyColors val="1"/>
        <ser>
          <idx val="0"/>
          <order val="0"/>
          <tx>
            <strRef>
              <f>'02 Dashboard'!C50</f>
            </strRef>
          </tx>
          <spPr>
            <a:ln>
              <a:prstDash val="solid"/>
            </a:ln>
          </spPr>
          <cat>
            <numRef>
              <f>'02 Dashboard'!$B$51:$B$55</f>
            </numRef>
          </cat>
          <val>
            <numRef>
              <f>'02 Dashboard'!$C$51:$C$55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13</row>
      <rowOff>0</rowOff>
    </from>
    <ext cx="540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27</row>
      <rowOff>0</rowOff>
    </from>
    <ext cx="432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5</col>
      <colOff>0</colOff>
      <row>39</row>
      <rowOff>0</rowOff>
    </from>
    <ext cx="540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1</col>
      <colOff>0</colOff>
      <row>56</row>
      <rowOff>0</rowOff>
    </from>
    <ext cx="4320000" cy="324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</cols>
  <sheetData>
    <row r="1">
      <c r="A1" s="1" t="inlineStr">
        <is>
          <t>Room Types</t>
        </is>
      </c>
      <c r="B1" s="1" t="inlineStr">
        <is>
          <t>FFE Categories</t>
        </is>
      </c>
      <c r="C1" s="1" t="inlineStr">
        <is>
          <t>Order Statuses</t>
        </is>
      </c>
      <c r="D1" s="1" t="inlineStr">
        <is>
          <t>Approval Statuses</t>
        </is>
      </c>
      <c r="E1" s="1" t="inlineStr">
        <is>
          <t>Delivery Statuses</t>
        </is>
      </c>
      <c r="F1" s="1" t="inlineStr">
        <is>
          <t>Install Statuses</t>
        </is>
      </c>
      <c r="G1" s="1" t="inlineStr">
        <is>
          <t>Priorities</t>
        </is>
      </c>
      <c r="H1" s="1" t="inlineStr">
        <is>
          <t>Payment Statuses</t>
        </is>
      </c>
      <c r="I1" s="1" t="inlineStr">
        <is>
          <t>Project Types</t>
        </is>
      </c>
      <c r="J1" s="1" t="inlineStr">
        <is>
          <t>Project Statuses</t>
        </is>
      </c>
      <c r="K1" s="1" t="inlineStr">
        <is>
          <t>Billing Methods</t>
        </is>
      </c>
      <c r="L1" s="1" t="inlineStr">
        <is>
          <t>Yes/No</t>
        </is>
      </c>
      <c r="M1" s="1" t="inlineStr">
        <is>
          <t>Design Statuses</t>
        </is>
      </c>
      <c r="N1" s="1" t="inlineStr">
        <is>
          <t>Fixture Types</t>
        </is>
      </c>
      <c r="O1" s="1" t="inlineStr">
        <is>
          <t>Finish Types</t>
        </is>
      </c>
      <c r="P1" s="1" t="inlineStr">
        <is>
          <t>Surfaces</t>
        </is>
      </c>
      <c r="Q1" s="1" t="inlineStr">
        <is>
          <t>Vendor Types</t>
        </is>
      </c>
      <c r="R1" s="1" t="inlineStr">
        <is>
          <t>Budget Categories</t>
        </is>
      </c>
      <c r="S1" s="1" t="inlineStr">
        <is>
          <t>Damage Checks</t>
        </is>
      </c>
      <c r="T1" s="1" t="inlineStr">
        <is>
          <t>Approval Types</t>
        </is>
      </c>
      <c r="U1" s="1" t="inlineStr">
        <is>
          <t>Project Phases</t>
        </is>
      </c>
      <c r="V1" s="1" t="inlineStr">
        <is>
          <t>Task Statuses</t>
        </is>
      </c>
      <c r="W1" s="1" t="inlineStr">
        <is>
          <t>Task Categories</t>
        </is>
      </c>
      <c r="X1" s="1" t="inlineStr">
        <is>
          <t>Measurement Types</t>
        </is>
      </c>
      <c r="Y1" s="1" t="inlineStr">
        <is>
          <t>Trades</t>
        </is>
      </c>
      <c r="Z1" s="1" t="inlineStr">
        <is>
          <t>Meeting Types</t>
        </is>
      </c>
      <c r="AA1" s="1" t="inlineStr">
        <is>
          <t>PO Statuses</t>
        </is>
      </c>
      <c r="AB1" s="1" t="inlineStr">
        <is>
          <t>Room Names</t>
        </is>
      </c>
      <c r="AC1" s="1" t="inlineStr">
        <is>
          <t>Vendor Names</t>
        </is>
      </c>
    </row>
    <row r="2">
      <c r="A2" t="inlineStr">
        <is>
          <t>Living Room</t>
        </is>
      </c>
      <c r="B2" t="inlineStr">
        <is>
          <t>Sofa</t>
        </is>
      </c>
      <c r="C2" t="inlineStr">
        <is>
          <t>Sourcing</t>
        </is>
      </c>
      <c r="D2" t="inlineStr">
        <is>
          <t>Not Sent</t>
        </is>
      </c>
      <c r="E2" t="inlineStr">
        <is>
          <t>Not Ordered</t>
        </is>
      </c>
      <c r="F2" t="inlineStr">
        <is>
          <t>Not Scheduled</t>
        </is>
      </c>
      <c r="G2" t="inlineStr">
        <is>
          <t>Low</t>
        </is>
      </c>
      <c r="H2" t="inlineStr">
        <is>
          <t>Draft</t>
        </is>
      </c>
      <c r="I2" t="inlineStr">
        <is>
          <t>Residential</t>
        </is>
      </c>
      <c r="J2" t="inlineStr">
        <is>
          <t>Inquiry</t>
        </is>
      </c>
      <c r="K2" t="inlineStr">
        <is>
          <t>Flat Fee</t>
        </is>
      </c>
      <c r="L2" t="inlineStr">
        <is>
          <t>Yes</t>
        </is>
      </c>
      <c r="M2" t="inlineStr">
        <is>
          <t>Not Started</t>
        </is>
      </c>
      <c r="N2" t="inlineStr">
        <is>
          <t>Lighting</t>
        </is>
      </c>
      <c r="O2" t="inlineStr">
        <is>
          <t>Paint</t>
        </is>
      </c>
      <c r="P2" t="inlineStr">
        <is>
          <t>Wall</t>
        </is>
      </c>
      <c r="Q2" t="inlineStr">
        <is>
          <t>Furniture</t>
        </is>
      </c>
      <c r="R2" t="inlineStr">
        <is>
          <t>Furniture</t>
        </is>
      </c>
      <c r="S2" t="inlineStr">
        <is>
          <t>Not Checked</t>
        </is>
      </c>
      <c r="T2" t="inlineStr">
        <is>
          <t>Furniture</t>
        </is>
      </c>
      <c r="U2" t="inlineStr">
        <is>
          <t>Consultation</t>
        </is>
      </c>
      <c r="V2" t="inlineStr">
        <is>
          <t>Not Started</t>
        </is>
      </c>
      <c r="W2" t="inlineStr">
        <is>
          <t>Design</t>
        </is>
      </c>
      <c r="X2" t="inlineStr">
        <is>
          <t>Room</t>
        </is>
      </c>
      <c r="Y2" t="inlineStr">
        <is>
          <t>General Contractor</t>
        </is>
      </c>
      <c r="Z2" t="inlineStr">
        <is>
          <t>Client Consultation</t>
        </is>
      </c>
      <c r="AA2" t="inlineStr">
        <is>
          <t>Not Ordered</t>
        </is>
      </c>
      <c r="AB2" t="inlineStr">
        <is>
          <t>Living Room</t>
        </is>
      </c>
      <c r="AC2" t="inlineStr">
        <is>
          <t>Article</t>
        </is>
      </c>
    </row>
    <row r="3">
      <c r="A3" t="inlineStr">
        <is>
          <t>Bedroom</t>
        </is>
      </c>
      <c r="B3" t="inlineStr">
        <is>
          <t>Chair</t>
        </is>
      </c>
      <c r="C3" t="inlineStr">
        <is>
          <t>Option Selected</t>
        </is>
      </c>
      <c r="D3" t="inlineStr">
        <is>
          <t>Sent</t>
        </is>
      </c>
      <c r="E3" t="inlineStr">
        <is>
          <t>Ordered</t>
        </is>
      </c>
      <c r="F3" t="inlineStr">
        <is>
          <t>Scheduled</t>
        </is>
      </c>
      <c r="G3" t="inlineStr">
        <is>
          <t>Medium</t>
        </is>
      </c>
      <c r="H3" t="inlineStr">
        <is>
          <t>Sent</t>
        </is>
      </c>
      <c r="I3" t="inlineStr">
        <is>
          <t>Commercial</t>
        </is>
      </c>
      <c r="J3" t="inlineStr">
        <is>
          <t>Proposal</t>
        </is>
      </c>
      <c r="K3" t="inlineStr">
        <is>
          <t>Hourly</t>
        </is>
      </c>
      <c r="L3" t="inlineStr">
        <is>
          <t>No</t>
        </is>
      </c>
      <c r="M3" t="inlineStr">
        <is>
          <t>Concept</t>
        </is>
      </c>
      <c r="N3" t="inlineStr">
        <is>
          <t>Faucet</t>
        </is>
      </c>
      <c r="O3" t="inlineStr">
        <is>
          <t>Wallpaper</t>
        </is>
      </c>
      <c r="P3" t="inlineStr">
        <is>
          <t>Ceiling</t>
        </is>
      </c>
      <c r="Q3" t="inlineStr">
        <is>
          <t>Lighting</t>
        </is>
      </c>
      <c r="R3" t="inlineStr">
        <is>
          <t>Lighting</t>
        </is>
      </c>
      <c r="S3" t="inlineStr">
        <is>
          <t>Good Condition</t>
        </is>
      </c>
      <c r="T3" t="inlineStr">
        <is>
          <t>Finish</t>
        </is>
      </c>
      <c r="U3" t="inlineStr">
        <is>
          <t>Measurements</t>
        </is>
      </c>
      <c r="V3" t="inlineStr">
        <is>
          <t>In Progress</t>
        </is>
      </c>
      <c r="W3" t="inlineStr">
        <is>
          <t>Sourcing</t>
        </is>
      </c>
      <c r="X3" t="inlineStr">
        <is>
          <t>Wall</t>
        </is>
      </c>
      <c r="Y3" t="inlineStr">
        <is>
          <t>Painter</t>
        </is>
      </c>
      <c r="Z3" t="inlineStr">
        <is>
          <t>Vendor Meeting</t>
        </is>
      </c>
      <c r="AA3" t="inlineStr">
        <is>
          <t>Ordered</t>
        </is>
      </c>
      <c r="AB3" t="inlineStr">
        <is>
          <t>Master Bedroom</t>
        </is>
      </c>
      <c r="AC3" t="inlineStr">
        <is>
          <t>West Elm</t>
        </is>
      </c>
    </row>
    <row r="4">
      <c r="A4" t="inlineStr">
        <is>
          <t>Kitchen</t>
        </is>
      </c>
      <c r="B4" t="inlineStr">
        <is>
          <t>Table</t>
        </is>
      </c>
      <c r="C4" t="inlineStr">
        <is>
          <t>Client Review</t>
        </is>
      </c>
      <c r="D4" t="inlineStr">
        <is>
          <t>Approved</t>
        </is>
      </c>
      <c r="E4" t="inlineStr">
        <is>
          <t>Shipped</t>
        </is>
      </c>
      <c r="F4" t="inlineStr">
        <is>
          <t>In Progress</t>
        </is>
      </c>
      <c r="G4" t="inlineStr">
        <is>
          <t>High</t>
        </is>
      </c>
      <c r="H4" t="inlineStr">
        <is>
          <t>Paid</t>
        </is>
      </c>
      <c r="I4" t="inlineStr">
        <is>
          <t>Office</t>
        </is>
      </c>
      <c r="J4" t="inlineStr">
        <is>
          <t>Active</t>
        </is>
      </c>
      <c r="K4" t="inlineStr">
        <is>
          <t>Percentage</t>
        </is>
      </c>
      <c r="M4" t="inlineStr">
        <is>
          <t>In Progress</t>
        </is>
      </c>
      <c r="N4" t="inlineStr">
        <is>
          <t>Sink</t>
        </is>
      </c>
      <c r="O4" t="inlineStr">
        <is>
          <t>Flooring</t>
        </is>
      </c>
      <c r="P4" t="inlineStr">
        <is>
          <t>Floor</t>
        </is>
      </c>
      <c r="Q4" t="inlineStr">
        <is>
          <t>Fabric</t>
        </is>
      </c>
      <c r="R4" t="inlineStr">
        <is>
          <t>Rugs</t>
        </is>
      </c>
      <c r="S4" t="inlineStr">
        <is>
          <t>Damaged</t>
        </is>
      </c>
      <c r="T4" t="inlineStr">
        <is>
          <t>Layout</t>
        </is>
      </c>
      <c r="U4" t="inlineStr">
        <is>
          <t>Concept Design</t>
        </is>
      </c>
      <c r="V4" t="inlineStr">
        <is>
          <t>Waiting on Client</t>
        </is>
      </c>
      <c r="W4" t="inlineStr">
        <is>
          <t>Purchasing</t>
        </is>
      </c>
      <c r="X4" t="inlineStr">
        <is>
          <t>Window</t>
        </is>
      </c>
      <c r="Y4" t="inlineStr">
        <is>
          <t>Electrician</t>
        </is>
      </c>
      <c r="Z4" t="inlineStr">
        <is>
          <t>Site Visit</t>
        </is>
      </c>
      <c r="AA4" t="inlineStr">
        <is>
          <t>Confirmed</t>
        </is>
      </c>
      <c r="AB4" t="inlineStr">
        <is>
          <t>Kitchen</t>
        </is>
      </c>
      <c r="AC4" t="inlineStr">
        <is>
          <t>CB2</t>
        </is>
      </c>
    </row>
    <row r="5">
      <c r="A5" t="inlineStr">
        <is>
          <t>Bathroom</t>
        </is>
      </c>
      <c r="B5" t="inlineStr">
        <is>
          <t>Bed</t>
        </is>
      </c>
      <c r="C5" t="inlineStr">
        <is>
          <t>Approved</t>
        </is>
      </c>
      <c r="D5" t="inlineStr">
        <is>
          <t>Revisions Requested</t>
        </is>
      </c>
      <c r="E5" t="inlineStr">
        <is>
          <t>In Transit</t>
        </is>
      </c>
      <c r="F5" t="inlineStr">
        <is>
          <t>Installed</t>
        </is>
      </c>
      <c r="G5" t="inlineStr">
        <is>
          <t>Urgent</t>
        </is>
      </c>
      <c r="H5" t="inlineStr">
        <is>
          <t>Partially Paid</t>
        </is>
      </c>
      <c r="I5" t="inlineStr">
        <is>
          <t>Retail</t>
        </is>
      </c>
      <c r="J5" t="inlineStr">
        <is>
          <t>On Hold</t>
        </is>
      </c>
      <c r="K5" t="inlineStr">
        <is>
          <t>Hybrid</t>
        </is>
      </c>
      <c r="M5" t="inlineStr">
        <is>
          <t>Client Review</t>
        </is>
      </c>
      <c r="N5" t="inlineStr">
        <is>
          <t>Shower Fixture</t>
        </is>
      </c>
      <c r="O5" t="inlineStr">
        <is>
          <t>Tile</t>
        </is>
      </c>
      <c r="P5" t="inlineStr">
        <is>
          <t>Cabinet</t>
        </is>
      </c>
      <c r="Q5" t="inlineStr">
        <is>
          <t>Flooring</t>
        </is>
      </c>
      <c r="R5" t="inlineStr">
        <is>
          <t>Decor</t>
        </is>
      </c>
      <c r="S5" t="inlineStr">
        <is>
          <t>Missing Item</t>
        </is>
      </c>
      <c r="T5" t="inlineStr">
        <is>
          <t>Color Palette</t>
        </is>
      </c>
      <c r="U5" t="inlineStr">
        <is>
          <t>Sourcing</t>
        </is>
      </c>
      <c r="V5" t="inlineStr">
        <is>
          <t>Waiting on Vendor</t>
        </is>
      </c>
      <c r="W5" t="inlineStr">
        <is>
          <t>Client</t>
        </is>
      </c>
      <c r="X5" t="inlineStr">
        <is>
          <t>Door</t>
        </is>
      </c>
      <c r="Y5" t="inlineStr">
        <is>
          <t>Plumber</t>
        </is>
      </c>
      <c r="Z5" t="inlineStr">
        <is>
          <t>Installation Meeting</t>
        </is>
      </c>
      <c r="AA5" t="inlineStr">
        <is>
          <t>In Production</t>
        </is>
      </c>
      <c r="AB5" t="inlineStr">
        <is>
          <t>Dining Room</t>
        </is>
      </c>
      <c r="AC5" t="inlineStr">
        <is>
          <t>Visual Comfort</t>
        </is>
      </c>
    </row>
    <row r="6">
      <c r="A6" t="inlineStr">
        <is>
          <t>Dining Room</t>
        </is>
      </c>
      <c r="B6" t="inlineStr">
        <is>
          <t>Rug</t>
        </is>
      </c>
      <c r="C6" t="inlineStr">
        <is>
          <t>Ordered</t>
        </is>
      </c>
      <c r="D6" t="inlineStr">
        <is>
          <t>Rejected</t>
        </is>
      </c>
      <c r="E6" t="inlineStr">
        <is>
          <t>Delivered</t>
        </is>
      </c>
      <c r="F6" t="inlineStr">
        <is>
          <t>Punch List</t>
        </is>
      </c>
      <c r="H6" t="inlineStr">
        <is>
          <t>Overdue</t>
        </is>
      </c>
      <c r="I6" t="inlineStr">
        <is>
          <t>Hospitality</t>
        </is>
      </c>
      <c r="J6" t="inlineStr">
        <is>
          <t>Completed</t>
        </is>
      </c>
      <c r="M6" t="inlineStr">
        <is>
          <t>Approved</t>
        </is>
      </c>
      <c r="N6" t="inlineStr">
        <is>
          <t>Tub</t>
        </is>
      </c>
      <c r="O6" t="inlineStr">
        <is>
          <t>Countertop</t>
        </is>
      </c>
      <c r="P6" t="inlineStr">
        <is>
          <t>Countertop</t>
        </is>
      </c>
      <c r="Q6" t="inlineStr">
        <is>
          <t>Tile</t>
        </is>
      </c>
      <c r="R6" t="inlineStr">
        <is>
          <t>Artwork</t>
        </is>
      </c>
      <c r="S6" t="inlineStr">
        <is>
          <t>Wrong Item</t>
        </is>
      </c>
      <c r="T6" t="inlineStr">
        <is>
          <t>Budget</t>
        </is>
      </c>
      <c r="U6" t="inlineStr">
        <is>
          <t>Client Approval</t>
        </is>
      </c>
      <c r="V6" t="inlineStr">
        <is>
          <t>Complete</t>
        </is>
      </c>
      <c r="W6" t="inlineStr">
        <is>
          <t>Vendor</t>
        </is>
      </c>
      <c r="X6" t="inlineStr">
        <is>
          <t>Cabinet</t>
        </is>
      </c>
      <c r="Y6" t="inlineStr">
        <is>
          <t>Flooring Installer</t>
        </is>
      </c>
      <c r="Z6" t="inlineStr">
        <is>
          <t>Contractor Meeting</t>
        </is>
      </c>
      <c r="AA6" t="inlineStr">
        <is>
          <t>Shipped</t>
        </is>
      </c>
      <c r="AB6" t="inlineStr">
        <is>
          <t>Home Office</t>
        </is>
      </c>
      <c r="AC6" t="inlineStr">
        <is>
          <t>Schoolhouse</t>
        </is>
      </c>
    </row>
    <row r="7">
      <c r="A7" t="inlineStr">
        <is>
          <t>Entryway</t>
        </is>
      </c>
      <c r="B7" t="inlineStr">
        <is>
          <t>Lighting</t>
        </is>
      </c>
      <c r="C7" t="inlineStr">
        <is>
          <t>Shipped</t>
        </is>
      </c>
      <c r="D7" t="inlineStr">
        <is>
          <t>On Hold</t>
        </is>
      </c>
      <c r="E7" t="inlineStr">
        <is>
          <t>Delayed</t>
        </is>
      </c>
      <c r="F7" t="inlineStr">
        <is>
          <t>Complete</t>
        </is>
      </c>
      <c r="H7" t="inlineStr">
        <is>
          <t>Cancelled</t>
        </is>
      </c>
      <c r="I7" t="inlineStr">
        <is>
          <t>Staging</t>
        </is>
      </c>
      <c r="J7" t="inlineStr">
        <is>
          <t>Cancelled</t>
        </is>
      </c>
      <c r="M7" t="inlineStr">
        <is>
          <t>Complete</t>
        </is>
      </c>
      <c r="N7" t="inlineStr">
        <is>
          <t>Toilet</t>
        </is>
      </c>
      <c r="O7" t="inlineStr">
        <is>
          <t>Backsplash</t>
        </is>
      </c>
      <c r="P7" t="inlineStr">
        <is>
          <t>Shower Wall</t>
        </is>
      </c>
      <c r="Q7" t="inlineStr">
        <is>
          <t>Paint</t>
        </is>
      </c>
      <c r="R7" t="inlineStr">
        <is>
          <t>Window Treatments</t>
        </is>
      </c>
      <c r="T7" t="inlineStr">
        <is>
          <t>Purchase</t>
        </is>
      </c>
      <c r="U7" t="inlineStr">
        <is>
          <t>Purchasing</t>
        </is>
      </c>
      <c r="V7" t="inlineStr">
        <is>
          <t>Delayed</t>
        </is>
      </c>
      <c r="W7" t="inlineStr">
        <is>
          <t>Site</t>
        </is>
      </c>
      <c r="X7" t="inlineStr">
        <is>
          <t>Furniture Space</t>
        </is>
      </c>
      <c r="Y7" t="inlineStr">
        <is>
          <t>Tile Installer</t>
        </is>
      </c>
      <c r="Z7" t="inlineStr">
        <is>
          <t>Final Walkthrough</t>
        </is>
      </c>
      <c r="AA7" t="inlineStr">
        <is>
          <t>Delivered</t>
        </is>
      </c>
      <c r="AB7" t="inlineStr">
        <is>
          <t>Powder Room</t>
        </is>
      </c>
      <c r="AC7" t="inlineStr">
        <is>
          <t>Loloi</t>
        </is>
      </c>
    </row>
    <row r="8">
      <c r="A8" t="inlineStr">
        <is>
          <t>Office</t>
        </is>
      </c>
      <c r="B8" t="inlineStr">
        <is>
          <t>Artwork</t>
        </is>
      </c>
      <c r="C8" t="inlineStr">
        <is>
          <t>Delivered</t>
        </is>
      </c>
      <c r="E8" t="inlineStr">
        <is>
          <t>Partial</t>
        </is>
      </c>
      <c r="F8" t="inlineStr">
        <is>
          <t>On Hold</t>
        </is>
      </c>
      <c r="H8" t="inlineStr">
        <is>
          <t>Unpaid</t>
        </is>
      </c>
      <c r="M8" t="inlineStr">
        <is>
          <t>On Hold</t>
        </is>
      </c>
      <c r="N8" t="inlineStr">
        <is>
          <t>Cabinet Hardware</t>
        </is>
      </c>
      <c r="O8" t="inlineStr">
        <is>
          <t>Cabinet Finish</t>
        </is>
      </c>
      <c r="P8" t="inlineStr">
        <is>
          <t>Backsplash</t>
        </is>
      </c>
      <c r="Q8" t="inlineStr">
        <is>
          <t>Wallpaper</t>
        </is>
      </c>
      <c r="R8" t="inlineStr">
        <is>
          <t>Flooring</t>
        </is>
      </c>
      <c r="T8" t="inlineStr">
        <is>
          <t>Vendor</t>
        </is>
      </c>
      <c r="U8" t="inlineStr">
        <is>
          <t>Construction</t>
        </is>
      </c>
      <c r="W8" t="inlineStr">
        <is>
          <t>Installation</t>
        </is>
      </c>
      <c r="X8" t="inlineStr">
        <is>
          <t>Rug Area</t>
        </is>
      </c>
      <c r="Y8" t="inlineStr">
        <is>
          <t>Wallpaper Installer</t>
        </is>
      </c>
      <c r="AA8" t="inlineStr">
        <is>
          <t>Delayed</t>
        </is>
      </c>
      <c r="AC8" t="inlineStr">
        <is>
          <t>Wolf / Sub-Zero</t>
        </is>
      </c>
    </row>
    <row r="9">
      <c r="A9" t="inlineStr">
        <is>
          <t>Nursery</t>
        </is>
      </c>
      <c r="B9" t="inlineStr">
        <is>
          <t>Mirror</t>
        </is>
      </c>
      <c r="C9" t="inlineStr">
        <is>
          <t>Installed</t>
        </is>
      </c>
      <c r="E9" t="inlineStr">
        <is>
          <t>Cancelled</t>
        </is>
      </c>
      <c r="N9" t="inlineStr">
        <is>
          <t>Door Hardware</t>
        </is>
      </c>
      <c r="O9" t="inlineStr">
        <is>
          <t>Fabric</t>
        </is>
      </c>
      <c r="P9" t="inlineStr">
        <is>
          <t>Upholstery</t>
        </is>
      </c>
      <c r="Q9" t="inlineStr">
        <is>
          <t>Decor</t>
        </is>
      </c>
      <c r="R9" t="inlineStr">
        <is>
          <t>Paint/Wallcovering</t>
        </is>
      </c>
      <c r="T9" t="inlineStr">
        <is>
          <t>Design Concept</t>
        </is>
      </c>
      <c r="U9" t="inlineStr">
        <is>
          <t>Delivery</t>
        </is>
      </c>
      <c r="W9" t="inlineStr">
        <is>
          <t>Admin</t>
        </is>
      </c>
      <c r="X9" t="inlineStr">
        <is>
          <t>Lighting Location</t>
        </is>
      </c>
      <c r="Y9" t="inlineStr">
        <is>
          <t>Carpenter</t>
        </is>
      </c>
      <c r="AA9" t="inlineStr">
        <is>
          <t>Cancelled</t>
        </is>
      </c>
      <c r="AC9" t="inlineStr">
        <is>
          <t>Rejuvenation</t>
        </is>
      </c>
    </row>
    <row r="10">
      <c r="A10" t="inlineStr">
        <is>
          <t>Outdoor</t>
        </is>
      </c>
      <c r="B10" t="inlineStr">
        <is>
          <t>Window Treatment</t>
        </is>
      </c>
      <c r="C10" t="inlineStr">
        <is>
          <t>Cancelled</t>
        </is>
      </c>
      <c r="N10" t="inlineStr">
        <is>
          <t>Appliance</t>
        </is>
      </c>
      <c r="O10" t="inlineStr">
        <is>
          <t>Trim</t>
        </is>
      </c>
      <c r="P10" t="inlineStr">
        <is>
          <t>Drapery</t>
        </is>
      </c>
      <c r="Q10" t="inlineStr">
        <is>
          <t>Hardware</t>
        </is>
      </c>
      <c r="R10" t="inlineStr">
        <is>
          <t>Contractor Labor</t>
        </is>
      </c>
      <c r="U10" t="inlineStr">
        <is>
          <t>Installation</t>
        </is>
      </c>
      <c r="W10" t="inlineStr">
        <is>
          <t>Other</t>
        </is>
      </c>
      <c r="Y10" t="inlineStr">
        <is>
          <t>Window Treatment Installer</t>
        </is>
      </c>
      <c r="AA10" t="inlineStr">
        <is>
          <t>Returned</t>
        </is>
      </c>
      <c r="AC10" t="inlineStr">
        <is>
          <t>Four Hands</t>
        </is>
      </c>
    </row>
    <row r="11">
      <c r="A11" t="inlineStr">
        <is>
          <t>Commercial Space</t>
        </is>
      </c>
      <c r="B11" t="inlineStr">
        <is>
          <t>Hardware</t>
        </is>
      </c>
      <c r="C11" t="inlineStr">
        <is>
          <t>Backordered</t>
        </is>
      </c>
      <c r="N11" t="inlineStr">
        <is>
          <t>Electrical</t>
        </is>
      </c>
      <c r="O11" t="inlineStr">
        <is>
          <t>Stone</t>
        </is>
      </c>
      <c r="P11" t="inlineStr">
        <is>
          <t>Other</t>
        </is>
      </c>
      <c r="Q11" t="inlineStr">
        <is>
          <t>Contractor</t>
        </is>
      </c>
      <c r="R11" t="inlineStr">
        <is>
          <t>Installation</t>
        </is>
      </c>
      <c r="U11" t="inlineStr">
        <is>
          <t>Styling</t>
        </is>
      </c>
      <c r="Y11" t="inlineStr">
        <is>
          <t>Furniture Installer</t>
        </is>
      </c>
      <c r="AC11" t="inlineStr">
        <is>
          <t>Signature Hardware</t>
        </is>
      </c>
    </row>
    <row r="12">
      <c r="A12" t="inlineStr">
        <is>
          <t>Other</t>
        </is>
      </c>
      <c r="B12" t="inlineStr">
        <is>
          <t>Plumbing Fixture</t>
        </is>
      </c>
      <c r="C12" t="inlineStr">
        <is>
          <t>Not Ordered</t>
        </is>
      </c>
      <c r="N12" t="inlineStr">
        <is>
          <t>Other</t>
        </is>
      </c>
      <c r="O12" t="inlineStr">
        <is>
          <t>Wood</t>
        </is>
      </c>
      <c r="Q12" t="inlineStr">
        <is>
          <t>Installer</t>
        </is>
      </c>
      <c r="R12" t="inlineStr">
        <is>
          <t>Shipping</t>
        </is>
      </c>
      <c r="U12" t="inlineStr">
        <is>
          <t>Final Reveal</t>
        </is>
      </c>
      <c r="Y12" t="inlineStr">
        <is>
          <t>Cleaner</t>
        </is>
      </c>
    </row>
    <row r="13">
      <c r="B13" t="inlineStr">
        <is>
          <t>Appliance</t>
        </is>
      </c>
      <c r="C13" t="inlineStr">
        <is>
          <t>Confirmed</t>
        </is>
      </c>
      <c r="O13" t="inlineStr">
        <is>
          <t>Metal</t>
        </is>
      </c>
      <c r="Q13" t="inlineStr">
        <is>
          <t>Workroom</t>
        </is>
      </c>
      <c r="R13" t="inlineStr">
        <is>
          <t>Taxes</t>
        </is>
      </c>
      <c r="U13" t="inlineStr">
        <is>
          <t>Punch List</t>
        </is>
      </c>
      <c r="Y13" t="inlineStr">
        <is>
          <t>Other</t>
        </is>
      </c>
    </row>
    <row r="14">
      <c r="B14" t="inlineStr">
        <is>
          <t>Decor</t>
        </is>
      </c>
      <c r="C14" t="inlineStr">
        <is>
          <t>In Production</t>
        </is>
      </c>
      <c r="O14" t="inlineStr">
        <is>
          <t>Other</t>
        </is>
      </c>
      <c r="Q14" t="inlineStr">
        <is>
          <t>Custom Furniture</t>
        </is>
      </c>
      <c r="R14" t="inlineStr">
        <is>
          <t>Design Fee</t>
        </is>
      </c>
    </row>
    <row r="15">
      <c r="B15" t="inlineStr">
        <is>
          <t>Textile</t>
        </is>
      </c>
      <c r="C15" t="inlineStr">
        <is>
          <t>Delayed</t>
        </is>
      </c>
      <c r="Q15" t="inlineStr">
        <is>
          <t>Other</t>
        </is>
      </c>
      <c r="R15" t="inlineStr">
        <is>
          <t>Contingency</t>
        </is>
      </c>
    </row>
    <row r="16">
      <c r="B16" t="inlineStr">
        <is>
          <t>Cabinetry</t>
        </is>
      </c>
      <c r="C16" t="inlineStr">
        <is>
          <t>Returned</t>
        </is>
      </c>
    </row>
    <row r="17">
      <c r="B17" t="inlineStr">
        <is>
          <t>Flooring</t>
        </is>
      </c>
    </row>
    <row r="18">
      <c r="B18" t="inlineStr">
        <is>
          <t>Wallcovering</t>
        </is>
      </c>
    </row>
    <row r="19">
      <c r="B19" t="inlineStr">
        <is>
          <t>Other</t>
        </is>
      </c>
    </row>
  </sheetData>
  <sheetProtection selectLockedCells="0" selectUnlockedCells="0" sheet="1" objects="0" insertRows="0" insertHyperlinks="0" autoFilter="0" scenarios="1" formatColumns="0" deleteColumns="1" insertColumns="1" pivotTables="1" deleteRows="0" formatCells="0" formatRows="0" sort="0" password="EC7C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8A7E"/>
    <outlinePr summaryBelow="1" summaryRight="1"/>
    <pageSetUpPr/>
  </sheetPr>
  <dimension ref="A1:J9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70" customWidth="1" min="3" max="3"/>
    <col width="28" customWidth="1" min="4" max="4"/>
    <col width="28" customWidth="1" min="5" max="5"/>
    <col width="20" customWidth="1" min="6" max="6"/>
    <col width="20" customWidth="1" min="7" max="7"/>
    <col width="20" customWidth="1" min="8" max="8"/>
  </cols>
  <sheetData>
    <row r="1"/>
    <row r="2" ht="48" customHeight="1">
      <c r="B2" s="2" t="inlineStr">
        <is>
          <t>INTERIOR DESIGN  ·  FF&amp;E PROJECT TRACKER</t>
        </is>
      </c>
    </row>
    <row r="3" ht="5" customHeight="1">
      <c r="B3" s="3" t="n"/>
      <c r="C3" s="3" t="n"/>
      <c r="D3" s="3" t="n"/>
      <c r="E3" s="3" t="n"/>
      <c r="F3" s="3" t="n"/>
      <c r="G3" s="3" t="n"/>
    </row>
    <row r="4" ht="22" customHeight="1">
      <c r="B4" s="4" t="inlineStr">
        <is>
          <t>by Novality store   ·   Furniture, Fixtures &amp; Equipment Management   ·   Excel + Google Sheets</t>
        </is>
      </c>
      <c r="C4" s="5" t="n"/>
      <c r="D4" s="5" t="n"/>
      <c r="E4" s="5" t="n"/>
      <c r="F4" s="5" t="n"/>
      <c r="G4" s="5" t="n"/>
    </row>
    <row r="5"/>
    <row r="6">
      <c r="B6" s="6" t="inlineStr">
        <is>
          <t>QUICK START GUIDE</t>
        </is>
      </c>
    </row>
    <row r="7" ht="36" customHeight="1">
      <c r="B7" s="7" t="inlineStr">
        <is>
          <t>Step 1</t>
        </is>
      </c>
      <c r="C7" s="8" t="inlineStr">
        <is>
          <t>Add client &amp; project details</t>
        </is>
      </c>
      <c r="E7" s="9" t="inlineStr">
        <is>
          <t>Open the Client &amp; Project Profile tab and fill in client name, project address, budget, dates, and designer info.</t>
        </is>
      </c>
    </row>
    <row r="8" ht="36" customHeight="1">
      <c r="B8" s="7" t="inlineStr">
        <is>
          <t>Step 2</t>
        </is>
      </c>
      <c r="C8" s="8" t="inlineStr">
        <is>
          <t>Add rooms / areas</t>
        </is>
      </c>
      <c r="E8" s="9" t="inlineStr">
        <is>
          <t>Go to Room List and list every room or zone in the project with budget allocations and priority.</t>
        </is>
      </c>
    </row>
    <row r="9" ht="36" customHeight="1">
      <c r="B9" s="7" t="inlineStr">
        <is>
          <t>Step 3</t>
        </is>
      </c>
      <c r="C9" s="8" t="inlineStr">
        <is>
          <t>Add FF&amp;E items</t>
        </is>
      </c>
      <c r="E9" s="9" t="inlineStr">
        <is>
          <t>Use the Master FF&amp;E Schedule to log every furniture, fixture, and equipment item with vendor, cost, and status.</t>
        </is>
      </c>
    </row>
    <row r="10" ht="36" customHeight="1">
      <c r="B10" s="7" t="inlineStr">
        <is>
          <t>Step 4</t>
        </is>
      </c>
      <c r="C10" s="8" t="inlineStr">
        <is>
          <t>Track budget, orders, approvals &amp; delivery</t>
        </is>
      </c>
      <c r="E10" s="9" t="inlineStr">
        <is>
          <t>Update Budget Tracker, Purchase Orders, Client Approvals, and Delivery &amp; Installation as the project progresses.</t>
        </is>
      </c>
    </row>
    <row r="11" ht="36" customHeight="1">
      <c r="B11" s="7" t="inlineStr">
        <is>
          <t>Step 5</t>
        </is>
      </c>
      <c r="C11" s="8" t="inlineStr">
        <is>
          <t>Use the Dashboard for overview</t>
        </is>
      </c>
      <c r="E11" s="9" t="inlineStr">
        <is>
          <t>The Project Dashboard auto-summarizes KPIs, spend, and status so you always know where the project stands.</t>
        </is>
      </c>
    </row>
    <row r="12"/>
    <row r="13">
      <c r="B13" s="10" t="inlineStr">
        <is>
          <t>WHAT EACH TAB IS USED FOR</t>
        </is>
      </c>
    </row>
    <row r="14">
      <c r="B14" s="1" t="inlineStr">
        <is>
          <t>Tab</t>
        </is>
      </c>
      <c r="C14" s="1" t="inlineStr">
        <is>
          <t>Purpose</t>
        </is>
      </c>
    </row>
    <row r="15">
      <c r="B15" s="11" t="inlineStr">
        <is>
          <t>01 Welcome</t>
        </is>
      </c>
      <c r="C15" s="12" t="inlineStr">
        <is>
          <t>You are here — instructions and how to use this workbook</t>
        </is>
      </c>
    </row>
    <row r="16">
      <c r="B16" s="13" t="inlineStr">
        <is>
          <t>02 Dashboard</t>
        </is>
      </c>
      <c r="C16" s="14" t="inlineStr">
        <is>
          <t>Live KPI cards, charts, and project health at a glance</t>
        </is>
      </c>
      <c r="D16" s="5" t="n"/>
      <c r="E16" s="5" t="n"/>
      <c r="F16" s="5" t="n"/>
      <c r="G16" s="5" t="n"/>
    </row>
    <row r="17">
      <c r="B17" s="11" t="inlineStr">
        <is>
          <t>03 Client Profile</t>
        </is>
      </c>
      <c r="C17" s="12" t="inlineStr">
        <is>
          <t>Client contact, project scope, budget, and contract details</t>
        </is>
      </c>
    </row>
    <row r="18">
      <c r="B18" s="13" t="inlineStr">
        <is>
          <t>04 Room List</t>
        </is>
      </c>
      <c r="C18" s="14" t="inlineStr">
        <is>
          <t>All rooms/areas with budget allocation and design status</t>
        </is>
      </c>
      <c r="D18" s="5" t="n"/>
      <c r="E18" s="5" t="n"/>
      <c r="F18" s="5" t="n"/>
      <c r="G18" s="5" t="n"/>
    </row>
    <row r="19">
      <c r="B19" s="11" t="inlineStr">
        <is>
          <t>05 Master FF&amp;E</t>
        </is>
      </c>
      <c r="C19" s="12" t="inlineStr">
        <is>
          <t>Core schedule — every FF&amp;E item with full cost &amp; status tracking</t>
        </is>
      </c>
    </row>
    <row r="20">
      <c r="B20" s="13" t="inlineStr">
        <is>
          <t>06 Furniture</t>
        </is>
      </c>
      <c r="C20" s="14" t="inlineStr">
        <is>
          <t>Furniture-only focused schedule for quick reviews</t>
        </is>
      </c>
      <c r="D20" s="5" t="n"/>
      <c r="E20" s="5" t="n"/>
      <c r="F20" s="5" t="n"/>
      <c r="G20" s="5" t="n"/>
    </row>
    <row r="21">
      <c r="B21" s="11" t="inlineStr">
        <is>
          <t>07 Fixtures</t>
        </is>
      </c>
      <c r="C21" s="12" t="inlineStr">
        <is>
          <t>Lighting, plumbing, hardware, appliances, built-ins</t>
        </is>
      </c>
    </row>
    <row r="22">
      <c r="B22" s="13" t="inlineStr">
        <is>
          <t>08 Finishes</t>
        </is>
      </c>
      <c r="C22" s="14" t="inlineStr">
        <is>
          <t>Paint, tile, flooring, wallpaper, countertops, fabrics</t>
        </is>
      </c>
      <c r="D22" s="5" t="n"/>
      <c r="E22" s="5" t="n"/>
      <c r="F22" s="5" t="n"/>
      <c r="G22" s="5" t="n"/>
    </row>
    <row r="23">
      <c r="B23" s="11" t="inlineStr">
        <is>
          <t>09 Sourcing</t>
        </is>
      </c>
      <c r="C23" s="12" t="inlineStr">
        <is>
          <t>Compare product options before final selection</t>
        </is>
      </c>
    </row>
    <row r="24">
      <c r="B24" s="13" t="inlineStr">
        <is>
          <t>10 Vendors</t>
        </is>
      </c>
      <c r="C24" s="14" t="inlineStr">
        <is>
          <t>Supplier database with trade discounts and lead times</t>
        </is>
      </c>
      <c r="D24" s="5" t="n"/>
      <c r="E24" s="5" t="n"/>
      <c r="F24" s="5" t="n"/>
      <c r="G24" s="5" t="n"/>
    </row>
    <row r="25">
      <c r="B25" s="11" t="inlineStr">
        <is>
          <t>11 Budget</t>
        </is>
      </c>
      <c r="C25" s="12" t="inlineStr">
        <is>
          <t>Category-level budget vs estimated vs actual</t>
        </is>
      </c>
    </row>
    <row r="26">
      <c r="B26" s="13" t="inlineStr">
        <is>
          <t>12 Purchase Orders</t>
        </is>
      </c>
      <c r="C26" s="14" t="inlineStr">
        <is>
          <t>PO and order tracking with carriers and invoices</t>
        </is>
      </c>
      <c r="D26" s="5" t="n"/>
      <c r="E26" s="5" t="n"/>
      <c r="F26" s="5" t="n"/>
      <c r="G26" s="5" t="n"/>
    </row>
    <row r="27">
      <c r="B27" s="11" t="inlineStr">
        <is>
          <t>13 Delivery &amp; Install</t>
        </is>
      </c>
      <c r="C27" s="12" t="inlineStr">
        <is>
          <t>Delivery logistics, damage checks, and installation</t>
        </is>
      </c>
    </row>
    <row r="28">
      <c r="B28" s="13" t="inlineStr">
        <is>
          <t>14 Client Approvals</t>
        </is>
      </c>
      <c r="C28" s="14" t="inlineStr">
        <is>
          <t>Track every decision sent to the client</t>
        </is>
      </c>
      <c r="D28" s="5" t="n"/>
      <c r="E28" s="5" t="n"/>
      <c r="F28" s="5" t="n"/>
      <c r="G28" s="5" t="n"/>
    </row>
    <row r="29">
      <c r="B29" s="11" t="inlineStr">
        <is>
          <t>15 Timeline</t>
        </is>
      </c>
      <c r="C29" s="12" t="inlineStr">
        <is>
          <t>Phased project plan with tasks and due dates</t>
        </is>
      </c>
    </row>
    <row r="30">
      <c r="B30" s="13" t="inlineStr">
        <is>
          <t>16 To-Do List</t>
        </is>
      </c>
      <c r="C30" s="14" t="inlineStr">
        <is>
          <t>Daily task list for the design team</t>
        </is>
      </c>
      <c r="D30" s="5" t="n"/>
      <c r="E30" s="5" t="n"/>
      <c r="F30" s="5" t="n"/>
      <c r="G30" s="5" t="n"/>
    </row>
    <row r="31">
      <c r="B31" s="11" t="inlineStr">
        <is>
          <t>17 Measurements</t>
        </is>
      </c>
      <c r="C31" s="12" t="inlineStr">
        <is>
          <t>Room and opening measurement log</t>
        </is>
      </c>
    </row>
    <row r="32">
      <c r="B32" s="13" t="inlineStr">
        <is>
          <t>18 Contractors</t>
        </is>
      </c>
      <c r="C32" s="14" t="inlineStr">
        <is>
          <t>Installer / trade coordination</t>
        </is>
      </c>
      <c r="D32" s="5" t="n"/>
      <c r="E32" s="5" t="n"/>
      <c r="F32" s="5" t="n"/>
      <c r="G32" s="5" t="n"/>
    </row>
    <row r="33">
      <c r="B33" s="11" t="inlineStr">
        <is>
          <t>19 Invoices</t>
        </is>
      </c>
      <c r="C33" s="12" t="inlineStr">
        <is>
          <t>Client billing and payment tracker</t>
        </is>
      </c>
    </row>
    <row r="34">
      <c r="B34" s="13" t="inlineStr">
        <is>
          <t>20 Meeting Notes</t>
        </is>
      </c>
      <c r="C34" s="14" t="inlineStr">
        <is>
          <t>Consultation and site meeting notes</t>
        </is>
      </c>
      <c r="D34" s="5" t="n"/>
      <c r="E34" s="5" t="n"/>
      <c r="F34" s="5" t="n"/>
      <c r="G34" s="5" t="n"/>
    </row>
    <row r="35">
      <c r="B35" s="11" t="inlineStr">
        <is>
          <t>21 Client FF&amp;E Report</t>
        </is>
      </c>
      <c r="C35" s="12" t="inlineStr">
        <is>
          <t>Printable client-facing FF&amp;E summary</t>
        </is>
      </c>
    </row>
    <row r="36">
      <c r="B36" s="13" t="inlineStr">
        <is>
          <t>22 Room Budget Report</t>
        </is>
      </c>
      <c r="C36" s="14" t="inlineStr">
        <is>
          <t>Printable room-by-room budget report</t>
        </is>
      </c>
      <c r="D36" s="5" t="n"/>
      <c r="E36" s="5" t="n"/>
      <c r="F36" s="5" t="n"/>
      <c r="G36" s="5" t="n"/>
    </row>
    <row r="37">
      <c r="B37" s="11" t="inlineStr">
        <is>
          <t>23 Vendor Order Report</t>
        </is>
      </c>
      <c r="C37" s="12" t="inlineStr">
        <is>
          <t>Printable vendor order summary</t>
        </is>
      </c>
    </row>
    <row r="38">
      <c r="B38" s="13" t="inlineStr">
        <is>
          <t>24 Install Checklist</t>
        </is>
      </c>
      <c r="C38" s="14" t="inlineStr">
        <is>
          <t>Printable installation checklist</t>
        </is>
      </c>
      <c r="D38" s="5" t="n"/>
      <c r="E38" s="5" t="n"/>
      <c r="F38" s="5" t="n"/>
      <c r="G38" s="5" t="n"/>
    </row>
    <row r="39">
      <c r="B39" s="11" t="inlineStr">
        <is>
          <t>25 Punch List</t>
        </is>
      </c>
      <c r="C39" s="12" t="inlineStr">
        <is>
          <t>Printable final punch list</t>
        </is>
      </c>
    </row>
    <row r="40"/>
    <row r="41">
      <c r="B41" s="15" t="inlineStr">
        <is>
          <t>HOW TO ENTER DATA</t>
        </is>
      </c>
    </row>
    <row r="42">
      <c r="B42" s="16" t="inlineStr">
        <is>
          <t>• Replace sample data with your real project information — sample rows are examples only.</t>
        </is>
      </c>
    </row>
    <row r="43">
      <c r="B43" s="16" t="inlineStr">
        <is>
          <t>• Always start a new row under the last entry; do not insert columns (formulas depend on column order).</t>
        </is>
      </c>
    </row>
    <row r="44">
      <c r="B44" s="16" t="inlineStr">
        <is>
          <t>• Yellow / green / red cells are driven by conditional formatting based on status values — pick from dropdowns.</t>
        </is>
      </c>
    </row>
    <row r="45">
      <c r="B45" s="16" t="inlineStr">
        <is>
          <t>• Currency fields use accounting format. Enter numbers only (no $ signs).</t>
        </is>
      </c>
    </row>
    <row r="46">
      <c r="B46" s="16" t="inlineStr">
        <is>
          <t>• Dates should be entered as real dates (YYYY-MM-DD) so filters and overdue logic work.</t>
        </is>
      </c>
    </row>
    <row r="47">
      <c r="B47" s="16" t="inlineStr">
        <is>
          <t>• Product links can be full URLs; they become clickable in Excel and Google Sheets.</t>
        </is>
      </c>
    </row>
    <row r="48">
      <c r="B48" s="16" t="inlineStr">
        <is>
          <t>• Image Link column can hold a URL to a product photo or mood-board image.</t>
        </is>
      </c>
    </row>
    <row r="49">
      <c r="B49" s="16" t="inlineStr">
        <is>
          <t>• On the Master FF&amp;E tab, Total Cost and Final Cost calculate automatically from Quantity, Unit Cost, Tax, Shipping, and Discount.</t>
        </is>
      </c>
    </row>
    <row r="50"/>
    <row r="51">
      <c r="B51" s="10" t="inlineStr">
        <is>
          <t>COLOR CODING EXPLANATION</t>
        </is>
      </c>
    </row>
    <row r="52">
      <c r="B52" s="17" t="inlineStr">
        <is>
          <t>GREEN</t>
        </is>
      </c>
      <c r="C52" s="12" t="inlineStr">
        <is>
          <t>Complete / Approved / On budget / Good condition</t>
        </is>
      </c>
    </row>
    <row r="53">
      <c r="B53" s="18" t="inlineStr">
        <is>
          <t>YELLOW</t>
        </is>
      </c>
      <c r="C53" s="12" t="inlineStr">
        <is>
          <t>Pending / In progress / Awaiting response</t>
        </is>
      </c>
    </row>
    <row r="54">
      <c r="B54" s="19" t="inlineStr">
        <is>
          <t>RED</t>
        </is>
      </c>
      <c r="C54" s="12" t="inlineStr">
        <is>
          <t>Overdue / Over budget / Delayed / Damaged / Rejected</t>
        </is>
      </c>
    </row>
    <row r="55">
      <c r="B55" s="20" t="inlineStr">
        <is>
          <t>GRAY</t>
        </is>
      </c>
      <c r="C55" s="12" t="inlineStr">
        <is>
          <t>Cancelled / On hold / Not started</t>
        </is>
      </c>
    </row>
    <row r="56">
      <c r="B56" s="21" t="inlineStr">
        <is>
          <t>TEAL HEADERS</t>
        </is>
      </c>
      <c r="C56" s="12" t="inlineStr">
        <is>
          <t>Section labels and accent UI</t>
        </is>
      </c>
    </row>
    <row r="57">
      <c r="B57" s="22" t="inlineStr">
        <is>
          <t>NAVY HEADERS</t>
        </is>
      </c>
      <c r="C57" s="12" t="inlineStr">
        <is>
          <t>Column headers on all schedule tabs</t>
        </is>
      </c>
    </row>
    <row r="58"/>
    <row r="59">
      <c r="B59" s="6" t="inlineStr">
        <is>
          <t>DROPDOWN INSTRUCTIONS</t>
        </is>
      </c>
    </row>
    <row r="60">
      <c r="B60" s="16" t="inlineStr">
        <is>
          <t>• Click any status, category, room, priority, or type cell — a dropdown arrow appears.</t>
        </is>
      </c>
    </row>
    <row r="61">
      <c r="B61" s="16" t="inlineStr">
        <is>
          <t>• Always choose from the list so Dashboard counts and conditional formatting stay accurate.</t>
        </is>
      </c>
    </row>
    <row r="62">
      <c r="B62" s="16" t="inlineStr">
        <is>
          <t>• To customize lists (e.g. add a custom room type), unhide the Lists sheet and edit the column values, then update data validation if needed.</t>
        </is>
      </c>
    </row>
    <row r="63">
      <c r="B63" s="16" t="inlineStr">
        <is>
          <t>• Common dropdowns: Room, Category, Vendor, Status, Priority, Approval, Order, Delivery, Install, Payment.</t>
        </is>
      </c>
    </row>
    <row r="64"/>
    <row r="65">
      <c r="B65" s="15" t="inlineStr">
        <is>
          <t>COMPATIBILITY — EXCEL + GOOGLE SHEETS</t>
        </is>
      </c>
    </row>
    <row r="66">
      <c r="B66" s="16" t="inlineStr">
        <is>
          <t>• This file is a standard .xlsx workbook. Open it in Microsoft Excel (Windows/Mac), Excel Online, LibreOffice, or upload to Google Drive and open with Google Sheets.</t>
        </is>
      </c>
    </row>
    <row r="67">
      <c r="B67" s="16" t="inlineStr">
        <is>
          <t>• Formulas, filters, freeze panes, data validation dropdowns, and charts transfer to Google Sheets.</t>
        </is>
      </c>
    </row>
    <row r="68">
      <c r="B68" s="16" t="inlineStr">
        <is>
          <t>• Conditional formatting rules are included; colors may need a quick refresh after first open in Sheets.</t>
        </is>
      </c>
    </row>
    <row r="69">
      <c r="B69" s="16" t="inlineStr">
        <is>
          <t>• Charts on the Dashboard may need slight repositioning after import into Google Sheets.</t>
        </is>
      </c>
    </row>
    <row r="70">
      <c r="B70" s="16" t="inlineStr">
        <is>
          <t>• Recommended: Excel 2016+ or current Google Sheets. Enable editing (not Protected View) to use dropdowns and filters.</t>
        </is>
      </c>
    </row>
    <row r="71"/>
    <row r="72">
      <c r="B72" s="10" t="inlineStr">
        <is>
          <t>SHEET PROTECTION  ·  FORMULA LOCK</t>
        </is>
      </c>
    </row>
    <row r="73">
      <c r="B73" s="16" t="inlineStr">
        <is>
          <t>• Formula &amp; calculated cells are LOCKED so they cannot be overwritten by accident.</t>
        </is>
      </c>
    </row>
    <row r="74">
      <c r="B74" s="16" t="inlineStr">
        <is>
          <t>• Input cells (cream / white data fields) stay editable for daily project work.</t>
        </is>
      </c>
    </row>
    <row r="75">
      <c r="B75" s="16" t="inlineStr">
        <is>
          <t>• Soft blue cells = auto-calculated formulas (locked).</t>
        </is>
      </c>
    </row>
    <row r="76">
      <c r="B76" s="23" t="inlineStr">
        <is>
          <t>• Sheet protection password:  premium</t>
        </is>
      </c>
    </row>
    <row r="77">
      <c r="B77" s="23" t="inlineStr">
        <is>
          <t>• To fully unlock a sheet in Excel: Review → Unprotect Sheet → enter password.</t>
        </is>
      </c>
    </row>
    <row r="78">
      <c r="B78" s="16" t="inlineStr">
        <is>
          <t>• Do not change protection settings unless you are customizing the template structure.</t>
        </is>
      </c>
    </row>
    <row r="79">
      <c r="B79" s="16" t="inlineStr">
        <is>
          <t>• To start a new project: File → Save As → clear sample rows (keep headers) → update Client Profile.</t>
        </is>
      </c>
    </row>
    <row r="80"/>
    <row r="81">
      <c r="B81" s="15" t="inlineStr">
        <is>
          <t>CELL TYPE LEGEND</t>
        </is>
      </c>
    </row>
    <row r="82">
      <c r="B82" s="24" t="inlineStr">
        <is>
          <t>SOFT BLUE</t>
        </is>
      </c>
      <c r="C82" s="12" t="inlineStr">
        <is>
          <t>Locked formula / auto-calculated value — do not edit</t>
        </is>
      </c>
    </row>
    <row r="83">
      <c r="B83" s="25" t="inlineStr">
        <is>
          <t>WARM CREAM</t>
        </is>
      </c>
      <c r="C83" s="12" t="inlineStr">
        <is>
          <t>Editable input — type or pick from dropdown</t>
        </is>
      </c>
    </row>
    <row r="84">
      <c r="B84" s="22" t="inlineStr">
        <is>
          <t>NAVY HEADER</t>
        </is>
      </c>
      <c r="C84" s="12" t="inlineStr">
        <is>
          <t>Column headers — locked</t>
        </is>
      </c>
    </row>
    <row r="85">
      <c r="B85" s="26" t="inlineStr">
        <is>
          <t>GOLD INPUT</t>
        </is>
      </c>
      <c r="C85" s="12" t="inlineStr">
        <is>
          <t>Key profile fields — editable</t>
        </is>
      </c>
    </row>
    <row r="86"/>
    <row r="87">
      <c r="B87" s="6" t="inlineStr">
        <is>
          <t>SUPPORT / CONTACT</t>
        </is>
      </c>
    </row>
    <row r="88">
      <c r="B88" s="16" t="inlineStr">
        <is>
          <t>• Product by Novality store. Questions or customization requests: contact Novality store support.</t>
        </is>
      </c>
    </row>
    <row r="89">
      <c r="B89" s="16" t="inlineStr">
        <is>
          <t>• Tip: Keep one master blank file and duplicate it for every new client project.</t>
        </is>
      </c>
    </row>
    <row r="90">
      <c r="B90" s="16" t="inlineStr">
        <is>
          <t>• Version: Interior Design FF&amp;E Tracker v1.1 Premium  ·  © Novality store</t>
        </is>
      </c>
    </row>
  </sheetData>
  <sheetProtection selectLockedCells="0" selectUnlockedCells="0" sheet="1" objects="0" insertRows="0" insertHyperlinks="0" autoFilter="0" scenarios="1" formatColumns="0" deleteColumns="1" insertColumns="1" pivotTables="1" deleteRows="0" formatCells="0" formatRows="0" sort="0" password="EC7C"/>
  <mergeCells count="84">
    <mergeCell ref="C83:G83"/>
    <mergeCell ref="B73:G73"/>
    <mergeCell ref="C14:G14"/>
    <mergeCell ref="B88:G88"/>
    <mergeCell ref="C29:G29"/>
    <mergeCell ref="B65:G65"/>
    <mergeCell ref="C31:G31"/>
    <mergeCell ref="B74:G74"/>
    <mergeCell ref="B68:G68"/>
    <mergeCell ref="E7:G7"/>
    <mergeCell ref="C21:G21"/>
    <mergeCell ref="B76:G76"/>
    <mergeCell ref="B45:G45"/>
    <mergeCell ref="C23:G23"/>
    <mergeCell ref="B47:G47"/>
    <mergeCell ref="B59:G59"/>
    <mergeCell ref="C57:G57"/>
    <mergeCell ref="C18:G18"/>
    <mergeCell ref="C34:G34"/>
    <mergeCell ref="B13:G13"/>
    <mergeCell ref="B78:G78"/>
    <mergeCell ref="B87:G87"/>
    <mergeCell ref="C20:G20"/>
    <mergeCell ref="C85:G85"/>
    <mergeCell ref="B49:G49"/>
    <mergeCell ref="C84:G84"/>
    <mergeCell ref="C22:G22"/>
    <mergeCell ref="B51:G51"/>
    <mergeCell ref="B63:G63"/>
    <mergeCell ref="B41:G41"/>
    <mergeCell ref="C39:G39"/>
    <mergeCell ref="C8:D8"/>
    <mergeCell ref="C32:G32"/>
    <mergeCell ref="C38:G38"/>
    <mergeCell ref="B66:G66"/>
    <mergeCell ref="E8:G8"/>
    <mergeCell ref="B77:G77"/>
    <mergeCell ref="E10:G10"/>
    <mergeCell ref="C24:G24"/>
    <mergeCell ref="B67:G67"/>
    <mergeCell ref="B61:G61"/>
    <mergeCell ref="C33:G33"/>
    <mergeCell ref="E9:G9"/>
    <mergeCell ref="C26:G26"/>
    <mergeCell ref="B69:G69"/>
    <mergeCell ref="C35:G35"/>
    <mergeCell ref="E11:G11"/>
    <mergeCell ref="C16:G16"/>
    <mergeCell ref="C25:G25"/>
    <mergeCell ref="C55:G55"/>
    <mergeCell ref="B89:G89"/>
    <mergeCell ref="B79:G79"/>
    <mergeCell ref="C52:G52"/>
    <mergeCell ref="B72:G72"/>
    <mergeCell ref="B81:G81"/>
    <mergeCell ref="C7:D7"/>
    <mergeCell ref="B90:G90"/>
    <mergeCell ref="C28:G28"/>
    <mergeCell ref="C37:G37"/>
    <mergeCell ref="B43:G43"/>
    <mergeCell ref="B2:G2"/>
    <mergeCell ref="C30:G30"/>
    <mergeCell ref="B42:G42"/>
    <mergeCell ref="B60:G60"/>
    <mergeCell ref="C15:G15"/>
    <mergeCell ref="B44:G44"/>
    <mergeCell ref="C10:D10"/>
    <mergeCell ref="C54:G54"/>
    <mergeCell ref="C9:D9"/>
    <mergeCell ref="B6:G6"/>
    <mergeCell ref="C56:G56"/>
    <mergeCell ref="C11:D11"/>
    <mergeCell ref="C27:G27"/>
    <mergeCell ref="B4:G4"/>
    <mergeCell ref="B75:G75"/>
    <mergeCell ref="C36:G36"/>
    <mergeCell ref="B62:G62"/>
    <mergeCell ref="C17:G17"/>
    <mergeCell ref="C82:G82"/>
    <mergeCell ref="B46:G46"/>
    <mergeCell ref="C19:G19"/>
    <mergeCell ref="C53:G53"/>
    <mergeCell ref="B70:G70"/>
    <mergeCell ref="B48:G48"/>
  </mergeCells>
  <pageMargins left="0.5" right="0.5" top="0.6" bottom="0.6" header="0.5" footer="0.5"/>
  <headerFooter>
    <oddHeader/>
    <oddFooter>&amp;C&amp;"Calibri"&amp;8 &amp;"Calibri"&amp;8Novality store  ·  Interior Design FF&amp;E Tracker  ·  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0F2744"/>
    <outlinePr summaryBelow="1" summaryRight="1"/>
    <pageSetUpPr/>
  </sheetPr>
  <dimension ref="A1:K6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8" customWidth="1" min="2" max="2"/>
    <col width="15" customWidth="1" min="3" max="3"/>
    <col width="15" customWidth="1" min="4" max="4"/>
    <col width="15" customWidth="1" min="5" max="5"/>
    <col width="14" customWidth="1" min="6" max="6"/>
    <col width="15" customWidth="1" min="7" max="7"/>
    <col width="15" customWidth="1" min="8" max="8"/>
    <col width="15" customWidth="1" min="9" max="9"/>
    <col width="14" customWidth="1" min="10" max="10"/>
    <col width="14" customWidth="1" min="11" max="11"/>
    <col width="3" customWidth="1" min="12" max="12"/>
  </cols>
  <sheetData>
    <row r="1"/>
    <row r="2" ht="40" customHeight="1">
      <c r="B2" s="27" t="inlineStr">
        <is>
          <t>PROJECT DASHBOARD</t>
        </is>
      </c>
    </row>
    <row r="3" ht="4" customHeight="1"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</row>
    <row r="4" ht="22" customHeight="1">
      <c r="B4" s="4">
        <f>CONCATENATE("Project: ",'03 Client Profile'!C10,"  |  Client: ",'03 Client Profile'!C5,"  |  Status: ",'03 Client Profile'!C18)</f>
        <v/>
      </c>
      <c r="C4" s="5" t="n"/>
      <c r="D4" s="5" t="n"/>
      <c r="E4" s="5" t="n"/>
      <c r="F4" s="5" t="n"/>
      <c r="G4" s="5" t="n"/>
      <c r="H4" s="5" t="n"/>
      <c r="I4" s="5" t="n"/>
      <c r="J4" s="5" t="n"/>
      <c r="K4" s="5" t="n"/>
    </row>
    <row r="5"/>
    <row r="6" ht="30" customHeight="1">
      <c r="B6" s="28" t="inlineStr">
        <is>
          <t>TOTAL PROJECT BUDGET</t>
        </is>
      </c>
      <c r="C6" s="28" t="inlineStr">
        <is>
          <t>TOTAL ESTIMATED COST</t>
        </is>
      </c>
      <c r="D6" s="28" t="inlineStr">
        <is>
          <t>TOTAL ACTUAL COST</t>
        </is>
      </c>
      <c r="E6" s="28" t="inlineStr">
        <is>
          <t>REMAINING BUDGET</t>
        </is>
      </c>
      <c r="F6" s="28" t="inlineStr">
        <is>
          <t>BUDGET USED %</t>
        </is>
      </c>
    </row>
    <row r="7" ht="40" customHeight="1">
      <c r="B7" s="29">
        <f>'03 Client Profile'!C16</f>
        <v/>
      </c>
      <c r="C7" s="30">
        <f>SUMIF('05 Master FF&amp;E'!V:V,"&lt;&gt;Cancelled",'05 Master FF&amp;E'!T:T)</f>
        <v/>
      </c>
      <c r="D7" s="30">
        <f>SUMIF('05 Master FF&amp;E'!V:V,"&lt;&gt;Cancelled",'05 Master FF&amp;E'!T:T)</f>
        <v/>
      </c>
      <c r="E7" s="31">
        <f>B7-C7</f>
        <v/>
      </c>
      <c r="F7" s="32">
        <f>IF(B7=0,0,C7/B7)</f>
        <v/>
      </c>
    </row>
    <row r="8"/>
    <row r="9" ht="30" customHeight="1">
      <c r="B9" s="28" t="inlineStr">
        <is>
          <t>ITEMS INSTALLED</t>
        </is>
      </c>
      <c r="C9" s="28" t="inlineStr">
        <is>
          <t>OVERDUE TASKS</t>
        </is>
      </c>
      <c r="D9" s="28" t="inlineStr">
        <is>
          <t>PENDING APPROVALS</t>
        </is>
      </c>
      <c r="E9" s="28" t="inlineStr">
        <is>
          <t>OPEN VENDOR ORDERS</t>
        </is>
      </c>
      <c r="F9" s="28" t="inlineStr">
        <is>
          <t>ITEMS NOT ORDERED</t>
        </is>
      </c>
      <c r="G9" s="28" t="inlineStr">
        <is>
          <t>DELIVERED NOT INSTALLED</t>
        </is>
      </c>
      <c r="H9" s="28" t="inlineStr">
        <is>
          <t>TOTAL ROOMS BUDGET</t>
        </is>
      </c>
      <c r="I9" s="28" t="inlineStr">
        <is>
          <t>ROOMS OVER BUDGET</t>
        </is>
      </c>
      <c r="J9" s="28" t="inlineStr">
        <is>
          <t>VENDORS ON FILE</t>
        </is>
      </c>
      <c r="K9" s="28" t="inlineStr">
        <is>
          <t>OPEN INVOICES</t>
        </is>
      </c>
    </row>
    <row r="10" ht="40" customHeight="1">
      <c r="B10" s="33">
        <f>COUNTIF('05 Master FF&amp;E'!Y5:Y500,"Installed")+COUNTIF('05 Master FF&amp;E'!Y5:Y500,"Complete")</f>
        <v/>
      </c>
      <c r="C10" s="34">
        <f>COUNTIFS('16 To-Do List'!F5:F200,"&lt;"&amp;TODAY(),'16 To-Do List'!G5:G200,"&lt;&gt;Complete")</f>
        <v/>
      </c>
      <c r="D10" s="35">
        <f>COUNTIF('14 Client Approvals'!F5:F200,"Sent")+COUNTIF('05 Master FF&amp;E'!W5:W500,"Sent")</f>
        <v/>
      </c>
      <c r="E10" s="36">
        <f>COUNTIF('12 Purchase Orders'!J5:J200,"Ordered")+COUNTIF('12 Purchase Orders'!J5:J200,"Confirmed")+COUNTIF('12 Purchase Orders'!J5:J200,"In Production")+COUNTIF('12 Purchase Orders'!J5:J200,"Shipped")</f>
        <v/>
      </c>
      <c r="F10" s="37">
        <f>COUNTIF('05 Master FF&amp;E'!V5:V500,"Not Ordered")+COUNTIF('05 Master FF&amp;E'!V5:V500,"Sourcing")+COUNTIF('05 Master FF&amp;E'!V5:V500,"Option Selected")</f>
        <v/>
      </c>
      <c r="G10" s="36">
        <f>COUNTIFS('05 Master FF&amp;E'!X5:X500,"Delivered",'05 Master FF&amp;E'!Y5:Y500,"&lt;&gt;Installed",'05 Master FF&amp;E'!Y5:Y500,"&lt;&gt;Complete")</f>
        <v/>
      </c>
      <c r="H10" s="29">
        <f>SUM('04 Room List'!F5:F200)</f>
        <v/>
      </c>
      <c r="I10" s="34">
        <f>COUNTIF('04 Room List'!I5:I200,"&lt;0")</f>
        <v/>
      </c>
      <c r="J10" s="38">
        <f>COUNTA('10 Vendors'!A5:A200)</f>
        <v/>
      </c>
      <c r="K10" s="35">
        <f>COUNTIF('19 Invoices'!H5:H200,"Sent")+COUNTIF('19 Invoices'!H5:H200,"Partially Paid")+COUNTIF('19 Invoices'!H5:H200,"Overdue")</f>
        <v/>
      </c>
    </row>
    <row r="11"/>
    <row r="12">
      <c r="B12" s="39" t="inlineStr">
        <is>
          <t>CHART DATA &amp; VISUAL SUMMARIES</t>
        </is>
      </c>
      <c r="C12" s="40" t="n"/>
      <c r="D12" s="40" t="n"/>
      <c r="E12" s="40" t="n"/>
    </row>
    <row r="13"/>
    <row r="14">
      <c r="B14" s="41" t="inlineStr">
        <is>
          <t>Budget by Room</t>
        </is>
      </c>
    </row>
    <row r="15">
      <c r="B15" s="1" t="inlineStr">
        <is>
          <t>Room</t>
        </is>
      </c>
      <c r="C15" s="1" t="inlineStr">
        <is>
          <t>Budget</t>
        </is>
      </c>
      <c r="D15" s="1" t="inlineStr">
        <is>
          <t>Actual</t>
        </is>
      </c>
    </row>
    <row r="16">
      <c r="B16" s="42">
        <f>'04 Room List'!A5</f>
        <v/>
      </c>
      <c r="C16" s="43">
        <f>'04 Room List'!F5</f>
        <v/>
      </c>
      <c r="D16" s="43">
        <f>'04 Room List'!H5</f>
        <v/>
      </c>
    </row>
    <row r="17">
      <c r="B17" s="42">
        <f>'04 Room List'!A6</f>
        <v/>
      </c>
      <c r="C17" s="43">
        <f>'04 Room List'!F6</f>
        <v/>
      </c>
      <c r="D17" s="43">
        <f>'04 Room List'!H6</f>
        <v/>
      </c>
    </row>
    <row r="18">
      <c r="B18" s="42">
        <f>'04 Room List'!A7</f>
        <v/>
      </c>
      <c r="C18" s="43">
        <f>'04 Room List'!F7</f>
        <v/>
      </c>
      <c r="D18" s="43">
        <f>'04 Room List'!H7</f>
        <v/>
      </c>
    </row>
    <row r="19">
      <c r="B19" s="42">
        <f>'04 Room List'!A8</f>
        <v/>
      </c>
      <c r="C19" s="43">
        <f>'04 Room List'!F8</f>
        <v/>
      </c>
      <c r="D19" s="43">
        <f>'04 Room List'!H8</f>
        <v/>
      </c>
    </row>
    <row r="20">
      <c r="B20" s="42">
        <f>'04 Room List'!A9</f>
        <v/>
      </c>
      <c r="C20" s="43">
        <f>'04 Room List'!F9</f>
        <v/>
      </c>
      <c r="D20" s="43">
        <f>'04 Room List'!H9</f>
        <v/>
      </c>
    </row>
    <row r="21">
      <c r="B21" s="42">
        <f>'04 Room List'!A10</f>
        <v/>
      </c>
      <c r="C21" s="43">
        <f>'04 Room List'!F10</f>
        <v/>
      </c>
      <c r="D21" s="43">
        <f>'04 Room List'!H10</f>
        <v/>
      </c>
    </row>
    <row r="22"/>
    <row r="23"/>
    <row r="24">
      <c r="B24" s="41" t="inlineStr">
        <is>
          <t>Item Status Breakdown</t>
        </is>
      </c>
    </row>
    <row r="25">
      <c r="B25" s="1" t="inlineStr">
        <is>
          <t>Status</t>
        </is>
      </c>
      <c r="C25" s="1" t="inlineStr">
        <is>
          <t>Count</t>
        </is>
      </c>
    </row>
    <row r="26">
      <c r="B26" t="inlineStr">
        <is>
          <t>Sourcing</t>
        </is>
      </c>
      <c r="C26" s="42">
        <f>COUNTIF('05 Master FF&amp;E'!V5:V500,"Sourcing")+COUNTIF('05 Master FF&amp;E'!Y5:Y500,"Sourcing")</f>
        <v/>
      </c>
    </row>
    <row r="27">
      <c r="B27" t="inlineStr">
        <is>
          <t>Approved</t>
        </is>
      </c>
      <c r="C27" s="42">
        <f>COUNTIF('05 Master FF&amp;E'!V5:V500,"Approved")+COUNTIF('05 Master FF&amp;E'!Y5:Y500,"Approved")</f>
        <v/>
      </c>
    </row>
    <row r="28">
      <c r="B28" t="inlineStr">
        <is>
          <t>Ordered</t>
        </is>
      </c>
      <c r="C28" s="42">
        <f>COUNTIF('05 Master FF&amp;E'!V5:V500,"Ordered")+COUNTIF('05 Master FF&amp;E'!Y5:Y500,"Ordered")</f>
        <v/>
      </c>
    </row>
    <row r="29">
      <c r="B29" t="inlineStr">
        <is>
          <t>Shipped</t>
        </is>
      </c>
      <c r="C29" s="42">
        <f>COUNTIF('05 Master FF&amp;E'!V5:V500,"Shipped")+COUNTIF('05 Master FF&amp;E'!Y5:Y500,"Shipped")</f>
        <v/>
      </c>
    </row>
    <row r="30">
      <c r="B30" t="inlineStr">
        <is>
          <t>Delivered</t>
        </is>
      </c>
      <c r="C30" s="42">
        <f>COUNTIF('05 Master FF&amp;E'!V5:V500,"Delivered")+COUNTIF('05 Master FF&amp;E'!Y5:Y500,"Delivered")</f>
        <v/>
      </c>
    </row>
    <row r="31">
      <c r="B31" t="inlineStr">
        <is>
          <t>Installed</t>
        </is>
      </c>
      <c r="C31" s="42">
        <f>COUNTIF('05 Master FF&amp;E'!V5:V500,"Installed")+COUNTIF('05 Master FF&amp;E'!Y5:Y500,"Installed")</f>
        <v/>
      </c>
    </row>
    <row r="32">
      <c r="B32" t="inlineStr">
        <is>
          <t>Cancelled</t>
        </is>
      </c>
      <c r="C32" s="42">
        <f>COUNTIF('05 Master FF&amp;E'!V5:V500,"Cancelled")+COUNTIF('05 Master FF&amp;E'!Y5:Y500,"Cancelled")</f>
        <v/>
      </c>
    </row>
    <row r="33"/>
    <row r="34"/>
    <row r="35">
      <c r="B35" s="41" t="inlineStr">
        <is>
          <t>Category Spend</t>
        </is>
      </c>
    </row>
    <row r="36">
      <c r="B36" s="1" t="inlineStr">
        <is>
          <t>Category</t>
        </is>
      </c>
      <c r="C36" s="1" t="inlineStr">
        <is>
          <t>Spend</t>
        </is>
      </c>
    </row>
    <row r="37">
      <c r="B37" t="inlineStr">
        <is>
          <t>Sofa</t>
        </is>
      </c>
      <c r="C37" s="43">
        <f>SUMIF('05 Master FF&amp;E'!C5:C500,"Sofa",'05 Master FF&amp;E'!T5:T500)</f>
        <v/>
      </c>
    </row>
    <row r="38">
      <c r="B38" t="inlineStr">
        <is>
          <t>Chair</t>
        </is>
      </c>
      <c r="C38" s="43">
        <f>SUMIF('05 Master FF&amp;E'!C5:C500,"Chair",'05 Master FF&amp;E'!T5:T500)</f>
        <v/>
      </c>
    </row>
    <row r="39">
      <c r="B39" t="inlineStr">
        <is>
          <t>Table</t>
        </is>
      </c>
      <c r="C39" s="43">
        <f>SUMIF('05 Master FF&amp;E'!C5:C500,"Table",'05 Master FF&amp;E'!T5:T500)</f>
        <v/>
      </c>
    </row>
    <row r="40">
      <c r="B40" t="inlineStr">
        <is>
          <t>Bed</t>
        </is>
      </c>
      <c r="C40" s="43">
        <f>SUMIF('05 Master FF&amp;E'!C5:C500,"Bed",'05 Master FF&amp;E'!T5:T500)</f>
        <v/>
      </c>
    </row>
    <row r="41">
      <c r="B41" t="inlineStr">
        <is>
          <t>Rug</t>
        </is>
      </c>
      <c r="C41" s="43">
        <f>SUMIF('05 Master FF&amp;E'!C5:C500,"Rug",'05 Master FF&amp;E'!T5:T500)</f>
        <v/>
      </c>
    </row>
    <row r="42">
      <c r="B42" t="inlineStr">
        <is>
          <t>Lighting</t>
        </is>
      </c>
      <c r="C42" s="43">
        <f>SUMIF('05 Master FF&amp;E'!C5:C500,"Lighting",'05 Master FF&amp;E'!T5:T500)</f>
        <v/>
      </c>
    </row>
    <row r="43">
      <c r="B43" t="inlineStr">
        <is>
          <t>Appliance</t>
        </is>
      </c>
      <c r="C43" s="43">
        <f>SUMIF('05 Master FF&amp;E'!C5:C500,"Appliance",'05 Master FF&amp;E'!T5:T500)</f>
        <v/>
      </c>
    </row>
    <row r="44">
      <c r="B44" t="inlineStr">
        <is>
          <t>Artwork</t>
        </is>
      </c>
      <c r="C44" s="43">
        <f>SUMIF('05 Master FF&amp;E'!C5:C500,"Artwork",'05 Master FF&amp;E'!T5:T500)</f>
        <v/>
      </c>
    </row>
    <row r="45">
      <c r="B45" t="inlineStr">
        <is>
          <t>Hardware</t>
        </is>
      </c>
      <c r="C45" s="43">
        <f>SUMIF('05 Master FF&amp;E'!C5:C500,"Hardware",'05 Master FF&amp;E'!T5:T500)</f>
        <v/>
      </c>
    </row>
    <row r="46">
      <c r="B46" t="inlineStr">
        <is>
          <t>Plumbing Fixture</t>
        </is>
      </c>
      <c r="C46" s="43">
        <f>SUMIF('05 Master FF&amp;E'!C5:C500,"Plumbing Fixture",'05 Master FF&amp;E'!T5:T500)</f>
        <v/>
      </c>
    </row>
    <row r="47"/>
    <row r="48"/>
    <row r="49">
      <c r="B49" s="41" t="inlineStr">
        <is>
          <t>Delivery Status</t>
        </is>
      </c>
    </row>
    <row r="50">
      <c r="B50" s="1" t="inlineStr">
        <is>
          <t>Status</t>
        </is>
      </c>
      <c r="C50" s="1" t="inlineStr">
        <is>
          <t>Count</t>
        </is>
      </c>
    </row>
    <row r="51">
      <c r="B51" t="inlineStr">
        <is>
          <t>Not Ordered</t>
        </is>
      </c>
      <c r="C51" s="42">
        <f>COUNTIF('05 Master FF&amp;E'!X5:X500,"Not Ordered")</f>
        <v/>
      </c>
    </row>
    <row r="52">
      <c r="B52" t="inlineStr">
        <is>
          <t>Ordered</t>
        </is>
      </c>
      <c r="C52" s="42">
        <f>COUNTIF('05 Master FF&amp;E'!X5:X500,"Ordered")</f>
        <v/>
      </c>
    </row>
    <row r="53">
      <c r="B53" t="inlineStr">
        <is>
          <t>Shipped</t>
        </is>
      </c>
      <c r="C53" s="42">
        <f>COUNTIF('05 Master FF&amp;E'!X5:X500,"Shipped")</f>
        <v/>
      </c>
    </row>
    <row r="54">
      <c r="B54" t="inlineStr">
        <is>
          <t>Delivered</t>
        </is>
      </c>
      <c r="C54" s="42">
        <f>COUNTIF('05 Master FF&amp;E'!X5:X500,"Delivered")</f>
        <v/>
      </c>
    </row>
    <row r="55">
      <c r="B55" t="inlineStr">
        <is>
          <t>Delayed</t>
        </is>
      </c>
      <c r="C55" s="42">
        <f>COUNTIF('05 Master FF&amp;E'!X5:X500,"Delayed")</f>
        <v/>
      </c>
    </row>
    <row r="56"/>
    <row r="57">
      <c r="F57" s="44" t="inlineStr">
        <is>
          <t>STATUS COLOR KEY</t>
        </is>
      </c>
    </row>
    <row r="58">
      <c r="F58" s="45" t="inlineStr">
        <is>
          <t>Green = Complete / Approved / On budget</t>
        </is>
      </c>
    </row>
    <row r="59">
      <c r="F59" s="46" t="inlineStr">
        <is>
          <t>Yellow = Pending / In progress</t>
        </is>
      </c>
    </row>
    <row r="60">
      <c r="F60" s="47" t="inlineStr">
        <is>
          <t>Red = Overdue / Over budget / Delayed</t>
        </is>
      </c>
    </row>
    <row r="61">
      <c r="F61" s="48" t="inlineStr">
        <is>
          <t>Gray = Cancelled / On hold</t>
        </is>
      </c>
    </row>
    <row r="62">
      <c r="F62" s="49" t="inlineStr">
        <is>
          <t>Soft blue = Locked formula cells</t>
        </is>
      </c>
    </row>
    <row r="63"/>
    <row r="64">
      <c r="B64" s="50" t="inlineStr">
        <is>
          <t>© Novality store  ·  Interior Design FF&amp;E Tracker  ·  All calculated fields are password-protected</t>
        </is>
      </c>
    </row>
  </sheetData>
  <sheetProtection selectLockedCells="0" selectUnlockedCells="0" sheet="1" objects="0" insertRows="0" insertHyperlinks="0" autoFilter="0" scenarios="1" formatColumns="0" deleteColumns="1" insertColumns="1" pivotTables="1" deleteRows="0" formatCells="0" formatRows="0" sort="0" password="EC7C"/>
  <mergeCells count="9">
    <mergeCell ref="F60:I60"/>
    <mergeCell ref="B4:K4"/>
    <mergeCell ref="B12:E12"/>
    <mergeCell ref="F61:I61"/>
    <mergeCell ref="F58:I58"/>
    <mergeCell ref="F62:I62"/>
    <mergeCell ref="F59:I59"/>
    <mergeCell ref="B2:K2"/>
    <mergeCell ref="B64:K64"/>
  </mergeCells>
  <pageMargins left="0.5" right="0.5" top="0.6" bottom="0.6" header="0.5" footer="0.5"/>
  <headerFooter>
    <oddHeader/>
    <oddFooter>&amp;C&amp;"Calibri"&amp;8 &amp;"Calibri"&amp;8Novality store  ·  Interior Design FF&amp;E Tracker  ·  Page &amp;P of &amp;N</oddFooter>
    <evenHeader/>
    <evenFooter/>
    <firstHeader/>
    <firstFooter/>
  </headerFooter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rgb="003D5A80"/>
    <outlinePr summaryBelow="1" summaryRight="1"/>
    <pageSetUpPr/>
  </sheetPr>
  <dimension ref="A1:F3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40" customWidth="1" min="3" max="3"/>
    <col width="20" customWidth="1" min="4" max="4"/>
    <col width="28" customWidth="1" min="5" max="5"/>
    <col width="30" customWidth="1" min="6" max="6"/>
  </cols>
  <sheetData>
    <row r="1" ht="38" customHeight="1">
      <c r="A1" s="51" t="inlineStr">
        <is>
          <t>CLIENT &amp; PROJECT PROFILE</t>
        </is>
      </c>
      <c r="B1" s="52" t="n"/>
      <c r="C1" s="52" t="n"/>
      <c r="D1" s="52" t="n"/>
      <c r="E1" s="52" t="n"/>
      <c r="F1" s="52" t="n"/>
    </row>
    <row r="2" ht="18" customHeight="1">
      <c r="A2" s="53" t="inlineStr">
        <is>
          <t>Project summary — update these fields first  ·  Novality store</t>
        </is>
      </c>
      <c r="B2" s="5" t="n"/>
      <c r="C2" s="5" t="n"/>
      <c r="D2" s="5" t="n"/>
      <c r="E2" s="5" t="n"/>
      <c r="F2" s="5" t="n"/>
    </row>
    <row r="3"/>
    <row r="4">
      <c r="B4" s="6" t="inlineStr">
        <is>
          <t>CLIENT INFORMATION</t>
        </is>
      </c>
      <c r="C4" s="54" t="n"/>
      <c r="E4" s="55" t="inlineStr">
        <is>
          <t>FIELD GUIDE</t>
        </is>
      </c>
    </row>
    <row r="5" ht="24" customHeight="1">
      <c r="A5" s="56" t="n"/>
      <c r="B5" s="57" t="inlineStr">
        <is>
          <t>Client Name</t>
        </is>
      </c>
      <c r="C5" s="58" t="inlineStr">
        <is>
          <t>Alexandra Chen</t>
        </is>
      </c>
      <c r="D5" s="56" t="n"/>
      <c r="E5" s="59" t="inlineStr">
        <is>
          <t>Gold cells are editable inputs.</t>
        </is>
      </c>
      <c r="F5" s="56" t="n"/>
    </row>
    <row r="6" ht="24" customHeight="1">
      <c r="A6" s="56" t="n"/>
      <c r="B6" s="57" t="inlineStr">
        <is>
          <t>Client Email</t>
        </is>
      </c>
      <c r="C6" s="58" t="inlineStr">
        <is>
          <t>alexandra.chen@email.com</t>
        </is>
      </c>
      <c r="D6" s="56" t="n"/>
      <c r="E6" s="59" t="inlineStr">
        <is>
          <t>Gray cells are labels — locked.</t>
        </is>
      </c>
      <c r="F6" s="56" t="n"/>
    </row>
    <row r="7" ht="24" customHeight="1">
      <c r="A7" s="56" t="n"/>
      <c r="B7" s="57" t="inlineStr">
        <is>
          <t>Phone Number</t>
        </is>
      </c>
      <c r="C7" s="58" t="inlineStr">
        <is>
          <t>(555) 234-8890</t>
        </is>
      </c>
      <c r="D7" s="56" t="n"/>
      <c r="E7" s="59" t="inlineStr">
        <is>
          <t>Soft blue cells = locked formulas.</t>
        </is>
      </c>
      <c r="F7" s="56" t="n"/>
    </row>
    <row r="8">
      <c r="A8" s="56" t="n"/>
      <c r="C8" s="56" t="n"/>
      <c r="D8" s="56" t="n"/>
      <c r="E8" s="59" t="inlineStr">
        <is>
          <t>Use dropdowns where provided.</t>
        </is>
      </c>
      <c r="F8" s="56" t="n"/>
    </row>
    <row r="9">
      <c r="A9" s="56" t="n"/>
      <c r="B9" s="6" t="inlineStr">
        <is>
          <t>PROJECT DETAILS</t>
        </is>
      </c>
      <c r="C9" s="60" t="n"/>
      <c r="D9" s="56" t="n"/>
      <c r="E9" s="59" t="inlineStr">
        <is>
          <t>Budget feeds the Dashboard KPIs.</t>
        </is>
      </c>
      <c r="F9" s="56" t="n"/>
    </row>
    <row r="10" ht="24" customHeight="1">
      <c r="A10" s="56" t="n"/>
      <c r="B10" s="57" t="inlineStr">
        <is>
          <t>Project Name</t>
        </is>
      </c>
      <c r="C10" s="58" t="inlineStr">
        <is>
          <t>Chen Residence Refresh</t>
        </is>
      </c>
      <c r="D10" s="56" t="n"/>
      <c r="E10" s="61" t="inlineStr">
        <is>
          <t>Unprotect password: premium</t>
        </is>
      </c>
      <c r="F10" s="56" t="n"/>
    </row>
    <row r="11" ht="24" customHeight="1">
      <c r="A11" s="56" t="n"/>
      <c r="B11" s="57" t="inlineStr">
        <is>
          <t>Project Address</t>
        </is>
      </c>
      <c r="C11" s="58" t="inlineStr">
        <is>
          <t>482 Maple Lane, Portland, OR 97205</t>
        </is>
      </c>
      <c r="D11" s="56" t="n"/>
      <c r="E11" s="62" t="inlineStr">
        <is>
          <t>by Novality store</t>
        </is>
      </c>
      <c r="F11" s="56" t="n"/>
    </row>
    <row r="12" ht="24" customHeight="1">
      <c r="A12" s="56" t="n"/>
      <c r="B12" s="57" t="inlineStr">
        <is>
          <t>Project Type</t>
        </is>
      </c>
      <c r="C12" s="58" t="inlineStr">
        <is>
          <t>Residential</t>
        </is>
      </c>
      <c r="D12" s="56" t="n"/>
      <c r="E12" s="56" t="n"/>
      <c r="F12" s="56" t="n"/>
    </row>
    <row r="13" ht="24" customHeight="1">
      <c r="A13" s="56" t="n"/>
      <c r="B13" s="57" t="inlineStr">
        <is>
          <t>Design Style</t>
        </is>
      </c>
      <c r="C13" s="58" t="inlineStr">
        <is>
          <t>Modern Organic / Warm Minimalist</t>
        </is>
      </c>
      <c r="D13" s="56" t="n"/>
      <c r="E13" s="56" t="n"/>
      <c r="F13" s="56" t="n"/>
    </row>
    <row r="14" ht="24" customHeight="1">
      <c r="A14" s="56" t="n"/>
      <c r="B14" s="57" t="inlineStr">
        <is>
          <t>Start Date</t>
        </is>
      </c>
      <c r="C14" s="63" t="n">
        <v>46082</v>
      </c>
      <c r="D14" s="56" t="n"/>
      <c r="E14" s="56" t="n"/>
      <c r="F14" s="56" t="n"/>
    </row>
    <row r="15" ht="24" customHeight="1">
      <c r="A15" s="56" t="n"/>
      <c r="B15" s="57" t="inlineStr">
        <is>
          <t>Target Completion</t>
        </is>
      </c>
      <c r="C15" s="63" t="n">
        <v>46295</v>
      </c>
      <c r="D15" s="56" t="n"/>
      <c r="E15" s="56" t="n"/>
      <c r="F15" s="56" t="n"/>
    </row>
    <row r="16" ht="24" customHeight="1">
      <c r="A16" s="56" t="n"/>
      <c r="B16" s="57" t="inlineStr">
        <is>
          <t>Total Budget</t>
        </is>
      </c>
      <c r="C16" s="64" t="n">
        <v>85000</v>
      </c>
      <c r="D16" s="56" t="n"/>
      <c r="E16" s="56" t="n"/>
      <c r="F16" s="56" t="n"/>
    </row>
    <row r="17" ht="24" customHeight="1">
      <c r="A17" s="56" t="n"/>
      <c r="B17" s="57" t="inlineStr">
        <is>
          <t>Designer Name</t>
        </is>
      </c>
      <c r="C17" s="58" t="inlineStr">
        <is>
          <t>Jordan Blake Studio</t>
        </is>
      </c>
      <c r="D17" s="56" t="n"/>
      <c r="E17" s="56" t="n"/>
      <c r="F17" s="56" t="n"/>
    </row>
    <row r="18" ht="24" customHeight="1">
      <c r="A18" s="56" t="n"/>
      <c r="B18" s="57" t="inlineStr">
        <is>
          <t>Project Status</t>
        </is>
      </c>
      <c r="C18" s="58" t="inlineStr">
        <is>
          <t>Active</t>
        </is>
      </c>
      <c r="D18" s="56" t="n"/>
      <c r="E18" s="56" t="n"/>
      <c r="F18" s="56" t="n"/>
    </row>
    <row r="19" ht="24" customHeight="1">
      <c r="A19" s="56" t="n"/>
      <c r="B19" s="57" t="inlineStr">
        <is>
          <t>Scope Summary</t>
        </is>
      </c>
      <c r="C19" s="58" t="inlineStr">
        <is>
          <t>Full FF&amp;E package for living, primary suite, kitchen refresh, dining, powder room, and home office. Includes furniture, lighting, rugs, finishes, and installation coordination.</t>
        </is>
      </c>
      <c r="D19" s="56" t="n"/>
      <c r="E19" s="56" t="n"/>
      <c r="F19" s="56" t="n"/>
    </row>
    <row r="20" ht="24" customHeight="1">
      <c r="A20" s="56" t="n"/>
      <c r="B20" s="57" t="inlineStr">
        <is>
          <t>Client Notes</t>
        </is>
      </c>
      <c r="C20" s="58" t="inlineStr">
        <is>
          <t>Prefers low-VOC finishes. Dog-friendly fabrics required in living areas. Traveling Aug 1–15 — no deliveries that window.</t>
        </is>
      </c>
      <c r="D20" s="56" t="n"/>
      <c r="E20" s="56" t="n"/>
      <c r="F20" s="56" t="n"/>
    </row>
    <row r="21">
      <c r="A21" s="56" t="n"/>
      <c r="C21" s="56" t="n"/>
      <c r="D21" s="56" t="n"/>
      <c r="E21" s="56" t="n"/>
      <c r="F21" s="56" t="n"/>
    </row>
    <row r="22">
      <c r="A22" s="56" t="n"/>
      <c r="C22" s="56" t="n"/>
      <c r="D22" s="56" t="n"/>
      <c r="E22" s="56" t="n"/>
      <c r="F22" s="56" t="n"/>
    </row>
    <row r="23">
      <c r="A23" s="56" t="n"/>
      <c r="B23" s="6" t="inlineStr">
        <is>
          <t>CONTRACT &amp; BILLING (OPTIONAL)</t>
        </is>
      </c>
      <c r="C23" s="60" t="n"/>
      <c r="D23" s="56" t="n"/>
      <c r="E23" s="56" t="n"/>
      <c r="F23" s="56" t="n"/>
    </row>
    <row r="24" ht="24" customHeight="1">
      <c r="A24" s="56" t="n"/>
      <c r="B24" s="57" t="inlineStr">
        <is>
          <t>Contract Signed</t>
        </is>
      </c>
      <c r="C24" s="58" t="inlineStr">
        <is>
          <t>Yes</t>
        </is>
      </c>
      <c r="D24" s="56" t="n"/>
      <c r="E24" s="56" t="n"/>
      <c r="F24" s="56" t="n"/>
    </row>
    <row r="25" ht="24" customHeight="1">
      <c r="A25" s="56" t="n"/>
      <c r="B25" s="57" t="inlineStr">
        <is>
          <t>Deposit Paid</t>
        </is>
      </c>
      <c r="C25" s="58" t="inlineStr">
        <is>
          <t>Yes</t>
        </is>
      </c>
      <c r="D25" s="56" t="n"/>
      <c r="E25" s="56" t="n"/>
      <c r="F25" s="56" t="n"/>
    </row>
    <row r="26" ht="24" customHeight="1">
      <c r="A26" s="56" t="n"/>
      <c r="B26" s="57" t="inlineStr">
        <is>
          <t>Design Package Selected</t>
        </is>
      </c>
      <c r="C26" s="58" t="inlineStr">
        <is>
          <t>Full Service FF&amp;E</t>
        </is>
      </c>
      <c r="D26" s="56" t="n"/>
      <c r="E26" s="56" t="n"/>
      <c r="F26" s="56" t="n"/>
    </row>
    <row r="27" ht="24" customHeight="1">
      <c r="A27" s="56" t="n"/>
      <c r="B27" s="57" t="inlineStr">
        <is>
          <t>Billing Method</t>
        </is>
      </c>
      <c r="C27" s="58" t="inlineStr">
        <is>
          <t>Hybrid</t>
        </is>
      </c>
      <c r="D27" s="56" t="n"/>
      <c r="E27" s="56" t="n"/>
      <c r="F27" s="56" t="n"/>
    </row>
    <row r="28" ht="24" customHeight="1">
      <c r="A28" s="56" t="n"/>
      <c r="B28" s="57" t="inlineStr">
        <is>
          <t>Design Fee</t>
        </is>
      </c>
      <c r="C28" s="64" t="n">
        <v>12000</v>
      </c>
      <c r="D28" s="56" t="n"/>
      <c r="E28" s="56" t="n"/>
      <c r="F28" s="56" t="n"/>
    </row>
    <row r="29" ht="24" customHeight="1">
      <c r="A29" s="56" t="n"/>
      <c r="B29" s="57" t="inlineStr">
        <is>
          <t>Hourly Rate (if applicable)</t>
        </is>
      </c>
      <c r="C29" s="64" t="n">
        <v>175</v>
      </c>
      <c r="D29" s="56" t="n"/>
      <c r="E29" s="56" t="n"/>
      <c r="F29" s="56" t="n"/>
    </row>
    <row r="30" ht="24" customHeight="1">
      <c r="A30" s="56" t="n"/>
      <c r="B30" s="57" t="inlineStr">
        <is>
          <t>Retainer / Deposit Amount</t>
        </is>
      </c>
      <c r="C30" s="64" t="n">
        <v>4000</v>
      </c>
      <c r="D30" s="56" t="n"/>
      <c r="E30" s="56" t="n"/>
      <c r="F30" s="56" t="n"/>
    </row>
    <row r="31">
      <c r="A31" s="56" t="n"/>
      <c r="C31" s="56" t="n"/>
      <c r="D31" s="56" t="n"/>
      <c r="E31" s="56" t="n"/>
      <c r="F31" s="56" t="n"/>
    </row>
    <row r="32">
      <c r="A32" s="56" t="n"/>
      <c r="B32" s="56" t="n"/>
      <c r="C32" s="56" t="n"/>
      <c r="D32" s="56" t="n"/>
      <c r="E32" s="56" t="n"/>
      <c r="F32" s="56" t="n"/>
    </row>
    <row r="33">
      <c r="A33" s="56" t="n"/>
      <c r="B33" s="56" t="n"/>
      <c r="C33" s="56" t="n"/>
      <c r="D33" s="56" t="n"/>
      <c r="E33" s="56" t="n"/>
      <c r="F33" s="56" t="n"/>
    </row>
    <row r="34">
      <c r="A34" s="56" t="n"/>
      <c r="B34" s="56" t="n"/>
      <c r="C34" s="56" t="n"/>
      <c r="D34" s="56" t="n"/>
      <c r="E34" s="56" t="n"/>
      <c r="F34" s="56" t="n"/>
    </row>
    <row r="35">
      <c r="A35" s="56" t="n"/>
      <c r="B35" s="56" t="n"/>
      <c r="C35" s="56" t="n"/>
      <c r="D35" s="56" t="n"/>
      <c r="E35" s="56" t="n"/>
      <c r="F35" s="56" t="n"/>
    </row>
    <row r="36">
      <c r="A36" s="56" t="n"/>
      <c r="B36" s="56" t="n"/>
      <c r="C36" s="56" t="n"/>
      <c r="D36" s="56" t="n"/>
      <c r="E36" s="56" t="n"/>
      <c r="F36" s="56" t="n"/>
    </row>
    <row r="37">
      <c r="A37" s="56" t="n"/>
      <c r="B37" s="56" t="n"/>
      <c r="C37" s="56" t="n"/>
      <c r="D37" s="56" t="n"/>
      <c r="E37" s="56" t="n"/>
      <c r="F37" s="56" t="n"/>
    </row>
  </sheetData>
  <sheetProtection selectLockedCells="0" selectUnlockedCells="0" sheet="1" objects="0" insertRows="0" insertHyperlinks="0" autoFilter="0" scenarios="1" formatColumns="0" deleteColumns="1" insertColumns="1" pivotTables="1" deleteRows="0" formatCells="0" formatRows="0" sort="0" password="EC7C"/>
  <mergeCells count="5">
    <mergeCell ref="A2:F2"/>
    <mergeCell ref="A1:F1"/>
    <mergeCell ref="B23:C23"/>
    <mergeCell ref="B9:C9"/>
    <mergeCell ref="B4:C4"/>
  </mergeCells>
  <dataValidations count="5">
    <dataValidation sqref="C12" showDropDown="0" showInputMessage="1" showErrorMessage="1" allowBlank="1" errorTitle="Invalid Entry" error="Please select a value from the dropdown list." promptTitle="Select" prompt="Choose from the list" type="list">
      <formula1>"Residential,Commercial,Office,Retail,Hospitality,Staging"</formula1>
    </dataValidation>
    <dataValidation sqref="C18" showDropDown="0" showInputMessage="1" showErrorMessage="1" allowBlank="1" errorTitle="Invalid Entry" error="Please select a value from the dropdown list." promptTitle="Select" prompt="Choose from the list" type="list">
      <formula1>"Inquiry,Proposal,Active,On Hold,Completed,Cancelled"</formula1>
    </dataValidation>
    <dataValidation sqref="C24" showDropDown="0" showInputMessage="1" showErrorMessage="1" allowBlank="1" errorTitle="Invalid Entry" error="Please select a value from the dropdown list." promptTitle="Select" prompt="Choose from the list" type="list">
      <formula1>"Yes,No"</formula1>
    </dataValidation>
    <dataValidation sqref="C25" showDropDown="0" showInputMessage="1" showErrorMessage="1" allowBlank="1" errorTitle="Invalid Entry" error="Please select a value from the dropdown list." promptTitle="Select" prompt="Choose from the list" type="list">
      <formula1>"Yes,No"</formula1>
    </dataValidation>
    <dataValidation sqref="C27" showDropDown="0" showInputMessage="1" showErrorMessage="1" allowBlank="1" errorTitle="Invalid Entry" error="Please select a value from the dropdown list." promptTitle="Select" prompt="Choose from the list" type="list">
      <formula1>"Flat Fee,Hourly,Percentage,Hybrid"</formula1>
    </dataValidation>
  </dataValidations>
  <pageMargins left="0.5" right="0.5" top="0.6" bottom="0.6" header="0.5" footer="0.5"/>
  <headerFooter>
    <oddHeader/>
    <oddFooter>&amp;C&amp;"Calibri"&amp;8 &amp;"Calibri"&amp;8Novality store  ·  Interior Design FF&amp;E Tracker  ·  Page &amp;P of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001F8A7E"/>
    <outlinePr summaryBelow="1" summaryRight="1"/>
    <pageSetUpPr/>
  </sheetPr>
  <dimension ref="A1:K4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2" customWidth="1" min="3" max="3"/>
    <col width="14" customWidth="1" min="4" max="4"/>
    <col width="14" customWidth="1" min="5" max="5"/>
    <col width="16" customWidth="1" min="6" max="6"/>
    <col width="15" customWidth="1" min="7" max="7"/>
    <col width="14" customWidth="1" min="8" max="8"/>
    <col width="16" customWidth="1" min="9" max="9"/>
    <col width="12" customWidth="1" min="10" max="10"/>
    <col width="36" customWidth="1" min="11" max="11"/>
  </cols>
  <sheetData>
    <row r="1" ht="38" customHeight="1">
      <c r="A1" s="51" t="inlineStr">
        <is>
          <t>ROOM LIST / AREA TRACKER</t>
        </is>
      </c>
      <c r="B1" s="52" t="n"/>
      <c r="C1" s="52" t="n"/>
      <c r="D1" s="52" t="n"/>
      <c r="E1" s="52" t="n"/>
      <c r="F1" s="52" t="n"/>
      <c r="G1" s="52" t="n"/>
      <c r="H1" s="52" t="n"/>
      <c r="I1" s="52" t="n"/>
      <c r="J1" s="52" t="n"/>
      <c r="K1" s="52" t="n"/>
    </row>
    <row r="2" ht="18" customHeight="1">
      <c r="A2" s="53" t="inlineStr">
        <is>
          <t>Organize the project by room — budgets roll up to the Dashboard  ·  Novality store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</row>
    <row r="3"/>
    <row r="4" ht="34" customHeight="1">
      <c r="A4" s="65" t="inlineStr">
        <is>
          <t>Room Name</t>
        </is>
      </c>
      <c r="B4" s="65" t="inlineStr">
        <is>
          <t>Room Type</t>
        </is>
      </c>
      <c r="C4" s="65" t="inlineStr">
        <is>
          <t>Floor/Level</t>
        </is>
      </c>
      <c r="D4" s="65" t="inlineStr">
        <is>
          <t>Square Footage</t>
        </is>
      </c>
      <c r="E4" s="65" t="inlineStr">
        <is>
          <t>Design Status</t>
        </is>
      </c>
      <c r="F4" s="65" t="inlineStr">
        <is>
          <t>Budget Allocation</t>
        </is>
      </c>
      <c r="G4" s="65" t="inlineStr">
        <is>
          <t>Estimated Spend</t>
        </is>
      </c>
      <c r="H4" s="65" t="inlineStr">
        <is>
          <t>Actual Spend</t>
        </is>
      </c>
      <c r="I4" s="65" t="inlineStr">
        <is>
          <t>Remaining Budget</t>
        </is>
      </c>
      <c r="J4" s="65" t="inlineStr">
        <is>
          <t>Priority Level</t>
        </is>
      </c>
      <c r="K4" s="65" t="inlineStr">
        <is>
          <t>Notes</t>
        </is>
      </c>
    </row>
    <row r="5">
      <c r="A5" s="66" t="inlineStr">
        <is>
          <t>Living Room</t>
        </is>
      </c>
      <c r="B5" s="66" t="inlineStr">
        <is>
          <t>Living Room</t>
        </is>
      </c>
      <c r="C5" s="67" t="inlineStr">
        <is>
          <t>1</t>
        </is>
      </c>
      <c r="D5" s="67" t="n">
        <v>320</v>
      </c>
      <c r="E5" s="67" t="inlineStr">
        <is>
          <t>In Progress</t>
        </is>
      </c>
      <c r="F5" s="68" t="n">
        <v>15000</v>
      </c>
      <c r="G5" s="69">
        <f>IF(A5="","",SUMIF('05 Master FF&amp;E'!B:B,A5,'05 Master FF&amp;E'!T:T))</f>
        <v/>
      </c>
      <c r="H5" s="69">
        <f>IF(A5="","",SUMIFS('05 Master FF&amp;E'!T:T,'05 Master FF&amp;E'!B:B,A5,'05 Master FF&amp;E'!V:V,"&lt;&gt;Cancelled"))</f>
        <v/>
      </c>
      <c r="I5" s="69">
        <f>IF(A5="","",F5-H5)</f>
        <v/>
      </c>
      <c r="J5" s="67" t="inlineStr">
        <is>
          <t>High</t>
        </is>
      </c>
      <c r="K5" s="66" t="inlineStr">
        <is>
          <t>Primary gathering space</t>
        </is>
      </c>
    </row>
    <row r="6">
      <c r="A6" s="66" t="inlineStr">
        <is>
          <t>Master Bedroom</t>
        </is>
      </c>
      <c r="B6" s="66" t="inlineStr">
        <is>
          <t>Bedroom</t>
        </is>
      </c>
      <c r="C6" s="67" t="inlineStr">
        <is>
          <t>2</t>
        </is>
      </c>
      <c r="D6" s="67" t="n">
        <v>280</v>
      </c>
      <c r="E6" s="67" t="inlineStr">
        <is>
          <t>Concept</t>
        </is>
      </c>
      <c r="F6" s="68" t="n">
        <v>12000</v>
      </c>
      <c r="G6" s="69">
        <f>IF(A6="","",SUMIF('05 Master FF&amp;E'!B:B,A6,'05 Master FF&amp;E'!T:T))</f>
        <v/>
      </c>
      <c r="H6" s="69">
        <f>IF(A6="","",SUMIFS('05 Master FF&amp;E'!T:T,'05 Master FF&amp;E'!B:B,A6,'05 Master FF&amp;E'!V:V,"&lt;&gt;Cancelled"))</f>
        <v/>
      </c>
      <c r="I6" s="69">
        <f>IF(A6="","",F6-H6)</f>
        <v/>
      </c>
      <c r="J6" s="67" t="inlineStr">
        <is>
          <t>High</t>
        </is>
      </c>
      <c r="K6" s="66" t="inlineStr">
        <is>
          <t>Ensuite suite</t>
        </is>
      </c>
    </row>
    <row r="7">
      <c r="A7" s="66" t="inlineStr">
        <is>
          <t>Kitchen</t>
        </is>
      </c>
      <c r="B7" s="66" t="inlineStr">
        <is>
          <t>Kitchen</t>
        </is>
      </c>
      <c r="C7" s="67" t="inlineStr">
        <is>
          <t>1</t>
        </is>
      </c>
      <c r="D7" s="67" t="n">
        <v>220</v>
      </c>
      <c r="E7" s="67" t="inlineStr">
        <is>
          <t>Client Review</t>
        </is>
      </c>
      <c r="F7" s="68" t="n">
        <v>25000</v>
      </c>
      <c r="G7" s="69">
        <f>IF(A7="","",SUMIF('05 Master FF&amp;E'!B:B,A7,'05 Master FF&amp;E'!T:T))</f>
        <v/>
      </c>
      <c r="H7" s="69">
        <f>IF(A7="","",SUMIFS('05 Master FF&amp;E'!T:T,'05 Master FF&amp;E'!B:B,A7,'05 Master FF&amp;E'!V:V,"&lt;&gt;Cancelled"))</f>
        <v/>
      </c>
      <c r="I7" s="69">
        <f>IF(A7="","",F7-H7)</f>
        <v/>
      </c>
      <c r="J7" s="67" t="inlineStr">
        <is>
          <t>Urgent</t>
        </is>
      </c>
      <c r="K7" s="66" t="inlineStr">
        <is>
          <t>Full remodel</t>
        </is>
      </c>
    </row>
    <row r="8">
      <c r="A8" s="66" t="inlineStr">
        <is>
          <t>Dining Room</t>
        </is>
      </c>
      <c r="B8" s="66" t="inlineStr">
        <is>
          <t>Dining Room</t>
        </is>
      </c>
      <c r="C8" s="67" t="inlineStr">
        <is>
          <t>1</t>
        </is>
      </c>
      <c r="D8" s="67" t="n">
        <v>180</v>
      </c>
      <c r="E8" s="67" t="inlineStr">
        <is>
          <t>Approved</t>
        </is>
      </c>
      <c r="F8" s="68" t="n">
        <v>8000</v>
      </c>
      <c r="G8" s="69">
        <f>IF(A8="","",SUMIF('05 Master FF&amp;E'!B:B,A8,'05 Master FF&amp;E'!T:T))</f>
        <v/>
      </c>
      <c r="H8" s="69">
        <f>IF(A8="","",SUMIFS('05 Master FF&amp;E'!T:T,'05 Master FF&amp;E'!B:B,A8,'05 Master FF&amp;E'!V:V,"&lt;&gt;Cancelled"))</f>
        <v/>
      </c>
      <c r="I8" s="69">
        <f>IF(A8="","",F8-H8)</f>
        <v/>
      </c>
      <c r="J8" s="67" t="inlineStr">
        <is>
          <t>Medium</t>
        </is>
      </c>
      <c r="K8" s="66" t="inlineStr">
        <is>
          <t>Formal dining</t>
        </is>
      </c>
    </row>
    <row r="9">
      <c r="A9" s="66" t="inlineStr">
        <is>
          <t>Home Office</t>
        </is>
      </c>
      <c r="B9" s="66" t="inlineStr">
        <is>
          <t>Office</t>
        </is>
      </c>
      <c r="C9" s="67" t="inlineStr">
        <is>
          <t>2</t>
        </is>
      </c>
      <c r="D9" s="67" t="n">
        <v>140</v>
      </c>
      <c r="E9" s="67" t="inlineStr">
        <is>
          <t>Not Started</t>
        </is>
      </c>
      <c r="F9" s="68" t="n">
        <v>5000</v>
      </c>
      <c r="G9" s="69">
        <f>IF(A9="","",SUMIF('05 Master FF&amp;E'!B:B,A9,'05 Master FF&amp;E'!T:T))</f>
        <v/>
      </c>
      <c r="H9" s="69">
        <f>IF(A9="","",SUMIFS('05 Master FF&amp;E'!T:T,'05 Master FF&amp;E'!B:B,A9,'05 Master FF&amp;E'!V:V,"&lt;&gt;Cancelled"))</f>
        <v/>
      </c>
      <c r="I9" s="69">
        <f>IF(A9="","",F9-H9)</f>
        <v/>
      </c>
      <c r="J9" s="67" t="inlineStr">
        <is>
          <t>Low</t>
        </is>
      </c>
      <c r="K9" s="66" t="inlineStr">
        <is>
          <t>Guest office convertible</t>
        </is>
      </c>
    </row>
    <row r="10">
      <c r="A10" s="66" t="inlineStr">
        <is>
          <t>Powder Room</t>
        </is>
      </c>
      <c r="B10" s="66" t="inlineStr">
        <is>
          <t>Bathroom</t>
        </is>
      </c>
      <c r="C10" s="67" t="inlineStr">
        <is>
          <t>1</t>
        </is>
      </c>
      <c r="D10" s="67" t="n">
        <v>45</v>
      </c>
      <c r="E10" s="67" t="inlineStr">
        <is>
          <t>In Progress</t>
        </is>
      </c>
      <c r="F10" s="68" t="n">
        <v>3500</v>
      </c>
      <c r="G10" s="69">
        <f>IF(A10="","",SUMIF('05 Master FF&amp;E'!B:B,A10,'05 Master FF&amp;E'!T:T))</f>
        <v/>
      </c>
      <c r="H10" s="69">
        <f>IF(A10="","",SUMIFS('05 Master FF&amp;E'!T:T,'05 Master FF&amp;E'!B:B,A10,'05 Master FF&amp;E'!V:V,"&lt;&gt;Cancelled"))</f>
        <v/>
      </c>
      <c r="I10" s="69">
        <f>IF(A10="","",F10-H10)</f>
        <v/>
      </c>
      <c r="J10" s="67" t="inlineStr">
        <is>
          <t>Medium</t>
        </is>
      </c>
      <c r="K10" s="66" t="inlineStr">
        <is>
          <t>Guest bath</t>
        </is>
      </c>
    </row>
    <row r="11">
      <c r="A11" s="66" t="n"/>
      <c r="B11" s="66" t="n"/>
      <c r="C11" s="66" t="n"/>
      <c r="D11" s="66" t="n"/>
      <c r="E11" s="66" t="n"/>
      <c r="F11" s="68" t="n"/>
      <c r="G11" s="69">
        <f>IF(A11="","",SUMIF('05 Master FF&amp;E'!B:B,A11,'05 Master FF&amp;E'!T:T))</f>
        <v/>
      </c>
      <c r="H11" s="69">
        <f>IF(A11="","",SUMIFS('05 Master FF&amp;E'!T:T,'05 Master FF&amp;E'!B:B,A11,'05 Master FF&amp;E'!V:V,"&lt;&gt;Cancelled"))</f>
        <v/>
      </c>
      <c r="I11" s="69">
        <f>IF(A11="","",F11-H11)</f>
        <v/>
      </c>
      <c r="J11" s="66" t="n"/>
      <c r="K11" s="66" t="n"/>
    </row>
    <row r="12">
      <c r="A12" s="66" t="n"/>
      <c r="B12" s="66" t="n"/>
      <c r="C12" s="66" t="n"/>
      <c r="D12" s="66" t="n"/>
      <c r="E12" s="66" t="n"/>
      <c r="F12" s="68" t="n"/>
      <c r="G12" s="69">
        <f>IF(A12="","",SUMIF('05 Master FF&amp;E'!B:B,A12,'05 Master FF&amp;E'!T:T))</f>
        <v/>
      </c>
      <c r="H12" s="69">
        <f>IF(A12="","",SUMIFS('05 Master FF&amp;E'!T:T,'05 Master FF&amp;E'!B:B,A12,'05 Master FF&amp;E'!V:V,"&lt;&gt;Cancelled"))</f>
        <v/>
      </c>
      <c r="I12" s="69">
        <f>IF(A12="","",F12-H12)</f>
        <v/>
      </c>
      <c r="J12" s="66" t="n"/>
      <c r="K12" s="66" t="n"/>
    </row>
    <row r="13">
      <c r="A13" s="66" t="n"/>
      <c r="B13" s="66" t="n"/>
      <c r="C13" s="66" t="n"/>
      <c r="D13" s="66" t="n"/>
      <c r="E13" s="66" t="n"/>
      <c r="F13" s="68" t="n"/>
      <c r="G13" s="69">
        <f>IF(A13="","",SUMIF('05 Master FF&amp;E'!B:B,A13,'05 Master FF&amp;E'!T:T))</f>
        <v/>
      </c>
      <c r="H13" s="69">
        <f>IF(A13="","",SUMIFS('05 Master FF&amp;E'!T:T,'05 Master FF&amp;E'!B:B,A13,'05 Master FF&amp;E'!V:V,"&lt;&gt;Cancelled"))</f>
        <v/>
      </c>
      <c r="I13" s="69">
        <f>IF(A13="","",F13-H13)</f>
        <v/>
      </c>
      <c r="J13" s="66" t="n"/>
      <c r="K13" s="66" t="n"/>
    </row>
    <row r="14">
      <c r="A14" s="66" t="n"/>
      <c r="B14" s="66" t="n"/>
      <c r="C14" s="66" t="n"/>
      <c r="D14" s="66" t="n"/>
      <c r="E14" s="66" t="n"/>
      <c r="F14" s="68" t="n"/>
      <c r="G14" s="69">
        <f>IF(A14="","",SUMIF('05 Master FF&amp;E'!B:B,A14,'05 Master FF&amp;E'!T:T))</f>
        <v/>
      </c>
      <c r="H14" s="69">
        <f>IF(A14="","",SUMIFS('05 Master FF&amp;E'!T:T,'05 Master FF&amp;E'!B:B,A14,'05 Master FF&amp;E'!V:V,"&lt;&gt;Cancelled"))</f>
        <v/>
      </c>
      <c r="I14" s="69">
        <f>IF(A14="","",F14-H14)</f>
        <v/>
      </c>
      <c r="J14" s="66" t="n"/>
      <c r="K14" s="66" t="n"/>
    </row>
    <row r="15">
      <c r="A15" s="66" t="n"/>
      <c r="B15" s="66" t="n"/>
      <c r="C15" s="66" t="n"/>
      <c r="D15" s="66" t="n"/>
      <c r="E15" s="66" t="n"/>
      <c r="F15" s="68" t="n"/>
      <c r="G15" s="69">
        <f>IF(A15="","",SUMIF('05 Master FF&amp;E'!B:B,A15,'05 Master FF&amp;E'!T:T))</f>
        <v/>
      </c>
      <c r="H15" s="69">
        <f>IF(A15="","",SUMIFS('05 Master FF&amp;E'!T:T,'05 Master FF&amp;E'!B:B,A15,'05 Master FF&amp;E'!V:V,"&lt;&gt;Cancelled"))</f>
        <v/>
      </c>
      <c r="I15" s="69">
        <f>IF(A15="","",F15-H15)</f>
        <v/>
      </c>
      <c r="J15" s="66" t="n"/>
      <c r="K15" s="66" t="n"/>
    </row>
    <row r="16">
      <c r="A16" s="66" t="n"/>
      <c r="B16" s="66" t="n"/>
      <c r="C16" s="66" t="n"/>
      <c r="D16" s="66" t="n"/>
      <c r="E16" s="66" t="n"/>
      <c r="F16" s="68" t="n"/>
      <c r="G16" s="69">
        <f>IF(A16="","",SUMIF('05 Master FF&amp;E'!B:B,A16,'05 Master FF&amp;E'!T:T))</f>
        <v/>
      </c>
      <c r="H16" s="69">
        <f>IF(A16="","",SUMIFS('05 Master FF&amp;E'!T:T,'05 Master FF&amp;E'!B:B,A16,'05 Master FF&amp;E'!V:V,"&lt;&gt;Cancelled"))</f>
        <v/>
      </c>
      <c r="I16" s="69">
        <f>IF(A16="","",F16-H16)</f>
        <v/>
      </c>
      <c r="J16" s="66" t="n"/>
      <c r="K16" s="66" t="n"/>
    </row>
    <row r="17">
      <c r="A17" s="66" t="n"/>
      <c r="B17" s="66" t="n"/>
      <c r="C17" s="66" t="n"/>
      <c r="D17" s="66" t="n"/>
      <c r="E17" s="66" t="n"/>
      <c r="F17" s="68" t="n"/>
      <c r="G17" s="69">
        <f>IF(A17="","",SUMIF('05 Master FF&amp;E'!B:B,A17,'05 Master FF&amp;E'!T:T))</f>
        <v/>
      </c>
      <c r="H17" s="69">
        <f>IF(A17="","",SUMIFS('05 Master FF&amp;E'!T:T,'05 Master FF&amp;E'!B:B,A17,'05 Master FF&amp;E'!V:V,"&lt;&gt;Cancelled"))</f>
        <v/>
      </c>
      <c r="I17" s="69">
        <f>IF(A17="","",F17-H17)</f>
        <v/>
      </c>
      <c r="J17" s="66" t="n"/>
      <c r="K17" s="66" t="n"/>
    </row>
    <row r="18">
      <c r="A18" s="66" t="n"/>
      <c r="B18" s="66" t="n"/>
      <c r="C18" s="66" t="n"/>
      <c r="D18" s="66" t="n"/>
      <c r="E18" s="66" t="n"/>
      <c r="F18" s="68" t="n"/>
      <c r="G18" s="69">
        <f>IF(A18="","",SUMIF('05 Master FF&amp;E'!B:B,A18,'05 Master FF&amp;E'!T:T))</f>
        <v/>
      </c>
      <c r="H18" s="69">
        <f>IF(A18="","",SUMIFS('05 Master FF&amp;E'!T:T,'05 Master FF&amp;E'!B:B,A18,'05 Master FF&amp;E'!V:V,"&lt;&gt;Cancelled"))</f>
        <v/>
      </c>
      <c r="I18" s="69">
        <f>IF(A18="","",F18-H18)</f>
        <v/>
      </c>
      <c r="J18" s="66" t="n"/>
      <c r="K18" s="66" t="n"/>
    </row>
    <row r="19">
      <c r="A19" s="66" t="n"/>
      <c r="B19" s="66" t="n"/>
      <c r="C19" s="66" t="n"/>
      <c r="D19" s="66" t="n"/>
      <c r="E19" s="66" t="n"/>
      <c r="F19" s="68" t="n"/>
      <c r="G19" s="69">
        <f>IF(A19="","",SUMIF('05 Master FF&amp;E'!B:B,A19,'05 Master FF&amp;E'!T:T))</f>
        <v/>
      </c>
      <c r="H19" s="69">
        <f>IF(A19="","",SUMIFS('05 Master FF&amp;E'!T:T,'05 Master FF&amp;E'!B:B,A19,'05 Master FF&amp;E'!V:V,"&lt;&gt;Cancelled"))</f>
        <v/>
      </c>
      <c r="I19" s="69">
        <f>IF(A19="","",F19-H19)</f>
        <v/>
      </c>
      <c r="J19" s="66" t="n"/>
      <c r="K19" s="66" t="n"/>
    </row>
    <row r="20">
      <c r="A20" s="66" t="n"/>
      <c r="B20" s="66" t="n"/>
      <c r="C20" s="66" t="n"/>
      <c r="D20" s="66" t="n"/>
      <c r="E20" s="66" t="n"/>
      <c r="F20" s="68" t="n"/>
      <c r="G20" s="69">
        <f>IF(A20="","",SUMIF('05 Master FF&amp;E'!B:B,A20,'05 Master FF&amp;E'!T:T))</f>
        <v/>
      </c>
      <c r="H20" s="69">
        <f>IF(A20="","",SUMIFS('05 Master FF&amp;E'!T:T,'05 Master FF&amp;E'!B:B,A20,'05 Master FF&amp;E'!V:V,"&lt;&gt;Cancelled"))</f>
        <v/>
      </c>
      <c r="I20" s="69">
        <f>IF(A20="","",F20-H20)</f>
        <v/>
      </c>
      <c r="J20" s="66" t="n"/>
      <c r="K20" s="66" t="n"/>
    </row>
    <row r="21">
      <c r="A21" s="66" t="n"/>
      <c r="B21" s="66" t="n"/>
      <c r="C21" s="66" t="n"/>
      <c r="D21" s="66" t="n"/>
      <c r="E21" s="66" t="n"/>
      <c r="F21" s="68" t="n"/>
      <c r="G21" s="69">
        <f>IF(A21="","",SUMIF('05 Master FF&amp;E'!B:B,A21,'05 Master FF&amp;E'!T:T))</f>
        <v/>
      </c>
      <c r="H21" s="69">
        <f>IF(A21="","",SUMIFS('05 Master FF&amp;E'!T:T,'05 Master FF&amp;E'!B:B,A21,'05 Master FF&amp;E'!V:V,"&lt;&gt;Cancelled"))</f>
        <v/>
      </c>
      <c r="I21" s="69">
        <f>IF(A21="","",F21-H21)</f>
        <v/>
      </c>
      <c r="J21" s="66" t="n"/>
      <c r="K21" s="66" t="n"/>
    </row>
    <row r="22">
      <c r="A22" s="66" t="n"/>
      <c r="B22" s="66" t="n"/>
      <c r="C22" s="66" t="n"/>
      <c r="D22" s="66" t="n"/>
      <c r="E22" s="66" t="n"/>
      <c r="F22" s="68" t="n"/>
      <c r="G22" s="69">
        <f>IF(A22="","",SUMIF('05 Master FF&amp;E'!B:B,A22,'05 Master FF&amp;E'!T:T))</f>
        <v/>
      </c>
      <c r="H22" s="69">
        <f>IF(A22="","",SUMIFS('05 Master FF&amp;E'!T:T,'05 Master FF&amp;E'!B:B,A22,'05 Master FF&amp;E'!V:V,"&lt;&gt;Cancelled"))</f>
        <v/>
      </c>
      <c r="I22" s="69">
        <f>IF(A22="","",F22-H22)</f>
        <v/>
      </c>
      <c r="J22" s="66" t="n"/>
      <c r="K22" s="66" t="n"/>
    </row>
    <row r="23">
      <c r="A23" s="66" t="n"/>
      <c r="B23" s="66" t="n"/>
      <c r="C23" s="66" t="n"/>
      <c r="D23" s="66" t="n"/>
      <c r="E23" s="66" t="n"/>
      <c r="F23" s="68" t="n"/>
      <c r="G23" s="69">
        <f>IF(A23="","",SUMIF('05 Master FF&amp;E'!B:B,A23,'05 Master FF&amp;E'!T:T))</f>
        <v/>
      </c>
      <c r="H23" s="69">
        <f>IF(A23="","",SUMIFS('05 Master FF&amp;E'!T:T,'05 Master FF&amp;E'!B:B,A23,'05 Master FF&amp;E'!V:V,"&lt;&gt;Cancelled"))</f>
        <v/>
      </c>
      <c r="I23" s="69">
        <f>IF(A23="","",F23-H23)</f>
        <v/>
      </c>
      <c r="J23" s="66" t="n"/>
      <c r="K23" s="66" t="n"/>
    </row>
    <row r="24">
      <c r="A24" s="66" t="n"/>
      <c r="B24" s="66" t="n"/>
      <c r="C24" s="66" t="n"/>
      <c r="D24" s="66" t="n"/>
      <c r="E24" s="66" t="n"/>
      <c r="F24" s="68" t="n"/>
      <c r="G24" s="69">
        <f>IF(A24="","",SUMIF('05 Master FF&amp;E'!B:B,A24,'05 Master FF&amp;E'!T:T))</f>
        <v/>
      </c>
      <c r="H24" s="69">
        <f>IF(A24="","",SUMIFS('05 Master FF&amp;E'!T:T,'05 Master FF&amp;E'!B:B,A24,'05 Master FF&amp;E'!V:V,"&lt;&gt;Cancelled"))</f>
        <v/>
      </c>
      <c r="I24" s="69">
        <f>IF(A24="","",F24-H24)</f>
        <v/>
      </c>
      <c r="J24" s="66" t="n"/>
      <c r="K24" s="66" t="n"/>
    </row>
    <row r="25">
      <c r="A25" s="66" t="n"/>
      <c r="B25" s="66" t="n"/>
      <c r="C25" s="66" t="n"/>
      <c r="D25" s="66" t="n"/>
      <c r="E25" s="66" t="n"/>
      <c r="F25" s="68" t="n"/>
      <c r="G25" s="69">
        <f>IF(A25="","",SUMIF('05 Master FF&amp;E'!B:B,A25,'05 Master FF&amp;E'!T:T))</f>
        <v/>
      </c>
      <c r="H25" s="69">
        <f>IF(A25="","",SUMIFS('05 Master FF&amp;E'!T:T,'05 Master FF&amp;E'!B:B,A25,'05 Master FF&amp;E'!V:V,"&lt;&gt;Cancelled"))</f>
        <v/>
      </c>
      <c r="I25" s="69">
        <f>IF(A25="","",F25-H25)</f>
        <v/>
      </c>
      <c r="J25" s="66" t="n"/>
      <c r="K25" s="66" t="n"/>
    </row>
    <row r="26">
      <c r="A26" s="66" t="n"/>
      <c r="B26" s="66" t="n"/>
      <c r="C26" s="66" t="n"/>
      <c r="D26" s="66" t="n"/>
      <c r="E26" s="66" t="n"/>
      <c r="F26" s="68" t="n"/>
      <c r="G26" s="69">
        <f>IF(A26="","",SUMIF('05 Master FF&amp;E'!B:B,A26,'05 Master FF&amp;E'!T:T))</f>
        <v/>
      </c>
      <c r="H26" s="69">
        <f>IF(A26="","",SUMIFS('05 Master FF&amp;E'!T:T,'05 Master FF&amp;E'!B:B,A26,'05 Master FF&amp;E'!V:V,"&lt;&gt;Cancelled"))</f>
        <v/>
      </c>
      <c r="I26" s="69">
        <f>IF(A26="","",F26-H26)</f>
        <v/>
      </c>
      <c r="J26" s="66" t="n"/>
      <c r="K26" s="66" t="n"/>
    </row>
    <row r="27">
      <c r="A27" s="66" t="n"/>
      <c r="B27" s="66" t="n"/>
      <c r="C27" s="66" t="n"/>
      <c r="D27" s="66" t="n"/>
      <c r="E27" s="66" t="n"/>
      <c r="F27" s="68" t="n"/>
      <c r="G27" s="69">
        <f>IF(A27="","",SUMIF('05 Master FF&amp;E'!B:B,A27,'05 Master FF&amp;E'!T:T))</f>
        <v/>
      </c>
      <c r="H27" s="69">
        <f>IF(A27="","",SUMIFS('05 Master FF&amp;E'!T:T,'05 Master FF&amp;E'!B:B,A27,'05 Master FF&amp;E'!V:V,"&lt;&gt;Cancelled"))</f>
        <v/>
      </c>
      <c r="I27" s="69">
        <f>IF(A27="","",F27-H27)</f>
        <v/>
      </c>
      <c r="J27" s="66" t="n"/>
      <c r="K27" s="66" t="n"/>
    </row>
    <row r="28">
      <c r="A28" s="66" t="n"/>
      <c r="B28" s="66" t="n"/>
      <c r="C28" s="66" t="n"/>
      <c r="D28" s="66" t="n"/>
      <c r="E28" s="66" t="n"/>
      <c r="F28" s="68" t="n"/>
      <c r="G28" s="69">
        <f>IF(A28="","",SUMIF('05 Master FF&amp;E'!B:B,A28,'05 Master FF&amp;E'!T:T))</f>
        <v/>
      </c>
      <c r="H28" s="69">
        <f>IF(A28="","",SUMIFS('05 Master FF&amp;E'!T:T,'05 Master FF&amp;E'!B:B,A28,'05 Master FF&amp;E'!V:V,"&lt;&gt;Cancelled"))</f>
        <v/>
      </c>
      <c r="I28" s="69">
        <f>IF(A28="","",F28-H28)</f>
        <v/>
      </c>
      <c r="J28" s="66" t="n"/>
      <c r="K28" s="66" t="n"/>
    </row>
    <row r="29">
      <c r="A29" s="66" t="n"/>
      <c r="B29" s="66" t="n"/>
      <c r="C29" s="66" t="n"/>
      <c r="D29" s="66" t="n"/>
      <c r="E29" s="66" t="n"/>
      <c r="F29" s="68" t="n"/>
      <c r="G29" s="69">
        <f>IF(A29="","",SUMIF('05 Master FF&amp;E'!B:B,A29,'05 Master FF&amp;E'!T:T))</f>
        <v/>
      </c>
      <c r="H29" s="69">
        <f>IF(A29="","",SUMIFS('05 Master FF&amp;E'!T:T,'05 Master FF&amp;E'!B:B,A29,'05 Master FF&amp;E'!V:V,"&lt;&gt;Cancelled"))</f>
        <v/>
      </c>
      <c r="I29" s="69">
        <f>IF(A29="","",F29-H29)</f>
        <v/>
      </c>
      <c r="J29" s="66" t="n"/>
      <c r="K29" s="66" t="n"/>
    </row>
    <row r="30">
      <c r="A30" s="66" t="n"/>
      <c r="B30" s="66" t="n"/>
      <c r="C30" s="66" t="n"/>
      <c r="D30" s="66" t="n"/>
      <c r="E30" s="66" t="n"/>
      <c r="F30" s="68" t="n"/>
      <c r="G30" s="69">
        <f>IF(A30="","",SUMIF('05 Master FF&amp;E'!B:B,A30,'05 Master FF&amp;E'!T:T))</f>
        <v/>
      </c>
      <c r="H30" s="69">
        <f>IF(A30="","",SUMIFS('05 Master FF&amp;E'!T:T,'05 Master FF&amp;E'!B:B,A30,'05 Master FF&amp;E'!V:V,"&lt;&gt;Cancelled"))</f>
        <v/>
      </c>
      <c r="I30" s="69">
        <f>IF(A30="","",F30-H30)</f>
        <v/>
      </c>
      <c r="J30" s="66" t="n"/>
      <c r="K30" s="66" t="n"/>
    </row>
    <row r="31">
      <c r="A31" s="66" t="n"/>
      <c r="B31" s="66" t="n"/>
      <c r="C31" s="66" t="n"/>
      <c r="D31" s="66" t="n"/>
      <c r="E31" s="66" t="n"/>
      <c r="F31" s="68" t="n"/>
      <c r="G31" s="69">
        <f>IF(A31="","",SUMIF('05 Master FF&amp;E'!B:B,A31,'05 Master FF&amp;E'!T:T))</f>
        <v/>
      </c>
      <c r="H31" s="69">
        <f>IF(A31="","",SUMIFS('05 Master FF&amp;E'!T:T,'05 Master FF&amp;E'!B:B,A31,'05 Master FF&amp;E'!V:V,"&lt;&gt;Cancelled"))</f>
        <v/>
      </c>
      <c r="I31" s="69">
        <f>IF(A31="","",F31-H31)</f>
        <v/>
      </c>
      <c r="J31" s="66" t="n"/>
      <c r="K31" s="66" t="n"/>
    </row>
    <row r="32">
      <c r="A32" s="66" t="n"/>
      <c r="B32" s="66" t="n"/>
      <c r="C32" s="66" t="n"/>
      <c r="D32" s="66" t="n"/>
      <c r="E32" s="66" t="n"/>
      <c r="F32" s="68" t="n"/>
      <c r="G32" s="69">
        <f>IF(A32="","",SUMIF('05 Master FF&amp;E'!B:B,A32,'05 Master FF&amp;E'!T:T))</f>
        <v/>
      </c>
      <c r="H32" s="69">
        <f>IF(A32="","",SUMIFS('05 Master FF&amp;E'!T:T,'05 Master FF&amp;E'!B:B,A32,'05 Master FF&amp;E'!V:V,"&lt;&gt;Cancelled"))</f>
        <v/>
      </c>
      <c r="I32" s="69">
        <f>IF(A32="","",F32-H32)</f>
        <v/>
      </c>
      <c r="J32" s="66" t="n"/>
      <c r="K32" s="66" t="n"/>
    </row>
    <row r="33">
      <c r="A33" s="66" t="n"/>
      <c r="B33" s="66" t="n"/>
      <c r="C33" s="66" t="n"/>
      <c r="D33" s="66" t="n"/>
      <c r="E33" s="66" t="n"/>
      <c r="F33" s="68" t="n"/>
      <c r="G33" s="69">
        <f>IF(A33="","",SUMIF('05 Master FF&amp;E'!B:B,A33,'05 Master FF&amp;E'!T:T))</f>
        <v/>
      </c>
      <c r="H33" s="69">
        <f>IF(A33="","",SUMIFS('05 Master FF&amp;E'!T:T,'05 Master FF&amp;E'!B:B,A33,'05 Master FF&amp;E'!V:V,"&lt;&gt;Cancelled"))</f>
        <v/>
      </c>
      <c r="I33" s="69">
        <f>IF(A33="","",F33-H33)</f>
        <v/>
      </c>
      <c r="J33" s="66" t="n"/>
      <c r="K33" s="66" t="n"/>
    </row>
    <row r="34">
      <c r="A34" s="66" t="n"/>
      <c r="B34" s="66" t="n"/>
      <c r="C34" s="66" t="n"/>
      <c r="D34" s="66" t="n"/>
      <c r="E34" s="66" t="n"/>
      <c r="F34" s="68" t="n"/>
      <c r="G34" s="69">
        <f>IF(A34="","",SUMIF('05 Master FF&amp;E'!B:B,A34,'05 Master FF&amp;E'!T:T))</f>
        <v/>
      </c>
      <c r="H34" s="69">
        <f>IF(A34="","",SUMIFS('05 Master FF&amp;E'!T:T,'05 Master FF&amp;E'!B:B,A34,'05 Master FF&amp;E'!V:V,"&lt;&gt;Cancelled"))</f>
        <v/>
      </c>
      <c r="I34" s="69">
        <f>IF(A34="","",F34-H34)</f>
        <v/>
      </c>
      <c r="J34" s="66" t="n"/>
      <c r="K34" s="66" t="n"/>
    </row>
    <row r="35">
      <c r="A35" s="56" t="n"/>
      <c r="B35" s="56" t="n"/>
      <c r="C35" s="56" t="n"/>
      <c r="D35" s="56" t="n"/>
      <c r="E35" s="56" t="n"/>
      <c r="F35" s="56" t="n"/>
      <c r="G35" s="56" t="n"/>
      <c r="H35" s="56" t="n"/>
      <c r="I35" s="56" t="n"/>
      <c r="J35" s="56" t="n"/>
      <c r="K35" s="56" t="n"/>
    </row>
    <row r="36">
      <c r="A36" s="56" t="n"/>
      <c r="B36" s="56" t="n"/>
      <c r="C36" s="56" t="n"/>
      <c r="D36" s="56" t="n"/>
      <c r="E36" s="70" t="inlineStr">
        <is>
          <t>TOTALS</t>
        </is>
      </c>
      <c r="F36" s="71">
        <f>SUM(F5:F34)</f>
        <v/>
      </c>
      <c r="G36" s="71">
        <f>SUM(G5:G34)</f>
        <v/>
      </c>
      <c r="H36" s="71">
        <f>SUM(H5:H34)</f>
        <v/>
      </c>
      <c r="I36" s="71">
        <f>SUM(I5:I34)</f>
        <v/>
      </c>
      <c r="J36" s="56" t="n"/>
      <c r="K36" s="56" t="n"/>
    </row>
    <row r="37">
      <c r="A37" s="56" t="n"/>
      <c r="B37" s="56" t="n"/>
      <c r="C37" s="56" t="n"/>
      <c r="D37" s="56" t="n"/>
      <c r="E37" s="56" t="n"/>
      <c r="F37" s="56" t="n"/>
      <c r="G37" s="56" t="n"/>
      <c r="H37" s="56" t="n"/>
      <c r="I37" s="56" t="n"/>
      <c r="J37" s="56" t="n"/>
      <c r="K37" s="56" t="n"/>
    </row>
    <row r="38">
      <c r="A38" s="56" t="n"/>
      <c r="B38" s="56" t="n"/>
      <c r="C38" s="56" t="n"/>
      <c r="D38" s="56" t="n"/>
      <c r="E38" s="56" t="n"/>
      <c r="F38" s="56" t="n"/>
      <c r="G38" s="56" t="n"/>
      <c r="H38" s="56" t="n"/>
      <c r="I38" s="56" t="n"/>
      <c r="J38" s="56" t="n"/>
      <c r="K38" s="56" t="n"/>
    </row>
    <row r="39">
      <c r="A39" s="56" t="n"/>
      <c r="B39" s="56" t="n"/>
      <c r="C39" s="56" t="n"/>
      <c r="D39" s="56" t="n"/>
      <c r="E39" s="56" t="n"/>
      <c r="F39" s="56" t="n"/>
      <c r="G39" s="56" t="n"/>
      <c r="H39" s="56" t="n"/>
      <c r="I39" s="56" t="n"/>
      <c r="J39" s="56" t="n"/>
      <c r="K39" s="56" t="n"/>
    </row>
    <row r="40">
      <c r="A40" s="56" t="n"/>
      <c r="B40" s="56" t="n"/>
      <c r="C40" s="56" t="n"/>
      <c r="D40" s="56" t="n"/>
      <c r="E40" s="56" t="n"/>
      <c r="F40" s="56" t="n"/>
      <c r="G40" s="56" t="n"/>
      <c r="H40" s="56" t="n"/>
      <c r="I40" s="56" t="n"/>
      <c r="J40" s="56" t="n"/>
      <c r="K40" s="56" t="n"/>
    </row>
    <row r="41">
      <c r="A41" s="56" t="n"/>
      <c r="B41" s="56" t="n"/>
      <c r="C41" s="56" t="n"/>
      <c r="D41" s="56" t="n"/>
      <c r="E41" s="56" t="n"/>
      <c r="F41" s="56" t="n"/>
      <c r="G41" s="56" t="n"/>
      <c r="H41" s="56" t="n"/>
      <c r="I41" s="56" t="n"/>
      <c r="J41" s="56" t="n"/>
      <c r="K41" s="56" t="n"/>
    </row>
  </sheetData>
  <sheetProtection selectLockedCells="0" selectUnlockedCells="0" sheet="1" objects="0" insertRows="0" insertHyperlinks="0" autoFilter="0" scenarios="1" formatColumns="0" deleteColumns="1" insertColumns="1" pivotTables="1" deleteRows="0" formatCells="0" formatRows="0" sort="0" password="EC7C"/>
  <autoFilter ref="A4:K34"/>
  <mergeCells count="2">
    <mergeCell ref="A2:K2"/>
    <mergeCell ref="A1:K1"/>
  </mergeCells>
  <conditionalFormatting sqref="E5:E34">
    <cfRule type="expression" priority="1" dxfId="0">
      <formula>ISNUMBER(SEARCH("Approved",E5))</formula>
    </cfRule>
    <cfRule type="expression" priority="2" dxfId="0">
      <formula>ISNUMBER(SEARCH("Installed",E5))</formula>
    </cfRule>
    <cfRule type="expression" priority="3" dxfId="0">
      <formula>ISNUMBER(SEARCH("Delivered",E5))</formula>
    </cfRule>
    <cfRule type="expression" priority="4" dxfId="0">
      <formula>ISNUMBER(SEARCH("Complete",E5))</formula>
    </cfRule>
    <cfRule type="expression" priority="5" dxfId="0">
      <formula>ISNUMBER(SEARCH("Completed",E5))</formula>
    </cfRule>
    <cfRule type="expression" priority="6" dxfId="0">
      <formula>ISNUMBER(SEARCH("Paid",E5))</formula>
    </cfRule>
    <cfRule type="expression" priority="7" dxfId="0">
      <formula>ISNUMBER(SEARCH("Good Condition",E5))</formula>
    </cfRule>
    <cfRule type="expression" priority="8" dxfId="0">
      <formula>ISNUMBER(SEARCH("Yes",E5))</formula>
    </cfRule>
    <cfRule type="expression" priority="9" dxfId="1">
      <formula>ISNUMBER(SEARCH("Pending",E5))</formula>
    </cfRule>
    <cfRule type="expression" priority="10" dxfId="1">
      <formula>ISNUMBER(SEARCH("In Progress",E5))</formula>
    </cfRule>
    <cfRule type="expression" priority="11" dxfId="1">
      <formula>ISNUMBER(SEARCH("Sent",E5))</formula>
    </cfRule>
    <cfRule type="expression" priority="12" dxfId="1">
      <formula>ISNUMBER(SEARCH("Client Review",E5))</formula>
    </cfRule>
    <cfRule type="expression" priority="13" dxfId="1">
      <formula>ISNUMBER(SEARCH("Ordered",E5))</formula>
    </cfRule>
    <cfRule type="expression" priority="14" dxfId="1">
      <formula>ISNUMBER(SEARCH("Shipped",E5))</formula>
    </cfRule>
    <cfRule type="expression" priority="15" dxfId="1">
      <formula>ISNUMBER(SEARCH("Scheduled",E5))</formula>
    </cfRule>
    <cfRule type="expression" priority="16" dxfId="1">
      <formula>ISNUMBER(SEARCH("Partially Paid",E5))</formula>
    </cfRule>
    <cfRule type="expression" priority="17" dxfId="1">
      <formula>ISNUMBER(SEARCH("Waiting on Client",E5))</formula>
    </cfRule>
    <cfRule type="expression" priority="18" dxfId="1">
      <formula>ISNUMBER(SEARCH("Waiting on Vendor",E5))</formula>
    </cfRule>
    <cfRule type="expression" priority="19" dxfId="1">
      <formula>ISNUMBER(SEARCH("Sourcing",E5))</formula>
    </cfRule>
    <cfRule type="expression" priority="20" dxfId="1">
      <formula>ISNUMBER(SEARCH("Option Selected",E5))</formula>
    </cfRule>
    <cfRule type="expression" priority="21" dxfId="1">
      <formula>ISNUMBER(SEARCH("Confirmed",E5))</formula>
    </cfRule>
    <cfRule type="expression" priority="22" dxfId="1">
      <formula>ISNUMBER(SEARCH("In Production",E5))</formula>
    </cfRule>
    <cfRule type="expression" priority="23" dxfId="1">
      <formula>ISNUMBER(SEARCH("In Transit",E5))</formula>
    </cfRule>
    <cfRule type="expression" priority="24" dxfId="1">
      <formula>ISNUMBER(SEARCH("Not Checked",E5))</formula>
    </cfRule>
    <cfRule type="expression" priority="25" dxfId="2">
      <formula>ISNUMBER(SEARCH("Overdue",E5))</formula>
    </cfRule>
    <cfRule type="expression" priority="26" dxfId="2">
      <formula>ISNUMBER(SEARCH("Delayed",E5))</formula>
    </cfRule>
    <cfRule type="expression" priority="27" dxfId="2">
      <formula>ISNUMBER(SEARCH("Rejected",E5))</formula>
    </cfRule>
    <cfRule type="expression" priority="28" dxfId="2">
      <formula>ISNUMBER(SEARCH("Damaged",E5))</formula>
    </cfRule>
    <cfRule type="expression" priority="29" dxfId="2">
      <formula>ISNUMBER(SEARCH("Missing Item",E5))</formula>
    </cfRule>
    <cfRule type="expression" priority="30" dxfId="2">
      <formula>ISNUMBER(SEARCH("Wrong Item",E5))</formula>
    </cfRule>
    <cfRule type="expression" priority="31" dxfId="2">
      <formula>ISNUMBER(SEARCH("Backordered",E5))</formula>
    </cfRule>
    <cfRule type="expression" priority="32" dxfId="2">
      <formula>ISNUMBER(SEARCH("Urgent",E5))</formula>
    </cfRule>
    <cfRule type="expression" priority="33" dxfId="3">
      <formula>ISNUMBER(SEARCH("Cancelled",E5))</formula>
    </cfRule>
    <cfRule type="expression" priority="34" dxfId="3">
      <formula>ISNUMBER(SEARCH("On Hold",E5))</formula>
    </cfRule>
    <cfRule type="expression" priority="35" dxfId="3">
      <formula>ISNUMBER(SEARCH("Not Started",E5))</formula>
    </cfRule>
    <cfRule type="expression" priority="36" dxfId="3">
      <formula>ISNUMBER(SEARCH("Not Sent",E5))</formula>
    </cfRule>
    <cfRule type="expression" priority="37" dxfId="3">
      <formula>ISNUMBER(SEARCH("Draft",E5))</formula>
    </cfRule>
    <cfRule type="expression" priority="38" dxfId="3">
      <formula>ISNUMBER(SEARCH("Not Ordered",E5))</formula>
    </cfRule>
  </conditionalFormatting>
  <conditionalFormatting sqref="J5:J34">
    <cfRule type="expression" priority="39" dxfId="0">
      <formula>ISNUMBER(SEARCH("Approved",J5))</formula>
    </cfRule>
    <cfRule type="expression" priority="40" dxfId="0">
      <formula>ISNUMBER(SEARCH("Installed",J5))</formula>
    </cfRule>
    <cfRule type="expression" priority="41" dxfId="0">
      <formula>ISNUMBER(SEARCH("Delivered",J5))</formula>
    </cfRule>
    <cfRule type="expression" priority="42" dxfId="0">
      <formula>ISNUMBER(SEARCH("Complete",J5))</formula>
    </cfRule>
    <cfRule type="expression" priority="43" dxfId="0">
      <formula>ISNUMBER(SEARCH("Completed",J5))</formula>
    </cfRule>
    <cfRule type="expression" priority="44" dxfId="0">
      <formula>ISNUMBER(SEARCH("Paid",J5))</formula>
    </cfRule>
    <cfRule type="expression" priority="45" dxfId="0">
      <formula>ISNUMBER(SEARCH("Good Condition",J5))</formula>
    </cfRule>
    <cfRule type="expression" priority="46" dxfId="0">
      <formula>ISNUMBER(SEARCH("Yes",J5))</formula>
    </cfRule>
    <cfRule type="expression" priority="47" dxfId="1">
      <formula>ISNUMBER(SEARCH("Pending",J5))</formula>
    </cfRule>
    <cfRule type="expression" priority="48" dxfId="1">
      <formula>ISNUMBER(SEARCH("In Progress",J5))</formula>
    </cfRule>
    <cfRule type="expression" priority="49" dxfId="1">
      <formula>ISNUMBER(SEARCH("Sent",J5))</formula>
    </cfRule>
    <cfRule type="expression" priority="50" dxfId="1">
      <formula>ISNUMBER(SEARCH("Client Review",J5))</formula>
    </cfRule>
    <cfRule type="expression" priority="51" dxfId="1">
      <formula>ISNUMBER(SEARCH("Ordered",J5))</formula>
    </cfRule>
    <cfRule type="expression" priority="52" dxfId="1">
      <formula>ISNUMBER(SEARCH("Shipped",J5))</formula>
    </cfRule>
    <cfRule type="expression" priority="53" dxfId="1">
      <formula>ISNUMBER(SEARCH("Scheduled",J5))</formula>
    </cfRule>
    <cfRule type="expression" priority="54" dxfId="1">
      <formula>ISNUMBER(SEARCH("Partially Paid",J5))</formula>
    </cfRule>
    <cfRule type="expression" priority="55" dxfId="1">
      <formula>ISNUMBER(SEARCH("Waiting on Client",J5))</formula>
    </cfRule>
    <cfRule type="expression" priority="56" dxfId="1">
      <formula>ISNUMBER(SEARCH("Waiting on Vendor",J5))</formula>
    </cfRule>
    <cfRule type="expression" priority="57" dxfId="1">
      <formula>ISNUMBER(SEARCH("Sourcing",J5))</formula>
    </cfRule>
    <cfRule type="expression" priority="58" dxfId="1">
      <formula>ISNUMBER(SEARCH("Option Selected",J5))</formula>
    </cfRule>
    <cfRule type="expression" priority="59" dxfId="1">
      <formula>ISNUMBER(SEARCH("Confirmed",J5))</formula>
    </cfRule>
    <cfRule type="expression" priority="60" dxfId="1">
      <formula>ISNUMBER(SEARCH("In Production",J5))</formula>
    </cfRule>
    <cfRule type="expression" priority="61" dxfId="1">
      <formula>ISNUMBER(SEARCH("In Transit",J5))</formula>
    </cfRule>
    <cfRule type="expression" priority="62" dxfId="1">
      <formula>ISNUMBER(SEARCH("Not Checked",J5))</formula>
    </cfRule>
    <cfRule type="expression" priority="63" dxfId="2">
      <formula>ISNUMBER(SEARCH("Overdue",J5))</formula>
    </cfRule>
    <cfRule type="expression" priority="64" dxfId="2">
      <formula>ISNUMBER(SEARCH("Delayed",J5))</formula>
    </cfRule>
    <cfRule type="expression" priority="65" dxfId="2">
      <formula>ISNUMBER(SEARCH("Rejected",J5))</formula>
    </cfRule>
    <cfRule type="expression" priority="66" dxfId="2">
      <formula>ISNUMBER(SEARCH("Damaged",J5))</formula>
    </cfRule>
    <cfRule type="expression" priority="67" dxfId="2">
      <formula>ISNUMBER(SEARCH("Missing Item",J5))</formula>
    </cfRule>
    <cfRule type="expression" priority="68" dxfId="2">
      <formula>ISNUMBER(SEARCH("Wrong Item",J5))</formula>
    </cfRule>
    <cfRule type="expression" priority="69" dxfId="2">
      <formula>ISNUMBER(SEARCH("Backordered",J5))</formula>
    </cfRule>
    <cfRule type="expression" priority="70" dxfId="2">
      <formula>ISNUMBER(SEARCH("Urgent",J5))</formula>
    </cfRule>
    <cfRule type="expression" priority="71" dxfId="3">
      <formula>ISNUMBER(SEARCH("Cancelled",J5))</formula>
    </cfRule>
    <cfRule type="expression" priority="72" dxfId="3">
      <formula>ISNUMBER(SEARCH("On Hold",J5))</formula>
    </cfRule>
    <cfRule type="expression" priority="73" dxfId="3">
      <formula>ISNUMBER(SEARCH("Not Started",J5))</formula>
    </cfRule>
    <cfRule type="expression" priority="74" dxfId="3">
      <formula>ISNUMBER(SEARCH("Not Sent",J5))</formula>
    </cfRule>
    <cfRule type="expression" priority="75" dxfId="3">
      <formula>ISNUMBER(SEARCH("Draft",J5))</formula>
    </cfRule>
    <cfRule type="expression" priority="76" dxfId="3">
      <formula>ISNUMBER(SEARCH("Not Ordered",J5))</formula>
    </cfRule>
  </conditionalFormatting>
  <conditionalFormatting sqref="I5:I34">
    <cfRule type="cellIs" priority="77" operator="lessThan" dxfId="4">
      <formula>0</formula>
    </cfRule>
  </conditionalFormatting>
  <dataValidations count="3">
    <dataValidation sqref="B5:B34" showDropDown="0" showInputMessage="1" showErrorMessage="1" allowBlank="1" errorTitle="Invalid Entry" error="Please select a value from the dropdown list." promptTitle="Select" prompt="Choose from the list" type="list">
      <formula1>"Living Room,Bedroom,Kitchen,Bathroom,Dining Room,Entryway,Office,Nursery,Outdoor,Commercial Space,Other"</formula1>
    </dataValidation>
    <dataValidation sqref="E5:E34" showDropDown="0" showInputMessage="1" showErrorMessage="1" allowBlank="1" errorTitle="Invalid Entry" error="Please select a value from the dropdown list." promptTitle="Select" prompt="Choose from the list" type="list">
      <formula1>"Not Started,Concept,In Progress,Client Review,Approved,Complete,On Hold"</formula1>
    </dataValidation>
    <dataValidation sqref="J5:J34" showDropDown="0" showInputMessage="1" showErrorMessage="1" allowBlank="1" errorTitle="Invalid Entry" error="Please select a value from the dropdown list." promptTitle="Select" prompt="Choose from the list" type="list">
      <formula1>"Low,Medium,High,Urgent"</formula1>
    </dataValidation>
  </dataValidations>
  <pageMargins left="0.5" right="0.5" top="0.6" bottom="0.6" header="0.5" footer="0.5"/>
  <headerFooter>
    <oddHeader/>
    <oddFooter>&amp;C&amp;"Calibri"&amp;8 &amp;"Calibri"&amp;8Novality store  ·  Interior Design FF&amp;E Tracker  ·  Page &amp;P of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00C45C4A"/>
    <outlinePr summaryBelow="1" summaryRight="1"/>
    <pageSetUpPr/>
  </sheetPr>
  <dimension ref="A1:AA9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4" customWidth="1" min="3" max="3"/>
    <col width="20" customWidth="1" min="4" max="4"/>
    <col width="24" customWidth="1" min="5" max="5"/>
    <col width="10" customWidth="1" min="6" max="6"/>
    <col width="16" customWidth="1" min="7" max="7"/>
    <col width="14" customWidth="1" min="8" max="8"/>
    <col width="14" customWidth="1" min="9" max="9"/>
    <col width="12" customWidth="1" min="10" max="10"/>
    <col width="16" customWidth="1" min="11" max="11"/>
    <col width="14" customWidth="1" min="12" max="12"/>
    <col width="22" customWidth="1" min="13" max="13"/>
    <col width="12" customWidth="1" min="14" max="14"/>
    <col width="12" customWidth="1" min="15" max="15"/>
    <col width="12" customWidth="1" min="16" max="16"/>
    <col width="10" customWidth="1" min="17" max="17"/>
    <col width="11" customWidth="1" min="18" max="18"/>
    <col width="11" customWidth="1" min="19" max="19"/>
    <col width="12" customWidth="1" min="20" max="20"/>
    <col width="12" customWidth="1" min="21" max="21"/>
    <col width="14" customWidth="1" min="22" max="22"/>
    <col width="14" customWidth="1" min="23" max="23"/>
    <col width="14" customWidth="1" min="24" max="24"/>
    <col width="14" customWidth="1" min="25" max="25"/>
    <col width="28" customWidth="1" min="26" max="26"/>
    <col width="18" customWidth="1" min="27" max="27"/>
  </cols>
  <sheetData>
    <row r="1" ht="38" customHeight="1">
      <c r="A1" s="51" t="inlineStr">
        <is>
          <t>MASTER FF&amp;E SCHEDULE</t>
        </is>
      </c>
      <c r="B1" s="52" t="n"/>
      <c r="C1" s="52" t="n"/>
      <c r="D1" s="52" t="n"/>
      <c r="E1" s="52" t="n"/>
      <c r="F1" s="52" t="n"/>
      <c r="G1" s="52" t="n"/>
      <c r="H1" s="52" t="n"/>
      <c r="I1" s="52" t="n"/>
      <c r="J1" s="52" t="n"/>
      <c r="K1" s="52" t="n"/>
      <c r="L1" s="52" t="n"/>
    </row>
    <row r="2" ht="18" customHeight="1">
      <c r="A2" s="53" t="inlineStr">
        <is>
          <t>Furniture, Fixtures &amp; Equipment — the core project schedule  ·  Novality store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</row>
    <row r="3"/>
    <row r="4" ht="34" customHeight="1">
      <c r="A4" s="65" t="inlineStr">
        <is>
          <t>Item ID</t>
        </is>
      </c>
      <c r="B4" s="65" t="inlineStr">
        <is>
          <t>Room</t>
        </is>
      </c>
      <c r="C4" s="65" t="inlineStr">
        <is>
          <t>Category</t>
        </is>
      </c>
      <c r="D4" s="65" t="inlineStr">
        <is>
          <t>Item Name</t>
        </is>
      </c>
      <c r="E4" s="65" t="inlineStr">
        <is>
          <t>Description</t>
        </is>
      </c>
      <c r="F4" s="65" t="inlineStr">
        <is>
          <t>Quantity</t>
        </is>
      </c>
      <c r="G4" s="65" t="inlineStr">
        <is>
          <t>Dimensions</t>
        </is>
      </c>
      <c r="H4" s="65" t="inlineStr">
        <is>
          <t>Material</t>
        </is>
      </c>
      <c r="I4" s="65" t="inlineStr">
        <is>
          <t>Finish</t>
        </is>
      </c>
      <c r="J4" s="65" t="inlineStr">
        <is>
          <t>Color</t>
        </is>
      </c>
      <c r="K4" s="65" t="inlineStr">
        <is>
          <t>Vendor</t>
        </is>
      </c>
      <c r="L4" s="65" t="inlineStr">
        <is>
          <t>Brand</t>
        </is>
      </c>
      <c r="M4" s="65" t="inlineStr">
        <is>
          <t>Product Link</t>
        </is>
      </c>
      <c r="N4" s="65" t="inlineStr">
        <is>
          <t>SKU/Model</t>
        </is>
      </c>
      <c r="O4" s="65" t="inlineStr">
        <is>
          <t>Unit Cost</t>
        </is>
      </c>
      <c r="P4" s="65" t="inlineStr">
        <is>
          <t>Total Cost</t>
        </is>
      </c>
      <c r="Q4" s="65" t="inlineStr">
        <is>
          <t>Tax</t>
        </is>
      </c>
      <c r="R4" s="65" t="inlineStr">
        <is>
          <t>Shipping</t>
        </is>
      </c>
      <c r="S4" s="65" t="inlineStr">
        <is>
          <t>Discount</t>
        </is>
      </c>
      <c r="T4" s="65" t="inlineStr">
        <is>
          <t>Final Cost</t>
        </is>
      </c>
      <c r="U4" s="65" t="inlineStr">
        <is>
          <t>Lead Time (wks)</t>
        </is>
      </c>
      <c r="V4" s="65" t="inlineStr">
        <is>
          <t>Order Status</t>
        </is>
      </c>
      <c r="W4" s="65" t="inlineStr">
        <is>
          <t>Approval Status</t>
        </is>
      </c>
      <c r="X4" s="65" t="inlineStr">
        <is>
          <t>Delivery Status</t>
        </is>
      </c>
      <c r="Y4" s="65" t="inlineStr">
        <is>
          <t>Install Status</t>
        </is>
      </c>
      <c r="Z4" s="65" t="inlineStr">
        <is>
          <t>Notes</t>
        </is>
      </c>
      <c r="AA4" s="65" t="inlineStr">
        <is>
          <t>Image Link</t>
        </is>
      </c>
    </row>
    <row r="5">
      <c r="A5" s="66" t="inlineStr">
        <is>
          <t>FFE-001</t>
        </is>
      </c>
      <c r="B5" s="66" t="inlineStr">
        <is>
          <t>Living Room</t>
        </is>
      </c>
      <c r="C5" s="66" t="inlineStr">
        <is>
          <t>Sofa</t>
        </is>
      </c>
      <c r="D5" s="66" t="inlineStr">
        <is>
          <t>Performance Sofa</t>
        </is>
      </c>
      <c r="E5" s="66" t="inlineStr">
        <is>
          <t>88" deep seat sofa</t>
        </is>
      </c>
      <c r="F5" s="67" t="n">
        <v>1</v>
      </c>
      <c r="G5" s="66" t="inlineStr">
        <is>
          <t>88"W x 40"D x 34"H</t>
        </is>
      </c>
      <c r="H5" s="66" t="inlineStr">
        <is>
          <t>Performance fabric</t>
        </is>
      </c>
      <c r="I5" s="66" t="inlineStr">
        <is>
          <t>Natural oak legs</t>
        </is>
      </c>
      <c r="J5" s="66" t="inlineStr">
        <is>
          <t>Stone</t>
        </is>
      </c>
      <c r="K5" s="66" t="inlineStr">
        <is>
          <t>Article</t>
        </is>
      </c>
      <c r="L5" s="66" t="inlineStr">
        <is>
          <t>Sven</t>
        </is>
      </c>
      <c r="M5" s="66" t="inlineStr">
        <is>
          <t>https://example.com/sofa</t>
        </is>
      </c>
      <c r="N5" s="66" t="inlineStr">
        <is>
          <t>SV-88-ST</t>
        </is>
      </c>
      <c r="O5" s="68" t="n">
        <v>1899</v>
      </c>
      <c r="P5" s="69">
        <f>F5*O5</f>
        <v/>
      </c>
      <c r="Q5" s="68" t="n">
        <v>151.92</v>
      </c>
      <c r="R5" s="68" t="n">
        <v>150</v>
      </c>
      <c r="S5" s="68" t="n">
        <v>0</v>
      </c>
      <c r="T5" s="69">
        <f>P5+Q5+R5-S5</f>
        <v/>
      </c>
      <c r="U5" s="67" t="n">
        <v>6</v>
      </c>
      <c r="V5" s="67" t="inlineStr">
        <is>
          <t>Approved</t>
        </is>
      </c>
      <c r="W5" s="67" t="inlineStr">
        <is>
          <t>Approved</t>
        </is>
      </c>
      <c r="X5" s="67" t="inlineStr">
        <is>
          <t>Ordered</t>
        </is>
      </c>
      <c r="Y5" s="67" t="inlineStr">
        <is>
          <t>Not Scheduled</t>
        </is>
      </c>
      <c r="Z5" s="66" t="inlineStr">
        <is>
          <t>Client favorite</t>
        </is>
      </c>
      <c r="AA5" s="66" t="inlineStr"/>
    </row>
    <row r="6">
      <c r="A6" s="66" t="inlineStr">
        <is>
          <t>FFE-002</t>
        </is>
      </c>
      <c r="B6" s="66" t="inlineStr">
        <is>
          <t>Living Room</t>
        </is>
      </c>
      <c r="C6" s="66" t="inlineStr">
        <is>
          <t>Chair</t>
        </is>
      </c>
      <c r="D6" s="66" t="inlineStr">
        <is>
          <t>Accent Lounge Chair</t>
        </is>
      </c>
      <c r="E6" s="66" t="inlineStr">
        <is>
          <t>Swivel lounge chair</t>
        </is>
      </c>
      <c r="F6" s="67" t="n">
        <v>2</v>
      </c>
      <c r="G6" s="66" t="inlineStr">
        <is>
          <t>30"W x 32"D x 32"H</t>
        </is>
      </c>
      <c r="H6" s="66" t="inlineStr">
        <is>
          <t>Boucle</t>
        </is>
      </c>
      <c r="I6" s="66" t="inlineStr">
        <is>
          <t>Black metal</t>
        </is>
      </c>
      <c r="J6" s="66" t="inlineStr">
        <is>
          <t>Ivory</t>
        </is>
      </c>
      <c r="K6" s="66" t="inlineStr">
        <is>
          <t>West Elm</t>
        </is>
      </c>
      <c r="L6" s="66" t="inlineStr">
        <is>
          <t>Orbit</t>
        </is>
      </c>
      <c r="M6" s="66" t="inlineStr">
        <is>
          <t>https://example.com/chair</t>
        </is>
      </c>
      <c r="N6" s="66" t="inlineStr">
        <is>
          <t>OR-IV</t>
        </is>
      </c>
      <c r="O6" s="68" t="n">
        <v>699</v>
      </c>
      <c r="P6" s="69">
        <f>F6*O6</f>
        <v/>
      </c>
      <c r="Q6" s="68" t="n">
        <v>111.84</v>
      </c>
      <c r="R6" s="68" t="n">
        <v>80</v>
      </c>
      <c r="S6" s="68" t="n">
        <v>50</v>
      </c>
      <c r="T6" s="69">
        <f>P6+Q6+R6-S6</f>
        <v/>
      </c>
      <c r="U6" s="67" t="n">
        <v>4</v>
      </c>
      <c r="V6" s="67" t="inlineStr">
        <is>
          <t>Approved</t>
        </is>
      </c>
      <c r="W6" s="67" t="inlineStr">
        <is>
          <t>Approved</t>
        </is>
      </c>
      <c r="X6" s="67" t="inlineStr">
        <is>
          <t>Shipped</t>
        </is>
      </c>
      <c r="Y6" s="67" t="inlineStr">
        <is>
          <t>Scheduled</t>
        </is>
      </c>
      <c r="Z6" s="66" t="inlineStr"/>
      <c r="AA6" s="66" t="inlineStr"/>
    </row>
    <row r="7">
      <c r="A7" s="66" t="inlineStr">
        <is>
          <t>FFE-003</t>
        </is>
      </c>
      <c r="B7" s="66" t="inlineStr">
        <is>
          <t>Living Room</t>
        </is>
      </c>
      <c r="C7" s="66" t="inlineStr">
        <is>
          <t>Table</t>
        </is>
      </c>
      <c r="D7" s="66" t="inlineStr">
        <is>
          <t>Coffee Table</t>
        </is>
      </c>
      <c r="E7" s="66" t="inlineStr">
        <is>
          <t>Marble top coffee table</t>
        </is>
      </c>
      <c r="F7" s="67" t="n">
        <v>1</v>
      </c>
      <c r="G7" s="66" t="inlineStr">
        <is>
          <t>48"W x 28"D x 16"H</t>
        </is>
      </c>
      <c r="H7" s="66" t="inlineStr">
        <is>
          <t>Marble/Brass</t>
        </is>
      </c>
      <c r="I7" s="66" t="inlineStr">
        <is>
          <t>Brushed brass</t>
        </is>
      </c>
      <c r="J7" s="66" t="inlineStr">
        <is>
          <t>White marble</t>
        </is>
      </c>
      <c r="K7" s="66" t="inlineStr">
        <is>
          <t>CB2</t>
        </is>
      </c>
      <c r="L7" s="66" t="inlineStr">
        <is>
          <t>Vista</t>
        </is>
      </c>
      <c r="M7" s="66" t="inlineStr">
        <is>
          <t>https://example.com/table</t>
        </is>
      </c>
      <c r="N7" s="66" t="inlineStr">
        <is>
          <t>VS-48</t>
        </is>
      </c>
      <c r="O7" s="68" t="n">
        <v>899</v>
      </c>
      <c r="P7" s="69">
        <f>F7*O7</f>
        <v/>
      </c>
      <c r="Q7" s="68" t="n">
        <v>71.92</v>
      </c>
      <c r="R7" s="68" t="n">
        <v>100</v>
      </c>
      <c r="S7" s="68" t="n">
        <v>0</v>
      </c>
      <c r="T7" s="69">
        <f>P7+Q7+R7-S7</f>
        <v/>
      </c>
      <c r="U7" s="67" t="n">
        <v>5</v>
      </c>
      <c r="V7" s="67" t="inlineStr">
        <is>
          <t>Ordered</t>
        </is>
      </c>
      <c r="W7" s="67" t="inlineStr">
        <is>
          <t>Approved</t>
        </is>
      </c>
      <c r="X7" s="67" t="inlineStr">
        <is>
          <t>Ordered</t>
        </is>
      </c>
      <c r="Y7" s="67" t="inlineStr">
        <is>
          <t>Not Scheduled</t>
        </is>
      </c>
      <c r="Z7" s="66" t="inlineStr"/>
      <c r="AA7" s="66" t="inlineStr"/>
    </row>
    <row r="8">
      <c r="A8" s="66" t="inlineStr">
        <is>
          <t>FFE-004</t>
        </is>
      </c>
      <c r="B8" s="66" t="inlineStr">
        <is>
          <t>Living Room</t>
        </is>
      </c>
      <c r="C8" s="66" t="inlineStr">
        <is>
          <t>Rug</t>
        </is>
      </c>
      <c r="D8" s="66" t="inlineStr">
        <is>
          <t>Area Rug 9x12</t>
        </is>
      </c>
      <c r="E8" s="66" t="inlineStr">
        <is>
          <t>Wool flatweave</t>
        </is>
      </c>
      <c r="F8" s="67" t="n">
        <v>1</v>
      </c>
      <c r="G8" s="66" t="inlineStr">
        <is>
          <t>9' x 12'</t>
        </is>
      </c>
      <c r="H8" s="66" t="inlineStr">
        <is>
          <t>Wool</t>
        </is>
      </c>
      <c r="I8" s="66" t="inlineStr">
        <is>
          <t>Handwoven</t>
        </is>
      </c>
      <c r="J8" s="66" t="inlineStr">
        <is>
          <t>Ivory/Taupe</t>
        </is>
      </c>
      <c r="K8" s="66" t="inlineStr">
        <is>
          <t>Loloi</t>
        </is>
      </c>
      <c r="L8" s="66" t="inlineStr">
        <is>
          <t>Magnolia</t>
        </is>
      </c>
      <c r="M8" s="66" t="inlineStr">
        <is>
          <t>https://example.com/rug</t>
        </is>
      </c>
      <c r="N8" s="66" t="inlineStr">
        <is>
          <t>MG-912</t>
        </is>
      </c>
      <c r="O8" s="68" t="n">
        <v>1299</v>
      </c>
      <c r="P8" s="69">
        <f>F8*O8</f>
        <v/>
      </c>
      <c r="Q8" s="68" t="n">
        <v>103.92</v>
      </c>
      <c r="R8" s="68" t="n">
        <v>75</v>
      </c>
      <c r="S8" s="68" t="n">
        <v>100</v>
      </c>
      <c r="T8" s="69">
        <f>P8+Q8+R8-S8</f>
        <v/>
      </c>
      <c r="U8" s="67" t="n">
        <v>3</v>
      </c>
      <c r="V8" s="67" t="inlineStr">
        <is>
          <t>Delivered</t>
        </is>
      </c>
      <c r="W8" s="67" t="inlineStr">
        <is>
          <t>Approved</t>
        </is>
      </c>
      <c r="X8" s="67" t="inlineStr">
        <is>
          <t>Delivered</t>
        </is>
      </c>
      <c r="Y8" s="67" t="inlineStr">
        <is>
          <t>Installed</t>
        </is>
      </c>
      <c r="Z8" s="66" t="inlineStr">
        <is>
          <t>Pad ordered separately</t>
        </is>
      </c>
      <c r="AA8" s="66" t="inlineStr"/>
    </row>
    <row r="9">
      <c r="A9" s="66" t="inlineStr">
        <is>
          <t>FFE-005</t>
        </is>
      </c>
      <c r="B9" s="66" t="inlineStr">
        <is>
          <t>Living Room</t>
        </is>
      </c>
      <c r="C9" s="66" t="inlineStr">
        <is>
          <t>Lighting</t>
        </is>
      </c>
      <c r="D9" s="66" t="inlineStr">
        <is>
          <t>Floor Lamp</t>
        </is>
      </c>
      <c r="E9" s="66" t="inlineStr">
        <is>
          <t>Arched brass floor lamp</t>
        </is>
      </c>
      <c r="F9" s="67" t="n">
        <v>1</v>
      </c>
      <c r="G9" s="66" t="inlineStr">
        <is>
          <t>72"H</t>
        </is>
      </c>
      <c r="H9" s="66" t="inlineStr">
        <is>
          <t>Brass/Linen</t>
        </is>
      </c>
      <c r="I9" s="66" t="inlineStr">
        <is>
          <t>Antique brass</t>
        </is>
      </c>
      <c r="J9" s="66" t="inlineStr">
        <is>
          <t>Brass</t>
        </is>
      </c>
      <c r="K9" s="66" t="inlineStr">
        <is>
          <t>Rejuvenation</t>
        </is>
      </c>
      <c r="L9" s="66" t="inlineStr">
        <is>
          <t>Arc</t>
        </is>
      </c>
      <c r="M9" s="66" t="inlineStr">
        <is>
          <t>https://example.com/lamp</t>
        </is>
      </c>
      <c r="N9" s="66" t="inlineStr">
        <is>
          <t>AR-72</t>
        </is>
      </c>
      <c r="O9" s="68" t="n">
        <v>449</v>
      </c>
      <c r="P9" s="69">
        <f>F9*O9</f>
        <v/>
      </c>
      <c r="Q9" s="68" t="n">
        <v>35.92</v>
      </c>
      <c r="R9" s="68" t="n">
        <v>40</v>
      </c>
      <c r="S9" s="68" t="n">
        <v>0</v>
      </c>
      <c r="T9" s="69">
        <f>P9+Q9+R9-S9</f>
        <v/>
      </c>
      <c r="U9" s="67" t="n">
        <v>2</v>
      </c>
      <c r="V9" s="67" t="inlineStr">
        <is>
          <t>Installed</t>
        </is>
      </c>
      <c r="W9" s="67" t="inlineStr">
        <is>
          <t>Approved</t>
        </is>
      </c>
      <c r="X9" s="67" t="inlineStr">
        <is>
          <t>Delivered</t>
        </is>
      </c>
      <c r="Y9" s="67" t="inlineStr">
        <is>
          <t>Installed</t>
        </is>
      </c>
      <c r="Z9" s="66" t="inlineStr"/>
      <c r="AA9" s="66" t="inlineStr"/>
    </row>
    <row r="10">
      <c r="A10" s="66" t="inlineStr">
        <is>
          <t>FFE-006</t>
        </is>
      </c>
      <c r="B10" s="66" t="inlineStr">
        <is>
          <t>Master Bedroom</t>
        </is>
      </c>
      <c r="C10" s="66" t="inlineStr">
        <is>
          <t>Bed</t>
        </is>
      </c>
      <c r="D10" s="66" t="inlineStr">
        <is>
          <t>Platform Bed King</t>
        </is>
      </c>
      <c r="E10" s="66" t="inlineStr">
        <is>
          <t>Upholstered platform bed</t>
        </is>
      </c>
      <c r="F10" s="67" t="n">
        <v>1</v>
      </c>
      <c r="G10" s="66" t="inlineStr">
        <is>
          <t>King</t>
        </is>
      </c>
      <c r="H10" s="66" t="inlineStr">
        <is>
          <t>Linen</t>
        </is>
      </c>
      <c r="I10" s="66" t="inlineStr">
        <is>
          <t>Natural</t>
        </is>
      </c>
      <c r="J10" s="66" t="inlineStr">
        <is>
          <t>Oatmeal</t>
        </is>
      </c>
      <c r="K10" s="66" t="inlineStr">
        <is>
          <t>Article</t>
        </is>
      </c>
      <c r="L10" s="66" t="inlineStr">
        <is>
          <t>Ceni</t>
        </is>
      </c>
      <c r="M10" s="66" t="inlineStr">
        <is>
          <t>https://example.com/bed</t>
        </is>
      </c>
      <c r="N10" s="66" t="inlineStr">
        <is>
          <t>CN-K</t>
        </is>
      </c>
      <c r="O10" s="68" t="n">
        <v>1499</v>
      </c>
      <c r="P10" s="69">
        <f>F10*O10</f>
        <v/>
      </c>
      <c r="Q10" s="68" t="n">
        <v>119.92</v>
      </c>
      <c r="R10" s="68" t="n">
        <v>200</v>
      </c>
      <c r="S10" s="68" t="n">
        <v>0</v>
      </c>
      <c r="T10" s="69">
        <f>P10+Q10+R10-S10</f>
        <v/>
      </c>
      <c r="U10" s="67" t="n">
        <v>8</v>
      </c>
      <c r="V10" s="67" t="inlineStr">
        <is>
          <t>Client Review</t>
        </is>
      </c>
      <c r="W10" s="67" t="inlineStr">
        <is>
          <t>Sent</t>
        </is>
      </c>
      <c r="X10" s="67" t="inlineStr">
        <is>
          <t>Not Ordered</t>
        </is>
      </c>
      <c r="Y10" s="67" t="inlineStr">
        <is>
          <t>Not Scheduled</t>
        </is>
      </c>
      <c r="Z10" s="66" t="inlineStr">
        <is>
          <t>Awaiting fabric confirmation</t>
        </is>
      </c>
      <c r="AA10" s="66" t="inlineStr"/>
    </row>
    <row r="11">
      <c r="A11" s="66" t="inlineStr">
        <is>
          <t>FFE-007</t>
        </is>
      </c>
      <c r="B11" s="66" t="inlineStr">
        <is>
          <t>Master Bedroom</t>
        </is>
      </c>
      <c r="C11" s="66" t="inlineStr">
        <is>
          <t>Lighting</t>
        </is>
      </c>
      <c r="D11" s="66" t="inlineStr">
        <is>
          <t>Pendant Pair</t>
        </is>
      </c>
      <c r="E11" s="66" t="inlineStr">
        <is>
          <t>Glass globe pendants</t>
        </is>
      </c>
      <c r="F11" s="67" t="n">
        <v>2</v>
      </c>
      <c r="G11" s="66" t="inlineStr">
        <is>
          <t>10" dia</t>
        </is>
      </c>
      <c r="H11" s="66" t="inlineStr">
        <is>
          <t>Glass/Brass</t>
        </is>
      </c>
      <c r="I11" s="66" t="inlineStr">
        <is>
          <t>Clear glass</t>
        </is>
      </c>
      <c r="J11" s="66" t="inlineStr">
        <is>
          <t>Brass</t>
        </is>
      </c>
      <c r="K11" s="66" t="inlineStr">
        <is>
          <t>Schoolhouse</t>
        </is>
      </c>
      <c r="L11" s="66" t="inlineStr">
        <is>
          <t>Globe</t>
        </is>
      </c>
      <c r="M11" s="66" t="inlineStr">
        <is>
          <t>https://example.com/pendant</t>
        </is>
      </c>
      <c r="N11" s="66" t="inlineStr">
        <is>
          <t>GL-10</t>
        </is>
      </c>
      <c r="O11" s="68" t="n">
        <v>279</v>
      </c>
      <c r="P11" s="69">
        <f>F11*O11</f>
        <v/>
      </c>
      <c r="Q11" s="68" t="n">
        <v>44.64</v>
      </c>
      <c r="R11" s="68" t="n">
        <v>50</v>
      </c>
      <c r="S11" s="68" t="n">
        <v>0</v>
      </c>
      <c r="T11" s="69">
        <f>P11+Q11+R11-S11</f>
        <v/>
      </c>
      <c r="U11" s="67" t="n">
        <v>4</v>
      </c>
      <c r="V11" s="67" t="inlineStr">
        <is>
          <t>Approved</t>
        </is>
      </c>
      <c r="W11" s="67" t="inlineStr">
        <is>
          <t>Approved</t>
        </is>
      </c>
      <c r="X11" s="67" t="inlineStr">
        <is>
          <t>Ordered</t>
        </is>
      </c>
      <c r="Y11" s="67" t="inlineStr">
        <is>
          <t>Not Scheduled</t>
        </is>
      </c>
      <c r="Z11" s="66" t="inlineStr"/>
      <c r="AA11" s="66" t="inlineStr"/>
    </row>
    <row r="12">
      <c r="A12" s="66" t="inlineStr">
        <is>
          <t>FFE-008</t>
        </is>
      </c>
      <c r="B12" s="66" t="inlineStr">
        <is>
          <t>Kitchen</t>
        </is>
      </c>
      <c r="C12" s="66" t="inlineStr">
        <is>
          <t>Appliance</t>
        </is>
      </c>
      <c r="D12" s="66" t="inlineStr">
        <is>
          <t>Range 36"</t>
        </is>
      </c>
      <c r="E12" s="66" t="inlineStr">
        <is>
          <t>Dual fuel range</t>
        </is>
      </c>
      <c r="F12" s="67" t="n">
        <v>1</v>
      </c>
      <c r="G12" s="66" t="inlineStr">
        <is>
          <t>36"W</t>
        </is>
      </c>
      <c r="H12" s="66" t="inlineStr">
        <is>
          <t>Stainless</t>
        </is>
      </c>
      <c r="I12" s="66" t="inlineStr">
        <is>
          <t>Professional</t>
        </is>
      </c>
      <c r="J12" s="66" t="inlineStr">
        <is>
          <t>SS</t>
        </is>
      </c>
      <c r="K12" s="66" t="inlineStr">
        <is>
          <t>Wolf</t>
        </is>
      </c>
      <c r="L12" s="66" t="inlineStr">
        <is>
          <t>DF36450</t>
        </is>
      </c>
      <c r="M12" s="66" t="inlineStr">
        <is>
          <t>https://example.com/range</t>
        </is>
      </c>
      <c r="N12" s="66" t="inlineStr">
        <is>
          <t>DF36450</t>
        </is>
      </c>
      <c r="O12" s="68" t="n">
        <v>8999</v>
      </c>
      <c r="P12" s="69">
        <f>F12*O12</f>
        <v/>
      </c>
      <c r="Q12" s="68" t="n">
        <v>719.92</v>
      </c>
      <c r="R12" s="68" t="n">
        <v>350</v>
      </c>
      <c r="S12" s="68" t="n">
        <v>200</v>
      </c>
      <c r="T12" s="69">
        <f>P12+Q12+R12-S12</f>
        <v/>
      </c>
      <c r="U12" s="67" t="n">
        <v>12</v>
      </c>
      <c r="V12" s="67" t="inlineStr">
        <is>
          <t>Ordered</t>
        </is>
      </c>
      <c r="W12" s="67" t="inlineStr">
        <is>
          <t>Approved</t>
        </is>
      </c>
      <c r="X12" s="67" t="inlineStr">
        <is>
          <t>In Production</t>
        </is>
      </c>
      <c r="Y12" s="67" t="inlineStr">
        <is>
          <t>Not Scheduled</t>
        </is>
      </c>
      <c r="Z12" s="66" t="inlineStr">
        <is>
          <t>Rough-in required</t>
        </is>
      </c>
      <c r="AA12" s="66" t="inlineStr"/>
    </row>
    <row r="13">
      <c r="A13" s="66" t="inlineStr">
        <is>
          <t>FFE-009</t>
        </is>
      </c>
      <c r="B13" s="66" t="inlineStr">
        <is>
          <t>Kitchen</t>
        </is>
      </c>
      <c r="C13" s="66" t="inlineStr">
        <is>
          <t>Lighting</t>
        </is>
      </c>
      <c r="D13" s="66" t="inlineStr">
        <is>
          <t>Island Pendants</t>
        </is>
      </c>
      <c r="E13" s="66" t="inlineStr">
        <is>
          <t>Linear brass pendants x3</t>
        </is>
      </c>
      <c r="F13" s="67" t="n">
        <v>3</v>
      </c>
      <c r="G13" s="66" t="inlineStr">
        <is>
          <t>14"H</t>
        </is>
      </c>
      <c r="H13" s="66" t="inlineStr">
        <is>
          <t>Brass/Glass</t>
        </is>
      </c>
      <c r="I13" s="66" t="inlineStr">
        <is>
          <t>Aged brass</t>
        </is>
      </c>
      <c r="J13" s="66" t="inlineStr">
        <is>
          <t>Brass</t>
        </is>
      </c>
      <c r="K13" s="66" t="inlineStr">
        <is>
          <t>Visual Comfort</t>
        </is>
      </c>
      <c r="L13" s="66" t="inlineStr">
        <is>
          <t>Bryant</t>
        </is>
      </c>
      <c r="M13" s="66" t="inlineStr">
        <is>
          <t>https://example.com/island</t>
        </is>
      </c>
      <c r="N13" s="66" t="inlineStr">
        <is>
          <t>BR-14</t>
        </is>
      </c>
      <c r="O13" s="68" t="n">
        <v>520</v>
      </c>
      <c r="P13" s="69">
        <f>F13*O13</f>
        <v/>
      </c>
      <c r="Q13" s="68" t="n">
        <v>124.8</v>
      </c>
      <c r="R13" s="68" t="n">
        <v>90</v>
      </c>
      <c r="S13" s="68" t="n">
        <v>0</v>
      </c>
      <c r="T13" s="69">
        <f>P13+Q13+R13-S13</f>
        <v/>
      </c>
      <c r="U13" s="67" t="n">
        <v>6</v>
      </c>
      <c r="V13" s="67" t="inlineStr">
        <is>
          <t>Approved</t>
        </is>
      </c>
      <c r="W13" s="67" t="inlineStr">
        <is>
          <t>Approved</t>
        </is>
      </c>
      <c r="X13" s="67" t="inlineStr">
        <is>
          <t>Ordered</t>
        </is>
      </c>
      <c r="Y13" s="67" t="inlineStr">
        <is>
          <t>Not Scheduled</t>
        </is>
      </c>
      <c r="Z13" s="66" t="inlineStr"/>
      <c r="AA13" s="66" t="inlineStr"/>
    </row>
    <row r="14">
      <c r="A14" s="66" t="inlineStr">
        <is>
          <t>FFE-010</t>
        </is>
      </c>
      <c r="B14" s="66" t="inlineStr">
        <is>
          <t>Dining Room</t>
        </is>
      </c>
      <c r="C14" s="66" t="inlineStr">
        <is>
          <t>Table</t>
        </is>
      </c>
      <c r="D14" s="66" t="inlineStr">
        <is>
          <t>Dining Table</t>
        </is>
      </c>
      <c r="E14" s="66" t="inlineStr">
        <is>
          <t>Oak extension table</t>
        </is>
      </c>
      <c r="F14" s="67" t="n">
        <v>1</v>
      </c>
      <c r="G14" s="66" t="inlineStr">
        <is>
          <t>72-96"L x 40"W</t>
        </is>
      </c>
      <c r="H14" s="66" t="inlineStr">
        <is>
          <t>Oak</t>
        </is>
      </c>
      <c r="I14" s="66" t="inlineStr">
        <is>
          <t>White oak</t>
        </is>
      </c>
      <c r="J14" s="66" t="inlineStr">
        <is>
          <t>Natural</t>
        </is>
      </c>
      <c r="K14" s="66" t="inlineStr">
        <is>
          <t>Ethnicraft</t>
        </is>
      </c>
      <c r="L14" s="66" t="inlineStr">
        <is>
          <t>Bok</t>
        </is>
      </c>
      <c r="M14" s="66" t="inlineStr">
        <is>
          <t>https://example.com/dining</t>
        </is>
      </c>
      <c r="N14" s="66" t="inlineStr">
        <is>
          <t>BK-72</t>
        </is>
      </c>
      <c r="O14" s="68" t="n">
        <v>2499</v>
      </c>
      <c r="P14" s="69">
        <f>F14*O14</f>
        <v/>
      </c>
      <c r="Q14" s="68" t="n">
        <v>199.92</v>
      </c>
      <c r="R14" s="68" t="n">
        <v>250</v>
      </c>
      <c r="S14" s="68" t="n">
        <v>0</v>
      </c>
      <c r="T14" s="69">
        <f>P14+Q14+R14-S14</f>
        <v/>
      </c>
      <c r="U14" s="67" t="n">
        <v>10</v>
      </c>
      <c r="V14" s="67" t="inlineStr">
        <is>
          <t>Sourcing</t>
        </is>
      </c>
      <c r="W14" s="67" t="inlineStr">
        <is>
          <t>Not Sent</t>
        </is>
      </c>
      <c r="X14" s="67" t="inlineStr">
        <is>
          <t>Not Ordered</t>
        </is>
      </c>
      <c r="Y14" s="67" t="inlineStr">
        <is>
          <t>Not Scheduled</t>
        </is>
      </c>
      <c r="Z14" s="66" t="inlineStr">
        <is>
          <t>Comparing 3 options</t>
        </is>
      </c>
      <c r="AA14" s="66" t="inlineStr"/>
    </row>
    <row r="15">
      <c r="A15" s="66" t="inlineStr">
        <is>
          <t>FFE-011</t>
        </is>
      </c>
      <c r="B15" s="66" t="inlineStr">
        <is>
          <t>Dining Room</t>
        </is>
      </c>
      <c r="C15" s="66" t="inlineStr">
        <is>
          <t>Chair</t>
        </is>
      </c>
      <c r="D15" s="66" t="inlineStr">
        <is>
          <t>Dining Chairs</t>
        </is>
      </c>
      <c r="E15" s="66" t="inlineStr">
        <is>
          <t>Upholstered dining chairs</t>
        </is>
      </c>
      <c r="F15" s="67" t="n">
        <v>6</v>
      </c>
      <c r="G15" s="66" t="inlineStr">
        <is>
          <t>19"W x 22"D x 33"H</t>
        </is>
      </c>
      <c r="H15" s="66" t="inlineStr">
        <is>
          <t>Performance fabric</t>
        </is>
      </c>
      <c r="I15" s="66" t="inlineStr">
        <is>
          <t>Oak legs</t>
        </is>
      </c>
      <c r="J15" s="66" t="inlineStr">
        <is>
          <t>Sand</t>
        </is>
      </c>
      <c r="K15" s="66" t="inlineStr">
        <is>
          <t>Four Hands</t>
        </is>
      </c>
      <c r="L15" s="66" t="inlineStr">
        <is>
          <t>Haiden</t>
        </is>
      </c>
      <c r="M15" s="66" t="inlineStr">
        <is>
          <t>https://example.com/dchair</t>
        </is>
      </c>
      <c r="N15" s="66" t="inlineStr">
        <is>
          <t>HD-SN</t>
        </is>
      </c>
      <c r="O15" s="68" t="n">
        <v>349</v>
      </c>
      <c r="P15" s="69">
        <f>F15*O15</f>
        <v/>
      </c>
      <c r="Q15" s="68" t="n">
        <v>167.52</v>
      </c>
      <c r="R15" s="68" t="n">
        <v>120</v>
      </c>
      <c r="S15" s="68" t="n">
        <v>100</v>
      </c>
      <c r="T15" s="69">
        <f>P15+Q15+R15-S15</f>
        <v/>
      </c>
      <c r="U15" s="67" t="n">
        <v>8</v>
      </c>
      <c r="V15" s="67" t="inlineStr">
        <is>
          <t>Option Selected</t>
        </is>
      </c>
      <c r="W15" s="67" t="inlineStr">
        <is>
          <t>Not Sent</t>
        </is>
      </c>
      <c r="X15" s="67" t="inlineStr">
        <is>
          <t>Not Ordered</t>
        </is>
      </c>
      <c r="Y15" s="67" t="inlineStr">
        <is>
          <t>Not Scheduled</t>
        </is>
      </c>
      <c r="Z15" s="66" t="inlineStr"/>
      <c r="AA15" s="66" t="inlineStr"/>
    </row>
    <row r="16">
      <c r="A16" s="66" t="inlineStr">
        <is>
          <t>FFE-012</t>
        </is>
      </c>
      <c r="B16" s="66" t="inlineStr">
        <is>
          <t>Powder Room</t>
        </is>
      </c>
      <c r="C16" s="66" t="inlineStr">
        <is>
          <t>Plumbing Fixture</t>
        </is>
      </c>
      <c r="D16" s="66" t="inlineStr">
        <is>
          <t>Vessel Sink</t>
        </is>
      </c>
      <c r="E16" s="66" t="inlineStr">
        <is>
          <t>Stone vessel sink</t>
        </is>
      </c>
      <c r="F16" s="67" t="n">
        <v>1</v>
      </c>
      <c r="G16" s="66" t="inlineStr">
        <is>
          <t>16" dia</t>
        </is>
      </c>
      <c r="H16" s="66" t="inlineStr">
        <is>
          <t>Marble</t>
        </is>
      </c>
      <c r="I16" s="66" t="inlineStr">
        <is>
          <t>Honed</t>
        </is>
      </c>
      <c r="J16" s="66" t="inlineStr">
        <is>
          <t>Carrara</t>
        </is>
      </c>
      <c r="K16" s="66" t="inlineStr">
        <is>
          <t>Signature Hardware</t>
        </is>
      </c>
      <c r="L16" s="66" t="inlineStr">
        <is>
          <t>Vessel</t>
        </is>
      </c>
      <c r="M16" s="66" t="inlineStr">
        <is>
          <t>https://example.com/sink</t>
        </is>
      </c>
      <c r="N16" s="66" t="inlineStr">
        <is>
          <t>VS-16</t>
        </is>
      </c>
      <c r="O16" s="68" t="n">
        <v>389</v>
      </c>
      <c r="P16" s="69">
        <f>F16*O16</f>
        <v/>
      </c>
      <c r="Q16" s="68" t="n">
        <v>31.12</v>
      </c>
      <c r="R16" s="68" t="n">
        <v>45</v>
      </c>
      <c r="S16" s="68" t="n">
        <v>0</v>
      </c>
      <c r="T16" s="69">
        <f>P16+Q16+R16-S16</f>
        <v/>
      </c>
      <c r="U16" s="67" t="n">
        <v>3</v>
      </c>
      <c r="V16" s="67" t="inlineStr">
        <is>
          <t>Delivered</t>
        </is>
      </c>
      <c r="W16" s="67" t="inlineStr">
        <is>
          <t>Approved</t>
        </is>
      </c>
      <c r="X16" s="67" t="inlineStr">
        <is>
          <t>Delivered</t>
        </is>
      </c>
      <c r="Y16" s="67" t="inlineStr">
        <is>
          <t>Scheduled</t>
        </is>
      </c>
      <c r="Z16" s="66" t="inlineStr"/>
      <c r="AA16" s="66" t="inlineStr"/>
    </row>
    <row r="17">
      <c r="A17" s="66" t="inlineStr">
        <is>
          <t>FFE-013</t>
        </is>
      </c>
      <c r="B17" s="66" t="inlineStr">
        <is>
          <t>Home Office</t>
        </is>
      </c>
      <c r="C17" s="66" t="inlineStr">
        <is>
          <t>Chair</t>
        </is>
      </c>
      <c r="D17" s="66" t="inlineStr">
        <is>
          <t>Desk Chair</t>
        </is>
      </c>
      <c r="E17" s="66" t="inlineStr">
        <is>
          <t>Ergonomic task chair</t>
        </is>
      </c>
      <c r="F17" s="67" t="n">
        <v>1</v>
      </c>
      <c r="G17" s="66" t="inlineStr">
        <is>
          <t>Standard</t>
        </is>
      </c>
      <c r="H17" s="66" t="inlineStr">
        <is>
          <t>Mesh/Leather</t>
        </is>
      </c>
      <c r="I17" s="66" t="inlineStr">
        <is>
          <t>Black</t>
        </is>
      </c>
      <c r="J17" s="66" t="inlineStr">
        <is>
          <t>Black</t>
        </is>
      </c>
      <c r="K17" s="66" t="inlineStr">
        <is>
          <t>Herman Miller</t>
        </is>
      </c>
      <c r="L17" s="66" t="inlineStr">
        <is>
          <t>Aeron</t>
        </is>
      </c>
      <c r="M17" s="66" t="inlineStr">
        <is>
          <t>https://example.com/aeron</t>
        </is>
      </c>
      <c r="N17" s="66" t="inlineStr">
        <is>
          <t>AE-B</t>
        </is>
      </c>
      <c r="O17" s="68" t="n">
        <v>1395</v>
      </c>
      <c r="P17" s="69">
        <f>F17*O17</f>
        <v/>
      </c>
      <c r="Q17" s="68" t="n">
        <v>111.6</v>
      </c>
      <c r="R17" s="68" t="n">
        <v>0</v>
      </c>
      <c r="S17" s="68" t="n">
        <v>100</v>
      </c>
      <c r="T17" s="69">
        <f>P17+Q17+R17-S17</f>
        <v/>
      </c>
      <c r="U17" s="67" t="n">
        <v>2</v>
      </c>
      <c r="V17" s="67" t="inlineStr">
        <is>
          <t>Sourcing</t>
        </is>
      </c>
      <c r="W17" s="67" t="inlineStr">
        <is>
          <t>Not Sent</t>
        </is>
      </c>
      <c r="X17" s="67" t="inlineStr">
        <is>
          <t>Not Ordered</t>
        </is>
      </c>
      <c r="Y17" s="67" t="inlineStr">
        <is>
          <t>Not Scheduled</t>
        </is>
      </c>
      <c r="Z17" s="66" t="inlineStr">
        <is>
          <t>Budget check needed</t>
        </is>
      </c>
      <c r="AA17" s="66" t="inlineStr"/>
    </row>
    <row r="18">
      <c r="A18" s="66" t="inlineStr">
        <is>
          <t>FFE-014</t>
        </is>
      </c>
      <c r="B18" s="66" t="inlineStr">
        <is>
          <t>Living Room</t>
        </is>
      </c>
      <c r="C18" s="66" t="inlineStr">
        <is>
          <t>Artwork</t>
        </is>
      </c>
      <c r="D18" s="66" t="inlineStr">
        <is>
          <t>Large Abstract Canvas</t>
        </is>
      </c>
      <c r="E18" s="66" t="inlineStr">
        <is>
          <t>Commissioned abstract</t>
        </is>
      </c>
      <c r="F18" s="67" t="n">
        <v>1</v>
      </c>
      <c r="G18" s="66" t="inlineStr">
        <is>
          <t>48" x 60"</t>
        </is>
      </c>
      <c r="H18" s="66" t="inlineStr">
        <is>
          <t>Canvas/Oil</t>
        </is>
      </c>
      <c r="I18" s="66" t="inlineStr">
        <is>
          <t>Gallery wrap</t>
        </is>
      </c>
      <c r="J18" s="66" t="inlineStr">
        <is>
          <t>Multi</t>
        </is>
      </c>
      <c r="K18" s="66" t="inlineStr">
        <is>
          <t>Local Artist</t>
        </is>
      </c>
      <c r="L18" s="66" t="inlineStr">
        <is>
          <t>Custom</t>
        </is>
      </c>
      <c r="M18" s="66" t="inlineStr">
        <is>
          <t>https://example.com/art</t>
        </is>
      </c>
      <c r="N18" s="66" t="inlineStr">
        <is>
          <t>CUST-01</t>
        </is>
      </c>
      <c r="O18" s="68" t="n">
        <v>2200</v>
      </c>
      <c r="P18" s="69">
        <f>F18*O18</f>
        <v/>
      </c>
      <c r="Q18" s="68" t="n">
        <v>0</v>
      </c>
      <c r="R18" s="68" t="n">
        <v>75</v>
      </c>
      <c r="S18" s="68" t="n">
        <v>0</v>
      </c>
      <c r="T18" s="69">
        <f>P18+Q18+R18-S18</f>
        <v/>
      </c>
      <c r="U18" s="67" t="n">
        <v>8</v>
      </c>
      <c r="V18" s="67" t="inlineStr">
        <is>
          <t>Client Review</t>
        </is>
      </c>
      <c r="W18" s="67" t="inlineStr">
        <is>
          <t>Sent</t>
        </is>
      </c>
      <c r="X18" s="67" t="inlineStr">
        <is>
          <t>Not Ordered</t>
        </is>
      </c>
      <c r="Y18" s="67" t="inlineStr">
        <is>
          <t>Not Scheduled</t>
        </is>
      </c>
      <c r="Z18" s="66" t="inlineStr">
        <is>
          <t>Sketch approved</t>
        </is>
      </c>
      <c r="AA18" s="66" t="inlineStr"/>
    </row>
    <row r="19">
      <c r="A19" s="66" t="inlineStr">
        <is>
          <t>FFE-015</t>
        </is>
      </c>
      <c r="B19" s="66" t="inlineStr">
        <is>
          <t>Kitchen</t>
        </is>
      </c>
      <c r="C19" s="66" t="inlineStr">
        <is>
          <t>Hardware</t>
        </is>
      </c>
      <c r="D19" s="66" t="inlineStr">
        <is>
          <t>Cabinet Pulls</t>
        </is>
      </c>
      <c r="E19" s="66" t="inlineStr">
        <is>
          <t>Brass bar pulls 6"</t>
        </is>
      </c>
      <c r="F19" s="67" t="n">
        <v>24</v>
      </c>
      <c r="G19" s="66" t="inlineStr">
        <is>
          <t>6"</t>
        </is>
      </c>
      <c r="H19" s="66" t="inlineStr">
        <is>
          <t>Solid brass</t>
        </is>
      </c>
      <c r="I19" s="66" t="inlineStr">
        <is>
          <t>Unlacquered</t>
        </is>
      </c>
      <c r="J19" s="66" t="inlineStr">
        <is>
          <t>Brass</t>
        </is>
      </c>
      <c r="K19" s="66" t="inlineStr">
        <is>
          <t>Rejuvenation</t>
        </is>
      </c>
      <c r="L19" s="66" t="inlineStr">
        <is>
          <t>Bin</t>
        </is>
      </c>
      <c r="M19" s="66" t="inlineStr">
        <is>
          <t>https://example.com/pulls</t>
        </is>
      </c>
      <c r="N19" s="66" t="inlineStr">
        <is>
          <t>BN-6</t>
        </is>
      </c>
      <c r="O19" s="68" t="n">
        <v>18</v>
      </c>
      <c r="P19" s="69">
        <f>F19*O19</f>
        <v/>
      </c>
      <c r="Q19" s="68" t="n">
        <v>34.56</v>
      </c>
      <c r="R19" s="68" t="n">
        <v>25</v>
      </c>
      <c r="S19" s="68" t="n">
        <v>0</v>
      </c>
      <c r="T19" s="69">
        <f>P19+Q19+R19-S19</f>
        <v/>
      </c>
      <c r="U19" s="67" t="n">
        <v>2</v>
      </c>
      <c r="V19" s="67" t="inlineStr">
        <is>
          <t>Approved</t>
        </is>
      </c>
      <c r="W19" s="67" t="inlineStr">
        <is>
          <t>Approved</t>
        </is>
      </c>
      <c r="X19" s="67" t="inlineStr">
        <is>
          <t>Ordered</t>
        </is>
      </c>
      <c r="Y19" s="67" t="inlineStr">
        <is>
          <t>Not Scheduled</t>
        </is>
      </c>
      <c r="Z19" s="66" t="inlineStr"/>
      <c r="AA19" s="66" t="inlineStr"/>
    </row>
    <row r="20">
      <c r="A20" s="66" t="n"/>
      <c r="B20" s="66" t="n"/>
      <c r="C20" s="66" t="n"/>
      <c r="D20" s="66" t="n"/>
      <c r="E20" s="66" t="n"/>
      <c r="F20" s="66" t="n"/>
      <c r="G20" s="66" t="n"/>
      <c r="H20" s="66" t="n"/>
      <c r="I20" s="66" t="n"/>
      <c r="J20" s="66" t="n"/>
      <c r="K20" s="66" t="n"/>
      <c r="L20" s="66" t="n"/>
      <c r="M20" s="66" t="n"/>
      <c r="N20" s="66" t="n"/>
      <c r="O20" s="68" t="n"/>
      <c r="P20" s="69">
        <f>IF(F20="","",F20*O20)</f>
        <v/>
      </c>
      <c r="Q20" s="68" t="n"/>
      <c r="R20" s="68" t="n"/>
      <c r="S20" s="68" t="n"/>
      <c r="T20" s="69">
        <f>IF(F20="","",P20+Q20+R20-S20)</f>
        <v/>
      </c>
      <c r="U20" s="66" t="n"/>
      <c r="V20" s="66" t="n"/>
      <c r="W20" s="66" t="n"/>
      <c r="X20" s="66" t="n"/>
      <c r="Y20" s="66" t="n"/>
      <c r="Z20" s="66" t="n"/>
      <c r="AA20" s="66" t="n"/>
    </row>
    <row r="21">
      <c r="A21" s="66" t="n"/>
      <c r="B21" s="66" t="n"/>
      <c r="C21" s="66" t="n"/>
      <c r="D21" s="66" t="n"/>
      <c r="E21" s="66" t="n"/>
      <c r="F21" s="66" t="n"/>
      <c r="G21" s="66" t="n"/>
      <c r="H21" s="66" t="n"/>
      <c r="I21" s="66" t="n"/>
      <c r="J21" s="66" t="n"/>
      <c r="K21" s="66" t="n"/>
      <c r="L21" s="66" t="n"/>
      <c r="M21" s="66" t="n"/>
      <c r="N21" s="66" t="n"/>
      <c r="O21" s="68" t="n"/>
      <c r="P21" s="69">
        <f>IF(F21="","",F21*O21)</f>
        <v/>
      </c>
      <c r="Q21" s="68" t="n"/>
      <c r="R21" s="68" t="n"/>
      <c r="S21" s="68" t="n"/>
      <c r="T21" s="69">
        <f>IF(F21="","",P21+Q21+R21-S21)</f>
        <v/>
      </c>
      <c r="U21" s="66" t="n"/>
      <c r="V21" s="66" t="n"/>
      <c r="W21" s="66" t="n"/>
      <c r="X21" s="66" t="n"/>
      <c r="Y21" s="66" t="n"/>
      <c r="Z21" s="66" t="n"/>
      <c r="AA21" s="66" t="n"/>
    </row>
    <row r="22">
      <c r="A22" s="66" t="n"/>
      <c r="B22" s="66" t="n"/>
      <c r="C22" s="66" t="n"/>
      <c r="D22" s="66" t="n"/>
      <c r="E22" s="66" t="n"/>
      <c r="F22" s="66" t="n"/>
      <c r="G22" s="66" t="n"/>
      <c r="H22" s="66" t="n"/>
      <c r="I22" s="66" t="n"/>
      <c r="J22" s="66" t="n"/>
      <c r="K22" s="66" t="n"/>
      <c r="L22" s="66" t="n"/>
      <c r="M22" s="66" t="n"/>
      <c r="N22" s="66" t="n"/>
      <c r="O22" s="68" t="n"/>
      <c r="P22" s="69">
        <f>IF(F22="","",F22*O22)</f>
        <v/>
      </c>
      <c r="Q22" s="68" t="n"/>
      <c r="R22" s="68" t="n"/>
      <c r="S22" s="68" t="n"/>
      <c r="T22" s="69">
        <f>IF(F22="","",P22+Q22+R22-S22)</f>
        <v/>
      </c>
      <c r="U22" s="66" t="n"/>
      <c r="V22" s="66" t="n"/>
      <c r="W22" s="66" t="n"/>
      <c r="X22" s="66" t="n"/>
      <c r="Y22" s="66" t="n"/>
      <c r="Z22" s="66" t="n"/>
      <c r="AA22" s="66" t="n"/>
    </row>
    <row r="23">
      <c r="A23" s="66" t="n"/>
      <c r="B23" s="66" t="n"/>
      <c r="C23" s="66" t="n"/>
      <c r="D23" s="66" t="n"/>
      <c r="E23" s="66" t="n"/>
      <c r="F23" s="66" t="n"/>
      <c r="G23" s="66" t="n"/>
      <c r="H23" s="66" t="n"/>
      <c r="I23" s="66" t="n"/>
      <c r="J23" s="66" t="n"/>
      <c r="K23" s="66" t="n"/>
      <c r="L23" s="66" t="n"/>
      <c r="M23" s="66" t="n"/>
      <c r="N23" s="66" t="n"/>
      <c r="O23" s="68" t="n"/>
      <c r="P23" s="69">
        <f>IF(F23="","",F23*O23)</f>
        <v/>
      </c>
      <c r="Q23" s="68" t="n"/>
      <c r="R23" s="68" t="n"/>
      <c r="S23" s="68" t="n"/>
      <c r="T23" s="69">
        <f>IF(F23="","",P23+Q23+R23-S23)</f>
        <v/>
      </c>
      <c r="U23" s="66" t="n"/>
      <c r="V23" s="66" t="n"/>
      <c r="W23" s="66" t="n"/>
      <c r="X23" s="66" t="n"/>
      <c r="Y23" s="66" t="n"/>
      <c r="Z23" s="66" t="n"/>
      <c r="AA23" s="66" t="n"/>
    </row>
    <row r="24">
      <c r="A24" s="66" t="n"/>
      <c r="B24" s="66" t="n"/>
      <c r="C24" s="66" t="n"/>
      <c r="D24" s="66" t="n"/>
      <c r="E24" s="66" t="n"/>
      <c r="F24" s="66" t="n"/>
      <c r="G24" s="66" t="n"/>
      <c r="H24" s="66" t="n"/>
      <c r="I24" s="66" t="n"/>
      <c r="J24" s="66" t="n"/>
      <c r="K24" s="66" t="n"/>
      <c r="L24" s="66" t="n"/>
      <c r="M24" s="66" t="n"/>
      <c r="N24" s="66" t="n"/>
      <c r="O24" s="68" t="n"/>
      <c r="P24" s="69">
        <f>IF(F24="","",F24*O24)</f>
        <v/>
      </c>
      <c r="Q24" s="68" t="n"/>
      <c r="R24" s="68" t="n"/>
      <c r="S24" s="68" t="n"/>
      <c r="T24" s="69">
        <f>IF(F24="","",P24+Q24+R24-S24)</f>
        <v/>
      </c>
      <c r="U24" s="66" t="n"/>
      <c r="V24" s="66" t="n"/>
      <c r="W24" s="66" t="n"/>
      <c r="X24" s="66" t="n"/>
      <c r="Y24" s="66" t="n"/>
      <c r="Z24" s="66" t="n"/>
      <c r="AA24" s="66" t="n"/>
    </row>
    <row r="25">
      <c r="A25" s="66" t="n"/>
      <c r="B25" s="66" t="n"/>
      <c r="C25" s="66" t="n"/>
      <c r="D25" s="66" t="n"/>
      <c r="E25" s="66" t="n"/>
      <c r="F25" s="66" t="n"/>
      <c r="G25" s="66" t="n"/>
      <c r="H25" s="66" t="n"/>
      <c r="I25" s="66" t="n"/>
      <c r="J25" s="66" t="n"/>
      <c r="K25" s="66" t="n"/>
      <c r="L25" s="66" t="n"/>
      <c r="M25" s="66" t="n"/>
      <c r="N25" s="66" t="n"/>
      <c r="O25" s="68" t="n"/>
      <c r="P25" s="69">
        <f>IF(F25="","",F25*O25)</f>
        <v/>
      </c>
      <c r="Q25" s="68" t="n"/>
      <c r="R25" s="68" t="n"/>
      <c r="S25" s="68" t="n"/>
      <c r="T25" s="69">
        <f>IF(F25="","",P25+Q25+R25-S25)</f>
        <v/>
      </c>
      <c r="U25" s="66" t="n"/>
      <c r="V25" s="66" t="n"/>
      <c r="W25" s="66" t="n"/>
      <c r="X25" s="66" t="n"/>
      <c r="Y25" s="66" t="n"/>
      <c r="Z25" s="66" t="n"/>
      <c r="AA25" s="66" t="n"/>
    </row>
    <row r="26">
      <c r="A26" s="66" t="n"/>
      <c r="B26" s="66" t="n"/>
      <c r="C26" s="66" t="n"/>
      <c r="D26" s="66" t="n"/>
      <c r="E26" s="66" t="n"/>
      <c r="F26" s="66" t="n"/>
      <c r="G26" s="66" t="n"/>
      <c r="H26" s="66" t="n"/>
      <c r="I26" s="66" t="n"/>
      <c r="J26" s="66" t="n"/>
      <c r="K26" s="66" t="n"/>
      <c r="L26" s="66" t="n"/>
      <c r="M26" s="66" t="n"/>
      <c r="N26" s="66" t="n"/>
      <c r="O26" s="68" t="n"/>
      <c r="P26" s="69">
        <f>IF(F26="","",F26*O26)</f>
        <v/>
      </c>
      <c r="Q26" s="68" t="n"/>
      <c r="R26" s="68" t="n"/>
      <c r="S26" s="68" t="n"/>
      <c r="T26" s="69">
        <f>IF(F26="","",P26+Q26+R26-S26)</f>
        <v/>
      </c>
      <c r="U26" s="66" t="n"/>
      <c r="V26" s="66" t="n"/>
      <c r="W26" s="66" t="n"/>
      <c r="X26" s="66" t="n"/>
      <c r="Y26" s="66" t="n"/>
      <c r="Z26" s="66" t="n"/>
      <c r="AA26" s="66" t="n"/>
    </row>
    <row r="27">
      <c r="A27" s="66" t="n"/>
      <c r="B27" s="66" t="n"/>
      <c r="C27" s="66" t="n"/>
      <c r="D27" s="66" t="n"/>
      <c r="E27" s="66" t="n"/>
      <c r="F27" s="66" t="n"/>
      <c r="G27" s="66" t="n"/>
      <c r="H27" s="66" t="n"/>
      <c r="I27" s="66" t="n"/>
      <c r="J27" s="66" t="n"/>
      <c r="K27" s="66" t="n"/>
      <c r="L27" s="66" t="n"/>
      <c r="M27" s="66" t="n"/>
      <c r="N27" s="66" t="n"/>
      <c r="O27" s="68" t="n"/>
      <c r="P27" s="69">
        <f>IF(F27="","",F27*O27)</f>
        <v/>
      </c>
      <c r="Q27" s="68" t="n"/>
      <c r="R27" s="68" t="n"/>
      <c r="S27" s="68" t="n"/>
      <c r="T27" s="69">
        <f>IF(F27="","",P27+Q27+R27-S27)</f>
        <v/>
      </c>
      <c r="U27" s="66" t="n"/>
      <c r="V27" s="66" t="n"/>
      <c r="W27" s="66" t="n"/>
      <c r="X27" s="66" t="n"/>
      <c r="Y27" s="66" t="n"/>
      <c r="Z27" s="66" t="n"/>
      <c r="AA27" s="66" t="n"/>
    </row>
    <row r="28">
      <c r="A28" s="66" t="n"/>
      <c r="B28" s="66" t="n"/>
      <c r="C28" s="66" t="n"/>
      <c r="D28" s="66" t="n"/>
      <c r="E28" s="66" t="n"/>
      <c r="F28" s="66" t="n"/>
      <c r="G28" s="66" t="n"/>
      <c r="H28" s="66" t="n"/>
      <c r="I28" s="66" t="n"/>
      <c r="J28" s="66" t="n"/>
      <c r="K28" s="66" t="n"/>
      <c r="L28" s="66" t="n"/>
      <c r="M28" s="66" t="n"/>
      <c r="N28" s="66" t="n"/>
      <c r="O28" s="68" t="n"/>
      <c r="P28" s="69">
        <f>IF(F28="","",F28*O28)</f>
        <v/>
      </c>
      <c r="Q28" s="68" t="n"/>
      <c r="R28" s="68" t="n"/>
      <c r="S28" s="68" t="n"/>
      <c r="T28" s="69">
        <f>IF(F28="","",P28+Q28+R28-S28)</f>
        <v/>
      </c>
      <c r="U28" s="66" t="n"/>
      <c r="V28" s="66" t="n"/>
      <c r="W28" s="66" t="n"/>
      <c r="X28" s="66" t="n"/>
      <c r="Y28" s="66" t="n"/>
      <c r="Z28" s="66" t="n"/>
      <c r="AA28" s="66" t="n"/>
    </row>
    <row r="29">
      <c r="A29" s="66" t="n"/>
      <c r="B29" s="66" t="n"/>
      <c r="C29" s="66" t="n"/>
      <c r="D29" s="66" t="n"/>
      <c r="E29" s="66" t="n"/>
      <c r="F29" s="66" t="n"/>
      <c r="G29" s="66" t="n"/>
      <c r="H29" s="66" t="n"/>
      <c r="I29" s="66" t="n"/>
      <c r="J29" s="66" t="n"/>
      <c r="K29" s="66" t="n"/>
      <c r="L29" s="66" t="n"/>
      <c r="M29" s="66" t="n"/>
      <c r="N29" s="66" t="n"/>
      <c r="O29" s="68" t="n"/>
      <c r="P29" s="69">
        <f>IF(F29="","",F29*O29)</f>
        <v/>
      </c>
      <c r="Q29" s="68" t="n"/>
      <c r="R29" s="68" t="n"/>
      <c r="S29" s="68" t="n"/>
      <c r="T29" s="69">
        <f>IF(F29="","",P29+Q29+R29-S29)</f>
        <v/>
      </c>
      <c r="U29" s="66" t="n"/>
      <c r="V29" s="66" t="n"/>
      <c r="W29" s="66" t="n"/>
      <c r="X29" s="66" t="n"/>
      <c r="Y29" s="66" t="n"/>
      <c r="Z29" s="66" t="n"/>
      <c r="AA29" s="66" t="n"/>
    </row>
    <row r="30">
      <c r="A30" s="66" t="n"/>
      <c r="B30" s="66" t="n"/>
      <c r="C30" s="66" t="n"/>
      <c r="D30" s="66" t="n"/>
      <c r="E30" s="66" t="n"/>
      <c r="F30" s="66" t="n"/>
      <c r="G30" s="66" t="n"/>
      <c r="H30" s="66" t="n"/>
      <c r="I30" s="66" t="n"/>
      <c r="J30" s="66" t="n"/>
      <c r="K30" s="66" t="n"/>
      <c r="L30" s="66" t="n"/>
      <c r="M30" s="66" t="n"/>
      <c r="N30" s="66" t="n"/>
      <c r="O30" s="68" t="n"/>
      <c r="P30" s="69">
        <f>IF(F30="","",F30*O30)</f>
        <v/>
      </c>
      <c r="Q30" s="68" t="n"/>
      <c r="R30" s="68" t="n"/>
      <c r="S30" s="68" t="n"/>
      <c r="T30" s="69">
        <f>IF(F30="","",P30+Q30+R30-S30)</f>
        <v/>
      </c>
      <c r="U30" s="66" t="n"/>
      <c r="V30" s="66" t="n"/>
      <c r="W30" s="66" t="n"/>
      <c r="X30" s="66" t="n"/>
      <c r="Y30" s="66" t="n"/>
      <c r="Z30" s="66" t="n"/>
      <c r="AA30" s="66" t="n"/>
    </row>
    <row r="31">
      <c r="A31" s="66" t="n"/>
      <c r="B31" s="66" t="n"/>
      <c r="C31" s="66" t="n"/>
      <c r="D31" s="66" t="n"/>
      <c r="E31" s="66" t="n"/>
      <c r="F31" s="66" t="n"/>
      <c r="G31" s="66" t="n"/>
      <c r="H31" s="66" t="n"/>
      <c r="I31" s="66" t="n"/>
      <c r="J31" s="66" t="n"/>
      <c r="K31" s="66" t="n"/>
      <c r="L31" s="66" t="n"/>
      <c r="M31" s="66" t="n"/>
      <c r="N31" s="66" t="n"/>
      <c r="O31" s="68" t="n"/>
      <c r="P31" s="69">
        <f>IF(F31="","",F31*O31)</f>
        <v/>
      </c>
      <c r="Q31" s="68" t="n"/>
      <c r="R31" s="68" t="n"/>
      <c r="S31" s="68" t="n"/>
      <c r="T31" s="69">
        <f>IF(F31="","",P31+Q31+R31-S31)</f>
        <v/>
      </c>
      <c r="U31" s="66" t="n"/>
      <c r="V31" s="66" t="n"/>
      <c r="W31" s="66" t="n"/>
      <c r="X31" s="66" t="n"/>
      <c r="Y31" s="66" t="n"/>
      <c r="Z31" s="66" t="n"/>
      <c r="AA31" s="66" t="n"/>
    </row>
    <row r="32">
      <c r="A32" s="66" t="n"/>
      <c r="B32" s="66" t="n"/>
      <c r="C32" s="66" t="n"/>
      <c r="D32" s="66" t="n"/>
      <c r="E32" s="66" t="n"/>
      <c r="F32" s="66" t="n"/>
      <c r="G32" s="66" t="n"/>
      <c r="H32" s="66" t="n"/>
      <c r="I32" s="66" t="n"/>
      <c r="J32" s="66" t="n"/>
      <c r="K32" s="66" t="n"/>
      <c r="L32" s="66" t="n"/>
      <c r="M32" s="66" t="n"/>
      <c r="N32" s="66" t="n"/>
      <c r="O32" s="68" t="n"/>
      <c r="P32" s="69">
        <f>IF(F32="","",F32*O32)</f>
        <v/>
      </c>
      <c r="Q32" s="68" t="n"/>
      <c r="R32" s="68" t="n"/>
      <c r="S32" s="68" t="n"/>
      <c r="T32" s="69">
        <f>IF(F32="","",P32+Q32+R32-S32)</f>
        <v/>
      </c>
      <c r="U32" s="66" t="n"/>
      <c r="V32" s="66" t="n"/>
      <c r="W32" s="66" t="n"/>
      <c r="X32" s="66" t="n"/>
      <c r="Y32" s="66" t="n"/>
      <c r="Z32" s="66" t="n"/>
      <c r="AA32" s="66" t="n"/>
    </row>
    <row r="33">
      <c r="A33" s="66" t="n"/>
      <c r="B33" s="66" t="n"/>
      <c r="C33" s="66" t="n"/>
      <c r="D33" s="66" t="n"/>
      <c r="E33" s="66" t="n"/>
      <c r="F33" s="66" t="n"/>
      <c r="G33" s="66" t="n"/>
      <c r="H33" s="66" t="n"/>
      <c r="I33" s="66" t="n"/>
      <c r="J33" s="66" t="n"/>
      <c r="K33" s="66" t="n"/>
      <c r="L33" s="66" t="n"/>
      <c r="M33" s="66" t="n"/>
      <c r="N33" s="66" t="n"/>
      <c r="O33" s="68" t="n"/>
      <c r="P33" s="69">
        <f>IF(F33="","",F33*O33)</f>
        <v/>
      </c>
      <c r="Q33" s="68" t="n"/>
      <c r="R33" s="68" t="n"/>
      <c r="S33" s="68" t="n"/>
      <c r="T33" s="69">
        <f>IF(F33="","",P33+Q33+R33-S33)</f>
        <v/>
      </c>
      <c r="U33" s="66" t="n"/>
      <c r="V33" s="66" t="n"/>
      <c r="W33" s="66" t="n"/>
      <c r="X33" s="66" t="n"/>
      <c r="Y33" s="66" t="n"/>
      <c r="Z33" s="66" t="n"/>
      <c r="AA33" s="66" t="n"/>
    </row>
    <row r="34">
      <c r="A34" s="66" t="n"/>
      <c r="B34" s="66" t="n"/>
      <c r="C34" s="66" t="n"/>
      <c r="D34" s="66" t="n"/>
      <c r="E34" s="66" t="n"/>
      <c r="F34" s="66" t="n"/>
      <c r="G34" s="66" t="n"/>
      <c r="H34" s="66" t="n"/>
      <c r="I34" s="66" t="n"/>
      <c r="J34" s="66" t="n"/>
      <c r="K34" s="66" t="n"/>
      <c r="L34" s="66" t="n"/>
      <c r="M34" s="66" t="n"/>
      <c r="N34" s="66" t="n"/>
      <c r="O34" s="68" t="n"/>
      <c r="P34" s="69">
        <f>IF(F34="","",F34*O34)</f>
        <v/>
      </c>
      <c r="Q34" s="68" t="n"/>
      <c r="R34" s="68" t="n"/>
      <c r="S34" s="68" t="n"/>
      <c r="T34" s="69">
        <f>IF(F34="","",P34+Q34+R34-S34)</f>
        <v/>
      </c>
      <c r="U34" s="66" t="n"/>
      <c r="V34" s="66" t="n"/>
      <c r="W34" s="66" t="n"/>
      <c r="X34" s="66" t="n"/>
      <c r="Y34" s="66" t="n"/>
      <c r="Z34" s="66" t="n"/>
      <c r="AA34" s="66" t="n"/>
    </row>
    <row r="35">
      <c r="A35" s="66" t="n"/>
      <c r="B35" s="66" t="n"/>
      <c r="C35" s="66" t="n"/>
      <c r="D35" s="66" t="n"/>
      <c r="E35" s="66" t="n"/>
      <c r="F35" s="66" t="n"/>
      <c r="G35" s="66" t="n"/>
      <c r="H35" s="66" t="n"/>
      <c r="I35" s="66" t="n"/>
      <c r="J35" s="66" t="n"/>
      <c r="K35" s="66" t="n"/>
      <c r="L35" s="66" t="n"/>
      <c r="M35" s="66" t="n"/>
      <c r="N35" s="66" t="n"/>
      <c r="O35" s="68" t="n"/>
      <c r="P35" s="69">
        <f>IF(F35="","",F35*O35)</f>
        <v/>
      </c>
      <c r="Q35" s="68" t="n"/>
      <c r="R35" s="68" t="n"/>
      <c r="S35" s="68" t="n"/>
      <c r="T35" s="69">
        <f>IF(F35="","",P35+Q35+R35-S35)</f>
        <v/>
      </c>
      <c r="U35" s="66" t="n"/>
      <c r="V35" s="66" t="n"/>
      <c r="W35" s="66" t="n"/>
      <c r="X35" s="66" t="n"/>
      <c r="Y35" s="66" t="n"/>
      <c r="Z35" s="66" t="n"/>
      <c r="AA35" s="66" t="n"/>
    </row>
    <row r="36">
      <c r="A36" s="66" t="n"/>
      <c r="B36" s="66" t="n"/>
      <c r="C36" s="66" t="n"/>
      <c r="D36" s="66" t="n"/>
      <c r="E36" s="66" t="n"/>
      <c r="F36" s="66" t="n"/>
      <c r="G36" s="66" t="n"/>
      <c r="H36" s="66" t="n"/>
      <c r="I36" s="66" t="n"/>
      <c r="J36" s="66" t="n"/>
      <c r="K36" s="66" t="n"/>
      <c r="L36" s="66" t="n"/>
      <c r="M36" s="66" t="n"/>
      <c r="N36" s="66" t="n"/>
      <c r="O36" s="68" t="n"/>
      <c r="P36" s="69">
        <f>IF(F36="","",F36*O36)</f>
        <v/>
      </c>
      <c r="Q36" s="68" t="n"/>
      <c r="R36" s="68" t="n"/>
      <c r="S36" s="68" t="n"/>
      <c r="T36" s="69">
        <f>IF(F36="","",P36+Q36+R36-S36)</f>
        <v/>
      </c>
      <c r="U36" s="66" t="n"/>
      <c r="V36" s="66" t="n"/>
      <c r="W36" s="66" t="n"/>
      <c r="X36" s="66" t="n"/>
      <c r="Y36" s="66" t="n"/>
      <c r="Z36" s="66" t="n"/>
      <c r="AA36" s="66" t="n"/>
    </row>
    <row r="37">
      <c r="A37" s="66" t="n"/>
      <c r="B37" s="66" t="n"/>
      <c r="C37" s="66" t="n"/>
      <c r="D37" s="66" t="n"/>
      <c r="E37" s="66" t="n"/>
      <c r="F37" s="66" t="n"/>
      <c r="G37" s="66" t="n"/>
      <c r="H37" s="66" t="n"/>
      <c r="I37" s="66" t="n"/>
      <c r="J37" s="66" t="n"/>
      <c r="K37" s="66" t="n"/>
      <c r="L37" s="66" t="n"/>
      <c r="M37" s="66" t="n"/>
      <c r="N37" s="66" t="n"/>
      <c r="O37" s="68" t="n"/>
      <c r="P37" s="69">
        <f>IF(F37="","",F37*O37)</f>
        <v/>
      </c>
      <c r="Q37" s="68" t="n"/>
      <c r="R37" s="68" t="n"/>
      <c r="S37" s="68" t="n"/>
      <c r="T37" s="69">
        <f>IF(F37="","",P37+Q37+R37-S37)</f>
        <v/>
      </c>
      <c r="U37" s="66" t="n"/>
      <c r="V37" s="66" t="n"/>
      <c r="W37" s="66" t="n"/>
      <c r="X37" s="66" t="n"/>
      <c r="Y37" s="66" t="n"/>
      <c r="Z37" s="66" t="n"/>
      <c r="AA37" s="66" t="n"/>
    </row>
    <row r="38">
      <c r="A38" s="66" t="n"/>
      <c r="B38" s="66" t="n"/>
      <c r="C38" s="66" t="n"/>
      <c r="D38" s="66" t="n"/>
      <c r="E38" s="66" t="n"/>
      <c r="F38" s="66" t="n"/>
      <c r="G38" s="66" t="n"/>
      <c r="H38" s="66" t="n"/>
      <c r="I38" s="66" t="n"/>
      <c r="J38" s="66" t="n"/>
      <c r="K38" s="66" t="n"/>
      <c r="L38" s="66" t="n"/>
      <c r="M38" s="66" t="n"/>
      <c r="N38" s="66" t="n"/>
      <c r="O38" s="68" t="n"/>
      <c r="P38" s="69">
        <f>IF(F38="","",F38*O38)</f>
        <v/>
      </c>
      <c r="Q38" s="68" t="n"/>
      <c r="R38" s="68" t="n"/>
      <c r="S38" s="68" t="n"/>
      <c r="T38" s="69">
        <f>IF(F38="","",P38+Q38+R38-S38)</f>
        <v/>
      </c>
      <c r="U38" s="66" t="n"/>
      <c r="V38" s="66" t="n"/>
      <c r="W38" s="66" t="n"/>
      <c r="X38" s="66" t="n"/>
      <c r="Y38" s="66" t="n"/>
      <c r="Z38" s="66" t="n"/>
      <c r="AA38" s="66" t="n"/>
    </row>
    <row r="39">
      <c r="A39" s="66" t="n"/>
      <c r="B39" s="66" t="n"/>
      <c r="C39" s="66" t="n"/>
      <c r="D39" s="66" t="n"/>
      <c r="E39" s="66" t="n"/>
      <c r="F39" s="66" t="n"/>
      <c r="G39" s="66" t="n"/>
      <c r="H39" s="66" t="n"/>
      <c r="I39" s="66" t="n"/>
      <c r="J39" s="66" t="n"/>
      <c r="K39" s="66" t="n"/>
      <c r="L39" s="66" t="n"/>
      <c r="M39" s="66" t="n"/>
      <c r="N39" s="66" t="n"/>
      <c r="O39" s="68" t="n"/>
      <c r="P39" s="69">
        <f>IF(F39="","",F39*O39)</f>
        <v/>
      </c>
      <c r="Q39" s="68" t="n"/>
      <c r="R39" s="68" t="n"/>
      <c r="S39" s="68" t="n"/>
      <c r="T39" s="69">
        <f>IF(F39="","",P39+Q39+R39-S39)</f>
        <v/>
      </c>
      <c r="U39" s="66" t="n"/>
      <c r="V39" s="66" t="n"/>
      <c r="W39" s="66" t="n"/>
      <c r="X39" s="66" t="n"/>
      <c r="Y39" s="66" t="n"/>
      <c r="Z39" s="66" t="n"/>
      <c r="AA39" s="66" t="n"/>
    </row>
    <row r="40">
      <c r="A40" s="66" t="n"/>
      <c r="B40" s="66" t="n"/>
      <c r="C40" s="66" t="n"/>
      <c r="D40" s="66" t="n"/>
      <c r="E40" s="66" t="n"/>
      <c r="F40" s="66" t="n"/>
      <c r="G40" s="66" t="n"/>
      <c r="H40" s="66" t="n"/>
      <c r="I40" s="66" t="n"/>
      <c r="J40" s="66" t="n"/>
      <c r="K40" s="66" t="n"/>
      <c r="L40" s="66" t="n"/>
      <c r="M40" s="66" t="n"/>
      <c r="N40" s="66" t="n"/>
      <c r="O40" s="68" t="n"/>
      <c r="P40" s="69">
        <f>IF(F40="","",F40*O40)</f>
        <v/>
      </c>
      <c r="Q40" s="68" t="n"/>
      <c r="R40" s="68" t="n"/>
      <c r="S40" s="68" t="n"/>
      <c r="T40" s="69">
        <f>IF(F40="","",P40+Q40+R40-S40)</f>
        <v/>
      </c>
      <c r="U40" s="66" t="n"/>
      <c r="V40" s="66" t="n"/>
      <c r="W40" s="66" t="n"/>
      <c r="X40" s="66" t="n"/>
      <c r="Y40" s="66" t="n"/>
      <c r="Z40" s="66" t="n"/>
      <c r="AA40" s="66" t="n"/>
    </row>
    <row r="41">
      <c r="A41" s="66" t="n"/>
      <c r="B41" s="66" t="n"/>
      <c r="C41" s="66" t="n"/>
      <c r="D41" s="66" t="n"/>
      <c r="E41" s="66" t="n"/>
      <c r="F41" s="66" t="n"/>
      <c r="G41" s="66" t="n"/>
      <c r="H41" s="66" t="n"/>
      <c r="I41" s="66" t="n"/>
      <c r="J41" s="66" t="n"/>
      <c r="K41" s="66" t="n"/>
      <c r="L41" s="66" t="n"/>
      <c r="M41" s="66" t="n"/>
      <c r="N41" s="66" t="n"/>
      <c r="O41" s="68" t="n"/>
      <c r="P41" s="69">
        <f>IF(F41="","",F41*O41)</f>
        <v/>
      </c>
      <c r="Q41" s="68" t="n"/>
      <c r="R41" s="68" t="n"/>
      <c r="S41" s="68" t="n"/>
      <c r="T41" s="69">
        <f>IF(F41="","",P41+Q41+R41-S41)</f>
        <v/>
      </c>
      <c r="U41" s="66" t="n"/>
      <c r="V41" s="66" t="n"/>
      <c r="W41" s="66" t="n"/>
      <c r="X41" s="66" t="n"/>
      <c r="Y41" s="66" t="n"/>
      <c r="Z41" s="66" t="n"/>
      <c r="AA41" s="66" t="n"/>
    </row>
    <row r="42">
      <c r="A42" s="66" t="n"/>
      <c r="B42" s="66" t="n"/>
      <c r="C42" s="66" t="n"/>
      <c r="D42" s="66" t="n"/>
      <c r="E42" s="66" t="n"/>
      <c r="F42" s="66" t="n"/>
      <c r="G42" s="66" t="n"/>
      <c r="H42" s="66" t="n"/>
      <c r="I42" s="66" t="n"/>
      <c r="J42" s="66" t="n"/>
      <c r="K42" s="66" t="n"/>
      <c r="L42" s="66" t="n"/>
      <c r="M42" s="66" t="n"/>
      <c r="N42" s="66" t="n"/>
      <c r="O42" s="68" t="n"/>
      <c r="P42" s="69">
        <f>IF(F42="","",F42*O42)</f>
        <v/>
      </c>
      <c r="Q42" s="68" t="n"/>
      <c r="R42" s="68" t="n"/>
      <c r="S42" s="68" t="n"/>
      <c r="T42" s="69">
        <f>IF(F42="","",P42+Q42+R42-S42)</f>
        <v/>
      </c>
      <c r="U42" s="66" t="n"/>
      <c r="V42" s="66" t="n"/>
      <c r="W42" s="66" t="n"/>
      <c r="X42" s="66" t="n"/>
      <c r="Y42" s="66" t="n"/>
      <c r="Z42" s="66" t="n"/>
      <c r="AA42" s="66" t="n"/>
    </row>
    <row r="43">
      <c r="A43" s="66" t="n"/>
      <c r="B43" s="66" t="n"/>
      <c r="C43" s="66" t="n"/>
      <c r="D43" s="66" t="n"/>
      <c r="E43" s="66" t="n"/>
      <c r="F43" s="66" t="n"/>
      <c r="G43" s="66" t="n"/>
      <c r="H43" s="66" t="n"/>
      <c r="I43" s="66" t="n"/>
      <c r="J43" s="66" t="n"/>
      <c r="K43" s="66" t="n"/>
      <c r="L43" s="66" t="n"/>
      <c r="M43" s="66" t="n"/>
      <c r="N43" s="66" t="n"/>
      <c r="O43" s="68" t="n"/>
      <c r="P43" s="69">
        <f>IF(F43="","",F43*O43)</f>
        <v/>
      </c>
      <c r="Q43" s="68" t="n"/>
      <c r="R43" s="68" t="n"/>
      <c r="S43" s="68" t="n"/>
      <c r="T43" s="69">
        <f>IF(F43="","",P43+Q43+R43-S43)</f>
        <v/>
      </c>
      <c r="U43" s="66" t="n"/>
      <c r="V43" s="66" t="n"/>
      <c r="W43" s="66" t="n"/>
      <c r="X43" s="66" t="n"/>
      <c r="Y43" s="66" t="n"/>
      <c r="Z43" s="66" t="n"/>
      <c r="AA43" s="66" t="n"/>
    </row>
    <row r="44">
      <c r="A44" s="66" t="n"/>
      <c r="B44" s="66" t="n"/>
      <c r="C44" s="66" t="n"/>
      <c r="D44" s="66" t="n"/>
      <c r="E44" s="66" t="n"/>
      <c r="F44" s="66" t="n"/>
      <c r="G44" s="66" t="n"/>
      <c r="H44" s="66" t="n"/>
      <c r="I44" s="66" t="n"/>
      <c r="J44" s="66" t="n"/>
      <c r="K44" s="66" t="n"/>
      <c r="L44" s="66" t="n"/>
      <c r="M44" s="66" t="n"/>
      <c r="N44" s="66" t="n"/>
      <c r="O44" s="68" t="n"/>
      <c r="P44" s="69">
        <f>IF(F44="","",F44*O44)</f>
        <v/>
      </c>
      <c r="Q44" s="68" t="n"/>
      <c r="R44" s="68" t="n"/>
      <c r="S44" s="68" t="n"/>
      <c r="T44" s="69">
        <f>IF(F44="","",P44+Q44+R44-S44)</f>
        <v/>
      </c>
      <c r="U44" s="66" t="n"/>
      <c r="V44" s="66" t="n"/>
      <c r="W44" s="66" t="n"/>
      <c r="X44" s="66" t="n"/>
      <c r="Y44" s="66" t="n"/>
      <c r="Z44" s="66" t="n"/>
      <c r="AA44" s="66" t="n"/>
    </row>
    <row r="45">
      <c r="A45" s="66" t="n"/>
      <c r="B45" s="66" t="n"/>
      <c r="C45" s="66" t="n"/>
      <c r="D45" s="66" t="n"/>
      <c r="E45" s="66" t="n"/>
      <c r="F45" s="66" t="n"/>
      <c r="G45" s="66" t="n"/>
      <c r="H45" s="66" t="n"/>
      <c r="I45" s="66" t="n"/>
      <c r="J45" s="66" t="n"/>
      <c r="K45" s="66" t="n"/>
      <c r="L45" s="66" t="n"/>
      <c r="M45" s="66" t="n"/>
      <c r="N45" s="66" t="n"/>
      <c r="O45" s="68" t="n"/>
      <c r="P45" s="69">
        <f>IF(F45="","",F45*O45)</f>
        <v/>
      </c>
      <c r="Q45" s="68" t="n"/>
      <c r="R45" s="68" t="n"/>
      <c r="S45" s="68" t="n"/>
      <c r="T45" s="69">
        <f>IF(F45="","",P45+Q45+R45-S45)</f>
        <v/>
      </c>
      <c r="U45" s="66" t="n"/>
      <c r="V45" s="66" t="n"/>
      <c r="W45" s="66" t="n"/>
      <c r="X45" s="66" t="n"/>
      <c r="Y45" s="66" t="n"/>
      <c r="Z45" s="66" t="n"/>
      <c r="AA45" s="66" t="n"/>
    </row>
    <row r="46">
      <c r="A46" s="66" t="n"/>
      <c r="B46" s="66" t="n"/>
      <c r="C46" s="66" t="n"/>
      <c r="D46" s="66" t="n"/>
      <c r="E46" s="66" t="n"/>
      <c r="F46" s="66" t="n"/>
      <c r="G46" s="66" t="n"/>
      <c r="H46" s="66" t="n"/>
      <c r="I46" s="66" t="n"/>
      <c r="J46" s="66" t="n"/>
      <c r="K46" s="66" t="n"/>
      <c r="L46" s="66" t="n"/>
      <c r="M46" s="66" t="n"/>
      <c r="N46" s="66" t="n"/>
      <c r="O46" s="68" t="n"/>
      <c r="P46" s="69">
        <f>IF(F46="","",F46*O46)</f>
        <v/>
      </c>
      <c r="Q46" s="68" t="n"/>
      <c r="R46" s="68" t="n"/>
      <c r="S46" s="68" t="n"/>
      <c r="T46" s="69">
        <f>IF(F46="","",P46+Q46+R46-S46)</f>
        <v/>
      </c>
      <c r="U46" s="66" t="n"/>
      <c r="V46" s="66" t="n"/>
      <c r="W46" s="66" t="n"/>
      <c r="X46" s="66" t="n"/>
      <c r="Y46" s="66" t="n"/>
      <c r="Z46" s="66" t="n"/>
      <c r="AA46" s="66" t="n"/>
    </row>
    <row r="47">
      <c r="A47" s="66" t="n"/>
      <c r="B47" s="66" t="n"/>
      <c r="C47" s="66" t="n"/>
      <c r="D47" s="66" t="n"/>
      <c r="E47" s="66" t="n"/>
      <c r="F47" s="66" t="n"/>
      <c r="G47" s="66" t="n"/>
      <c r="H47" s="66" t="n"/>
      <c r="I47" s="66" t="n"/>
      <c r="J47" s="66" t="n"/>
      <c r="K47" s="66" t="n"/>
      <c r="L47" s="66" t="n"/>
      <c r="M47" s="66" t="n"/>
      <c r="N47" s="66" t="n"/>
      <c r="O47" s="68" t="n"/>
      <c r="P47" s="69">
        <f>IF(F47="","",F47*O47)</f>
        <v/>
      </c>
      <c r="Q47" s="68" t="n"/>
      <c r="R47" s="68" t="n"/>
      <c r="S47" s="68" t="n"/>
      <c r="T47" s="69">
        <f>IF(F47="","",P47+Q47+R47-S47)</f>
        <v/>
      </c>
      <c r="U47" s="66" t="n"/>
      <c r="V47" s="66" t="n"/>
      <c r="W47" s="66" t="n"/>
      <c r="X47" s="66" t="n"/>
      <c r="Y47" s="66" t="n"/>
      <c r="Z47" s="66" t="n"/>
      <c r="AA47" s="66" t="n"/>
    </row>
    <row r="48">
      <c r="A48" s="66" t="n"/>
      <c r="B48" s="66" t="n"/>
      <c r="C48" s="66" t="n"/>
      <c r="D48" s="66" t="n"/>
      <c r="E48" s="66" t="n"/>
      <c r="F48" s="66" t="n"/>
      <c r="G48" s="66" t="n"/>
      <c r="H48" s="66" t="n"/>
      <c r="I48" s="66" t="n"/>
      <c r="J48" s="66" t="n"/>
      <c r="K48" s="66" t="n"/>
      <c r="L48" s="66" t="n"/>
      <c r="M48" s="66" t="n"/>
      <c r="N48" s="66" t="n"/>
      <c r="O48" s="68" t="n"/>
      <c r="P48" s="69">
        <f>IF(F48="","",F48*O48)</f>
        <v/>
      </c>
      <c r="Q48" s="68" t="n"/>
      <c r="R48" s="68" t="n"/>
      <c r="S48" s="68" t="n"/>
      <c r="T48" s="69">
        <f>IF(F48="","",P48+Q48+R48-S48)</f>
        <v/>
      </c>
      <c r="U48" s="66" t="n"/>
      <c r="V48" s="66" t="n"/>
      <c r="W48" s="66" t="n"/>
      <c r="X48" s="66" t="n"/>
      <c r="Y48" s="66" t="n"/>
      <c r="Z48" s="66" t="n"/>
      <c r="AA48" s="66" t="n"/>
    </row>
    <row r="49">
      <c r="A49" s="66" t="n"/>
      <c r="B49" s="66" t="n"/>
      <c r="C49" s="66" t="n"/>
      <c r="D49" s="66" t="n"/>
      <c r="E49" s="66" t="n"/>
      <c r="F49" s="66" t="n"/>
      <c r="G49" s="66" t="n"/>
      <c r="H49" s="66" t="n"/>
      <c r="I49" s="66" t="n"/>
      <c r="J49" s="66" t="n"/>
      <c r="K49" s="66" t="n"/>
      <c r="L49" s="66" t="n"/>
      <c r="M49" s="66" t="n"/>
      <c r="N49" s="66" t="n"/>
      <c r="O49" s="68" t="n"/>
      <c r="P49" s="69">
        <f>IF(F49="","",F49*O49)</f>
        <v/>
      </c>
      <c r="Q49" s="68" t="n"/>
      <c r="R49" s="68" t="n"/>
      <c r="S49" s="68" t="n"/>
      <c r="T49" s="69">
        <f>IF(F49="","",P49+Q49+R49-S49)</f>
        <v/>
      </c>
      <c r="U49" s="66" t="n"/>
      <c r="V49" s="66" t="n"/>
      <c r="W49" s="66" t="n"/>
      <c r="X49" s="66" t="n"/>
      <c r="Y49" s="66" t="n"/>
      <c r="Z49" s="66" t="n"/>
      <c r="AA49" s="66" t="n"/>
    </row>
    <row r="50">
      <c r="A50" s="66" t="n"/>
      <c r="B50" s="66" t="n"/>
      <c r="C50" s="66" t="n"/>
      <c r="D50" s="66" t="n"/>
      <c r="E50" s="66" t="n"/>
      <c r="F50" s="66" t="n"/>
      <c r="G50" s="66" t="n"/>
      <c r="H50" s="66" t="n"/>
      <c r="I50" s="66" t="n"/>
      <c r="J50" s="66" t="n"/>
      <c r="K50" s="66" t="n"/>
      <c r="L50" s="66" t="n"/>
      <c r="M50" s="66" t="n"/>
      <c r="N50" s="66" t="n"/>
      <c r="O50" s="68" t="n"/>
      <c r="P50" s="69">
        <f>IF(F50="","",F50*O50)</f>
        <v/>
      </c>
      <c r="Q50" s="68" t="n"/>
      <c r="R50" s="68" t="n"/>
      <c r="S50" s="68" t="n"/>
      <c r="T50" s="69">
        <f>IF(F50="","",P50+Q50+R50-S50)</f>
        <v/>
      </c>
      <c r="U50" s="66" t="n"/>
      <c r="V50" s="66" t="n"/>
      <c r="W50" s="66" t="n"/>
      <c r="X50" s="66" t="n"/>
      <c r="Y50" s="66" t="n"/>
      <c r="Z50" s="66" t="n"/>
      <c r="AA50" s="66" t="n"/>
    </row>
    <row r="51">
      <c r="A51" s="66" t="n"/>
      <c r="B51" s="66" t="n"/>
      <c r="C51" s="66" t="n"/>
      <c r="D51" s="66" t="n"/>
      <c r="E51" s="66" t="n"/>
      <c r="F51" s="66" t="n"/>
      <c r="G51" s="66" t="n"/>
      <c r="H51" s="66" t="n"/>
      <c r="I51" s="66" t="n"/>
      <c r="J51" s="66" t="n"/>
      <c r="K51" s="66" t="n"/>
      <c r="L51" s="66" t="n"/>
      <c r="M51" s="66" t="n"/>
      <c r="N51" s="66" t="n"/>
      <c r="O51" s="68" t="n"/>
      <c r="P51" s="69">
        <f>IF(F51="","",F51*O51)</f>
        <v/>
      </c>
      <c r="Q51" s="68" t="n"/>
      <c r="R51" s="68" t="n"/>
      <c r="S51" s="68" t="n"/>
      <c r="T51" s="69">
        <f>IF(F51="","",P51+Q51+R51-S51)</f>
        <v/>
      </c>
      <c r="U51" s="66" t="n"/>
      <c r="V51" s="66" t="n"/>
      <c r="W51" s="66" t="n"/>
      <c r="X51" s="66" t="n"/>
      <c r="Y51" s="66" t="n"/>
      <c r="Z51" s="66" t="n"/>
      <c r="AA51" s="66" t="n"/>
    </row>
    <row r="52">
      <c r="A52" s="66" t="n"/>
      <c r="B52" s="66" t="n"/>
      <c r="C52" s="66" t="n"/>
      <c r="D52" s="66" t="n"/>
      <c r="E52" s="66" t="n"/>
      <c r="F52" s="66" t="n"/>
      <c r="G52" s="66" t="n"/>
      <c r="H52" s="66" t="n"/>
      <c r="I52" s="66" t="n"/>
      <c r="J52" s="66" t="n"/>
      <c r="K52" s="66" t="n"/>
      <c r="L52" s="66" t="n"/>
      <c r="M52" s="66" t="n"/>
      <c r="N52" s="66" t="n"/>
      <c r="O52" s="68" t="n"/>
      <c r="P52" s="69">
        <f>IF(F52="","",F52*O52)</f>
        <v/>
      </c>
      <c r="Q52" s="68" t="n"/>
      <c r="R52" s="68" t="n"/>
      <c r="S52" s="68" t="n"/>
      <c r="T52" s="69">
        <f>IF(F52="","",P52+Q52+R52-S52)</f>
        <v/>
      </c>
      <c r="U52" s="66" t="n"/>
      <c r="V52" s="66" t="n"/>
      <c r="W52" s="66" t="n"/>
      <c r="X52" s="66" t="n"/>
      <c r="Y52" s="66" t="n"/>
      <c r="Z52" s="66" t="n"/>
      <c r="AA52" s="66" t="n"/>
    </row>
    <row r="53">
      <c r="A53" s="66" t="n"/>
      <c r="B53" s="66" t="n"/>
      <c r="C53" s="66" t="n"/>
      <c r="D53" s="66" t="n"/>
      <c r="E53" s="66" t="n"/>
      <c r="F53" s="66" t="n"/>
      <c r="G53" s="66" t="n"/>
      <c r="H53" s="66" t="n"/>
      <c r="I53" s="66" t="n"/>
      <c r="J53" s="66" t="n"/>
      <c r="K53" s="66" t="n"/>
      <c r="L53" s="66" t="n"/>
      <c r="M53" s="66" t="n"/>
      <c r="N53" s="66" t="n"/>
      <c r="O53" s="68" t="n"/>
      <c r="P53" s="69">
        <f>IF(F53="","",F53*O53)</f>
        <v/>
      </c>
      <c r="Q53" s="68" t="n"/>
      <c r="R53" s="68" t="n"/>
      <c r="S53" s="68" t="n"/>
      <c r="T53" s="69">
        <f>IF(F53="","",P53+Q53+R53-S53)</f>
        <v/>
      </c>
      <c r="U53" s="66" t="n"/>
      <c r="V53" s="66" t="n"/>
      <c r="W53" s="66" t="n"/>
      <c r="X53" s="66" t="n"/>
      <c r="Y53" s="66" t="n"/>
      <c r="Z53" s="66" t="n"/>
      <c r="AA53" s="66" t="n"/>
    </row>
    <row r="54">
      <c r="A54" s="66" t="n"/>
      <c r="B54" s="66" t="n"/>
      <c r="C54" s="66" t="n"/>
      <c r="D54" s="66" t="n"/>
      <c r="E54" s="66" t="n"/>
      <c r="F54" s="66" t="n"/>
      <c r="G54" s="66" t="n"/>
      <c r="H54" s="66" t="n"/>
      <c r="I54" s="66" t="n"/>
      <c r="J54" s="66" t="n"/>
      <c r="K54" s="66" t="n"/>
      <c r="L54" s="66" t="n"/>
      <c r="M54" s="66" t="n"/>
      <c r="N54" s="66" t="n"/>
      <c r="O54" s="68" t="n"/>
      <c r="P54" s="69">
        <f>IF(F54="","",F54*O54)</f>
        <v/>
      </c>
      <c r="Q54" s="68" t="n"/>
      <c r="R54" s="68" t="n"/>
      <c r="S54" s="68" t="n"/>
      <c r="T54" s="69">
        <f>IF(F54="","",P54+Q54+R54-S54)</f>
        <v/>
      </c>
      <c r="U54" s="66" t="n"/>
      <c r="V54" s="66" t="n"/>
      <c r="W54" s="66" t="n"/>
      <c r="X54" s="66" t="n"/>
      <c r="Y54" s="66" t="n"/>
      <c r="Z54" s="66" t="n"/>
      <c r="AA54" s="66" t="n"/>
    </row>
    <row r="55">
      <c r="A55" s="66" t="n"/>
      <c r="B55" s="66" t="n"/>
      <c r="C55" s="66" t="n"/>
      <c r="D55" s="66" t="n"/>
      <c r="E55" s="66" t="n"/>
      <c r="F55" s="66" t="n"/>
      <c r="G55" s="66" t="n"/>
      <c r="H55" s="66" t="n"/>
      <c r="I55" s="66" t="n"/>
      <c r="J55" s="66" t="n"/>
      <c r="K55" s="66" t="n"/>
      <c r="L55" s="66" t="n"/>
      <c r="M55" s="66" t="n"/>
      <c r="N55" s="66" t="n"/>
      <c r="O55" s="68" t="n"/>
      <c r="P55" s="69">
        <f>IF(F55="","",F55*O55)</f>
        <v/>
      </c>
      <c r="Q55" s="68" t="n"/>
      <c r="R55" s="68" t="n"/>
      <c r="S55" s="68" t="n"/>
      <c r="T55" s="69">
        <f>IF(F55="","",P55+Q55+R55-S55)</f>
        <v/>
      </c>
      <c r="U55" s="66" t="n"/>
      <c r="V55" s="66" t="n"/>
      <c r="W55" s="66" t="n"/>
      <c r="X55" s="66" t="n"/>
      <c r="Y55" s="66" t="n"/>
      <c r="Z55" s="66" t="n"/>
      <c r="AA55" s="66" t="n"/>
    </row>
    <row r="56">
      <c r="A56" s="66" t="n"/>
      <c r="B56" s="66" t="n"/>
      <c r="C56" s="66" t="n"/>
      <c r="D56" s="66" t="n"/>
      <c r="E56" s="66" t="n"/>
      <c r="F56" s="66" t="n"/>
      <c r="G56" s="66" t="n"/>
      <c r="H56" s="66" t="n"/>
      <c r="I56" s="66" t="n"/>
      <c r="J56" s="66" t="n"/>
      <c r="K56" s="66" t="n"/>
      <c r="L56" s="66" t="n"/>
      <c r="M56" s="66" t="n"/>
      <c r="N56" s="66" t="n"/>
      <c r="O56" s="68" t="n"/>
      <c r="P56" s="69">
        <f>IF(F56="","",F56*O56)</f>
        <v/>
      </c>
      <c r="Q56" s="68" t="n"/>
      <c r="R56" s="68" t="n"/>
      <c r="S56" s="68" t="n"/>
      <c r="T56" s="69">
        <f>IF(F56="","",P56+Q56+R56-S56)</f>
        <v/>
      </c>
      <c r="U56" s="66" t="n"/>
      <c r="V56" s="66" t="n"/>
      <c r="W56" s="66" t="n"/>
      <c r="X56" s="66" t="n"/>
      <c r="Y56" s="66" t="n"/>
      <c r="Z56" s="66" t="n"/>
      <c r="AA56" s="66" t="n"/>
    </row>
    <row r="57">
      <c r="A57" s="66" t="n"/>
      <c r="B57" s="66" t="n"/>
      <c r="C57" s="66" t="n"/>
      <c r="D57" s="66" t="n"/>
      <c r="E57" s="66" t="n"/>
      <c r="F57" s="66" t="n"/>
      <c r="G57" s="66" t="n"/>
      <c r="H57" s="66" t="n"/>
      <c r="I57" s="66" t="n"/>
      <c r="J57" s="66" t="n"/>
      <c r="K57" s="66" t="n"/>
      <c r="L57" s="66" t="n"/>
      <c r="M57" s="66" t="n"/>
      <c r="N57" s="66" t="n"/>
      <c r="O57" s="68" t="n"/>
      <c r="P57" s="69">
        <f>IF(F57="","",F57*O57)</f>
        <v/>
      </c>
      <c r="Q57" s="68" t="n"/>
      <c r="R57" s="68" t="n"/>
      <c r="S57" s="68" t="n"/>
      <c r="T57" s="69">
        <f>IF(F57="","",P57+Q57+R57-S57)</f>
        <v/>
      </c>
      <c r="U57" s="66" t="n"/>
      <c r="V57" s="66" t="n"/>
      <c r="W57" s="66" t="n"/>
      <c r="X57" s="66" t="n"/>
      <c r="Y57" s="66" t="n"/>
      <c r="Z57" s="66" t="n"/>
      <c r="AA57" s="66" t="n"/>
    </row>
    <row r="58">
      <c r="A58" s="66" t="n"/>
      <c r="B58" s="66" t="n"/>
      <c r="C58" s="66" t="n"/>
      <c r="D58" s="66" t="n"/>
      <c r="E58" s="66" t="n"/>
      <c r="F58" s="66" t="n"/>
      <c r="G58" s="66" t="n"/>
      <c r="H58" s="66" t="n"/>
      <c r="I58" s="66" t="n"/>
      <c r="J58" s="66" t="n"/>
      <c r="K58" s="66" t="n"/>
      <c r="L58" s="66" t="n"/>
      <c r="M58" s="66" t="n"/>
      <c r="N58" s="66" t="n"/>
      <c r="O58" s="68" t="n"/>
      <c r="P58" s="69">
        <f>IF(F58="","",F58*O58)</f>
        <v/>
      </c>
      <c r="Q58" s="68" t="n"/>
      <c r="R58" s="68" t="n"/>
      <c r="S58" s="68" t="n"/>
      <c r="T58" s="69">
        <f>IF(F58="","",P58+Q58+R58-S58)</f>
        <v/>
      </c>
      <c r="U58" s="66" t="n"/>
      <c r="V58" s="66" t="n"/>
      <c r="W58" s="66" t="n"/>
      <c r="X58" s="66" t="n"/>
      <c r="Y58" s="66" t="n"/>
      <c r="Z58" s="66" t="n"/>
      <c r="AA58" s="66" t="n"/>
    </row>
    <row r="59">
      <c r="A59" s="66" t="n"/>
      <c r="B59" s="66" t="n"/>
      <c r="C59" s="66" t="n"/>
      <c r="D59" s="66" t="n"/>
      <c r="E59" s="66" t="n"/>
      <c r="F59" s="66" t="n"/>
      <c r="G59" s="66" t="n"/>
      <c r="H59" s="66" t="n"/>
      <c r="I59" s="66" t="n"/>
      <c r="J59" s="66" t="n"/>
      <c r="K59" s="66" t="n"/>
      <c r="L59" s="66" t="n"/>
      <c r="M59" s="66" t="n"/>
      <c r="N59" s="66" t="n"/>
      <c r="O59" s="68" t="n"/>
      <c r="P59" s="69">
        <f>IF(F59="","",F59*O59)</f>
        <v/>
      </c>
      <c r="Q59" s="68" t="n"/>
      <c r="R59" s="68" t="n"/>
      <c r="S59" s="68" t="n"/>
      <c r="T59" s="69">
        <f>IF(F59="","",P59+Q59+R59-S59)</f>
        <v/>
      </c>
      <c r="U59" s="66" t="n"/>
      <c r="V59" s="66" t="n"/>
      <c r="W59" s="66" t="n"/>
      <c r="X59" s="66" t="n"/>
      <c r="Y59" s="66" t="n"/>
      <c r="Z59" s="66" t="n"/>
      <c r="AA59" s="66" t="n"/>
    </row>
    <row r="60">
      <c r="A60" s="66" t="n"/>
      <c r="B60" s="66" t="n"/>
      <c r="C60" s="66" t="n"/>
      <c r="D60" s="66" t="n"/>
      <c r="E60" s="66" t="n"/>
      <c r="F60" s="66" t="n"/>
      <c r="G60" s="66" t="n"/>
      <c r="H60" s="66" t="n"/>
      <c r="I60" s="66" t="n"/>
      <c r="J60" s="66" t="n"/>
      <c r="K60" s="66" t="n"/>
      <c r="L60" s="66" t="n"/>
      <c r="M60" s="66" t="n"/>
      <c r="N60" s="66" t="n"/>
      <c r="O60" s="68" t="n"/>
      <c r="P60" s="69">
        <f>IF(F60="","",F60*O60)</f>
        <v/>
      </c>
      <c r="Q60" s="68" t="n"/>
      <c r="R60" s="68" t="n"/>
      <c r="S60" s="68" t="n"/>
      <c r="T60" s="69">
        <f>IF(F60="","",P60+Q60+R60-S60)</f>
        <v/>
      </c>
      <c r="U60" s="66" t="n"/>
      <c r="V60" s="66" t="n"/>
      <c r="W60" s="66" t="n"/>
      <c r="X60" s="66" t="n"/>
      <c r="Y60" s="66" t="n"/>
      <c r="Z60" s="66" t="n"/>
      <c r="AA60" s="66" t="n"/>
    </row>
    <row r="61">
      <c r="A61" s="66" t="n"/>
      <c r="B61" s="66" t="n"/>
      <c r="C61" s="66" t="n"/>
      <c r="D61" s="66" t="n"/>
      <c r="E61" s="66" t="n"/>
      <c r="F61" s="66" t="n"/>
      <c r="G61" s="66" t="n"/>
      <c r="H61" s="66" t="n"/>
      <c r="I61" s="66" t="n"/>
      <c r="J61" s="66" t="n"/>
      <c r="K61" s="66" t="n"/>
      <c r="L61" s="66" t="n"/>
      <c r="M61" s="66" t="n"/>
      <c r="N61" s="66" t="n"/>
      <c r="O61" s="68" t="n"/>
      <c r="P61" s="69">
        <f>IF(F61="","",F61*O61)</f>
        <v/>
      </c>
      <c r="Q61" s="68" t="n"/>
      <c r="R61" s="68" t="n"/>
      <c r="S61" s="68" t="n"/>
      <c r="T61" s="69">
        <f>IF(F61="","",P61+Q61+R61-S61)</f>
        <v/>
      </c>
      <c r="U61" s="66" t="n"/>
      <c r="V61" s="66" t="n"/>
      <c r="W61" s="66" t="n"/>
      <c r="X61" s="66" t="n"/>
      <c r="Y61" s="66" t="n"/>
      <c r="Z61" s="66" t="n"/>
      <c r="AA61" s="66" t="n"/>
    </row>
    <row r="62">
      <c r="A62" s="66" t="n"/>
      <c r="B62" s="66" t="n"/>
      <c r="C62" s="66" t="n"/>
      <c r="D62" s="66" t="n"/>
      <c r="E62" s="66" t="n"/>
      <c r="F62" s="66" t="n"/>
      <c r="G62" s="66" t="n"/>
      <c r="H62" s="66" t="n"/>
      <c r="I62" s="66" t="n"/>
      <c r="J62" s="66" t="n"/>
      <c r="K62" s="66" t="n"/>
      <c r="L62" s="66" t="n"/>
      <c r="M62" s="66" t="n"/>
      <c r="N62" s="66" t="n"/>
      <c r="O62" s="68" t="n"/>
      <c r="P62" s="69">
        <f>IF(F62="","",F62*O62)</f>
        <v/>
      </c>
      <c r="Q62" s="68" t="n"/>
      <c r="R62" s="68" t="n"/>
      <c r="S62" s="68" t="n"/>
      <c r="T62" s="69">
        <f>IF(F62="","",P62+Q62+R62-S62)</f>
        <v/>
      </c>
      <c r="U62" s="66" t="n"/>
      <c r="V62" s="66" t="n"/>
      <c r="W62" s="66" t="n"/>
      <c r="X62" s="66" t="n"/>
      <c r="Y62" s="66" t="n"/>
      <c r="Z62" s="66" t="n"/>
      <c r="AA62" s="66" t="n"/>
    </row>
    <row r="63">
      <c r="A63" s="66" t="n"/>
      <c r="B63" s="66" t="n"/>
      <c r="C63" s="66" t="n"/>
      <c r="D63" s="66" t="n"/>
      <c r="E63" s="66" t="n"/>
      <c r="F63" s="66" t="n"/>
      <c r="G63" s="66" t="n"/>
      <c r="H63" s="66" t="n"/>
      <c r="I63" s="66" t="n"/>
      <c r="J63" s="66" t="n"/>
      <c r="K63" s="66" t="n"/>
      <c r="L63" s="66" t="n"/>
      <c r="M63" s="66" t="n"/>
      <c r="N63" s="66" t="n"/>
      <c r="O63" s="68" t="n"/>
      <c r="P63" s="69">
        <f>IF(F63="","",F63*O63)</f>
        <v/>
      </c>
      <c r="Q63" s="68" t="n"/>
      <c r="R63" s="68" t="n"/>
      <c r="S63" s="68" t="n"/>
      <c r="T63" s="69">
        <f>IF(F63="","",P63+Q63+R63-S63)</f>
        <v/>
      </c>
      <c r="U63" s="66" t="n"/>
      <c r="V63" s="66" t="n"/>
      <c r="W63" s="66" t="n"/>
      <c r="X63" s="66" t="n"/>
      <c r="Y63" s="66" t="n"/>
      <c r="Z63" s="66" t="n"/>
      <c r="AA63" s="66" t="n"/>
    </row>
    <row r="64">
      <c r="A64" s="66" t="n"/>
      <c r="B64" s="66" t="n"/>
      <c r="C64" s="66" t="n"/>
      <c r="D64" s="66" t="n"/>
      <c r="E64" s="66" t="n"/>
      <c r="F64" s="66" t="n"/>
      <c r="G64" s="66" t="n"/>
      <c r="H64" s="66" t="n"/>
      <c r="I64" s="66" t="n"/>
      <c r="J64" s="66" t="n"/>
      <c r="K64" s="66" t="n"/>
      <c r="L64" s="66" t="n"/>
      <c r="M64" s="66" t="n"/>
      <c r="N64" s="66" t="n"/>
      <c r="O64" s="68" t="n"/>
      <c r="P64" s="69">
        <f>IF(F64="","",F64*O64)</f>
        <v/>
      </c>
      <c r="Q64" s="68" t="n"/>
      <c r="R64" s="68" t="n"/>
      <c r="S64" s="68" t="n"/>
      <c r="T64" s="69">
        <f>IF(F64="","",P64+Q64+R64-S64)</f>
        <v/>
      </c>
      <c r="U64" s="66" t="n"/>
      <c r="V64" s="66" t="n"/>
      <c r="W64" s="66" t="n"/>
      <c r="X64" s="66" t="n"/>
      <c r="Y64" s="66" t="n"/>
      <c r="Z64" s="66" t="n"/>
      <c r="AA64" s="66" t="n"/>
    </row>
    <row r="65">
      <c r="A65" s="66" t="n"/>
      <c r="B65" s="66" t="n"/>
      <c r="C65" s="66" t="n"/>
      <c r="D65" s="66" t="n"/>
      <c r="E65" s="66" t="n"/>
      <c r="F65" s="66" t="n"/>
      <c r="G65" s="66" t="n"/>
      <c r="H65" s="66" t="n"/>
      <c r="I65" s="66" t="n"/>
      <c r="J65" s="66" t="n"/>
      <c r="K65" s="66" t="n"/>
      <c r="L65" s="66" t="n"/>
      <c r="M65" s="66" t="n"/>
      <c r="N65" s="66" t="n"/>
      <c r="O65" s="68" t="n"/>
      <c r="P65" s="69">
        <f>IF(F65="","",F65*O65)</f>
        <v/>
      </c>
      <c r="Q65" s="68" t="n"/>
      <c r="R65" s="68" t="n"/>
      <c r="S65" s="68" t="n"/>
      <c r="T65" s="69">
        <f>IF(F65="","",P65+Q65+R65-S65)</f>
        <v/>
      </c>
      <c r="U65" s="66" t="n"/>
      <c r="V65" s="66" t="n"/>
      <c r="W65" s="66" t="n"/>
      <c r="X65" s="66" t="n"/>
      <c r="Y65" s="66" t="n"/>
      <c r="Z65" s="66" t="n"/>
      <c r="AA65" s="66" t="n"/>
    </row>
    <row r="66">
      <c r="A66" s="66" t="n"/>
      <c r="B66" s="66" t="n"/>
      <c r="C66" s="66" t="n"/>
      <c r="D66" s="66" t="n"/>
      <c r="E66" s="66" t="n"/>
      <c r="F66" s="66" t="n"/>
      <c r="G66" s="66" t="n"/>
      <c r="H66" s="66" t="n"/>
      <c r="I66" s="66" t="n"/>
      <c r="J66" s="66" t="n"/>
      <c r="K66" s="66" t="n"/>
      <c r="L66" s="66" t="n"/>
      <c r="M66" s="66" t="n"/>
      <c r="N66" s="66" t="n"/>
      <c r="O66" s="68" t="n"/>
      <c r="P66" s="69">
        <f>IF(F66="","",F66*O66)</f>
        <v/>
      </c>
      <c r="Q66" s="68" t="n"/>
      <c r="R66" s="68" t="n"/>
      <c r="S66" s="68" t="n"/>
      <c r="T66" s="69">
        <f>IF(F66="","",P66+Q66+R66-S66)</f>
        <v/>
      </c>
      <c r="U66" s="66" t="n"/>
      <c r="V66" s="66" t="n"/>
      <c r="W66" s="66" t="n"/>
      <c r="X66" s="66" t="n"/>
      <c r="Y66" s="66" t="n"/>
      <c r="Z66" s="66" t="n"/>
      <c r="AA66" s="66" t="n"/>
    </row>
    <row r="67">
      <c r="A67" s="66" t="n"/>
      <c r="B67" s="66" t="n"/>
      <c r="C67" s="66" t="n"/>
      <c r="D67" s="66" t="n"/>
      <c r="E67" s="66" t="n"/>
      <c r="F67" s="66" t="n"/>
      <c r="G67" s="66" t="n"/>
      <c r="H67" s="66" t="n"/>
      <c r="I67" s="66" t="n"/>
      <c r="J67" s="66" t="n"/>
      <c r="K67" s="66" t="n"/>
      <c r="L67" s="66" t="n"/>
      <c r="M67" s="66" t="n"/>
      <c r="N67" s="66" t="n"/>
      <c r="O67" s="68" t="n"/>
      <c r="P67" s="69">
        <f>IF(F67="","",F67*O67)</f>
        <v/>
      </c>
      <c r="Q67" s="68" t="n"/>
      <c r="R67" s="68" t="n"/>
      <c r="S67" s="68" t="n"/>
      <c r="T67" s="69">
        <f>IF(F67="","",P67+Q67+R67-S67)</f>
        <v/>
      </c>
      <c r="U67" s="66" t="n"/>
      <c r="V67" s="66" t="n"/>
      <c r="W67" s="66" t="n"/>
      <c r="X67" s="66" t="n"/>
      <c r="Y67" s="66" t="n"/>
      <c r="Z67" s="66" t="n"/>
      <c r="AA67" s="66" t="n"/>
    </row>
    <row r="68">
      <c r="A68" s="66" t="n"/>
      <c r="B68" s="66" t="n"/>
      <c r="C68" s="66" t="n"/>
      <c r="D68" s="66" t="n"/>
      <c r="E68" s="66" t="n"/>
      <c r="F68" s="66" t="n"/>
      <c r="G68" s="66" t="n"/>
      <c r="H68" s="66" t="n"/>
      <c r="I68" s="66" t="n"/>
      <c r="J68" s="66" t="n"/>
      <c r="K68" s="66" t="n"/>
      <c r="L68" s="66" t="n"/>
      <c r="M68" s="66" t="n"/>
      <c r="N68" s="66" t="n"/>
      <c r="O68" s="68" t="n"/>
      <c r="P68" s="69">
        <f>IF(F68="","",F68*O68)</f>
        <v/>
      </c>
      <c r="Q68" s="68" t="n"/>
      <c r="R68" s="68" t="n"/>
      <c r="S68" s="68" t="n"/>
      <c r="T68" s="69">
        <f>IF(F68="","",P68+Q68+R68-S68)</f>
        <v/>
      </c>
      <c r="U68" s="66" t="n"/>
      <c r="V68" s="66" t="n"/>
      <c r="W68" s="66" t="n"/>
      <c r="X68" s="66" t="n"/>
      <c r="Y68" s="66" t="n"/>
      <c r="Z68" s="66" t="n"/>
      <c r="AA68" s="66" t="n"/>
    </row>
    <row r="69">
      <c r="A69" s="66" t="n"/>
      <c r="B69" s="66" t="n"/>
      <c r="C69" s="66" t="n"/>
      <c r="D69" s="66" t="n"/>
      <c r="E69" s="66" t="n"/>
      <c r="F69" s="66" t="n"/>
      <c r="G69" s="66" t="n"/>
      <c r="H69" s="66" t="n"/>
      <c r="I69" s="66" t="n"/>
      <c r="J69" s="66" t="n"/>
      <c r="K69" s="66" t="n"/>
      <c r="L69" s="66" t="n"/>
      <c r="M69" s="66" t="n"/>
      <c r="N69" s="66" t="n"/>
      <c r="O69" s="68" t="n"/>
      <c r="P69" s="69">
        <f>IF(F69="","",F69*O69)</f>
        <v/>
      </c>
      <c r="Q69" s="68" t="n"/>
      <c r="R69" s="68" t="n"/>
      <c r="S69" s="68" t="n"/>
      <c r="T69" s="69">
        <f>IF(F69="","",P69+Q69+R69-S69)</f>
        <v/>
      </c>
      <c r="U69" s="66" t="n"/>
      <c r="V69" s="66" t="n"/>
      <c r="W69" s="66" t="n"/>
      <c r="X69" s="66" t="n"/>
      <c r="Y69" s="66" t="n"/>
      <c r="Z69" s="66" t="n"/>
      <c r="AA69" s="66" t="n"/>
    </row>
    <row r="70">
      <c r="A70" s="66" t="n"/>
      <c r="B70" s="66" t="n"/>
      <c r="C70" s="66" t="n"/>
      <c r="D70" s="66" t="n"/>
      <c r="E70" s="66" t="n"/>
      <c r="F70" s="66" t="n"/>
      <c r="G70" s="66" t="n"/>
      <c r="H70" s="66" t="n"/>
      <c r="I70" s="66" t="n"/>
      <c r="J70" s="66" t="n"/>
      <c r="K70" s="66" t="n"/>
      <c r="L70" s="66" t="n"/>
      <c r="M70" s="66" t="n"/>
      <c r="N70" s="66" t="n"/>
      <c r="O70" s="68" t="n"/>
      <c r="P70" s="69">
        <f>IF(F70="","",F70*O70)</f>
        <v/>
      </c>
      <c r="Q70" s="68" t="n"/>
      <c r="R70" s="68" t="n"/>
      <c r="S70" s="68" t="n"/>
      <c r="T70" s="69">
        <f>IF(F70="","",P70+Q70+R70-S70)</f>
        <v/>
      </c>
      <c r="U70" s="66" t="n"/>
      <c r="V70" s="66" t="n"/>
      <c r="W70" s="66" t="n"/>
      <c r="X70" s="66" t="n"/>
      <c r="Y70" s="66" t="n"/>
      <c r="Z70" s="66" t="n"/>
      <c r="AA70" s="66" t="n"/>
    </row>
    <row r="71">
      <c r="A71" s="66" t="n"/>
      <c r="B71" s="66" t="n"/>
      <c r="C71" s="66" t="n"/>
      <c r="D71" s="66" t="n"/>
      <c r="E71" s="66" t="n"/>
      <c r="F71" s="66" t="n"/>
      <c r="G71" s="66" t="n"/>
      <c r="H71" s="66" t="n"/>
      <c r="I71" s="66" t="n"/>
      <c r="J71" s="66" t="n"/>
      <c r="K71" s="66" t="n"/>
      <c r="L71" s="66" t="n"/>
      <c r="M71" s="66" t="n"/>
      <c r="N71" s="66" t="n"/>
      <c r="O71" s="68" t="n"/>
      <c r="P71" s="69">
        <f>IF(F71="","",F71*O71)</f>
        <v/>
      </c>
      <c r="Q71" s="68" t="n"/>
      <c r="R71" s="68" t="n"/>
      <c r="S71" s="68" t="n"/>
      <c r="T71" s="69">
        <f>IF(F71="","",P71+Q71+R71-S71)</f>
        <v/>
      </c>
      <c r="U71" s="66" t="n"/>
      <c r="V71" s="66" t="n"/>
      <c r="W71" s="66" t="n"/>
      <c r="X71" s="66" t="n"/>
      <c r="Y71" s="66" t="n"/>
      <c r="Z71" s="66" t="n"/>
      <c r="AA71" s="66" t="n"/>
    </row>
    <row r="72">
      <c r="A72" s="66" t="n"/>
      <c r="B72" s="66" t="n"/>
      <c r="C72" s="66" t="n"/>
      <c r="D72" s="66" t="n"/>
      <c r="E72" s="66" t="n"/>
      <c r="F72" s="66" t="n"/>
      <c r="G72" s="66" t="n"/>
      <c r="H72" s="66" t="n"/>
      <c r="I72" s="66" t="n"/>
      <c r="J72" s="66" t="n"/>
      <c r="K72" s="66" t="n"/>
      <c r="L72" s="66" t="n"/>
      <c r="M72" s="66" t="n"/>
      <c r="N72" s="66" t="n"/>
      <c r="O72" s="68" t="n"/>
      <c r="P72" s="69">
        <f>IF(F72="","",F72*O72)</f>
        <v/>
      </c>
      <c r="Q72" s="68" t="n"/>
      <c r="R72" s="68" t="n"/>
      <c r="S72" s="68" t="n"/>
      <c r="T72" s="69">
        <f>IF(F72="","",P72+Q72+R72-S72)</f>
        <v/>
      </c>
      <c r="U72" s="66" t="n"/>
      <c r="V72" s="66" t="n"/>
      <c r="W72" s="66" t="n"/>
      <c r="X72" s="66" t="n"/>
      <c r="Y72" s="66" t="n"/>
      <c r="Z72" s="66" t="n"/>
      <c r="AA72" s="66" t="n"/>
    </row>
    <row r="73">
      <c r="A73" s="66" t="n"/>
      <c r="B73" s="66" t="n"/>
      <c r="C73" s="66" t="n"/>
      <c r="D73" s="66" t="n"/>
      <c r="E73" s="66" t="n"/>
      <c r="F73" s="66" t="n"/>
      <c r="G73" s="66" t="n"/>
      <c r="H73" s="66" t="n"/>
      <c r="I73" s="66" t="n"/>
      <c r="J73" s="66" t="n"/>
      <c r="K73" s="66" t="n"/>
      <c r="L73" s="66" t="n"/>
      <c r="M73" s="66" t="n"/>
      <c r="N73" s="66" t="n"/>
      <c r="O73" s="68" t="n"/>
      <c r="P73" s="69">
        <f>IF(F73="","",F73*O73)</f>
        <v/>
      </c>
      <c r="Q73" s="68" t="n"/>
      <c r="R73" s="68" t="n"/>
      <c r="S73" s="68" t="n"/>
      <c r="T73" s="69">
        <f>IF(F73="","",P73+Q73+R73-S73)</f>
        <v/>
      </c>
      <c r="U73" s="66" t="n"/>
      <c r="V73" s="66" t="n"/>
      <c r="W73" s="66" t="n"/>
      <c r="X73" s="66" t="n"/>
      <c r="Y73" s="66" t="n"/>
      <c r="Z73" s="66" t="n"/>
      <c r="AA73" s="66" t="n"/>
    </row>
    <row r="74">
      <c r="A74" s="66" t="n"/>
      <c r="B74" s="66" t="n"/>
      <c r="C74" s="66" t="n"/>
      <c r="D74" s="66" t="n"/>
      <c r="E74" s="66" t="n"/>
      <c r="F74" s="66" t="n"/>
      <c r="G74" s="66" t="n"/>
      <c r="H74" s="66" t="n"/>
      <c r="I74" s="66" t="n"/>
      <c r="J74" s="66" t="n"/>
      <c r="K74" s="66" t="n"/>
      <c r="L74" s="66" t="n"/>
      <c r="M74" s="66" t="n"/>
      <c r="N74" s="66" t="n"/>
      <c r="O74" s="68" t="n"/>
      <c r="P74" s="69">
        <f>IF(F74="","",F74*O74)</f>
        <v/>
      </c>
      <c r="Q74" s="68" t="n"/>
      <c r="R74" s="68" t="n"/>
      <c r="S74" s="68" t="n"/>
      <c r="T74" s="69">
        <f>IF(F74="","",P74+Q74+R74-S74)</f>
        <v/>
      </c>
      <c r="U74" s="66" t="n"/>
      <c r="V74" s="66" t="n"/>
      <c r="W74" s="66" t="n"/>
      <c r="X74" s="66" t="n"/>
      <c r="Y74" s="66" t="n"/>
      <c r="Z74" s="66" t="n"/>
      <c r="AA74" s="66" t="n"/>
    </row>
    <row r="75">
      <c r="A75" s="66" t="n"/>
      <c r="B75" s="66" t="n"/>
      <c r="C75" s="66" t="n"/>
      <c r="D75" s="66" t="n"/>
      <c r="E75" s="66" t="n"/>
      <c r="F75" s="66" t="n"/>
      <c r="G75" s="66" t="n"/>
      <c r="H75" s="66" t="n"/>
      <c r="I75" s="66" t="n"/>
      <c r="J75" s="66" t="n"/>
      <c r="K75" s="66" t="n"/>
      <c r="L75" s="66" t="n"/>
      <c r="M75" s="66" t="n"/>
      <c r="N75" s="66" t="n"/>
      <c r="O75" s="68" t="n"/>
      <c r="P75" s="69">
        <f>IF(F75="","",F75*O75)</f>
        <v/>
      </c>
      <c r="Q75" s="68" t="n"/>
      <c r="R75" s="68" t="n"/>
      <c r="S75" s="68" t="n"/>
      <c r="T75" s="69">
        <f>IF(F75="","",P75+Q75+R75-S75)</f>
        <v/>
      </c>
      <c r="U75" s="66" t="n"/>
      <c r="V75" s="66" t="n"/>
      <c r="W75" s="66" t="n"/>
      <c r="X75" s="66" t="n"/>
      <c r="Y75" s="66" t="n"/>
      <c r="Z75" s="66" t="n"/>
      <c r="AA75" s="66" t="n"/>
    </row>
    <row r="76">
      <c r="A76" s="66" t="n"/>
      <c r="B76" s="66" t="n"/>
      <c r="C76" s="66" t="n"/>
      <c r="D76" s="66" t="n"/>
      <c r="E76" s="66" t="n"/>
      <c r="F76" s="66" t="n"/>
      <c r="G76" s="66" t="n"/>
      <c r="H76" s="66" t="n"/>
      <c r="I76" s="66" t="n"/>
      <c r="J76" s="66" t="n"/>
      <c r="K76" s="66" t="n"/>
      <c r="L76" s="66" t="n"/>
      <c r="M76" s="66" t="n"/>
      <c r="N76" s="66" t="n"/>
      <c r="O76" s="68" t="n"/>
      <c r="P76" s="69">
        <f>IF(F76="","",F76*O76)</f>
        <v/>
      </c>
      <c r="Q76" s="68" t="n"/>
      <c r="R76" s="68" t="n"/>
      <c r="S76" s="68" t="n"/>
      <c r="T76" s="69">
        <f>IF(F76="","",P76+Q76+R76-S76)</f>
        <v/>
      </c>
      <c r="U76" s="66" t="n"/>
      <c r="V76" s="66" t="n"/>
      <c r="W76" s="66" t="n"/>
      <c r="X76" s="66" t="n"/>
      <c r="Y76" s="66" t="n"/>
      <c r="Z76" s="66" t="n"/>
      <c r="AA76" s="66" t="n"/>
    </row>
    <row r="77">
      <c r="A77" s="66" t="n"/>
      <c r="B77" s="66" t="n"/>
      <c r="C77" s="66" t="n"/>
      <c r="D77" s="66" t="n"/>
      <c r="E77" s="66" t="n"/>
      <c r="F77" s="66" t="n"/>
      <c r="G77" s="66" t="n"/>
      <c r="H77" s="66" t="n"/>
      <c r="I77" s="66" t="n"/>
      <c r="J77" s="66" t="n"/>
      <c r="K77" s="66" t="n"/>
      <c r="L77" s="66" t="n"/>
      <c r="M77" s="66" t="n"/>
      <c r="N77" s="66" t="n"/>
      <c r="O77" s="68" t="n"/>
      <c r="P77" s="69">
        <f>IF(F77="","",F77*O77)</f>
        <v/>
      </c>
      <c r="Q77" s="68" t="n"/>
      <c r="R77" s="68" t="n"/>
      <c r="S77" s="68" t="n"/>
      <c r="T77" s="69">
        <f>IF(F77="","",P77+Q77+R77-S77)</f>
        <v/>
      </c>
      <c r="U77" s="66" t="n"/>
      <c r="V77" s="66" t="n"/>
      <c r="W77" s="66" t="n"/>
      <c r="X77" s="66" t="n"/>
      <c r="Y77" s="66" t="n"/>
      <c r="Z77" s="66" t="n"/>
      <c r="AA77" s="66" t="n"/>
    </row>
    <row r="78">
      <c r="A78" s="66" t="n"/>
      <c r="B78" s="66" t="n"/>
      <c r="C78" s="66" t="n"/>
      <c r="D78" s="66" t="n"/>
      <c r="E78" s="66" t="n"/>
      <c r="F78" s="66" t="n"/>
      <c r="G78" s="66" t="n"/>
      <c r="H78" s="66" t="n"/>
      <c r="I78" s="66" t="n"/>
      <c r="J78" s="66" t="n"/>
      <c r="K78" s="66" t="n"/>
      <c r="L78" s="66" t="n"/>
      <c r="M78" s="66" t="n"/>
      <c r="N78" s="66" t="n"/>
      <c r="O78" s="68" t="n"/>
      <c r="P78" s="69">
        <f>IF(F78="","",F78*O78)</f>
        <v/>
      </c>
      <c r="Q78" s="68" t="n"/>
      <c r="R78" s="68" t="n"/>
      <c r="S78" s="68" t="n"/>
      <c r="T78" s="69">
        <f>IF(F78="","",P78+Q78+R78-S78)</f>
        <v/>
      </c>
      <c r="U78" s="66" t="n"/>
      <c r="V78" s="66" t="n"/>
      <c r="W78" s="66" t="n"/>
      <c r="X78" s="66" t="n"/>
      <c r="Y78" s="66" t="n"/>
      <c r="Z78" s="66" t="n"/>
      <c r="AA78" s="66" t="n"/>
    </row>
    <row r="79">
      <c r="A79" s="66" t="n"/>
      <c r="B79" s="66" t="n"/>
      <c r="C79" s="66" t="n"/>
      <c r="D79" s="66" t="n"/>
      <c r="E79" s="66" t="n"/>
      <c r="F79" s="66" t="n"/>
      <c r="G79" s="66" t="n"/>
      <c r="H79" s="66" t="n"/>
      <c r="I79" s="66" t="n"/>
      <c r="J79" s="66" t="n"/>
      <c r="K79" s="66" t="n"/>
      <c r="L79" s="66" t="n"/>
      <c r="M79" s="66" t="n"/>
      <c r="N79" s="66" t="n"/>
      <c r="O79" s="68" t="n"/>
      <c r="P79" s="69">
        <f>IF(F79="","",F79*O79)</f>
        <v/>
      </c>
      <c r="Q79" s="68" t="n"/>
      <c r="R79" s="68" t="n"/>
      <c r="S79" s="68" t="n"/>
      <c r="T79" s="69">
        <f>IF(F79="","",P79+Q79+R79-S79)</f>
        <v/>
      </c>
      <c r="U79" s="66" t="n"/>
      <c r="V79" s="66" t="n"/>
      <c r="W79" s="66" t="n"/>
      <c r="X79" s="66" t="n"/>
      <c r="Y79" s="66" t="n"/>
      <c r="Z79" s="66" t="n"/>
      <c r="AA79" s="66" t="n"/>
    </row>
    <row r="80">
      <c r="A80" s="66" t="n"/>
      <c r="B80" s="66" t="n"/>
      <c r="C80" s="66" t="n"/>
      <c r="D80" s="66" t="n"/>
      <c r="E80" s="66" t="n"/>
      <c r="F80" s="66" t="n"/>
      <c r="G80" s="66" t="n"/>
      <c r="H80" s="66" t="n"/>
      <c r="I80" s="66" t="n"/>
      <c r="J80" s="66" t="n"/>
      <c r="K80" s="66" t="n"/>
      <c r="L80" s="66" t="n"/>
      <c r="M80" s="66" t="n"/>
      <c r="N80" s="66" t="n"/>
      <c r="O80" s="68" t="n"/>
      <c r="P80" s="69">
        <f>IF(F80="","",F80*O80)</f>
        <v/>
      </c>
      <c r="Q80" s="68" t="n"/>
      <c r="R80" s="68" t="n"/>
      <c r="S80" s="68" t="n"/>
      <c r="T80" s="69">
        <f>IF(F80="","",P80+Q80+R80-S80)</f>
        <v/>
      </c>
      <c r="U80" s="66" t="n"/>
      <c r="V80" s="66" t="n"/>
      <c r="W80" s="66" t="n"/>
      <c r="X80" s="66" t="n"/>
      <c r="Y80" s="66" t="n"/>
      <c r="Z80" s="66" t="n"/>
      <c r="AA80" s="66" t="n"/>
    </row>
    <row r="81">
      <c r="A81" s="66" t="n"/>
      <c r="B81" s="66" t="n"/>
      <c r="C81" s="66" t="n"/>
      <c r="D81" s="66" t="n"/>
      <c r="E81" s="66" t="n"/>
      <c r="F81" s="66" t="n"/>
      <c r="G81" s="66" t="n"/>
      <c r="H81" s="66" t="n"/>
      <c r="I81" s="66" t="n"/>
      <c r="J81" s="66" t="n"/>
      <c r="K81" s="66" t="n"/>
      <c r="L81" s="66" t="n"/>
      <c r="M81" s="66" t="n"/>
      <c r="N81" s="66" t="n"/>
      <c r="O81" s="68" t="n"/>
      <c r="P81" s="69">
        <f>IF(F81="","",F81*O81)</f>
        <v/>
      </c>
      <c r="Q81" s="68" t="n"/>
      <c r="R81" s="68" t="n"/>
      <c r="S81" s="68" t="n"/>
      <c r="T81" s="69">
        <f>IF(F81="","",P81+Q81+R81-S81)</f>
        <v/>
      </c>
      <c r="U81" s="66" t="n"/>
      <c r="V81" s="66" t="n"/>
      <c r="W81" s="66" t="n"/>
      <c r="X81" s="66" t="n"/>
      <c r="Y81" s="66" t="n"/>
      <c r="Z81" s="66" t="n"/>
      <c r="AA81" s="66" t="n"/>
    </row>
    <row r="82">
      <c r="A82" s="66" t="n"/>
      <c r="B82" s="66" t="n"/>
      <c r="C82" s="66" t="n"/>
      <c r="D82" s="66" t="n"/>
      <c r="E82" s="66" t="n"/>
      <c r="F82" s="66" t="n"/>
      <c r="G82" s="66" t="n"/>
      <c r="H82" s="66" t="n"/>
      <c r="I82" s="66" t="n"/>
      <c r="J82" s="66" t="n"/>
      <c r="K82" s="66" t="n"/>
      <c r="L82" s="66" t="n"/>
      <c r="M82" s="66" t="n"/>
      <c r="N82" s="66" t="n"/>
      <c r="O82" s="68" t="n"/>
      <c r="P82" s="69">
        <f>IF(F82="","",F82*O82)</f>
        <v/>
      </c>
      <c r="Q82" s="68" t="n"/>
      <c r="R82" s="68" t="n"/>
      <c r="S82" s="68" t="n"/>
      <c r="T82" s="69">
        <f>IF(F82="","",P82+Q82+R82-S82)</f>
        <v/>
      </c>
      <c r="U82" s="66" t="n"/>
      <c r="V82" s="66" t="n"/>
      <c r="W82" s="66" t="n"/>
      <c r="X82" s="66" t="n"/>
      <c r="Y82" s="66" t="n"/>
      <c r="Z82" s="66" t="n"/>
      <c r="AA82" s="66" t="n"/>
    </row>
    <row r="83">
      <c r="A83" s="66" t="n"/>
      <c r="B83" s="66" t="n"/>
      <c r="C83" s="66" t="n"/>
      <c r="D83" s="66" t="n"/>
      <c r="E83" s="66" t="n"/>
      <c r="F83" s="66" t="n"/>
      <c r="G83" s="66" t="n"/>
      <c r="H83" s="66" t="n"/>
      <c r="I83" s="66" t="n"/>
      <c r="J83" s="66" t="n"/>
      <c r="K83" s="66" t="n"/>
      <c r="L83" s="66" t="n"/>
      <c r="M83" s="66" t="n"/>
      <c r="N83" s="66" t="n"/>
      <c r="O83" s="68" t="n"/>
      <c r="P83" s="69">
        <f>IF(F83="","",F83*O83)</f>
        <v/>
      </c>
      <c r="Q83" s="68" t="n"/>
      <c r="R83" s="68" t="n"/>
      <c r="S83" s="68" t="n"/>
      <c r="T83" s="69">
        <f>IF(F83="","",P83+Q83+R83-S83)</f>
        <v/>
      </c>
      <c r="U83" s="66" t="n"/>
      <c r="V83" s="66" t="n"/>
      <c r="W83" s="66" t="n"/>
      <c r="X83" s="66" t="n"/>
      <c r="Y83" s="66" t="n"/>
      <c r="Z83" s="66" t="n"/>
      <c r="AA83" s="66" t="n"/>
    </row>
    <row r="84">
      <c r="A84" s="66" t="n"/>
      <c r="B84" s="66" t="n"/>
      <c r="C84" s="66" t="n"/>
      <c r="D84" s="66" t="n"/>
      <c r="E84" s="66" t="n"/>
      <c r="F84" s="66" t="n"/>
      <c r="G84" s="66" t="n"/>
      <c r="H84" s="66" t="n"/>
      <c r="I84" s="66" t="n"/>
      <c r="J84" s="66" t="n"/>
      <c r="K84" s="66" t="n"/>
      <c r="L84" s="66" t="n"/>
      <c r="M84" s="66" t="n"/>
      <c r="N84" s="66" t="n"/>
      <c r="O84" s="68" t="n"/>
      <c r="P84" s="69">
        <f>IF(F84="","",F84*O84)</f>
        <v/>
      </c>
      <c r="Q84" s="68" t="n"/>
      <c r="R84" s="68" t="n"/>
      <c r="S84" s="68" t="n"/>
      <c r="T84" s="69">
        <f>IF(F84="","",P84+Q84+R84-S84)</f>
        <v/>
      </c>
      <c r="U84" s="66" t="n"/>
      <c r="V84" s="66" t="n"/>
      <c r="W84" s="66" t="n"/>
      <c r="X84" s="66" t="n"/>
      <c r="Y84" s="66" t="n"/>
      <c r="Z84" s="66" t="n"/>
      <c r="AA84" s="66" t="n"/>
    </row>
    <row r="85">
      <c r="A85" s="56" t="n"/>
      <c r="B85" s="56" t="n"/>
      <c r="C85" s="56" t="n"/>
      <c r="D85" s="56" t="n"/>
      <c r="E85" s="56" t="n"/>
      <c r="F85" s="56" t="n"/>
      <c r="G85" s="56" t="n"/>
      <c r="H85" s="56" t="n"/>
      <c r="I85" s="56" t="n"/>
      <c r="J85" s="56" t="n"/>
      <c r="K85" s="56" t="n"/>
      <c r="L85" s="56" t="n"/>
      <c r="M85" s="56" t="n"/>
      <c r="N85" s="56" t="n"/>
      <c r="O85" s="56" t="n"/>
      <c r="P85" s="56" t="n"/>
      <c r="Q85" s="56" t="n"/>
      <c r="R85" s="56" t="n"/>
      <c r="S85" s="56" t="n"/>
      <c r="T85" s="56" t="n"/>
      <c r="U85" s="56" t="n"/>
      <c r="V85" s="56" t="n"/>
      <c r="W85" s="56" t="n"/>
      <c r="X85" s="56" t="n"/>
      <c r="Y85" s="56" t="n"/>
      <c r="Z85" s="56" t="n"/>
      <c r="AA85" s="56" t="n"/>
    </row>
    <row r="86">
      <c r="A86" s="56" t="n"/>
      <c r="B86" s="56" t="n"/>
      <c r="C86" s="56" t="n"/>
      <c r="D86" s="56" t="n"/>
      <c r="E86" s="56" t="n"/>
      <c r="F86" s="56" t="n"/>
      <c r="G86" s="56" t="n"/>
      <c r="H86" s="56" t="n"/>
      <c r="I86" s="56" t="n"/>
      <c r="J86" s="56" t="n"/>
      <c r="K86" s="56" t="n"/>
      <c r="L86" s="56" t="n"/>
      <c r="M86" s="56" t="n"/>
      <c r="N86" s="70" t="inlineStr">
        <is>
          <t>TOTALS</t>
        </is>
      </c>
      <c r="O86" s="72">
        <f>SUM(O5:O84)</f>
        <v/>
      </c>
      <c r="P86" s="72">
        <f>SUM(P5:P84)</f>
        <v/>
      </c>
      <c r="Q86" s="72">
        <f>SUM(Q5:Q84)</f>
        <v/>
      </c>
      <c r="R86" s="72">
        <f>SUM(R5:R84)</f>
        <v/>
      </c>
      <c r="S86" s="72">
        <f>SUM(S5:S84)</f>
        <v/>
      </c>
      <c r="T86" s="72">
        <f>SUM(T5:T84)</f>
        <v/>
      </c>
      <c r="U86" s="56" t="n"/>
      <c r="V86" s="56" t="n"/>
      <c r="W86" s="56" t="n"/>
      <c r="X86" s="56" t="n"/>
      <c r="Y86" s="56" t="n"/>
      <c r="Z86" s="56" t="n"/>
      <c r="AA86" s="56" t="n"/>
    </row>
    <row r="87">
      <c r="A87" s="56" t="n"/>
      <c r="B87" s="56" t="n"/>
      <c r="C87" s="56" t="n"/>
      <c r="D87" s="56" t="n"/>
      <c r="E87" s="56" t="n"/>
      <c r="F87" s="56" t="n"/>
      <c r="G87" s="56" t="n"/>
      <c r="H87" s="56" t="n"/>
      <c r="I87" s="56" t="n"/>
      <c r="J87" s="56" t="n"/>
      <c r="K87" s="56" t="n"/>
      <c r="L87" s="56" t="n"/>
      <c r="M87" s="56" t="n"/>
      <c r="N87" s="56" t="n"/>
      <c r="O87" s="56" t="n"/>
      <c r="P87" s="56" t="n"/>
      <c r="Q87" s="56" t="n"/>
      <c r="R87" s="56" t="n"/>
      <c r="S87" s="56" t="n"/>
      <c r="T87" s="56" t="n"/>
      <c r="U87" s="56" t="n"/>
      <c r="V87" s="56" t="n"/>
      <c r="W87" s="56" t="n"/>
      <c r="X87" s="56" t="n"/>
      <c r="Y87" s="56" t="n"/>
      <c r="Z87" s="56" t="n"/>
      <c r="AA87" s="56" t="n"/>
    </row>
    <row r="88">
      <c r="A88" s="56" t="n"/>
      <c r="B88" s="56" t="n"/>
      <c r="C88" s="56" t="n"/>
      <c r="D88" s="56" t="n"/>
      <c r="E88" s="56" t="n"/>
      <c r="F88" s="56" t="n"/>
      <c r="G88" s="56" t="n"/>
      <c r="H88" s="56" t="n"/>
      <c r="I88" s="56" t="n"/>
      <c r="J88" s="56" t="n"/>
      <c r="K88" s="56" t="n"/>
      <c r="L88" s="56" t="n"/>
      <c r="M88" s="56" t="n"/>
      <c r="N88" s="56" t="n"/>
      <c r="O88" s="56" t="n"/>
      <c r="P88" s="56" t="n"/>
      <c r="Q88" s="56" t="n"/>
      <c r="R88" s="56" t="n"/>
      <c r="S88" s="56" t="n"/>
      <c r="T88" s="56" t="n"/>
      <c r="U88" s="56" t="n"/>
      <c r="V88" s="56" t="n"/>
      <c r="W88" s="56" t="n"/>
      <c r="X88" s="56" t="n"/>
      <c r="Y88" s="56" t="n"/>
      <c r="Z88" s="56" t="n"/>
      <c r="AA88" s="56" t="n"/>
    </row>
    <row r="89">
      <c r="A89" s="56" t="n"/>
      <c r="B89" s="56" t="n"/>
      <c r="C89" s="56" t="n"/>
      <c r="D89" s="56" t="n"/>
      <c r="E89" s="56" t="n"/>
      <c r="F89" s="56" t="n"/>
      <c r="G89" s="56" t="n"/>
      <c r="H89" s="56" t="n"/>
      <c r="I89" s="56" t="n"/>
      <c r="J89" s="56" t="n"/>
      <c r="K89" s="56" t="n"/>
      <c r="L89" s="56" t="n"/>
      <c r="M89" s="56" t="n"/>
      <c r="N89" s="56" t="n"/>
      <c r="O89" s="56" t="n"/>
      <c r="P89" s="56" t="n"/>
      <c r="Q89" s="56" t="n"/>
      <c r="R89" s="56" t="n"/>
      <c r="S89" s="56" t="n"/>
      <c r="T89" s="56" t="n"/>
      <c r="U89" s="56" t="n"/>
      <c r="V89" s="56" t="n"/>
      <c r="W89" s="56" t="n"/>
      <c r="X89" s="56" t="n"/>
      <c r="Y89" s="56" t="n"/>
      <c r="Z89" s="56" t="n"/>
      <c r="AA89" s="56" t="n"/>
    </row>
    <row r="90">
      <c r="A90" s="56" t="n"/>
      <c r="B90" s="56" t="n"/>
      <c r="C90" s="56" t="n"/>
      <c r="D90" s="56" t="n"/>
      <c r="E90" s="56" t="n"/>
      <c r="F90" s="56" t="n"/>
      <c r="G90" s="56" t="n"/>
      <c r="H90" s="56" t="n"/>
      <c r="I90" s="56" t="n"/>
      <c r="J90" s="56" t="n"/>
      <c r="K90" s="56" t="n"/>
      <c r="L90" s="56" t="n"/>
      <c r="M90" s="56" t="n"/>
      <c r="N90" s="56" t="n"/>
      <c r="O90" s="56" t="n"/>
      <c r="P90" s="56" t="n"/>
      <c r="Q90" s="56" t="n"/>
      <c r="R90" s="56" t="n"/>
      <c r="S90" s="56" t="n"/>
      <c r="T90" s="56" t="n"/>
      <c r="U90" s="56" t="n"/>
      <c r="V90" s="56" t="n"/>
      <c r="W90" s="56" t="n"/>
      <c r="X90" s="56" t="n"/>
      <c r="Y90" s="56" t="n"/>
      <c r="Z90" s="56" t="n"/>
      <c r="AA90" s="56" t="n"/>
    </row>
    <row r="91">
      <c r="A91" s="56" t="n"/>
      <c r="B91" s="56" t="n"/>
      <c r="C91" s="56" t="n"/>
      <c r="D91" s="56" t="n"/>
      <c r="E91" s="56" t="n"/>
      <c r="F91" s="56" t="n"/>
      <c r="G91" s="56" t="n"/>
      <c r="H91" s="56" t="n"/>
      <c r="I91" s="56" t="n"/>
      <c r="J91" s="56" t="n"/>
      <c r="K91" s="56" t="n"/>
      <c r="L91" s="56" t="n"/>
      <c r="M91" s="56" t="n"/>
      <c r="N91" s="56" t="n"/>
      <c r="O91" s="56" t="n"/>
      <c r="P91" s="56" t="n"/>
      <c r="Q91" s="56" t="n"/>
      <c r="R91" s="56" t="n"/>
      <c r="S91" s="56" t="n"/>
      <c r="T91" s="56" t="n"/>
      <c r="U91" s="56" t="n"/>
      <c r="V91" s="56" t="n"/>
      <c r="W91" s="56" t="n"/>
      <c r="X91" s="56" t="n"/>
      <c r="Y91" s="56" t="n"/>
      <c r="Z91" s="56" t="n"/>
      <c r="AA91" s="56" t="n"/>
    </row>
  </sheetData>
  <sheetProtection selectLockedCells="0" selectUnlockedCells="0" sheet="1" objects="0" insertRows="0" insertHyperlinks="0" autoFilter="0" scenarios="1" formatColumns="0" deleteColumns="1" insertColumns="1" pivotTables="1" deleteRows="0" formatCells="0" formatRows="0" sort="0" password="EC7C"/>
  <autoFilter ref="A4:AA84"/>
  <mergeCells count="2">
    <mergeCell ref="A2:L2"/>
    <mergeCell ref="A1:L1"/>
  </mergeCells>
  <conditionalFormatting sqref="V5:V84">
    <cfRule type="expression" priority="1" dxfId="0">
      <formula>ISNUMBER(SEARCH("Approved",V5))</formula>
    </cfRule>
    <cfRule type="expression" priority="2" dxfId="0">
      <formula>ISNUMBER(SEARCH("Installed",V5))</formula>
    </cfRule>
    <cfRule type="expression" priority="3" dxfId="0">
      <formula>ISNUMBER(SEARCH("Delivered",V5))</formula>
    </cfRule>
    <cfRule type="expression" priority="4" dxfId="0">
      <formula>ISNUMBER(SEARCH("Complete",V5))</formula>
    </cfRule>
    <cfRule type="expression" priority="5" dxfId="0">
      <formula>ISNUMBER(SEARCH("Completed",V5))</formula>
    </cfRule>
    <cfRule type="expression" priority="6" dxfId="0">
      <formula>ISNUMBER(SEARCH("Paid",V5))</formula>
    </cfRule>
    <cfRule type="expression" priority="7" dxfId="0">
      <formula>ISNUMBER(SEARCH("Good Condition",V5))</formula>
    </cfRule>
    <cfRule type="expression" priority="8" dxfId="0">
      <formula>ISNUMBER(SEARCH("Yes",V5))</formula>
    </cfRule>
    <cfRule type="expression" priority="9" dxfId="1">
      <formula>ISNUMBER(SEARCH("Pending",V5))</formula>
    </cfRule>
    <cfRule type="expression" priority="10" dxfId="1">
      <formula>ISNUMBER(SEARCH("In Progress",V5))</formula>
    </cfRule>
    <cfRule type="expression" priority="11" dxfId="1">
      <formula>ISNUMBER(SEARCH("Sent",V5))</formula>
    </cfRule>
    <cfRule type="expression" priority="12" dxfId="1">
      <formula>ISNUMBER(SEARCH("Client Review",V5))</formula>
    </cfRule>
    <cfRule type="expression" priority="13" dxfId="1">
      <formula>ISNUMBER(SEARCH("Ordered",V5))</formula>
    </cfRule>
    <cfRule type="expression" priority="14" dxfId="1">
      <formula>ISNUMBER(SEARCH("Shipped",V5))</formula>
    </cfRule>
    <cfRule type="expression" priority="15" dxfId="1">
      <formula>ISNUMBER(SEARCH("Scheduled",V5))</formula>
    </cfRule>
    <cfRule type="expression" priority="16" dxfId="1">
      <formula>ISNUMBER(SEARCH("Partially Paid",V5))</formula>
    </cfRule>
    <cfRule type="expression" priority="17" dxfId="1">
      <formula>ISNUMBER(SEARCH("Waiting on Client",V5))</formula>
    </cfRule>
    <cfRule type="expression" priority="18" dxfId="1">
      <formula>ISNUMBER(SEARCH("Waiting on Vendor",V5))</formula>
    </cfRule>
    <cfRule type="expression" priority="19" dxfId="1">
      <formula>ISNUMBER(SEARCH("Sourcing",V5))</formula>
    </cfRule>
    <cfRule type="expression" priority="20" dxfId="1">
      <formula>ISNUMBER(SEARCH("Option Selected",V5))</formula>
    </cfRule>
    <cfRule type="expression" priority="21" dxfId="1">
      <formula>ISNUMBER(SEARCH("Confirmed",V5))</formula>
    </cfRule>
    <cfRule type="expression" priority="22" dxfId="1">
      <formula>ISNUMBER(SEARCH("In Production",V5))</formula>
    </cfRule>
    <cfRule type="expression" priority="23" dxfId="1">
      <formula>ISNUMBER(SEARCH("In Transit",V5))</formula>
    </cfRule>
    <cfRule type="expression" priority="24" dxfId="1">
      <formula>ISNUMBER(SEARCH("Not Checked",V5))</formula>
    </cfRule>
    <cfRule type="expression" priority="25" dxfId="2">
      <formula>ISNUMBER(SEARCH("Overdue",V5))</formula>
    </cfRule>
    <cfRule type="expression" priority="26" dxfId="2">
      <formula>ISNUMBER(SEARCH("Delayed",V5))</formula>
    </cfRule>
    <cfRule type="expression" priority="27" dxfId="2">
      <formula>ISNUMBER(SEARCH("Rejected",V5))</formula>
    </cfRule>
    <cfRule type="expression" priority="28" dxfId="2">
      <formula>ISNUMBER(SEARCH("Damaged",V5))</formula>
    </cfRule>
    <cfRule type="expression" priority="29" dxfId="2">
      <formula>ISNUMBER(SEARCH("Missing Item",V5))</formula>
    </cfRule>
    <cfRule type="expression" priority="30" dxfId="2">
      <formula>ISNUMBER(SEARCH("Wrong Item",V5))</formula>
    </cfRule>
    <cfRule type="expression" priority="31" dxfId="2">
      <formula>ISNUMBER(SEARCH("Backordered",V5))</formula>
    </cfRule>
    <cfRule type="expression" priority="32" dxfId="2">
      <formula>ISNUMBER(SEARCH("Urgent",V5))</formula>
    </cfRule>
    <cfRule type="expression" priority="33" dxfId="3">
      <formula>ISNUMBER(SEARCH("Cancelled",V5))</formula>
    </cfRule>
    <cfRule type="expression" priority="34" dxfId="3">
      <formula>ISNUMBER(SEARCH("On Hold",V5))</formula>
    </cfRule>
    <cfRule type="expression" priority="35" dxfId="3">
      <formula>ISNUMBER(SEARCH("Not Started",V5))</formula>
    </cfRule>
    <cfRule type="expression" priority="36" dxfId="3">
      <formula>ISNUMBER(SEARCH("Not Sent",V5))</formula>
    </cfRule>
    <cfRule type="expression" priority="37" dxfId="3">
      <formula>ISNUMBER(SEARCH("Draft",V5))</formula>
    </cfRule>
    <cfRule type="expression" priority="38" dxfId="3">
      <formula>ISNUMBER(SEARCH("Not Ordered",V5))</formula>
    </cfRule>
  </conditionalFormatting>
  <conditionalFormatting sqref="W5:W84">
    <cfRule type="expression" priority="39" dxfId="0">
      <formula>ISNUMBER(SEARCH("Approved",W5))</formula>
    </cfRule>
    <cfRule type="expression" priority="40" dxfId="0">
      <formula>ISNUMBER(SEARCH("Installed",W5))</formula>
    </cfRule>
    <cfRule type="expression" priority="41" dxfId="0">
      <formula>ISNUMBER(SEARCH("Delivered",W5))</formula>
    </cfRule>
    <cfRule type="expression" priority="42" dxfId="0">
      <formula>ISNUMBER(SEARCH("Complete",W5))</formula>
    </cfRule>
    <cfRule type="expression" priority="43" dxfId="0">
      <formula>ISNUMBER(SEARCH("Completed",W5))</formula>
    </cfRule>
    <cfRule type="expression" priority="44" dxfId="0">
      <formula>ISNUMBER(SEARCH("Paid",W5))</formula>
    </cfRule>
    <cfRule type="expression" priority="45" dxfId="0">
      <formula>ISNUMBER(SEARCH("Good Condition",W5))</formula>
    </cfRule>
    <cfRule type="expression" priority="46" dxfId="0">
      <formula>ISNUMBER(SEARCH("Yes",W5))</formula>
    </cfRule>
    <cfRule type="expression" priority="47" dxfId="1">
      <formula>ISNUMBER(SEARCH("Pending",W5))</formula>
    </cfRule>
    <cfRule type="expression" priority="48" dxfId="1">
      <formula>ISNUMBER(SEARCH("In Progress",W5))</formula>
    </cfRule>
    <cfRule type="expression" priority="49" dxfId="1">
      <formula>ISNUMBER(SEARCH("Sent",W5))</formula>
    </cfRule>
    <cfRule type="expression" priority="50" dxfId="1">
      <formula>ISNUMBER(SEARCH("Client Review",W5))</formula>
    </cfRule>
    <cfRule type="expression" priority="51" dxfId="1">
      <formula>ISNUMBER(SEARCH("Ordered",W5))</formula>
    </cfRule>
    <cfRule type="expression" priority="52" dxfId="1">
      <formula>ISNUMBER(SEARCH("Shipped",W5))</formula>
    </cfRule>
    <cfRule type="expression" priority="53" dxfId="1">
      <formula>ISNUMBER(SEARCH("Scheduled",W5))</formula>
    </cfRule>
    <cfRule type="expression" priority="54" dxfId="1">
      <formula>ISNUMBER(SEARCH("Partially Paid",W5))</formula>
    </cfRule>
    <cfRule type="expression" priority="55" dxfId="1">
      <formula>ISNUMBER(SEARCH("Waiting on Client",W5))</formula>
    </cfRule>
    <cfRule type="expression" priority="56" dxfId="1">
      <formula>ISNUMBER(SEARCH("Waiting on Vendor",W5))</formula>
    </cfRule>
    <cfRule type="expression" priority="57" dxfId="1">
      <formula>ISNUMBER(SEARCH("Sourcing",W5))</formula>
    </cfRule>
    <cfRule type="expression" priority="58" dxfId="1">
      <formula>ISNUMBER(SEARCH("Option Selected",W5))</formula>
    </cfRule>
    <cfRule type="expression" priority="59" dxfId="1">
      <formula>ISNUMBER(SEARCH("Confirmed",W5))</formula>
    </cfRule>
    <cfRule type="expression" priority="60" dxfId="1">
      <formula>ISNUMBER(SEARCH("In Production",W5))</formula>
    </cfRule>
    <cfRule type="expression" priority="61" dxfId="1">
      <formula>ISNUMBER(SEARCH("In Transit",W5))</formula>
    </cfRule>
    <cfRule type="expression" priority="62" dxfId="1">
      <formula>ISNUMBER(SEARCH("Not Checked",W5))</formula>
    </cfRule>
    <cfRule type="expression" priority="63" dxfId="2">
      <formula>ISNUMBER(SEARCH("Overdue",W5))</formula>
    </cfRule>
    <cfRule type="expression" priority="64" dxfId="2">
      <formula>ISNUMBER(SEARCH("Delayed",W5))</formula>
    </cfRule>
    <cfRule type="expression" priority="65" dxfId="2">
      <formula>ISNUMBER(SEARCH("Rejected",W5))</formula>
    </cfRule>
    <cfRule type="expression" priority="66" dxfId="2">
      <formula>ISNUMBER(SEARCH("Damaged",W5))</formula>
    </cfRule>
    <cfRule type="expression" priority="67" dxfId="2">
      <formula>ISNUMBER(SEARCH("Missing Item",W5))</formula>
    </cfRule>
    <cfRule type="expression" priority="68" dxfId="2">
      <formula>ISNUMBER(SEARCH("Wrong Item",W5))</formula>
    </cfRule>
    <cfRule type="expression" priority="69" dxfId="2">
      <formula>ISNUMBER(SEARCH("Backordered",W5))</formula>
    </cfRule>
    <cfRule type="expression" priority="70" dxfId="2">
      <formula>ISNUMBER(SEARCH("Urgent",W5))</formula>
    </cfRule>
    <cfRule type="expression" priority="71" dxfId="3">
      <formula>ISNUMBER(SEARCH("Cancelled",W5))</formula>
    </cfRule>
    <cfRule type="expression" priority="72" dxfId="3">
      <formula>ISNUMBER(SEARCH("On Hold",W5))</formula>
    </cfRule>
    <cfRule type="expression" priority="73" dxfId="3">
      <formula>ISNUMBER(SEARCH("Not Started",W5))</formula>
    </cfRule>
    <cfRule type="expression" priority="74" dxfId="3">
      <formula>ISNUMBER(SEARCH("Not Sent",W5))</formula>
    </cfRule>
    <cfRule type="expression" priority="75" dxfId="3">
      <formula>ISNUMBER(SEARCH("Draft",W5))</formula>
    </cfRule>
    <cfRule type="expression" priority="76" dxfId="3">
      <formula>ISNUMBER(SEARCH("Not Ordered",W5))</formula>
    </cfRule>
  </conditionalFormatting>
  <conditionalFormatting sqref="X5:X84">
    <cfRule type="expression" priority="77" dxfId="0">
      <formula>ISNUMBER(SEARCH("Approved",X5))</formula>
    </cfRule>
    <cfRule type="expression" priority="78" dxfId="0">
      <formula>ISNUMBER(SEARCH("Installed",X5))</formula>
    </cfRule>
    <cfRule type="expression" priority="79" dxfId="0">
      <formula>ISNUMBER(SEARCH("Delivered",X5))</formula>
    </cfRule>
    <cfRule type="expression" priority="80" dxfId="0">
      <formula>ISNUMBER(SEARCH("Complete",X5))</formula>
    </cfRule>
    <cfRule type="expression" priority="81" dxfId="0">
      <formula>ISNUMBER(SEARCH("Completed",X5))</formula>
    </cfRule>
    <cfRule type="expression" priority="82" dxfId="0">
      <formula>ISNUMBER(SEARCH("Paid",X5))</formula>
    </cfRule>
    <cfRule type="expression" priority="83" dxfId="0">
      <formula>ISNUMBER(SEARCH("Good Condition",X5))</formula>
    </cfRule>
    <cfRule type="expression" priority="84" dxfId="0">
      <formula>ISNUMBER(SEARCH("Yes",X5))</formula>
    </cfRule>
    <cfRule type="expression" priority="85" dxfId="1">
      <formula>ISNUMBER(SEARCH("Pending",X5))</formula>
    </cfRule>
    <cfRule type="expression" priority="86" dxfId="1">
      <formula>ISNUMBER(SEARCH("In Progress",X5))</formula>
    </cfRule>
    <cfRule type="expression" priority="87" dxfId="1">
      <formula>ISNUMBER(SEARCH("Sent",X5))</formula>
    </cfRule>
    <cfRule type="expression" priority="88" dxfId="1">
      <formula>ISNUMBER(SEARCH("Client Review",X5))</formula>
    </cfRule>
    <cfRule type="expression" priority="89" dxfId="1">
      <formula>ISNUMBER(SEARCH("Ordered",X5))</formula>
    </cfRule>
    <cfRule type="expression" priority="90" dxfId="1">
      <formula>ISNUMBER(SEARCH("Shipped",X5))</formula>
    </cfRule>
    <cfRule type="expression" priority="91" dxfId="1">
      <formula>ISNUMBER(SEARCH("Scheduled",X5))</formula>
    </cfRule>
    <cfRule type="expression" priority="92" dxfId="1">
      <formula>ISNUMBER(SEARCH("Partially Paid",X5))</formula>
    </cfRule>
    <cfRule type="expression" priority="93" dxfId="1">
      <formula>ISNUMBER(SEARCH("Waiting on Client",X5))</formula>
    </cfRule>
    <cfRule type="expression" priority="94" dxfId="1">
      <formula>ISNUMBER(SEARCH("Waiting on Vendor",X5))</formula>
    </cfRule>
    <cfRule type="expression" priority="95" dxfId="1">
      <formula>ISNUMBER(SEARCH("Sourcing",X5))</formula>
    </cfRule>
    <cfRule type="expression" priority="96" dxfId="1">
      <formula>ISNUMBER(SEARCH("Option Selected",X5))</formula>
    </cfRule>
    <cfRule type="expression" priority="97" dxfId="1">
      <formula>ISNUMBER(SEARCH("Confirmed",X5))</formula>
    </cfRule>
    <cfRule type="expression" priority="98" dxfId="1">
      <formula>ISNUMBER(SEARCH("In Production",X5))</formula>
    </cfRule>
    <cfRule type="expression" priority="99" dxfId="1">
      <formula>ISNUMBER(SEARCH("In Transit",X5))</formula>
    </cfRule>
    <cfRule type="expression" priority="100" dxfId="1">
      <formula>ISNUMBER(SEARCH("Not Checked",X5))</formula>
    </cfRule>
    <cfRule type="expression" priority="101" dxfId="2">
      <formula>ISNUMBER(SEARCH("Overdue",X5))</formula>
    </cfRule>
    <cfRule type="expression" priority="102" dxfId="2">
      <formula>ISNUMBER(SEARCH("Delayed",X5))</formula>
    </cfRule>
    <cfRule type="expression" priority="103" dxfId="2">
      <formula>ISNUMBER(SEARCH("Rejected",X5))</formula>
    </cfRule>
    <cfRule type="expression" priority="104" dxfId="2">
      <formula>ISNUMBER(SEARCH("Damaged",X5))</formula>
    </cfRule>
    <cfRule type="expression" priority="105" dxfId="2">
      <formula>ISNUMBER(SEARCH("Missing Item",X5))</formula>
    </cfRule>
    <cfRule type="expression" priority="106" dxfId="2">
      <formula>ISNUMBER(SEARCH("Wrong Item",X5))</formula>
    </cfRule>
    <cfRule type="expression" priority="107" dxfId="2">
      <formula>ISNUMBER(SEARCH("Backordered",X5))</formula>
    </cfRule>
    <cfRule type="expression" priority="108" dxfId="2">
      <formula>ISNUMBER(SEARCH("Urgent",X5))</formula>
    </cfRule>
    <cfRule type="expression" priority="109" dxfId="3">
      <formula>ISNUMBER(SEARCH("Cancelled",X5))</formula>
    </cfRule>
    <cfRule type="expression" priority="110" dxfId="3">
      <formula>ISNUMBER(SEARCH("On Hold",X5))</formula>
    </cfRule>
    <cfRule type="expression" priority="111" dxfId="3">
      <formula>ISNUMBER(SEARCH("Not Started",X5))</formula>
    </cfRule>
    <cfRule type="expression" priority="112" dxfId="3">
      <formula>ISNUMBER(SEARCH("Not Sent",X5))</formula>
    </cfRule>
    <cfRule type="expression" priority="113" dxfId="3">
      <formula>ISNUMBER(SEARCH("Draft",X5))</formula>
    </cfRule>
    <cfRule type="expression" priority="114" dxfId="3">
      <formula>ISNUMBER(SEARCH("Not Ordered",X5))</formula>
    </cfRule>
  </conditionalFormatting>
  <conditionalFormatting sqref="Y5:Y84">
    <cfRule type="expression" priority="115" dxfId="0">
      <formula>ISNUMBER(SEARCH("Approved",Y5))</formula>
    </cfRule>
    <cfRule type="expression" priority="116" dxfId="0">
      <formula>ISNUMBER(SEARCH("Installed",Y5))</formula>
    </cfRule>
    <cfRule type="expression" priority="117" dxfId="0">
      <formula>ISNUMBER(SEARCH("Delivered",Y5))</formula>
    </cfRule>
    <cfRule type="expression" priority="118" dxfId="0">
      <formula>ISNUMBER(SEARCH("Complete",Y5))</formula>
    </cfRule>
    <cfRule type="expression" priority="119" dxfId="0">
      <formula>ISNUMBER(SEARCH("Completed",Y5))</formula>
    </cfRule>
    <cfRule type="expression" priority="120" dxfId="0">
      <formula>ISNUMBER(SEARCH("Paid",Y5))</formula>
    </cfRule>
    <cfRule type="expression" priority="121" dxfId="0">
      <formula>ISNUMBER(SEARCH("Good Condition",Y5))</formula>
    </cfRule>
    <cfRule type="expression" priority="122" dxfId="0">
      <formula>ISNUMBER(SEARCH("Yes",Y5))</formula>
    </cfRule>
    <cfRule type="expression" priority="123" dxfId="1">
      <formula>ISNUMBER(SEARCH("Pending",Y5))</formula>
    </cfRule>
    <cfRule type="expression" priority="124" dxfId="1">
      <formula>ISNUMBER(SEARCH("In Progress",Y5))</formula>
    </cfRule>
    <cfRule type="expression" priority="125" dxfId="1">
      <formula>ISNUMBER(SEARCH("Sent",Y5))</formula>
    </cfRule>
    <cfRule type="expression" priority="126" dxfId="1">
      <formula>ISNUMBER(SEARCH("Client Review",Y5))</formula>
    </cfRule>
    <cfRule type="expression" priority="127" dxfId="1">
      <formula>ISNUMBER(SEARCH("Ordered",Y5))</formula>
    </cfRule>
    <cfRule type="expression" priority="128" dxfId="1">
      <formula>ISNUMBER(SEARCH("Shipped",Y5))</formula>
    </cfRule>
    <cfRule type="expression" priority="129" dxfId="1">
      <formula>ISNUMBER(SEARCH("Scheduled",Y5))</formula>
    </cfRule>
    <cfRule type="expression" priority="130" dxfId="1">
      <formula>ISNUMBER(SEARCH("Partially Paid",Y5))</formula>
    </cfRule>
    <cfRule type="expression" priority="131" dxfId="1">
      <formula>ISNUMBER(SEARCH("Waiting on Client",Y5))</formula>
    </cfRule>
    <cfRule type="expression" priority="132" dxfId="1">
      <formula>ISNUMBER(SEARCH("Waiting on Vendor",Y5))</formula>
    </cfRule>
    <cfRule type="expression" priority="133" dxfId="1">
      <formula>ISNUMBER(SEARCH("Sourcing",Y5))</formula>
    </cfRule>
    <cfRule type="expression" priority="134" dxfId="1">
      <formula>ISNUMBER(SEARCH("Option Selected",Y5))</formula>
    </cfRule>
    <cfRule type="expression" priority="135" dxfId="1">
      <formula>ISNUMBER(SEARCH("Confirmed",Y5))</formula>
    </cfRule>
    <cfRule type="expression" priority="136" dxfId="1">
      <formula>ISNUMBER(SEARCH("In Production",Y5))</formula>
    </cfRule>
    <cfRule type="expression" priority="137" dxfId="1">
      <formula>ISNUMBER(SEARCH("In Transit",Y5))</formula>
    </cfRule>
    <cfRule type="expression" priority="138" dxfId="1">
      <formula>ISNUMBER(SEARCH("Not Checked",Y5))</formula>
    </cfRule>
    <cfRule type="expression" priority="139" dxfId="2">
      <formula>ISNUMBER(SEARCH("Overdue",Y5))</formula>
    </cfRule>
    <cfRule type="expression" priority="140" dxfId="2">
      <formula>ISNUMBER(SEARCH("Delayed",Y5))</formula>
    </cfRule>
    <cfRule type="expression" priority="141" dxfId="2">
      <formula>ISNUMBER(SEARCH("Rejected",Y5))</formula>
    </cfRule>
    <cfRule type="expression" priority="142" dxfId="2">
      <formula>ISNUMBER(SEARCH("Damaged",Y5))</formula>
    </cfRule>
    <cfRule type="expression" priority="143" dxfId="2">
      <formula>ISNUMBER(SEARCH("Missing Item",Y5))</formula>
    </cfRule>
    <cfRule type="expression" priority="144" dxfId="2">
      <formula>ISNUMBER(SEARCH("Wrong Item",Y5))</formula>
    </cfRule>
    <cfRule type="expression" priority="145" dxfId="2">
      <formula>ISNUMBER(SEARCH("Backordered",Y5))</formula>
    </cfRule>
    <cfRule type="expression" priority="146" dxfId="2">
      <formula>ISNUMBER(SEARCH("Urgent",Y5))</formula>
    </cfRule>
    <cfRule type="expression" priority="147" dxfId="3">
      <formula>ISNUMBER(SEARCH("Cancelled",Y5))</formula>
    </cfRule>
    <cfRule type="expression" priority="148" dxfId="3">
      <formula>ISNUMBER(SEARCH("On Hold",Y5))</formula>
    </cfRule>
    <cfRule type="expression" priority="149" dxfId="3">
      <formula>ISNUMBER(SEARCH("Not Started",Y5))</formula>
    </cfRule>
    <cfRule type="expression" priority="150" dxfId="3">
      <formula>ISNUMBER(SEARCH("Not Sent",Y5))</formula>
    </cfRule>
    <cfRule type="expression" priority="151" dxfId="3">
      <formula>ISNUMBER(SEARCH("Draft",Y5))</formula>
    </cfRule>
    <cfRule type="expression" priority="152" dxfId="3">
      <formula>ISNUMBER(SEARCH("Not Ordered",Y5))</formula>
    </cfRule>
  </conditionalFormatting>
  <dataValidations count="7">
    <dataValidation sqref="B5:B84" showDropDown="0" showInputMessage="1" showErrorMessage="1" allowBlank="1" errorTitle="Invalid Entry" error="Please select a value from the dropdown list." promptTitle="Select" prompt="Choose from the list" type="list">
      <formula1>"Living Room,Master Bedroom,Kitchen,Dining Room,Home Office,Powder Room"</formula1>
    </dataValidation>
    <dataValidation sqref="C5:C84" showDropDown="0" showInputMessage="1" showErrorMessage="1" allowBlank="1" errorTitle="Invalid Entry" error="Please select a value from the dropdown list." promptTitle="Select" prompt="Choose from the list" type="list">
      <formula1>"Sofa,Chair,Table,Bed,Rug,Lighting,Artwork,Mirror,Window Treatment,Hardware,Plumbing Fixture,Appliance,Decor,Textile,Cabinetry,Flooring,Wallcovering,Other"</formula1>
    </dataValidation>
    <dataValidation sqref="K5:K84" showDropDown="0" showInputMessage="1" showErrorMessage="1" allowBlank="1" errorTitle="Invalid Entry" error="Please select a value from the dropdown list." promptTitle="Select" prompt="Choose from the list" type="list">
      <formula1>"Article,West Elm,CB2,Visual Comfort,Schoolhouse,Loloi,Wolf / Sub-Zero,Rejuvenation,Four Hands,Signature Hardware"</formula1>
    </dataValidation>
    <dataValidation sqref="V5:V84" showDropDown="0" showInputMessage="1" showErrorMessage="1" allowBlank="1" errorTitle="Invalid Entry" error="Please select a value from the dropdown list." promptTitle="Select" prompt="Choose from the list" type="list">
      <formula1>"Sourcing,Option Selected,Client Review,Approved,Ordered,Shipped,Delivered,Installed,Cancelled,Backordered,Not Ordered,Confirmed,In Production,Delayed,Returned"</formula1>
    </dataValidation>
    <dataValidation sqref="W5:W84" showDropDown="0" showInputMessage="1" showErrorMessage="1" allowBlank="1" errorTitle="Invalid Entry" error="Please select a value from the dropdown list." promptTitle="Select" prompt="Choose from the list" type="list">
      <formula1>"Not Sent,Sent,Approved,Revisions Requested,Rejected,On Hold"</formula1>
    </dataValidation>
    <dataValidation sqref="X5:X84" showDropDown="0" showInputMessage="1" showErrorMessage="1" allowBlank="1" errorTitle="Invalid Entry" error="Please select a value from the dropdown list." promptTitle="Select" prompt="Choose from the list" type="list">
      <formula1>"Not Ordered,Ordered,Shipped,In Transit,Delivered,Delayed,Partial,Cancelled"</formula1>
    </dataValidation>
    <dataValidation sqref="Y5:Y84" showDropDown="0" showInputMessage="1" showErrorMessage="1" allowBlank="1" errorTitle="Invalid Entry" error="Please select a value from the dropdown list." promptTitle="Select" prompt="Choose from the list" type="list">
      <formula1>"Not Scheduled,Scheduled,In Progress,Installed,Punch List,Complete,On Hold"</formula1>
    </dataValidation>
  </dataValidations>
  <pageMargins left="0.5" right="0.5" top="0.6" bottom="0.6" header="0.5" footer="0.5"/>
  <headerFooter>
    <oddHeader/>
    <oddFooter>&amp;C&amp;"Calibri"&amp;8 &amp;"Calibri"&amp;8Novality store  ·  Interior Design FF&amp;E Tracker  ·  Page &amp;P of &amp;N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tabColor rgb="008D6E63"/>
    <outlinePr summaryBelow="1" summaryRight="1"/>
    <pageSetUpPr/>
  </sheetPr>
  <dimension ref="A1:N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18" customWidth="1" min="3" max="3"/>
    <col width="10" customWidth="1" min="4" max="4"/>
    <col width="16" customWidth="1" min="5" max="5"/>
    <col width="22" customWidth="1" min="6" max="6"/>
    <col width="16" customWidth="1" min="7" max="7"/>
    <col width="14" customWidth="1" min="8" max="8"/>
    <col width="12" customWidth="1" min="9" max="9"/>
    <col width="14" customWidth="1" min="10" max="10"/>
    <col width="14" customWidth="1" min="11" max="11"/>
    <col width="14" customWidth="1" min="12" max="12"/>
    <col width="14" customWidth="1" min="13" max="13"/>
    <col width="28" customWidth="1" min="14" max="14"/>
  </cols>
  <sheetData>
    <row r="1" ht="38" customHeight="1">
      <c r="A1" s="51" t="inlineStr">
        <is>
          <t>FURNITURE SCHEDULE</t>
        </is>
      </c>
      <c r="B1" s="52" t="n"/>
      <c r="C1" s="52" t="n"/>
      <c r="D1" s="52" t="n"/>
      <c r="E1" s="52" t="n"/>
      <c r="F1" s="52" t="n"/>
      <c r="G1" s="52" t="n"/>
      <c r="H1" s="52" t="n"/>
      <c r="I1" s="52" t="n"/>
      <c r="J1" s="52" t="n"/>
      <c r="K1" s="52" t="n"/>
      <c r="L1" s="52" t="n"/>
      <c r="M1" s="52" t="n"/>
      <c r="N1" s="52" t="n"/>
    </row>
    <row r="2" ht="18" customHeight="1">
      <c r="A2" s="53" t="inlineStr">
        <is>
          <t>Furniture-only view — filtered from the broader FF&amp;E program  ·  Novality store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</row>
    <row r="3"/>
    <row r="4" ht="34" customHeight="1">
      <c r="A4" s="65" t="inlineStr">
        <is>
          <t>Room</t>
        </is>
      </c>
      <c r="B4" s="65" t="inlineStr">
        <is>
          <t>Furniture Item</t>
        </is>
      </c>
      <c r="C4" s="65" t="inlineStr">
        <is>
          <t>Dimensions</t>
        </is>
      </c>
      <c r="D4" s="65" t="inlineStr">
        <is>
          <t>Quantity</t>
        </is>
      </c>
      <c r="E4" s="65" t="inlineStr">
        <is>
          <t>Vendor</t>
        </is>
      </c>
      <c r="F4" s="65" t="inlineStr">
        <is>
          <t>Product Link</t>
        </is>
      </c>
      <c r="G4" s="65" t="inlineStr">
        <is>
          <t>Fabric/Material</t>
        </is>
      </c>
      <c r="H4" s="65" t="inlineStr">
        <is>
          <t>Finish</t>
        </is>
      </c>
      <c r="I4" s="65" t="inlineStr">
        <is>
          <t>Cost</t>
        </is>
      </c>
      <c r="J4" s="65" t="inlineStr">
        <is>
          <t>Approval Status</t>
        </is>
      </c>
      <c r="K4" s="65" t="inlineStr">
        <is>
          <t>Order Status</t>
        </is>
      </c>
      <c r="L4" s="65" t="inlineStr">
        <is>
          <t>Delivery Date</t>
        </is>
      </c>
      <c r="M4" s="65" t="inlineStr">
        <is>
          <t>Install Date</t>
        </is>
      </c>
      <c r="N4" s="65" t="inlineStr">
        <is>
          <t>Notes</t>
        </is>
      </c>
    </row>
    <row r="5">
      <c r="A5" s="66" t="inlineStr">
        <is>
          <t>Living Room</t>
        </is>
      </c>
      <c r="B5" s="66" t="inlineStr">
        <is>
          <t>Performance Sofa</t>
        </is>
      </c>
      <c r="C5" s="66" t="inlineStr">
        <is>
          <t>88"W x 40"D x 34"H</t>
        </is>
      </c>
      <c r="D5" s="67" t="n">
        <v>1</v>
      </c>
      <c r="E5" s="66" t="inlineStr">
        <is>
          <t>Article</t>
        </is>
      </c>
      <c r="F5" s="66" t="inlineStr">
        <is>
          <t>https://example.com/sofa</t>
        </is>
      </c>
      <c r="G5" s="66" t="inlineStr">
        <is>
          <t>Performance fabric</t>
        </is>
      </c>
      <c r="H5" s="66" t="inlineStr">
        <is>
          <t>Natural oak legs</t>
        </is>
      </c>
      <c r="I5" s="68" t="n">
        <v>2200.92</v>
      </c>
      <c r="J5" s="67" t="inlineStr">
        <is>
          <t>Approved</t>
        </is>
      </c>
      <c r="K5" s="67" t="inlineStr">
        <is>
          <t>Approved</t>
        </is>
      </c>
      <c r="L5" s="73" t="inlineStr"/>
      <c r="M5" s="73" t="inlineStr"/>
      <c r="N5" s="66" t="inlineStr">
        <is>
          <t>Client favorite</t>
        </is>
      </c>
    </row>
    <row r="6">
      <c r="A6" s="66" t="inlineStr">
        <is>
          <t>Living Room</t>
        </is>
      </c>
      <c r="B6" s="66" t="inlineStr">
        <is>
          <t>Accent Lounge Chair</t>
        </is>
      </c>
      <c r="C6" s="66" t="inlineStr">
        <is>
          <t>30"W x 32"D x 32"H</t>
        </is>
      </c>
      <c r="D6" s="67" t="n">
        <v>2</v>
      </c>
      <c r="E6" s="66" t="inlineStr">
        <is>
          <t>West Elm</t>
        </is>
      </c>
      <c r="F6" s="66" t="inlineStr">
        <is>
          <t>https://example.com/chair</t>
        </is>
      </c>
      <c r="G6" s="66" t="inlineStr">
        <is>
          <t>Boucle</t>
        </is>
      </c>
      <c r="H6" s="66" t="inlineStr">
        <is>
          <t>Black metal</t>
        </is>
      </c>
      <c r="I6" s="68" t="n">
        <v>1539.84</v>
      </c>
      <c r="J6" s="67" t="inlineStr">
        <is>
          <t>Approved</t>
        </is>
      </c>
      <c r="K6" s="67" t="inlineStr">
        <is>
          <t>Approved</t>
        </is>
      </c>
      <c r="L6" s="73" t="inlineStr"/>
      <c r="M6" s="73" t="inlineStr"/>
      <c r="N6" s="66" t="inlineStr"/>
    </row>
    <row r="7">
      <c r="A7" s="66" t="inlineStr">
        <is>
          <t>Living Room</t>
        </is>
      </c>
      <c r="B7" s="66" t="inlineStr">
        <is>
          <t>Coffee Table</t>
        </is>
      </c>
      <c r="C7" s="66" t="inlineStr">
        <is>
          <t>48"W x 28"D x 16"H</t>
        </is>
      </c>
      <c r="D7" s="67" t="n">
        <v>1</v>
      </c>
      <c r="E7" s="66" t="inlineStr">
        <is>
          <t>CB2</t>
        </is>
      </c>
      <c r="F7" s="66" t="inlineStr">
        <is>
          <t>https://example.com/table</t>
        </is>
      </c>
      <c r="G7" s="66" t="inlineStr">
        <is>
          <t>Marble/Brass</t>
        </is>
      </c>
      <c r="H7" s="66" t="inlineStr">
        <is>
          <t>Brushed brass</t>
        </is>
      </c>
      <c r="I7" s="68" t="n">
        <v>1070.92</v>
      </c>
      <c r="J7" s="67" t="inlineStr">
        <is>
          <t>Approved</t>
        </is>
      </c>
      <c r="K7" s="67" t="inlineStr">
        <is>
          <t>Ordered</t>
        </is>
      </c>
      <c r="L7" s="73" t="inlineStr"/>
      <c r="M7" s="73" t="inlineStr"/>
      <c r="N7" s="66" t="inlineStr"/>
    </row>
    <row r="8">
      <c r="A8" s="66" t="inlineStr">
        <is>
          <t>Living Room</t>
        </is>
      </c>
      <c r="B8" s="66" t="inlineStr">
        <is>
          <t>Area Rug 9x12</t>
        </is>
      </c>
      <c r="C8" s="66" t="inlineStr">
        <is>
          <t>9' x 12'</t>
        </is>
      </c>
      <c r="D8" s="67" t="n">
        <v>1</v>
      </c>
      <c r="E8" s="66" t="inlineStr">
        <is>
          <t>Loloi</t>
        </is>
      </c>
      <c r="F8" s="66" t="inlineStr">
        <is>
          <t>https://example.com/rug</t>
        </is>
      </c>
      <c r="G8" s="66" t="inlineStr">
        <is>
          <t>Wool</t>
        </is>
      </c>
      <c r="H8" s="66" t="inlineStr">
        <is>
          <t>Handwoven</t>
        </is>
      </c>
      <c r="I8" s="68" t="n">
        <v>1377.92</v>
      </c>
      <c r="J8" s="67" t="inlineStr">
        <is>
          <t>Approved</t>
        </is>
      </c>
      <c r="K8" s="67" t="inlineStr">
        <is>
          <t>Delivered</t>
        </is>
      </c>
      <c r="L8" s="73" t="inlineStr"/>
      <c r="M8" s="73" t="inlineStr"/>
      <c r="N8" s="66" t="inlineStr">
        <is>
          <t>Pad ordered separately</t>
        </is>
      </c>
    </row>
    <row r="9">
      <c r="A9" s="66" t="inlineStr">
        <is>
          <t>Master Bedroom</t>
        </is>
      </c>
      <c r="B9" s="66" t="inlineStr">
        <is>
          <t>Platform Bed King</t>
        </is>
      </c>
      <c r="C9" s="66" t="inlineStr">
        <is>
          <t>King</t>
        </is>
      </c>
      <c r="D9" s="67" t="n">
        <v>1</v>
      </c>
      <c r="E9" s="66" t="inlineStr">
        <is>
          <t>Article</t>
        </is>
      </c>
      <c r="F9" s="66" t="inlineStr">
        <is>
          <t>https://example.com/bed</t>
        </is>
      </c>
      <c r="G9" s="66" t="inlineStr">
        <is>
          <t>Linen</t>
        </is>
      </c>
      <c r="H9" s="66" t="inlineStr">
        <is>
          <t>Natural</t>
        </is>
      </c>
      <c r="I9" s="68" t="n">
        <v>1818.92</v>
      </c>
      <c r="J9" s="67" t="inlineStr">
        <is>
          <t>Sent</t>
        </is>
      </c>
      <c r="K9" s="67" t="inlineStr">
        <is>
          <t>Client Review</t>
        </is>
      </c>
      <c r="L9" s="73" t="inlineStr"/>
      <c r="M9" s="73" t="inlineStr"/>
      <c r="N9" s="66" t="inlineStr">
        <is>
          <t>Awaiting fabric confirmation</t>
        </is>
      </c>
    </row>
    <row r="10">
      <c r="A10" s="66" t="inlineStr">
        <is>
          <t>Dining Room</t>
        </is>
      </c>
      <c r="B10" s="66" t="inlineStr">
        <is>
          <t>Dining Table</t>
        </is>
      </c>
      <c r="C10" s="66" t="inlineStr">
        <is>
          <t>72-96"L x 40"W</t>
        </is>
      </c>
      <c r="D10" s="67" t="n">
        <v>1</v>
      </c>
      <c r="E10" s="66" t="inlineStr">
        <is>
          <t>Ethnicraft</t>
        </is>
      </c>
      <c r="F10" s="66" t="inlineStr">
        <is>
          <t>https://example.com/dining</t>
        </is>
      </c>
      <c r="G10" s="66" t="inlineStr">
        <is>
          <t>Oak</t>
        </is>
      </c>
      <c r="H10" s="66" t="inlineStr">
        <is>
          <t>White oak</t>
        </is>
      </c>
      <c r="I10" s="68" t="n">
        <v>2948.92</v>
      </c>
      <c r="J10" s="67" t="inlineStr">
        <is>
          <t>Not Sent</t>
        </is>
      </c>
      <c r="K10" s="67" t="inlineStr">
        <is>
          <t>Sourcing</t>
        </is>
      </c>
      <c r="L10" s="73" t="inlineStr"/>
      <c r="M10" s="73" t="inlineStr"/>
      <c r="N10" s="66" t="inlineStr">
        <is>
          <t>Comparing 3 options</t>
        </is>
      </c>
    </row>
    <row r="11">
      <c r="A11" s="66" t="inlineStr">
        <is>
          <t>Dining Room</t>
        </is>
      </c>
      <c r="B11" s="66" t="inlineStr">
        <is>
          <t>Dining Chairs</t>
        </is>
      </c>
      <c r="C11" s="66" t="inlineStr">
        <is>
          <t>19"W x 22"D x 33"H</t>
        </is>
      </c>
      <c r="D11" s="67" t="n">
        <v>6</v>
      </c>
      <c r="E11" s="66" t="inlineStr">
        <is>
          <t>Four Hands</t>
        </is>
      </c>
      <c r="F11" s="66" t="inlineStr">
        <is>
          <t>https://example.com/dchair</t>
        </is>
      </c>
      <c r="G11" s="66" t="inlineStr">
        <is>
          <t>Performance fabric</t>
        </is>
      </c>
      <c r="H11" s="66" t="inlineStr">
        <is>
          <t>Oak legs</t>
        </is>
      </c>
      <c r="I11" s="68" t="n">
        <v>2281.52</v>
      </c>
      <c r="J11" s="67" t="inlineStr">
        <is>
          <t>Not Sent</t>
        </is>
      </c>
      <c r="K11" s="67" t="inlineStr">
        <is>
          <t>Option Selected</t>
        </is>
      </c>
      <c r="L11" s="73" t="inlineStr"/>
      <c r="M11" s="73" t="inlineStr"/>
      <c r="N11" s="66" t="inlineStr"/>
    </row>
    <row r="12">
      <c r="A12" s="66" t="inlineStr">
        <is>
          <t>Home Office</t>
        </is>
      </c>
      <c r="B12" s="66" t="inlineStr">
        <is>
          <t>Desk Chair</t>
        </is>
      </c>
      <c r="C12" s="66" t="inlineStr">
        <is>
          <t>Standard</t>
        </is>
      </c>
      <c r="D12" s="67" t="n">
        <v>1</v>
      </c>
      <c r="E12" s="66" t="inlineStr">
        <is>
          <t>Herman Miller</t>
        </is>
      </c>
      <c r="F12" s="66" t="inlineStr">
        <is>
          <t>https://example.com/aeron</t>
        </is>
      </c>
      <c r="G12" s="66" t="inlineStr">
        <is>
          <t>Mesh/Leather</t>
        </is>
      </c>
      <c r="H12" s="66" t="inlineStr">
        <is>
          <t>Black</t>
        </is>
      </c>
      <c r="I12" s="68" t="n">
        <v>1406.6</v>
      </c>
      <c r="J12" s="67" t="inlineStr">
        <is>
          <t>Not Sent</t>
        </is>
      </c>
      <c r="K12" s="67" t="inlineStr">
        <is>
          <t>Sourcing</t>
        </is>
      </c>
      <c r="L12" s="73" t="inlineStr"/>
      <c r="M12" s="73" t="inlineStr"/>
      <c r="N12" s="66" t="inlineStr">
        <is>
          <t>Budget check needed</t>
        </is>
      </c>
    </row>
    <row r="13">
      <c r="A13" s="66" t="n"/>
      <c r="B13" s="66" t="n"/>
      <c r="C13" s="66" t="n"/>
      <c r="D13" s="66" t="n"/>
      <c r="E13" s="66" t="n"/>
      <c r="F13" s="66" t="n"/>
      <c r="G13" s="66" t="n"/>
      <c r="H13" s="66" t="n"/>
      <c r="I13" s="68" t="n"/>
      <c r="J13" s="66" t="n"/>
      <c r="K13" s="66" t="n"/>
      <c r="L13" s="73" t="n"/>
      <c r="M13" s="73" t="n"/>
      <c r="N13" s="66" t="n"/>
    </row>
    <row r="14">
      <c r="A14" s="66" t="n"/>
      <c r="B14" s="66" t="n"/>
      <c r="C14" s="66" t="n"/>
      <c r="D14" s="66" t="n"/>
      <c r="E14" s="66" t="n"/>
      <c r="F14" s="66" t="n"/>
      <c r="G14" s="66" t="n"/>
      <c r="H14" s="66" t="n"/>
      <c r="I14" s="68" t="n"/>
      <c r="J14" s="66" t="n"/>
      <c r="K14" s="66" t="n"/>
      <c r="L14" s="73" t="n"/>
      <c r="M14" s="73" t="n"/>
      <c r="N14" s="66" t="n"/>
    </row>
    <row r="15">
      <c r="A15" s="66" t="n"/>
      <c r="B15" s="66" t="n"/>
      <c r="C15" s="66" t="n"/>
      <c r="D15" s="66" t="n"/>
      <c r="E15" s="66" t="n"/>
      <c r="F15" s="66" t="n"/>
      <c r="G15" s="66" t="n"/>
      <c r="H15" s="66" t="n"/>
      <c r="I15" s="68" t="n"/>
      <c r="J15" s="66" t="n"/>
      <c r="K15" s="66" t="n"/>
      <c r="L15" s="73" t="n"/>
      <c r="M15" s="73" t="n"/>
      <c r="N15" s="66" t="n"/>
    </row>
    <row r="16">
      <c r="A16" s="66" t="n"/>
      <c r="B16" s="66" t="n"/>
      <c r="C16" s="66" t="n"/>
      <c r="D16" s="66" t="n"/>
      <c r="E16" s="66" t="n"/>
      <c r="F16" s="66" t="n"/>
      <c r="G16" s="66" t="n"/>
      <c r="H16" s="66" t="n"/>
      <c r="I16" s="68" t="n"/>
      <c r="J16" s="66" t="n"/>
      <c r="K16" s="66" t="n"/>
      <c r="L16" s="73" t="n"/>
      <c r="M16" s="73" t="n"/>
      <c r="N16" s="66" t="n"/>
    </row>
    <row r="17">
      <c r="A17" s="66" t="n"/>
      <c r="B17" s="66" t="n"/>
      <c r="C17" s="66" t="n"/>
      <c r="D17" s="66" t="n"/>
      <c r="E17" s="66" t="n"/>
      <c r="F17" s="66" t="n"/>
      <c r="G17" s="66" t="n"/>
      <c r="H17" s="66" t="n"/>
      <c r="I17" s="68" t="n"/>
      <c r="J17" s="66" t="n"/>
      <c r="K17" s="66" t="n"/>
      <c r="L17" s="73" t="n"/>
      <c r="M17" s="73" t="n"/>
      <c r="N17" s="66" t="n"/>
    </row>
    <row r="18">
      <c r="A18" s="66" t="n"/>
      <c r="B18" s="66" t="n"/>
      <c r="C18" s="66" t="n"/>
      <c r="D18" s="66" t="n"/>
      <c r="E18" s="66" t="n"/>
      <c r="F18" s="66" t="n"/>
      <c r="G18" s="66" t="n"/>
      <c r="H18" s="66" t="n"/>
      <c r="I18" s="68" t="n"/>
      <c r="J18" s="66" t="n"/>
      <c r="K18" s="66" t="n"/>
      <c r="L18" s="73" t="n"/>
      <c r="M18" s="73" t="n"/>
      <c r="N18" s="66" t="n"/>
    </row>
    <row r="19">
      <c r="A19" s="66" t="n"/>
      <c r="B19" s="66" t="n"/>
      <c r="C19" s="66" t="n"/>
      <c r="D19" s="66" t="n"/>
      <c r="E19" s="66" t="n"/>
      <c r="F19" s="66" t="n"/>
      <c r="G19" s="66" t="n"/>
      <c r="H19" s="66" t="n"/>
      <c r="I19" s="68" t="n"/>
      <c r="J19" s="66" t="n"/>
      <c r="K19" s="66" t="n"/>
      <c r="L19" s="73" t="n"/>
      <c r="M19" s="73" t="n"/>
      <c r="N19" s="66" t="n"/>
    </row>
    <row r="20">
      <c r="A20" s="66" t="n"/>
      <c r="B20" s="66" t="n"/>
      <c r="C20" s="66" t="n"/>
      <c r="D20" s="66" t="n"/>
      <c r="E20" s="66" t="n"/>
      <c r="F20" s="66" t="n"/>
      <c r="G20" s="66" t="n"/>
      <c r="H20" s="66" t="n"/>
      <c r="I20" s="68" t="n"/>
      <c r="J20" s="66" t="n"/>
      <c r="K20" s="66" t="n"/>
      <c r="L20" s="73" t="n"/>
      <c r="M20" s="73" t="n"/>
      <c r="N20" s="66" t="n"/>
    </row>
    <row r="21">
      <c r="A21" s="66" t="n"/>
      <c r="B21" s="66" t="n"/>
      <c r="C21" s="66" t="n"/>
      <c r="D21" s="66" t="n"/>
      <c r="E21" s="66" t="n"/>
      <c r="F21" s="66" t="n"/>
      <c r="G21" s="66" t="n"/>
      <c r="H21" s="66" t="n"/>
      <c r="I21" s="68" t="n"/>
      <c r="J21" s="66" t="n"/>
      <c r="K21" s="66" t="n"/>
      <c r="L21" s="73" t="n"/>
      <c r="M21" s="73" t="n"/>
      <c r="N21" s="66" t="n"/>
    </row>
    <row r="22">
      <c r="A22" s="66" t="n"/>
      <c r="B22" s="66" t="n"/>
      <c r="C22" s="66" t="n"/>
      <c r="D22" s="66" t="n"/>
      <c r="E22" s="66" t="n"/>
      <c r="F22" s="66" t="n"/>
      <c r="G22" s="66" t="n"/>
      <c r="H22" s="66" t="n"/>
      <c r="I22" s="68" t="n"/>
      <c r="J22" s="66" t="n"/>
      <c r="K22" s="66" t="n"/>
      <c r="L22" s="73" t="n"/>
      <c r="M22" s="73" t="n"/>
      <c r="N22" s="66" t="n"/>
    </row>
    <row r="23">
      <c r="A23" s="66" t="n"/>
      <c r="B23" s="66" t="n"/>
      <c r="C23" s="66" t="n"/>
      <c r="D23" s="66" t="n"/>
      <c r="E23" s="66" t="n"/>
      <c r="F23" s="66" t="n"/>
      <c r="G23" s="66" t="n"/>
      <c r="H23" s="66" t="n"/>
      <c r="I23" s="68" t="n"/>
      <c r="J23" s="66" t="n"/>
      <c r="K23" s="66" t="n"/>
      <c r="L23" s="73" t="n"/>
      <c r="M23" s="73" t="n"/>
      <c r="N23" s="66" t="n"/>
    </row>
    <row r="24">
      <c r="A24" s="66" t="n"/>
      <c r="B24" s="66" t="n"/>
      <c r="C24" s="66" t="n"/>
      <c r="D24" s="66" t="n"/>
      <c r="E24" s="66" t="n"/>
      <c r="F24" s="66" t="n"/>
      <c r="G24" s="66" t="n"/>
      <c r="H24" s="66" t="n"/>
      <c r="I24" s="68" t="n"/>
      <c r="J24" s="66" t="n"/>
      <c r="K24" s="66" t="n"/>
      <c r="L24" s="73" t="n"/>
      <c r="M24" s="73" t="n"/>
      <c r="N24" s="66" t="n"/>
    </row>
    <row r="25">
      <c r="A25" s="66" t="n"/>
      <c r="B25" s="66" t="n"/>
      <c r="C25" s="66" t="n"/>
      <c r="D25" s="66" t="n"/>
      <c r="E25" s="66" t="n"/>
      <c r="F25" s="66" t="n"/>
      <c r="G25" s="66" t="n"/>
      <c r="H25" s="66" t="n"/>
      <c r="I25" s="68" t="n"/>
      <c r="J25" s="66" t="n"/>
      <c r="K25" s="66" t="n"/>
      <c r="L25" s="73" t="n"/>
      <c r="M25" s="73" t="n"/>
      <c r="N25" s="66" t="n"/>
    </row>
    <row r="26">
      <c r="A26" s="66" t="n"/>
      <c r="B26" s="66" t="n"/>
      <c r="C26" s="66" t="n"/>
      <c r="D26" s="66" t="n"/>
      <c r="E26" s="66" t="n"/>
      <c r="F26" s="66" t="n"/>
      <c r="G26" s="66" t="n"/>
      <c r="H26" s="66" t="n"/>
      <c r="I26" s="68" t="n"/>
      <c r="J26" s="66" t="n"/>
      <c r="K26" s="66" t="n"/>
      <c r="L26" s="73" t="n"/>
      <c r="M26" s="73" t="n"/>
      <c r="N26" s="66" t="n"/>
    </row>
    <row r="27">
      <c r="A27" s="66" t="n"/>
      <c r="B27" s="66" t="n"/>
      <c r="C27" s="66" t="n"/>
      <c r="D27" s="66" t="n"/>
      <c r="E27" s="66" t="n"/>
      <c r="F27" s="66" t="n"/>
      <c r="G27" s="66" t="n"/>
      <c r="H27" s="66" t="n"/>
      <c r="I27" s="68" t="n"/>
      <c r="J27" s="66" t="n"/>
      <c r="K27" s="66" t="n"/>
      <c r="L27" s="73" t="n"/>
      <c r="M27" s="73" t="n"/>
      <c r="N27" s="66" t="n"/>
    </row>
    <row r="28">
      <c r="A28" s="66" t="n"/>
      <c r="B28" s="66" t="n"/>
      <c r="C28" s="66" t="n"/>
      <c r="D28" s="66" t="n"/>
      <c r="E28" s="66" t="n"/>
      <c r="F28" s="66" t="n"/>
      <c r="G28" s="66" t="n"/>
      <c r="H28" s="66" t="n"/>
      <c r="I28" s="68" t="n"/>
      <c r="J28" s="66" t="n"/>
      <c r="K28" s="66" t="n"/>
      <c r="L28" s="73" t="n"/>
      <c r="M28" s="73" t="n"/>
      <c r="N28" s="66" t="n"/>
    </row>
    <row r="29">
      <c r="A29" s="66" t="n"/>
      <c r="B29" s="66" t="n"/>
      <c r="C29" s="66" t="n"/>
      <c r="D29" s="66" t="n"/>
      <c r="E29" s="66" t="n"/>
      <c r="F29" s="66" t="n"/>
      <c r="G29" s="66" t="n"/>
      <c r="H29" s="66" t="n"/>
      <c r="I29" s="68" t="n"/>
      <c r="J29" s="66" t="n"/>
      <c r="K29" s="66" t="n"/>
      <c r="L29" s="73" t="n"/>
      <c r="M29" s="73" t="n"/>
      <c r="N29" s="66" t="n"/>
    </row>
    <row r="30">
      <c r="A30" s="66" t="n"/>
      <c r="B30" s="66" t="n"/>
      <c r="C30" s="66" t="n"/>
      <c r="D30" s="66" t="n"/>
      <c r="E30" s="66" t="n"/>
      <c r="F30" s="66" t="n"/>
      <c r="G30" s="66" t="n"/>
      <c r="H30" s="66" t="n"/>
      <c r="I30" s="68" t="n"/>
      <c r="J30" s="66" t="n"/>
      <c r="K30" s="66" t="n"/>
      <c r="L30" s="73" t="n"/>
      <c r="M30" s="73" t="n"/>
      <c r="N30" s="66" t="n"/>
    </row>
    <row r="31">
      <c r="A31" s="66" t="n"/>
      <c r="B31" s="66" t="n"/>
      <c r="C31" s="66" t="n"/>
      <c r="D31" s="66" t="n"/>
      <c r="E31" s="66" t="n"/>
      <c r="F31" s="66" t="n"/>
      <c r="G31" s="66" t="n"/>
      <c r="H31" s="66" t="n"/>
      <c r="I31" s="68" t="n"/>
      <c r="J31" s="66" t="n"/>
      <c r="K31" s="66" t="n"/>
      <c r="L31" s="73" t="n"/>
      <c r="M31" s="73" t="n"/>
      <c r="N31" s="66" t="n"/>
    </row>
    <row r="32">
      <c r="A32" s="66" t="n"/>
      <c r="B32" s="66" t="n"/>
      <c r="C32" s="66" t="n"/>
      <c r="D32" s="66" t="n"/>
      <c r="E32" s="66" t="n"/>
      <c r="F32" s="66" t="n"/>
      <c r="G32" s="66" t="n"/>
      <c r="H32" s="66" t="n"/>
      <c r="I32" s="68" t="n"/>
      <c r="J32" s="66" t="n"/>
      <c r="K32" s="66" t="n"/>
      <c r="L32" s="73" t="n"/>
      <c r="M32" s="73" t="n"/>
      <c r="N32" s="66" t="n"/>
    </row>
    <row r="33">
      <c r="A33" s="66" t="n"/>
      <c r="B33" s="66" t="n"/>
      <c r="C33" s="66" t="n"/>
      <c r="D33" s="66" t="n"/>
      <c r="E33" s="66" t="n"/>
      <c r="F33" s="66" t="n"/>
      <c r="G33" s="66" t="n"/>
      <c r="H33" s="66" t="n"/>
      <c r="I33" s="68" t="n"/>
      <c r="J33" s="66" t="n"/>
      <c r="K33" s="66" t="n"/>
      <c r="L33" s="73" t="n"/>
      <c r="M33" s="73" t="n"/>
      <c r="N33" s="66" t="n"/>
    </row>
    <row r="34">
      <c r="A34" s="66" t="n"/>
      <c r="B34" s="66" t="n"/>
      <c r="C34" s="66" t="n"/>
      <c r="D34" s="66" t="n"/>
      <c r="E34" s="66" t="n"/>
      <c r="F34" s="66" t="n"/>
      <c r="G34" s="66" t="n"/>
      <c r="H34" s="66" t="n"/>
      <c r="I34" s="68" t="n"/>
      <c r="J34" s="66" t="n"/>
      <c r="K34" s="66" t="n"/>
      <c r="L34" s="73" t="n"/>
      <c r="M34" s="73" t="n"/>
      <c r="N34" s="66" t="n"/>
    </row>
    <row r="35">
      <c r="A35" s="66" t="n"/>
      <c r="B35" s="66" t="n"/>
      <c r="C35" s="66" t="n"/>
      <c r="D35" s="66" t="n"/>
      <c r="E35" s="66" t="n"/>
      <c r="F35" s="66" t="n"/>
      <c r="G35" s="66" t="n"/>
      <c r="H35" s="66" t="n"/>
      <c r="I35" s="68" t="n"/>
      <c r="J35" s="66" t="n"/>
      <c r="K35" s="66" t="n"/>
      <c r="L35" s="73" t="n"/>
      <c r="M35" s="73" t="n"/>
      <c r="N35" s="66" t="n"/>
    </row>
    <row r="36">
      <c r="A36" s="66" t="n"/>
      <c r="B36" s="66" t="n"/>
      <c r="C36" s="66" t="n"/>
      <c r="D36" s="66" t="n"/>
      <c r="E36" s="66" t="n"/>
      <c r="F36" s="66" t="n"/>
      <c r="G36" s="66" t="n"/>
      <c r="H36" s="66" t="n"/>
      <c r="I36" s="68" t="n"/>
      <c r="J36" s="66" t="n"/>
      <c r="K36" s="66" t="n"/>
      <c r="L36" s="73" t="n"/>
      <c r="M36" s="73" t="n"/>
      <c r="N36" s="66" t="n"/>
    </row>
    <row r="37">
      <c r="A37" s="66" t="n"/>
      <c r="B37" s="66" t="n"/>
      <c r="C37" s="66" t="n"/>
      <c r="D37" s="66" t="n"/>
      <c r="E37" s="66" t="n"/>
      <c r="F37" s="66" t="n"/>
      <c r="G37" s="66" t="n"/>
      <c r="H37" s="66" t="n"/>
      <c r="I37" s="68" t="n"/>
      <c r="J37" s="66" t="n"/>
      <c r="K37" s="66" t="n"/>
      <c r="L37" s="73" t="n"/>
      <c r="M37" s="73" t="n"/>
      <c r="N37" s="66" t="n"/>
    </row>
    <row r="38">
      <c r="A38" s="66" t="n"/>
      <c r="B38" s="66" t="n"/>
      <c r="C38" s="66" t="n"/>
      <c r="D38" s="66" t="n"/>
      <c r="E38" s="66" t="n"/>
      <c r="F38" s="66" t="n"/>
      <c r="G38" s="66" t="n"/>
      <c r="H38" s="66" t="n"/>
      <c r="I38" s="68" t="n"/>
      <c r="J38" s="66" t="n"/>
      <c r="K38" s="66" t="n"/>
      <c r="L38" s="73" t="n"/>
      <c r="M38" s="73" t="n"/>
      <c r="N38" s="66" t="n"/>
    </row>
    <row r="39">
      <c r="A39" s="66" t="n"/>
      <c r="B39" s="66" t="n"/>
      <c r="C39" s="66" t="n"/>
      <c r="D39" s="66" t="n"/>
      <c r="E39" s="66" t="n"/>
      <c r="F39" s="66" t="n"/>
      <c r="G39" s="66" t="n"/>
      <c r="H39" s="66" t="n"/>
      <c r="I39" s="68" t="n"/>
      <c r="J39" s="66" t="n"/>
      <c r="K39" s="66" t="n"/>
      <c r="L39" s="73" t="n"/>
      <c r="M39" s="73" t="n"/>
      <c r="N39" s="66" t="n"/>
    </row>
    <row r="40">
      <c r="A40" s="66" t="n"/>
      <c r="B40" s="66" t="n"/>
      <c r="C40" s="66" t="n"/>
      <c r="D40" s="66" t="n"/>
      <c r="E40" s="66" t="n"/>
      <c r="F40" s="66" t="n"/>
      <c r="G40" s="66" t="n"/>
      <c r="H40" s="66" t="n"/>
      <c r="I40" s="68" t="n"/>
      <c r="J40" s="66" t="n"/>
      <c r="K40" s="66" t="n"/>
      <c r="L40" s="73" t="n"/>
      <c r="M40" s="73" t="n"/>
      <c r="N40" s="66" t="n"/>
    </row>
    <row r="41">
      <c r="A41" s="66" t="n"/>
      <c r="B41" s="66" t="n"/>
      <c r="C41" s="66" t="n"/>
      <c r="D41" s="66" t="n"/>
      <c r="E41" s="66" t="n"/>
      <c r="F41" s="66" t="n"/>
      <c r="G41" s="66" t="n"/>
      <c r="H41" s="66" t="n"/>
      <c r="I41" s="68" t="n"/>
      <c r="J41" s="66" t="n"/>
      <c r="K41" s="66" t="n"/>
      <c r="L41" s="73" t="n"/>
      <c r="M41" s="73" t="n"/>
      <c r="N41" s="66" t="n"/>
    </row>
    <row r="42">
      <c r="A42" s="66" t="n"/>
      <c r="B42" s="66" t="n"/>
      <c r="C42" s="66" t="n"/>
      <c r="D42" s="66" t="n"/>
      <c r="E42" s="66" t="n"/>
      <c r="F42" s="66" t="n"/>
      <c r="G42" s="66" t="n"/>
      <c r="H42" s="66" t="n"/>
      <c r="I42" s="68" t="n"/>
      <c r="J42" s="66" t="n"/>
      <c r="K42" s="66" t="n"/>
      <c r="L42" s="73" t="n"/>
      <c r="M42" s="73" t="n"/>
      <c r="N42" s="66" t="n"/>
    </row>
    <row r="43">
      <c r="A43" s="66" t="n"/>
      <c r="B43" s="66" t="n"/>
      <c r="C43" s="66" t="n"/>
      <c r="D43" s="66" t="n"/>
      <c r="E43" s="66" t="n"/>
      <c r="F43" s="66" t="n"/>
      <c r="G43" s="66" t="n"/>
      <c r="H43" s="66" t="n"/>
      <c r="I43" s="68" t="n"/>
      <c r="J43" s="66" t="n"/>
      <c r="K43" s="66" t="n"/>
      <c r="L43" s="73" t="n"/>
      <c r="M43" s="73" t="n"/>
      <c r="N43" s="66" t="n"/>
    </row>
    <row r="44">
      <c r="A44" s="66" t="n"/>
      <c r="B44" s="66" t="n"/>
      <c r="C44" s="66" t="n"/>
      <c r="D44" s="66" t="n"/>
      <c r="E44" s="66" t="n"/>
      <c r="F44" s="66" t="n"/>
      <c r="G44" s="66" t="n"/>
      <c r="H44" s="66" t="n"/>
      <c r="I44" s="68" t="n"/>
      <c r="J44" s="66" t="n"/>
      <c r="K44" s="66" t="n"/>
      <c r="L44" s="73" t="n"/>
      <c r="M44" s="73" t="n"/>
      <c r="N44" s="66" t="n"/>
    </row>
    <row r="45">
      <c r="A45" s="66" t="n"/>
      <c r="B45" s="66" t="n"/>
      <c r="C45" s="66" t="n"/>
      <c r="D45" s="66" t="n"/>
      <c r="E45" s="66" t="n"/>
      <c r="F45" s="66" t="n"/>
      <c r="G45" s="66" t="n"/>
      <c r="H45" s="66" t="n"/>
      <c r="I45" s="68" t="n"/>
      <c r="J45" s="66" t="n"/>
      <c r="K45" s="66" t="n"/>
      <c r="L45" s="73" t="n"/>
      <c r="M45" s="73" t="n"/>
      <c r="N45" s="66" t="n"/>
    </row>
    <row r="46">
      <c r="A46" s="66" t="n"/>
      <c r="B46" s="66" t="n"/>
      <c r="C46" s="66" t="n"/>
      <c r="D46" s="66" t="n"/>
      <c r="E46" s="66" t="n"/>
      <c r="F46" s="66" t="n"/>
      <c r="G46" s="66" t="n"/>
      <c r="H46" s="66" t="n"/>
      <c r="I46" s="68" t="n"/>
      <c r="J46" s="66" t="n"/>
      <c r="K46" s="66" t="n"/>
      <c r="L46" s="73" t="n"/>
      <c r="M46" s="73" t="n"/>
      <c r="N46" s="66" t="n"/>
    </row>
    <row r="47">
      <c r="A47" s="66" t="n"/>
      <c r="B47" s="66" t="n"/>
      <c r="C47" s="66" t="n"/>
      <c r="D47" s="66" t="n"/>
      <c r="E47" s="66" t="n"/>
      <c r="F47" s="66" t="n"/>
      <c r="G47" s="66" t="n"/>
      <c r="H47" s="66" t="n"/>
      <c r="I47" s="68" t="n"/>
      <c r="J47" s="66" t="n"/>
      <c r="K47" s="66" t="n"/>
      <c r="L47" s="73" t="n"/>
      <c r="M47" s="73" t="n"/>
      <c r="N47" s="66" t="n"/>
    </row>
    <row r="48">
      <c r="A48" s="66" t="n"/>
      <c r="B48" s="66" t="n"/>
      <c r="C48" s="66" t="n"/>
      <c r="D48" s="66" t="n"/>
      <c r="E48" s="66" t="n"/>
      <c r="F48" s="66" t="n"/>
      <c r="G48" s="66" t="n"/>
      <c r="H48" s="66" t="n"/>
      <c r="I48" s="68" t="n"/>
      <c r="J48" s="66" t="n"/>
      <c r="K48" s="66" t="n"/>
      <c r="L48" s="73" t="n"/>
      <c r="M48" s="73" t="n"/>
      <c r="N48" s="66" t="n"/>
    </row>
    <row r="49">
      <c r="A49" s="66" t="n"/>
      <c r="B49" s="66" t="n"/>
      <c r="C49" s="66" t="n"/>
      <c r="D49" s="66" t="n"/>
      <c r="E49" s="66" t="n"/>
      <c r="F49" s="66" t="n"/>
      <c r="G49" s="66" t="n"/>
      <c r="H49" s="66" t="n"/>
      <c r="I49" s="68" t="n"/>
      <c r="J49" s="66" t="n"/>
      <c r="K49" s="66" t="n"/>
      <c r="L49" s="73" t="n"/>
      <c r="M49" s="73" t="n"/>
      <c r="N49" s="66" t="n"/>
    </row>
    <row r="50">
      <c r="A50" s="56" t="n"/>
      <c r="B50" s="56" t="n"/>
      <c r="C50" s="56" t="n"/>
      <c r="D50" s="56" t="n"/>
      <c r="E50" s="56" t="n"/>
      <c r="F50" s="56" t="n"/>
      <c r="G50" s="56" t="n"/>
      <c r="H50" s="56" t="n"/>
      <c r="I50" s="56" t="n"/>
      <c r="J50" s="56" t="n"/>
      <c r="K50" s="56" t="n"/>
      <c r="L50" s="56" t="n"/>
      <c r="M50" s="56" t="n"/>
      <c r="N50" s="56" t="n"/>
    </row>
    <row r="51">
      <c r="A51" s="56" t="n"/>
      <c r="B51" s="56" t="n"/>
      <c r="C51" s="56" t="n"/>
      <c r="D51" s="56" t="n"/>
      <c r="E51" s="56" t="n"/>
      <c r="F51" s="56" t="n"/>
      <c r="G51" s="56" t="n"/>
      <c r="H51" s="56" t="n"/>
      <c r="I51" s="56" t="n"/>
      <c r="J51" s="56" t="n"/>
      <c r="K51" s="56" t="n"/>
      <c r="L51" s="56" t="n"/>
      <c r="M51" s="56" t="n"/>
      <c r="N51" s="56" t="n"/>
    </row>
    <row r="52">
      <c r="A52" s="56" t="n"/>
      <c r="B52" s="56" t="n"/>
      <c r="C52" s="56" t="n"/>
      <c r="D52" s="56" t="n"/>
      <c r="E52" s="56" t="n"/>
      <c r="F52" s="56" t="n"/>
      <c r="G52" s="56" t="n"/>
      <c r="H52" s="56" t="n"/>
      <c r="I52" s="56" t="n"/>
      <c r="J52" s="56" t="n"/>
      <c r="K52" s="56" t="n"/>
      <c r="L52" s="56" t="n"/>
      <c r="M52" s="56" t="n"/>
      <c r="N52" s="56" t="n"/>
    </row>
    <row r="53">
      <c r="A53" s="56" t="n"/>
      <c r="B53" s="56" t="n"/>
      <c r="C53" s="56" t="n"/>
      <c r="D53" s="56" t="n"/>
      <c r="E53" s="56" t="n"/>
      <c r="F53" s="56" t="n"/>
      <c r="G53" s="56" t="n"/>
      <c r="H53" s="56" t="n"/>
      <c r="I53" s="56" t="n"/>
      <c r="J53" s="56" t="n"/>
      <c r="K53" s="56" t="n"/>
      <c r="L53" s="56" t="n"/>
      <c r="M53" s="56" t="n"/>
      <c r="N53" s="56" t="n"/>
    </row>
    <row r="54">
      <c r="A54" s="56" t="n"/>
      <c r="B54" s="56" t="n"/>
      <c r="C54" s="56" t="n"/>
      <c r="D54" s="56" t="n"/>
      <c r="E54" s="56" t="n"/>
      <c r="F54" s="56" t="n"/>
      <c r="G54" s="56" t="n"/>
      <c r="H54" s="56" t="n"/>
      <c r="I54" s="56" t="n"/>
      <c r="J54" s="56" t="n"/>
      <c r="K54" s="56" t="n"/>
      <c r="L54" s="56" t="n"/>
      <c r="M54" s="56" t="n"/>
      <c r="N54" s="56" t="n"/>
    </row>
  </sheetData>
  <sheetProtection selectLockedCells="0" selectUnlockedCells="0" sheet="1" objects="0" insertRows="0" insertHyperlinks="0" autoFilter="0" scenarios="1" formatColumns="0" deleteColumns="1" insertColumns="1" pivotTables="1" deleteRows="0" formatCells="0" formatRows="0" sort="0" password="EC7C"/>
  <autoFilter ref="A4:N49"/>
  <mergeCells count="2">
    <mergeCell ref="A2:N2"/>
    <mergeCell ref="A1:N1"/>
  </mergeCells>
  <conditionalFormatting sqref="J5:J49">
    <cfRule type="expression" priority="1" dxfId="0">
      <formula>ISNUMBER(SEARCH("Approved",J5))</formula>
    </cfRule>
    <cfRule type="expression" priority="2" dxfId="0">
      <formula>ISNUMBER(SEARCH("Installed",J5))</formula>
    </cfRule>
    <cfRule type="expression" priority="3" dxfId="0">
      <formula>ISNUMBER(SEARCH("Delivered",J5))</formula>
    </cfRule>
    <cfRule type="expression" priority="4" dxfId="0">
      <formula>ISNUMBER(SEARCH("Complete",J5))</formula>
    </cfRule>
    <cfRule type="expression" priority="5" dxfId="0">
      <formula>ISNUMBER(SEARCH("Completed",J5))</formula>
    </cfRule>
    <cfRule type="expression" priority="6" dxfId="0">
      <formula>ISNUMBER(SEARCH("Paid",J5))</formula>
    </cfRule>
    <cfRule type="expression" priority="7" dxfId="0">
      <formula>ISNUMBER(SEARCH("Good Condition",J5))</formula>
    </cfRule>
    <cfRule type="expression" priority="8" dxfId="0">
      <formula>ISNUMBER(SEARCH("Yes",J5))</formula>
    </cfRule>
    <cfRule type="expression" priority="9" dxfId="1">
      <formula>ISNUMBER(SEARCH("Pending",J5))</formula>
    </cfRule>
    <cfRule type="expression" priority="10" dxfId="1">
      <formula>ISNUMBER(SEARCH("In Progress",J5))</formula>
    </cfRule>
    <cfRule type="expression" priority="11" dxfId="1">
      <formula>ISNUMBER(SEARCH("Sent",J5))</formula>
    </cfRule>
    <cfRule type="expression" priority="12" dxfId="1">
      <formula>ISNUMBER(SEARCH("Client Review",J5))</formula>
    </cfRule>
    <cfRule type="expression" priority="13" dxfId="1">
      <formula>ISNUMBER(SEARCH("Ordered",J5))</formula>
    </cfRule>
    <cfRule type="expression" priority="14" dxfId="1">
      <formula>ISNUMBER(SEARCH("Shipped",J5))</formula>
    </cfRule>
    <cfRule type="expression" priority="15" dxfId="1">
      <formula>ISNUMBER(SEARCH("Scheduled",J5))</formula>
    </cfRule>
    <cfRule type="expression" priority="16" dxfId="1">
      <formula>ISNUMBER(SEARCH("Partially Paid",J5))</formula>
    </cfRule>
    <cfRule type="expression" priority="17" dxfId="1">
      <formula>ISNUMBER(SEARCH("Waiting on Client",J5))</formula>
    </cfRule>
    <cfRule type="expression" priority="18" dxfId="1">
      <formula>ISNUMBER(SEARCH("Waiting on Vendor",J5))</formula>
    </cfRule>
    <cfRule type="expression" priority="19" dxfId="1">
      <formula>ISNUMBER(SEARCH("Sourcing",J5))</formula>
    </cfRule>
    <cfRule type="expression" priority="20" dxfId="1">
      <formula>ISNUMBER(SEARCH("Option Selected",J5))</formula>
    </cfRule>
    <cfRule type="expression" priority="21" dxfId="1">
      <formula>ISNUMBER(SEARCH("Confirmed",J5))</formula>
    </cfRule>
    <cfRule type="expression" priority="22" dxfId="1">
      <formula>ISNUMBER(SEARCH("In Production",J5))</formula>
    </cfRule>
    <cfRule type="expression" priority="23" dxfId="1">
      <formula>ISNUMBER(SEARCH("In Transit",J5))</formula>
    </cfRule>
    <cfRule type="expression" priority="24" dxfId="1">
      <formula>ISNUMBER(SEARCH("Not Checked",J5))</formula>
    </cfRule>
    <cfRule type="expression" priority="25" dxfId="2">
      <formula>ISNUMBER(SEARCH("Overdue",J5))</formula>
    </cfRule>
    <cfRule type="expression" priority="26" dxfId="2">
      <formula>ISNUMBER(SEARCH("Delayed",J5))</formula>
    </cfRule>
    <cfRule type="expression" priority="27" dxfId="2">
      <formula>ISNUMBER(SEARCH("Rejected",J5))</formula>
    </cfRule>
    <cfRule type="expression" priority="28" dxfId="2">
      <formula>ISNUMBER(SEARCH("Damaged",J5))</formula>
    </cfRule>
    <cfRule type="expression" priority="29" dxfId="2">
      <formula>ISNUMBER(SEARCH("Missing Item",J5))</formula>
    </cfRule>
    <cfRule type="expression" priority="30" dxfId="2">
      <formula>ISNUMBER(SEARCH("Wrong Item",J5))</formula>
    </cfRule>
    <cfRule type="expression" priority="31" dxfId="2">
      <formula>ISNUMBER(SEARCH("Backordered",J5))</formula>
    </cfRule>
    <cfRule type="expression" priority="32" dxfId="2">
      <formula>ISNUMBER(SEARCH("Urgent",J5))</formula>
    </cfRule>
    <cfRule type="expression" priority="33" dxfId="3">
      <formula>ISNUMBER(SEARCH("Cancelled",J5))</formula>
    </cfRule>
    <cfRule type="expression" priority="34" dxfId="3">
      <formula>ISNUMBER(SEARCH("On Hold",J5))</formula>
    </cfRule>
    <cfRule type="expression" priority="35" dxfId="3">
      <formula>ISNUMBER(SEARCH("Not Started",J5))</formula>
    </cfRule>
    <cfRule type="expression" priority="36" dxfId="3">
      <formula>ISNUMBER(SEARCH("Not Sent",J5))</formula>
    </cfRule>
    <cfRule type="expression" priority="37" dxfId="3">
      <formula>ISNUMBER(SEARCH("Draft",J5))</formula>
    </cfRule>
    <cfRule type="expression" priority="38" dxfId="3">
      <formula>ISNUMBER(SEARCH("Not Ordered",J5))</formula>
    </cfRule>
  </conditionalFormatting>
  <conditionalFormatting sqref="K5:K49">
    <cfRule type="expression" priority="39" dxfId="0">
      <formula>ISNUMBER(SEARCH("Approved",K5))</formula>
    </cfRule>
    <cfRule type="expression" priority="40" dxfId="0">
      <formula>ISNUMBER(SEARCH("Installed",K5))</formula>
    </cfRule>
    <cfRule type="expression" priority="41" dxfId="0">
      <formula>ISNUMBER(SEARCH("Delivered",K5))</formula>
    </cfRule>
    <cfRule type="expression" priority="42" dxfId="0">
      <formula>ISNUMBER(SEARCH("Complete",K5))</formula>
    </cfRule>
    <cfRule type="expression" priority="43" dxfId="0">
      <formula>ISNUMBER(SEARCH("Completed",K5))</formula>
    </cfRule>
    <cfRule type="expression" priority="44" dxfId="0">
      <formula>ISNUMBER(SEARCH("Paid",K5))</formula>
    </cfRule>
    <cfRule type="expression" priority="45" dxfId="0">
      <formula>ISNUMBER(SEARCH("Good Condition",K5))</formula>
    </cfRule>
    <cfRule type="expression" priority="46" dxfId="0">
      <formula>ISNUMBER(SEARCH("Yes",K5))</formula>
    </cfRule>
    <cfRule type="expression" priority="47" dxfId="1">
      <formula>ISNUMBER(SEARCH("Pending",K5))</formula>
    </cfRule>
    <cfRule type="expression" priority="48" dxfId="1">
      <formula>ISNUMBER(SEARCH("In Progress",K5))</formula>
    </cfRule>
    <cfRule type="expression" priority="49" dxfId="1">
      <formula>ISNUMBER(SEARCH("Sent",K5))</formula>
    </cfRule>
    <cfRule type="expression" priority="50" dxfId="1">
      <formula>ISNUMBER(SEARCH("Client Review",K5))</formula>
    </cfRule>
    <cfRule type="expression" priority="51" dxfId="1">
      <formula>ISNUMBER(SEARCH("Ordered",K5))</formula>
    </cfRule>
    <cfRule type="expression" priority="52" dxfId="1">
      <formula>ISNUMBER(SEARCH("Shipped",K5))</formula>
    </cfRule>
    <cfRule type="expression" priority="53" dxfId="1">
      <formula>ISNUMBER(SEARCH("Scheduled",K5))</formula>
    </cfRule>
    <cfRule type="expression" priority="54" dxfId="1">
      <formula>ISNUMBER(SEARCH("Partially Paid",K5))</formula>
    </cfRule>
    <cfRule type="expression" priority="55" dxfId="1">
      <formula>ISNUMBER(SEARCH("Waiting on Client",K5))</formula>
    </cfRule>
    <cfRule type="expression" priority="56" dxfId="1">
      <formula>ISNUMBER(SEARCH("Waiting on Vendor",K5))</formula>
    </cfRule>
    <cfRule type="expression" priority="57" dxfId="1">
      <formula>ISNUMBER(SEARCH("Sourcing",K5))</formula>
    </cfRule>
    <cfRule type="expression" priority="58" dxfId="1">
      <formula>ISNUMBER(SEARCH("Option Selected",K5))</formula>
    </cfRule>
    <cfRule type="expression" priority="59" dxfId="1">
      <formula>ISNUMBER(SEARCH("Confirmed",K5))</formula>
    </cfRule>
    <cfRule type="expression" priority="60" dxfId="1">
      <formula>ISNUMBER(SEARCH("In Production",K5))</formula>
    </cfRule>
    <cfRule type="expression" priority="61" dxfId="1">
      <formula>ISNUMBER(SEARCH("In Transit",K5))</formula>
    </cfRule>
    <cfRule type="expression" priority="62" dxfId="1">
      <formula>ISNUMBER(SEARCH("Not Checked",K5))</formula>
    </cfRule>
    <cfRule type="expression" priority="63" dxfId="2">
      <formula>ISNUMBER(SEARCH("Overdue",K5))</formula>
    </cfRule>
    <cfRule type="expression" priority="64" dxfId="2">
      <formula>ISNUMBER(SEARCH("Delayed",K5))</formula>
    </cfRule>
    <cfRule type="expression" priority="65" dxfId="2">
      <formula>ISNUMBER(SEARCH("Rejected",K5))</formula>
    </cfRule>
    <cfRule type="expression" priority="66" dxfId="2">
      <formula>ISNUMBER(SEARCH("Damaged",K5))</formula>
    </cfRule>
    <cfRule type="expression" priority="67" dxfId="2">
      <formula>ISNUMBER(SEARCH("Missing Item",K5))</formula>
    </cfRule>
    <cfRule type="expression" priority="68" dxfId="2">
      <formula>ISNUMBER(SEARCH("Wrong Item",K5))</formula>
    </cfRule>
    <cfRule type="expression" priority="69" dxfId="2">
      <formula>ISNUMBER(SEARCH("Backordered",K5))</formula>
    </cfRule>
    <cfRule type="expression" priority="70" dxfId="2">
      <formula>ISNUMBER(SEARCH("Urgent",K5))</formula>
    </cfRule>
    <cfRule type="expression" priority="71" dxfId="3">
      <formula>ISNUMBER(SEARCH("Cancelled",K5))</formula>
    </cfRule>
    <cfRule type="expression" priority="72" dxfId="3">
      <formula>ISNUMBER(SEARCH("On Hold",K5))</formula>
    </cfRule>
    <cfRule type="expression" priority="73" dxfId="3">
      <formula>ISNUMBER(SEARCH("Not Started",K5))</formula>
    </cfRule>
    <cfRule type="expression" priority="74" dxfId="3">
      <formula>ISNUMBER(SEARCH("Not Sent",K5))</formula>
    </cfRule>
    <cfRule type="expression" priority="75" dxfId="3">
      <formula>ISNUMBER(SEARCH("Draft",K5))</formula>
    </cfRule>
    <cfRule type="expression" priority="76" dxfId="3">
      <formula>ISNUMBER(SEARCH("Not Ordered",K5))</formula>
    </cfRule>
  </conditionalFormatting>
  <dataValidations count="4">
    <dataValidation sqref="A5:A49" showDropDown="0" showInputMessage="1" showErrorMessage="1" allowBlank="1" errorTitle="Invalid Entry" error="Please select a value from the dropdown list." promptTitle="Select" prompt="Choose from the list" type="list">
      <formula1>"Living Room,Master Bedroom,Kitchen,Dining Room,Home Office,Powder Room"</formula1>
    </dataValidation>
    <dataValidation sqref="E5:E49" showDropDown="0" showInputMessage="1" showErrorMessage="1" allowBlank="1" errorTitle="Invalid Entry" error="Please select a value from the dropdown list." promptTitle="Select" prompt="Choose from the list" type="list">
      <formula1>"Article,West Elm,CB2,Visual Comfort,Schoolhouse,Loloi,Wolf / Sub-Zero,Rejuvenation,Four Hands,Signature Hardware"</formula1>
    </dataValidation>
    <dataValidation sqref="J5:J49" showDropDown="0" showInputMessage="1" showErrorMessage="1" allowBlank="1" errorTitle="Invalid Entry" error="Please select a value from the dropdown list." promptTitle="Select" prompt="Choose from the list" type="list">
      <formula1>"Not Sent,Sent,Approved,Revisions Requested,Rejected,On Hold"</formula1>
    </dataValidation>
    <dataValidation sqref="K5:K49" showDropDown="0" showInputMessage="1" showErrorMessage="1" allowBlank="1" errorTitle="Invalid Entry" error="Please select a value from the dropdown list." promptTitle="Select" prompt="Choose from the list" type="list">
      <formula1>"Sourcing,Option Selected,Client Review,Approved,Ordered,Shipped,Delivered,Installed,Cancelled,Backordered,Not Ordered,Confirmed,In Production,Delayed,Returned"</formula1>
    </dataValidation>
  </dataValidations>
  <pageMargins left="0.5" right="0.5" top="0.6" bottom="0.6" header="0.5" footer="0.5"/>
  <headerFooter>
    <oddHeader/>
    <oddFooter>&amp;C&amp;"Calibri"&amp;8 &amp;"Calibri"&amp;8Novality store  ·  Interior Design FF&amp;E Tracker  ·  Page &amp;P of &amp;N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tabColor rgb="005C6B73"/>
    <outlinePr summaryBelow="1" summaryRight="1"/>
    <pageSetUpPr/>
  </sheetPr>
  <dimension ref="A1:N4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2" customWidth="1" min="3" max="3"/>
    <col width="14" customWidth="1" min="4" max="4"/>
    <col width="12" customWidth="1" min="5" max="5"/>
    <col width="16" customWidth="1" min="6" max="6"/>
    <col width="14" customWidth="1" min="7" max="7"/>
    <col width="10" customWidth="1" min="8" max="8"/>
    <col width="12" customWidth="1" min="9" max="9"/>
    <col width="12" customWidth="1" min="10" max="10"/>
    <col width="16" customWidth="1" min="11" max="11"/>
    <col width="14" customWidth="1" min="12" max="12"/>
    <col width="14" customWidth="1" min="13" max="13"/>
    <col width="30" customWidth="1" min="14" max="14"/>
  </cols>
  <sheetData>
    <row r="1" ht="38" customHeight="1">
      <c r="A1" s="51" t="inlineStr">
        <is>
          <t>FIXTURES SCHEDULE</t>
        </is>
      </c>
      <c r="B1" s="52" t="n"/>
      <c r="C1" s="52" t="n"/>
      <c r="D1" s="52" t="n"/>
      <c r="E1" s="52" t="n"/>
      <c r="F1" s="52" t="n"/>
      <c r="G1" s="52" t="n"/>
      <c r="H1" s="52" t="n"/>
      <c r="I1" s="52" t="n"/>
      <c r="J1" s="52" t="n"/>
      <c r="K1" s="52" t="n"/>
      <c r="L1" s="52" t="n"/>
      <c r="M1" s="52" t="n"/>
      <c r="N1" s="52" t="n"/>
    </row>
    <row r="2" ht="18" customHeight="1">
      <c r="A2" s="53" t="inlineStr">
        <is>
          <t>Lighting, plumbing, hardware, appliances, and built-in fixtures  ·  Novality store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</row>
    <row r="3"/>
    <row r="4" ht="34" customHeight="1">
      <c r="A4" s="65" t="inlineStr">
        <is>
          <t>Room</t>
        </is>
      </c>
      <c r="B4" s="65" t="inlineStr">
        <is>
          <t>Fixture Type</t>
        </is>
      </c>
      <c r="C4" s="65" t="inlineStr">
        <is>
          <t>Item Name</t>
        </is>
      </c>
      <c r="D4" s="65" t="inlineStr">
        <is>
          <t>Finish</t>
        </is>
      </c>
      <c r="E4" s="65" t="inlineStr">
        <is>
          <t>Size</t>
        </is>
      </c>
      <c r="F4" s="65" t="inlineStr">
        <is>
          <t>Vendor</t>
        </is>
      </c>
      <c r="G4" s="65" t="inlineStr">
        <is>
          <t>Model/SKU</t>
        </is>
      </c>
      <c r="H4" s="65" t="inlineStr">
        <is>
          <t>Quantity</t>
        </is>
      </c>
      <c r="I4" s="65" t="inlineStr">
        <is>
          <t>Unit Cost</t>
        </is>
      </c>
      <c r="J4" s="65" t="inlineStr">
        <is>
          <t>Total Cost</t>
        </is>
      </c>
      <c r="K4" s="65" t="inlineStr">
        <is>
          <t>Required Rough-In Date</t>
        </is>
      </c>
      <c r="L4" s="65" t="inlineStr">
        <is>
          <t>Order Deadline</t>
        </is>
      </c>
      <c r="M4" s="65" t="inlineStr">
        <is>
          <t>Delivery Date</t>
        </is>
      </c>
      <c r="N4" s="65" t="inlineStr">
        <is>
          <t>Installer Notes</t>
        </is>
      </c>
    </row>
    <row r="5">
      <c r="A5" s="66" t="inlineStr">
        <is>
          <t>Living Room</t>
        </is>
      </c>
      <c r="B5" s="66" t="inlineStr">
        <is>
          <t>Lighting</t>
        </is>
      </c>
      <c r="C5" s="66" t="inlineStr">
        <is>
          <t>Floor Lamp</t>
        </is>
      </c>
      <c r="D5" s="66" t="inlineStr">
        <is>
          <t>Antique brass</t>
        </is>
      </c>
      <c r="E5" s="66" t="inlineStr">
        <is>
          <t>72"H</t>
        </is>
      </c>
      <c r="F5" s="66" t="inlineStr">
        <is>
          <t>Rejuvenation</t>
        </is>
      </c>
      <c r="G5" s="66" t="inlineStr">
        <is>
          <t>AR-72</t>
        </is>
      </c>
      <c r="H5" s="67" t="n">
        <v>1</v>
      </c>
      <c r="I5" s="68" t="n">
        <v>449</v>
      </c>
      <c r="J5" s="69">
        <f>H5*I5</f>
        <v/>
      </c>
      <c r="K5" s="73" t="inlineStr"/>
      <c r="L5" s="73" t="inlineStr"/>
      <c r="M5" s="73" t="inlineStr"/>
      <c r="N5" s="66" t="inlineStr"/>
    </row>
    <row r="6">
      <c r="A6" s="66" t="inlineStr">
        <is>
          <t>Master Bedroom</t>
        </is>
      </c>
      <c r="B6" s="66" t="inlineStr">
        <is>
          <t>Lighting</t>
        </is>
      </c>
      <c r="C6" s="66" t="inlineStr">
        <is>
          <t>Pendant Pair</t>
        </is>
      </c>
      <c r="D6" s="66" t="inlineStr">
        <is>
          <t>Clear glass</t>
        </is>
      </c>
      <c r="E6" s="66" t="inlineStr">
        <is>
          <t>10" dia</t>
        </is>
      </c>
      <c r="F6" s="66" t="inlineStr">
        <is>
          <t>Schoolhouse</t>
        </is>
      </c>
      <c r="G6" s="66" t="inlineStr">
        <is>
          <t>GL-10</t>
        </is>
      </c>
      <c r="H6" s="67" t="n">
        <v>2</v>
      </c>
      <c r="I6" s="68" t="n">
        <v>279</v>
      </c>
      <c r="J6" s="69">
        <f>H6*I6</f>
        <v/>
      </c>
      <c r="K6" s="73" t="inlineStr"/>
      <c r="L6" s="73" t="inlineStr"/>
      <c r="M6" s="73" t="inlineStr"/>
      <c r="N6" s="66" t="inlineStr"/>
    </row>
    <row r="7">
      <c r="A7" s="66" t="inlineStr">
        <is>
          <t>Kitchen</t>
        </is>
      </c>
      <c r="B7" s="66" t="inlineStr">
        <is>
          <t>Appliance</t>
        </is>
      </c>
      <c r="C7" s="66" t="inlineStr">
        <is>
          <t>Range 36"</t>
        </is>
      </c>
      <c r="D7" s="66" t="inlineStr">
        <is>
          <t>Professional</t>
        </is>
      </c>
      <c r="E7" s="66" t="inlineStr">
        <is>
          <t>36"W</t>
        </is>
      </c>
      <c r="F7" s="66" t="inlineStr">
        <is>
          <t>Wolf</t>
        </is>
      </c>
      <c r="G7" s="66" t="inlineStr">
        <is>
          <t>DF36450</t>
        </is>
      </c>
      <c r="H7" s="67" t="n">
        <v>1</v>
      </c>
      <c r="I7" s="68" t="n">
        <v>8999</v>
      </c>
      <c r="J7" s="69">
        <f>H7*I7</f>
        <v/>
      </c>
      <c r="K7" s="73" t="inlineStr"/>
      <c r="L7" s="73" t="inlineStr"/>
      <c r="M7" s="73" t="inlineStr"/>
      <c r="N7" s="66" t="inlineStr">
        <is>
          <t>Rough-in required</t>
        </is>
      </c>
    </row>
    <row r="8">
      <c r="A8" s="66" t="inlineStr">
        <is>
          <t>Kitchen</t>
        </is>
      </c>
      <c r="B8" s="66" t="inlineStr">
        <is>
          <t>Lighting</t>
        </is>
      </c>
      <c r="C8" s="66" t="inlineStr">
        <is>
          <t>Island Pendants</t>
        </is>
      </c>
      <c r="D8" s="66" t="inlineStr">
        <is>
          <t>Aged brass</t>
        </is>
      </c>
      <c r="E8" s="66" t="inlineStr">
        <is>
          <t>14"H</t>
        </is>
      </c>
      <c r="F8" s="66" t="inlineStr">
        <is>
          <t>Visual Comfort</t>
        </is>
      </c>
      <c r="G8" s="66" t="inlineStr">
        <is>
          <t>BR-14</t>
        </is>
      </c>
      <c r="H8" s="67" t="n">
        <v>3</v>
      </c>
      <c r="I8" s="68" t="n">
        <v>520</v>
      </c>
      <c r="J8" s="69">
        <f>H8*I8</f>
        <v/>
      </c>
      <c r="K8" s="73" t="inlineStr"/>
      <c r="L8" s="73" t="inlineStr"/>
      <c r="M8" s="73" t="inlineStr"/>
      <c r="N8" s="66" t="inlineStr"/>
    </row>
    <row r="9">
      <c r="A9" s="66" t="inlineStr">
        <is>
          <t>Powder Room</t>
        </is>
      </c>
      <c r="B9" s="66" t="inlineStr">
        <is>
          <t>Faucet</t>
        </is>
      </c>
      <c r="C9" s="66" t="inlineStr">
        <is>
          <t>Vessel Sink</t>
        </is>
      </c>
      <c r="D9" s="66" t="inlineStr">
        <is>
          <t>Honed</t>
        </is>
      </c>
      <c r="E9" s="66" t="inlineStr">
        <is>
          <t>16" dia</t>
        </is>
      </c>
      <c r="F9" s="66" t="inlineStr">
        <is>
          <t>Signature Hardware</t>
        </is>
      </c>
      <c r="G9" s="66" t="inlineStr">
        <is>
          <t>VS-16</t>
        </is>
      </c>
      <c r="H9" s="67" t="n">
        <v>1</v>
      </c>
      <c r="I9" s="68" t="n">
        <v>389</v>
      </c>
      <c r="J9" s="69">
        <f>H9*I9</f>
        <v/>
      </c>
      <c r="K9" s="73" t="inlineStr"/>
      <c r="L9" s="73" t="inlineStr"/>
      <c r="M9" s="73" t="inlineStr"/>
      <c r="N9" s="66" t="inlineStr"/>
    </row>
    <row r="10">
      <c r="A10" s="66" t="inlineStr">
        <is>
          <t>Kitchen</t>
        </is>
      </c>
      <c r="B10" s="66" t="inlineStr">
        <is>
          <t>Cabinet Hardware</t>
        </is>
      </c>
      <c r="C10" s="66" t="inlineStr">
        <is>
          <t>Cabinet Pulls</t>
        </is>
      </c>
      <c r="D10" s="66" t="inlineStr">
        <is>
          <t>Unlacquered</t>
        </is>
      </c>
      <c r="E10" s="66" t="inlineStr">
        <is>
          <t>6"</t>
        </is>
      </c>
      <c r="F10" s="66" t="inlineStr">
        <is>
          <t>Rejuvenation</t>
        </is>
      </c>
      <c r="G10" s="66" t="inlineStr">
        <is>
          <t>BN-6</t>
        </is>
      </c>
      <c r="H10" s="67" t="n">
        <v>24</v>
      </c>
      <c r="I10" s="68" t="n">
        <v>18</v>
      </c>
      <c r="J10" s="69">
        <f>H10*I10</f>
        <v/>
      </c>
      <c r="K10" s="73" t="inlineStr"/>
      <c r="L10" s="73" t="inlineStr"/>
      <c r="M10" s="73" t="inlineStr"/>
      <c r="N10" s="66" t="inlineStr"/>
    </row>
    <row r="11">
      <c r="A11" s="66" t="n"/>
      <c r="B11" s="66" t="n"/>
      <c r="C11" s="66" t="n"/>
      <c r="D11" s="66" t="n"/>
      <c r="E11" s="66" t="n"/>
      <c r="F11" s="66" t="n"/>
      <c r="G11" s="66" t="n"/>
      <c r="H11" s="66" t="n"/>
      <c r="I11" s="68" t="n"/>
      <c r="J11" s="69">
        <f>IF(H11="","",H11*I11)</f>
        <v/>
      </c>
      <c r="K11" s="73" t="n"/>
      <c r="L11" s="73" t="n"/>
      <c r="M11" s="73" t="n"/>
      <c r="N11" s="66" t="n"/>
    </row>
    <row r="12">
      <c r="A12" s="66" t="n"/>
      <c r="B12" s="66" t="n"/>
      <c r="C12" s="66" t="n"/>
      <c r="D12" s="66" t="n"/>
      <c r="E12" s="66" t="n"/>
      <c r="F12" s="66" t="n"/>
      <c r="G12" s="66" t="n"/>
      <c r="H12" s="66" t="n"/>
      <c r="I12" s="68" t="n"/>
      <c r="J12" s="69">
        <f>IF(H12="","",H12*I12)</f>
        <v/>
      </c>
      <c r="K12" s="73" t="n"/>
      <c r="L12" s="73" t="n"/>
      <c r="M12" s="73" t="n"/>
      <c r="N12" s="66" t="n"/>
    </row>
    <row r="13">
      <c r="A13" s="66" t="n"/>
      <c r="B13" s="66" t="n"/>
      <c r="C13" s="66" t="n"/>
      <c r="D13" s="66" t="n"/>
      <c r="E13" s="66" t="n"/>
      <c r="F13" s="66" t="n"/>
      <c r="G13" s="66" t="n"/>
      <c r="H13" s="66" t="n"/>
      <c r="I13" s="68" t="n"/>
      <c r="J13" s="69">
        <f>IF(H13="","",H13*I13)</f>
        <v/>
      </c>
      <c r="K13" s="73" t="n"/>
      <c r="L13" s="73" t="n"/>
      <c r="M13" s="73" t="n"/>
      <c r="N13" s="66" t="n"/>
    </row>
    <row r="14">
      <c r="A14" s="66" t="n"/>
      <c r="B14" s="66" t="n"/>
      <c r="C14" s="66" t="n"/>
      <c r="D14" s="66" t="n"/>
      <c r="E14" s="66" t="n"/>
      <c r="F14" s="66" t="n"/>
      <c r="G14" s="66" t="n"/>
      <c r="H14" s="66" t="n"/>
      <c r="I14" s="68" t="n"/>
      <c r="J14" s="69">
        <f>IF(H14="","",H14*I14)</f>
        <v/>
      </c>
      <c r="K14" s="73" t="n"/>
      <c r="L14" s="73" t="n"/>
      <c r="M14" s="73" t="n"/>
      <c r="N14" s="66" t="n"/>
    </row>
    <row r="15">
      <c r="A15" s="66" t="n"/>
      <c r="B15" s="66" t="n"/>
      <c r="C15" s="66" t="n"/>
      <c r="D15" s="66" t="n"/>
      <c r="E15" s="66" t="n"/>
      <c r="F15" s="66" t="n"/>
      <c r="G15" s="66" t="n"/>
      <c r="H15" s="66" t="n"/>
      <c r="I15" s="68" t="n"/>
      <c r="J15" s="69">
        <f>IF(H15="","",H15*I15)</f>
        <v/>
      </c>
      <c r="K15" s="73" t="n"/>
      <c r="L15" s="73" t="n"/>
      <c r="M15" s="73" t="n"/>
      <c r="N15" s="66" t="n"/>
    </row>
    <row r="16">
      <c r="A16" s="66" t="n"/>
      <c r="B16" s="66" t="n"/>
      <c r="C16" s="66" t="n"/>
      <c r="D16" s="66" t="n"/>
      <c r="E16" s="66" t="n"/>
      <c r="F16" s="66" t="n"/>
      <c r="G16" s="66" t="n"/>
      <c r="H16" s="66" t="n"/>
      <c r="I16" s="68" t="n"/>
      <c r="J16" s="69">
        <f>IF(H16="","",H16*I16)</f>
        <v/>
      </c>
      <c r="K16" s="73" t="n"/>
      <c r="L16" s="73" t="n"/>
      <c r="M16" s="73" t="n"/>
      <c r="N16" s="66" t="n"/>
    </row>
    <row r="17">
      <c r="A17" s="66" t="n"/>
      <c r="B17" s="66" t="n"/>
      <c r="C17" s="66" t="n"/>
      <c r="D17" s="66" t="n"/>
      <c r="E17" s="66" t="n"/>
      <c r="F17" s="66" t="n"/>
      <c r="G17" s="66" t="n"/>
      <c r="H17" s="66" t="n"/>
      <c r="I17" s="68" t="n"/>
      <c r="J17" s="69">
        <f>IF(H17="","",H17*I17)</f>
        <v/>
      </c>
      <c r="K17" s="73" t="n"/>
      <c r="L17" s="73" t="n"/>
      <c r="M17" s="73" t="n"/>
      <c r="N17" s="66" t="n"/>
    </row>
    <row r="18">
      <c r="A18" s="66" t="n"/>
      <c r="B18" s="66" t="n"/>
      <c r="C18" s="66" t="n"/>
      <c r="D18" s="66" t="n"/>
      <c r="E18" s="66" t="n"/>
      <c r="F18" s="66" t="n"/>
      <c r="G18" s="66" t="n"/>
      <c r="H18" s="66" t="n"/>
      <c r="I18" s="68" t="n"/>
      <c r="J18" s="69">
        <f>IF(H18="","",H18*I18)</f>
        <v/>
      </c>
      <c r="K18" s="73" t="n"/>
      <c r="L18" s="73" t="n"/>
      <c r="M18" s="73" t="n"/>
      <c r="N18" s="66" t="n"/>
    </row>
    <row r="19">
      <c r="A19" s="66" t="n"/>
      <c r="B19" s="66" t="n"/>
      <c r="C19" s="66" t="n"/>
      <c r="D19" s="66" t="n"/>
      <c r="E19" s="66" t="n"/>
      <c r="F19" s="66" t="n"/>
      <c r="G19" s="66" t="n"/>
      <c r="H19" s="66" t="n"/>
      <c r="I19" s="68" t="n"/>
      <c r="J19" s="69">
        <f>IF(H19="","",H19*I19)</f>
        <v/>
      </c>
      <c r="K19" s="73" t="n"/>
      <c r="L19" s="73" t="n"/>
      <c r="M19" s="73" t="n"/>
      <c r="N19" s="66" t="n"/>
    </row>
    <row r="20">
      <c r="A20" s="66" t="n"/>
      <c r="B20" s="66" t="n"/>
      <c r="C20" s="66" t="n"/>
      <c r="D20" s="66" t="n"/>
      <c r="E20" s="66" t="n"/>
      <c r="F20" s="66" t="n"/>
      <c r="G20" s="66" t="n"/>
      <c r="H20" s="66" t="n"/>
      <c r="I20" s="68" t="n"/>
      <c r="J20" s="69">
        <f>IF(H20="","",H20*I20)</f>
        <v/>
      </c>
      <c r="K20" s="73" t="n"/>
      <c r="L20" s="73" t="n"/>
      <c r="M20" s="73" t="n"/>
      <c r="N20" s="66" t="n"/>
    </row>
    <row r="21">
      <c r="A21" s="66" t="n"/>
      <c r="B21" s="66" t="n"/>
      <c r="C21" s="66" t="n"/>
      <c r="D21" s="66" t="n"/>
      <c r="E21" s="66" t="n"/>
      <c r="F21" s="66" t="n"/>
      <c r="G21" s="66" t="n"/>
      <c r="H21" s="66" t="n"/>
      <c r="I21" s="68" t="n"/>
      <c r="J21" s="69">
        <f>IF(H21="","",H21*I21)</f>
        <v/>
      </c>
      <c r="K21" s="73" t="n"/>
      <c r="L21" s="73" t="n"/>
      <c r="M21" s="73" t="n"/>
      <c r="N21" s="66" t="n"/>
    </row>
    <row r="22">
      <c r="A22" s="66" t="n"/>
      <c r="B22" s="66" t="n"/>
      <c r="C22" s="66" t="n"/>
      <c r="D22" s="66" t="n"/>
      <c r="E22" s="66" t="n"/>
      <c r="F22" s="66" t="n"/>
      <c r="G22" s="66" t="n"/>
      <c r="H22" s="66" t="n"/>
      <c r="I22" s="68" t="n"/>
      <c r="J22" s="69">
        <f>IF(H22="","",H22*I22)</f>
        <v/>
      </c>
      <c r="K22" s="73" t="n"/>
      <c r="L22" s="73" t="n"/>
      <c r="M22" s="73" t="n"/>
      <c r="N22" s="66" t="n"/>
    </row>
    <row r="23">
      <c r="A23" s="66" t="n"/>
      <c r="B23" s="66" t="n"/>
      <c r="C23" s="66" t="n"/>
      <c r="D23" s="66" t="n"/>
      <c r="E23" s="66" t="n"/>
      <c r="F23" s="66" t="n"/>
      <c r="G23" s="66" t="n"/>
      <c r="H23" s="66" t="n"/>
      <c r="I23" s="68" t="n"/>
      <c r="J23" s="69">
        <f>IF(H23="","",H23*I23)</f>
        <v/>
      </c>
      <c r="K23" s="73" t="n"/>
      <c r="L23" s="73" t="n"/>
      <c r="M23" s="73" t="n"/>
      <c r="N23" s="66" t="n"/>
    </row>
    <row r="24">
      <c r="A24" s="66" t="n"/>
      <c r="B24" s="66" t="n"/>
      <c r="C24" s="66" t="n"/>
      <c r="D24" s="66" t="n"/>
      <c r="E24" s="66" t="n"/>
      <c r="F24" s="66" t="n"/>
      <c r="G24" s="66" t="n"/>
      <c r="H24" s="66" t="n"/>
      <c r="I24" s="68" t="n"/>
      <c r="J24" s="69">
        <f>IF(H24="","",H24*I24)</f>
        <v/>
      </c>
      <c r="K24" s="73" t="n"/>
      <c r="L24" s="73" t="n"/>
      <c r="M24" s="73" t="n"/>
      <c r="N24" s="66" t="n"/>
    </row>
    <row r="25">
      <c r="A25" s="66" t="n"/>
      <c r="B25" s="66" t="n"/>
      <c r="C25" s="66" t="n"/>
      <c r="D25" s="66" t="n"/>
      <c r="E25" s="66" t="n"/>
      <c r="F25" s="66" t="n"/>
      <c r="G25" s="66" t="n"/>
      <c r="H25" s="66" t="n"/>
      <c r="I25" s="68" t="n"/>
      <c r="J25" s="69">
        <f>IF(H25="","",H25*I25)</f>
        <v/>
      </c>
      <c r="K25" s="73" t="n"/>
      <c r="L25" s="73" t="n"/>
      <c r="M25" s="73" t="n"/>
      <c r="N25" s="66" t="n"/>
    </row>
    <row r="26">
      <c r="A26" s="66" t="n"/>
      <c r="B26" s="66" t="n"/>
      <c r="C26" s="66" t="n"/>
      <c r="D26" s="66" t="n"/>
      <c r="E26" s="66" t="n"/>
      <c r="F26" s="66" t="n"/>
      <c r="G26" s="66" t="n"/>
      <c r="H26" s="66" t="n"/>
      <c r="I26" s="68" t="n"/>
      <c r="J26" s="69">
        <f>IF(H26="","",H26*I26)</f>
        <v/>
      </c>
      <c r="K26" s="73" t="n"/>
      <c r="L26" s="73" t="n"/>
      <c r="M26" s="73" t="n"/>
      <c r="N26" s="66" t="n"/>
    </row>
    <row r="27">
      <c r="A27" s="66" t="n"/>
      <c r="B27" s="66" t="n"/>
      <c r="C27" s="66" t="n"/>
      <c r="D27" s="66" t="n"/>
      <c r="E27" s="66" t="n"/>
      <c r="F27" s="66" t="n"/>
      <c r="G27" s="66" t="n"/>
      <c r="H27" s="66" t="n"/>
      <c r="I27" s="68" t="n"/>
      <c r="J27" s="69">
        <f>IF(H27="","",H27*I27)</f>
        <v/>
      </c>
      <c r="K27" s="73" t="n"/>
      <c r="L27" s="73" t="n"/>
      <c r="M27" s="73" t="n"/>
      <c r="N27" s="66" t="n"/>
    </row>
    <row r="28">
      <c r="A28" s="66" t="n"/>
      <c r="B28" s="66" t="n"/>
      <c r="C28" s="66" t="n"/>
      <c r="D28" s="66" t="n"/>
      <c r="E28" s="66" t="n"/>
      <c r="F28" s="66" t="n"/>
      <c r="G28" s="66" t="n"/>
      <c r="H28" s="66" t="n"/>
      <c r="I28" s="68" t="n"/>
      <c r="J28" s="69">
        <f>IF(H28="","",H28*I28)</f>
        <v/>
      </c>
      <c r="K28" s="73" t="n"/>
      <c r="L28" s="73" t="n"/>
      <c r="M28" s="73" t="n"/>
      <c r="N28" s="66" t="n"/>
    </row>
    <row r="29">
      <c r="A29" s="66" t="n"/>
      <c r="B29" s="66" t="n"/>
      <c r="C29" s="66" t="n"/>
      <c r="D29" s="66" t="n"/>
      <c r="E29" s="66" t="n"/>
      <c r="F29" s="66" t="n"/>
      <c r="G29" s="66" t="n"/>
      <c r="H29" s="66" t="n"/>
      <c r="I29" s="68" t="n"/>
      <c r="J29" s="69">
        <f>IF(H29="","",H29*I29)</f>
        <v/>
      </c>
      <c r="K29" s="73" t="n"/>
      <c r="L29" s="73" t="n"/>
      <c r="M29" s="73" t="n"/>
      <c r="N29" s="66" t="n"/>
    </row>
    <row r="30">
      <c r="A30" s="66" t="n"/>
      <c r="B30" s="66" t="n"/>
      <c r="C30" s="66" t="n"/>
      <c r="D30" s="66" t="n"/>
      <c r="E30" s="66" t="n"/>
      <c r="F30" s="66" t="n"/>
      <c r="G30" s="66" t="n"/>
      <c r="H30" s="66" t="n"/>
      <c r="I30" s="68" t="n"/>
      <c r="J30" s="69">
        <f>IF(H30="","",H30*I30)</f>
        <v/>
      </c>
      <c r="K30" s="73" t="n"/>
      <c r="L30" s="73" t="n"/>
      <c r="M30" s="73" t="n"/>
      <c r="N30" s="66" t="n"/>
    </row>
    <row r="31">
      <c r="A31" s="66" t="n"/>
      <c r="B31" s="66" t="n"/>
      <c r="C31" s="66" t="n"/>
      <c r="D31" s="66" t="n"/>
      <c r="E31" s="66" t="n"/>
      <c r="F31" s="66" t="n"/>
      <c r="G31" s="66" t="n"/>
      <c r="H31" s="66" t="n"/>
      <c r="I31" s="68" t="n"/>
      <c r="J31" s="69">
        <f>IF(H31="","",H31*I31)</f>
        <v/>
      </c>
      <c r="K31" s="73" t="n"/>
      <c r="L31" s="73" t="n"/>
      <c r="M31" s="73" t="n"/>
      <c r="N31" s="66" t="n"/>
    </row>
    <row r="32">
      <c r="A32" s="66" t="n"/>
      <c r="B32" s="66" t="n"/>
      <c r="C32" s="66" t="n"/>
      <c r="D32" s="66" t="n"/>
      <c r="E32" s="66" t="n"/>
      <c r="F32" s="66" t="n"/>
      <c r="G32" s="66" t="n"/>
      <c r="H32" s="66" t="n"/>
      <c r="I32" s="68" t="n"/>
      <c r="J32" s="69">
        <f>IF(H32="","",H32*I32)</f>
        <v/>
      </c>
      <c r="K32" s="73" t="n"/>
      <c r="L32" s="73" t="n"/>
      <c r="M32" s="73" t="n"/>
      <c r="N32" s="66" t="n"/>
    </row>
    <row r="33">
      <c r="A33" s="66" t="n"/>
      <c r="B33" s="66" t="n"/>
      <c r="C33" s="66" t="n"/>
      <c r="D33" s="66" t="n"/>
      <c r="E33" s="66" t="n"/>
      <c r="F33" s="66" t="n"/>
      <c r="G33" s="66" t="n"/>
      <c r="H33" s="66" t="n"/>
      <c r="I33" s="68" t="n"/>
      <c r="J33" s="69">
        <f>IF(H33="","",H33*I33)</f>
        <v/>
      </c>
      <c r="K33" s="73" t="n"/>
      <c r="L33" s="73" t="n"/>
      <c r="M33" s="73" t="n"/>
      <c r="N33" s="66" t="n"/>
    </row>
    <row r="34">
      <c r="A34" s="66" t="n"/>
      <c r="B34" s="66" t="n"/>
      <c r="C34" s="66" t="n"/>
      <c r="D34" s="66" t="n"/>
      <c r="E34" s="66" t="n"/>
      <c r="F34" s="66" t="n"/>
      <c r="G34" s="66" t="n"/>
      <c r="H34" s="66" t="n"/>
      <c r="I34" s="68" t="n"/>
      <c r="J34" s="69">
        <f>IF(H34="","",H34*I34)</f>
        <v/>
      </c>
      <c r="K34" s="73" t="n"/>
      <c r="L34" s="73" t="n"/>
      <c r="M34" s="73" t="n"/>
      <c r="N34" s="66" t="n"/>
    </row>
    <row r="35">
      <c r="A35" s="66" t="n"/>
      <c r="B35" s="66" t="n"/>
      <c r="C35" s="66" t="n"/>
      <c r="D35" s="66" t="n"/>
      <c r="E35" s="66" t="n"/>
      <c r="F35" s="66" t="n"/>
      <c r="G35" s="66" t="n"/>
      <c r="H35" s="66" t="n"/>
      <c r="I35" s="68" t="n"/>
      <c r="J35" s="69">
        <f>IF(H35="","",H35*I35)</f>
        <v/>
      </c>
      <c r="K35" s="73" t="n"/>
      <c r="L35" s="73" t="n"/>
      <c r="M35" s="73" t="n"/>
      <c r="N35" s="66" t="n"/>
    </row>
    <row r="36">
      <c r="A36" s="66" t="n"/>
      <c r="B36" s="66" t="n"/>
      <c r="C36" s="66" t="n"/>
      <c r="D36" s="66" t="n"/>
      <c r="E36" s="66" t="n"/>
      <c r="F36" s="66" t="n"/>
      <c r="G36" s="66" t="n"/>
      <c r="H36" s="66" t="n"/>
      <c r="I36" s="68" t="n"/>
      <c r="J36" s="69">
        <f>IF(H36="","",H36*I36)</f>
        <v/>
      </c>
      <c r="K36" s="73" t="n"/>
      <c r="L36" s="73" t="n"/>
      <c r="M36" s="73" t="n"/>
      <c r="N36" s="66" t="n"/>
    </row>
    <row r="37">
      <c r="A37" s="66" t="n"/>
      <c r="B37" s="66" t="n"/>
      <c r="C37" s="66" t="n"/>
      <c r="D37" s="66" t="n"/>
      <c r="E37" s="66" t="n"/>
      <c r="F37" s="66" t="n"/>
      <c r="G37" s="66" t="n"/>
      <c r="H37" s="66" t="n"/>
      <c r="I37" s="68" t="n"/>
      <c r="J37" s="69">
        <f>IF(H37="","",H37*I37)</f>
        <v/>
      </c>
      <c r="K37" s="73" t="n"/>
      <c r="L37" s="73" t="n"/>
      <c r="M37" s="73" t="n"/>
      <c r="N37" s="66" t="n"/>
    </row>
    <row r="38">
      <c r="A38" s="66" t="n"/>
      <c r="B38" s="66" t="n"/>
      <c r="C38" s="66" t="n"/>
      <c r="D38" s="66" t="n"/>
      <c r="E38" s="66" t="n"/>
      <c r="F38" s="66" t="n"/>
      <c r="G38" s="66" t="n"/>
      <c r="H38" s="66" t="n"/>
      <c r="I38" s="68" t="n"/>
      <c r="J38" s="69">
        <f>IF(H38="","",H38*I38)</f>
        <v/>
      </c>
      <c r="K38" s="73" t="n"/>
      <c r="L38" s="73" t="n"/>
      <c r="M38" s="73" t="n"/>
      <c r="N38" s="66" t="n"/>
    </row>
    <row r="39">
      <c r="A39" s="66" t="n"/>
      <c r="B39" s="66" t="n"/>
      <c r="C39" s="66" t="n"/>
      <c r="D39" s="66" t="n"/>
      <c r="E39" s="66" t="n"/>
      <c r="F39" s="66" t="n"/>
      <c r="G39" s="66" t="n"/>
      <c r="H39" s="66" t="n"/>
      <c r="I39" s="68" t="n"/>
      <c r="J39" s="69">
        <f>IF(H39="","",H39*I39)</f>
        <v/>
      </c>
      <c r="K39" s="73" t="n"/>
      <c r="L39" s="73" t="n"/>
      <c r="M39" s="73" t="n"/>
      <c r="N39" s="66" t="n"/>
    </row>
    <row r="40">
      <c r="A40" s="56" t="n"/>
      <c r="B40" s="56" t="n"/>
      <c r="C40" s="56" t="n"/>
      <c r="D40" s="56" t="n"/>
      <c r="E40" s="56" t="n"/>
      <c r="F40" s="56" t="n"/>
      <c r="G40" s="56" t="n"/>
      <c r="H40" s="56" t="n"/>
      <c r="I40" s="56" t="n"/>
      <c r="J40" s="56" t="n"/>
      <c r="K40" s="56" t="n"/>
      <c r="L40" s="56" t="n"/>
      <c r="M40" s="56" t="n"/>
      <c r="N40" s="56" t="n"/>
    </row>
    <row r="41">
      <c r="A41" s="56" t="n"/>
      <c r="B41" s="56" t="n"/>
      <c r="C41" s="56" t="n"/>
      <c r="D41" s="56" t="n"/>
      <c r="E41" s="56" t="n"/>
      <c r="F41" s="56" t="n"/>
      <c r="G41" s="56" t="n"/>
      <c r="H41" s="56" t="n"/>
      <c r="I41" s="56" t="n"/>
      <c r="J41" s="56" t="n"/>
      <c r="K41" s="56" t="n"/>
      <c r="L41" s="56" t="n"/>
      <c r="M41" s="56" t="n"/>
      <c r="N41" s="56" t="n"/>
    </row>
    <row r="42">
      <c r="A42" s="56" t="n"/>
      <c r="B42" s="56" t="n"/>
      <c r="C42" s="56" t="n"/>
      <c r="D42" s="56" t="n"/>
      <c r="E42" s="56" t="n"/>
      <c r="F42" s="56" t="n"/>
      <c r="G42" s="56" t="n"/>
      <c r="H42" s="56" t="n"/>
      <c r="I42" s="56" t="n"/>
      <c r="J42" s="56" t="n"/>
      <c r="K42" s="56" t="n"/>
      <c r="L42" s="56" t="n"/>
      <c r="M42" s="56" t="n"/>
      <c r="N42" s="56" t="n"/>
    </row>
    <row r="43">
      <c r="A43" s="56" t="n"/>
      <c r="B43" s="56" t="n"/>
      <c r="C43" s="56" t="n"/>
      <c r="D43" s="56" t="n"/>
      <c r="E43" s="56" t="n"/>
      <c r="F43" s="56" t="n"/>
      <c r="G43" s="56" t="n"/>
      <c r="H43" s="56" t="n"/>
      <c r="I43" s="56" t="n"/>
      <c r="J43" s="56" t="n"/>
      <c r="K43" s="56" t="n"/>
      <c r="L43" s="56" t="n"/>
      <c r="M43" s="56" t="n"/>
      <c r="N43" s="56" t="n"/>
    </row>
    <row r="44">
      <c r="A44" s="56" t="n"/>
      <c r="B44" s="56" t="n"/>
      <c r="C44" s="56" t="n"/>
      <c r="D44" s="56" t="n"/>
      <c r="E44" s="56" t="n"/>
      <c r="F44" s="56" t="n"/>
      <c r="G44" s="56" t="n"/>
      <c r="H44" s="56" t="n"/>
      <c r="I44" s="56" t="n"/>
      <c r="J44" s="56" t="n"/>
      <c r="K44" s="56" t="n"/>
      <c r="L44" s="56" t="n"/>
      <c r="M44" s="56" t="n"/>
      <c r="N44" s="56" t="n"/>
    </row>
  </sheetData>
  <sheetProtection selectLockedCells="0" selectUnlockedCells="0" sheet="1" objects="0" insertRows="0" insertHyperlinks="0" autoFilter="0" scenarios="1" formatColumns="0" deleteColumns="1" insertColumns="1" pivotTables="1" deleteRows="0" formatCells="0" formatRows="0" sort="0" password="EC7C"/>
  <autoFilter ref="A4:N39"/>
  <mergeCells count="2">
    <mergeCell ref="A2:N2"/>
    <mergeCell ref="A1:N1"/>
  </mergeCells>
  <dataValidations count="3">
    <dataValidation sqref="A5:A39" showDropDown="0" showInputMessage="1" showErrorMessage="1" allowBlank="1" errorTitle="Invalid Entry" error="Please select a value from the dropdown list." promptTitle="Select" prompt="Choose from the list" type="list">
      <formula1>"Living Room,Master Bedroom,Kitchen,Dining Room,Home Office,Powder Room"</formula1>
    </dataValidation>
    <dataValidation sqref="B5:B39" showDropDown="0" showInputMessage="1" showErrorMessage="1" allowBlank="1" errorTitle="Invalid Entry" error="Please select a value from the dropdown list." promptTitle="Select" prompt="Choose from the list" type="list">
      <formula1>"Lighting,Faucet,Sink,Shower Fixture,Tub,Toilet,Cabinet Hardware,Door Hardware,Appliance,Electrical,Other"</formula1>
    </dataValidation>
    <dataValidation sqref="F5:F39" showDropDown="0" showInputMessage="1" showErrorMessage="1" allowBlank="1" errorTitle="Invalid Entry" error="Please select a value from the dropdown list." promptTitle="Select" prompt="Choose from the list" type="list">
      <formula1>"Article,West Elm,CB2,Visual Comfort,Schoolhouse,Loloi,Wolf / Sub-Zero,Rejuvenation,Four Hands,Signature Hardware"</formula1>
    </dataValidation>
  </dataValidations>
  <pageMargins left="0.5" right="0.5" top="0.6" bottom="0.6" header="0.5" footer="0.5"/>
  <headerFooter>
    <oddHeader/>
    <oddFooter>&amp;C&amp;"Calibri"&amp;8 &amp;"Calibri"&amp;8Novality store  ·  Interior Design FF&amp;E Tracker  ·  Page &amp;P of &amp;N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tabColor rgb="007B5EA7"/>
    <outlinePr summaryBelow="1" summaryRight="1"/>
    <pageSetUpPr/>
  </sheetPr>
  <dimension ref="A1:O4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20" customWidth="1" min="4" max="4"/>
    <col width="14" customWidth="1" min="5" max="5"/>
    <col width="12" customWidth="1" min="6" max="6"/>
    <col width="14" customWidth="1" min="7" max="7"/>
    <col width="20" customWidth="1" min="8" max="8"/>
    <col width="12" customWidth="1" min="9" max="9"/>
    <col width="12" customWidth="1" min="10" max="10"/>
    <col width="12" customWidth="1" min="11" max="11"/>
    <col width="12" customWidth="1" min="12" max="12"/>
    <col width="14" customWidth="1" min="13" max="13"/>
    <col width="14" customWidth="1" min="14" max="14"/>
    <col width="28" customWidth="1" min="15" max="15"/>
  </cols>
  <sheetData>
    <row r="1" ht="38" customHeight="1">
      <c r="A1" s="51" t="inlineStr">
        <is>
          <t>FINISHES SCHEDULE</t>
        </is>
      </c>
      <c r="B1" s="52" t="n"/>
      <c r="C1" s="52" t="n"/>
      <c r="D1" s="52" t="n"/>
      <c r="E1" s="52" t="n"/>
      <c r="F1" s="52" t="n"/>
      <c r="G1" s="52" t="n"/>
      <c r="H1" s="52" t="n"/>
      <c r="I1" s="52" t="n"/>
      <c r="J1" s="52" t="n"/>
      <c r="K1" s="52" t="n"/>
      <c r="L1" s="52" t="n"/>
      <c r="M1" s="52" t="n"/>
      <c r="N1" s="52" t="n"/>
      <c r="O1" s="52" t="n"/>
    </row>
    <row r="2" ht="18" customHeight="1">
      <c r="A2" s="53" t="inlineStr">
        <is>
          <t>Paint, tile, flooring, wallpaper, countertops, fabrics, and more  ·  Novality store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</row>
    <row r="3"/>
    <row r="4" ht="34" customHeight="1">
      <c r="A4" s="65" t="inlineStr">
        <is>
          <t>Room</t>
        </is>
      </c>
      <c r="B4" s="65" t="inlineStr">
        <is>
          <t>Surface/Application</t>
        </is>
      </c>
      <c r="C4" s="65" t="inlineStr">
        <is>
          <t>Finish Type</t>
        </is>
      </c>
      <c r="D4" s="65" t="inlineStr">
        <is>
          <t>Product Name</t>
        </is>
      </c>
      <c r="E4" s="65" t="inlineStr">
        <is>
          <t>Color/Finish</t>
        </is>
      </c>
      <c r="F4" s="65" t="inlineStr">
        <is>
          <t>Material</t>
        </is>
      </c>
      <c r="G4" s="65" t="inlineStr">
        <is>
          <t>Vendor</t>
        </is>
      </c>
      <c r="H4" s="65" t="inlineStr">
        <is>
          <t>Product Link</t>
        </is>
      </c>
      <c r="I4" s="65" t="inlineStr">
        <is>
          <t>SKU</t>
        </is>
      </c>
      <c r="J4" s="65" t="inlineStr">
        <is>
          <t>Quantity Needed</t>
        </is>
      </c>
      <c r="K4" s="65" t="inlineStr">
        <is>
          <t>Unit Cost</t>
        </is>
      </c>
      <c r="L4" s="65" t="inlineStr">
        <is>
          <t>Total Cost</t>
        </is>
      </c>
      <c r="M4" s="65" t="inlineStr">
        <is>
          <t>Sample Ordered</t>
        </is>
      </c>
      <c r="N4" s="65" t="inlineStr">
        <is>
          <t>Sample Approved</t>
        </is>
      </c>
      <c r="O4" s="65" t="inlineStr">
        <is>
          <t>Installer Notes</t>
        </is>
      </c>
    </row>
    <row r="5">
      <c r="A5" s="66" t="inlineStr">
        <is>
          <t>Living Room</t>
        </is>
      </c>
      <c r="B5" s="66" t="inlineStr">
        <is>
          <t>Wall</t>
        </is>
      </c>
      <c r="C5" s="66" t="inlineStr">
        <is>
          <t>Paint</t>
        </is>
      </c>
      <c r="D5" s="66" t="inlineStr">
        <is>
          <t>Simply White OC-117</t>
        </is>
      </c>
      <c r="E5" s="66" t="inlineStr">
        <is>
          <t>Simply White</t>
        </is>
      </c>
      <c r="F5" s="66" t="inlineStr">
        <is>
          <t>Latex</t>
        </is>
      </c>
      <c r="G5" s="66" t="inlineStr">
        <is>
          <t>Benjamin Moore</t>
        </is>
      </c>
      <c r="H5" s="66" t="inlineStr">
        <is>
          <t>https://example.com/paint</t>
        </is>
      </c>
      <c r="I5" s="66" t="inlineStr">
        <is>
          <t>OC-117</t>
        </is>
      </c>
      <c r="J5" s="67" t="n">
        <v>5</v>
      </c>
      <c r="K5" s="68" t="n">
        <v>65</v>
      </c>
      <c r="L5" s="69">
        <f>J5*K5</f>
        <v/>
      </c>
      <c r="M5" s="67" t="inlineStr">
        <is>
          <t>Yes</t>
        </is>
      </c>
      <c r="N5" s="67" t="inlineStr">
        <is>
          <t>Yes</t>
        </is>
      </c>
      <c r="O5" s="66" t="inlineStr">
        <is>
          <t>Eggshell finish</t>
        </is>
      </c>
    </row>
    <row r="6">
      <c r="A6" s="66" t="inlineStr">
        <is>
          <t>Living Room</t>
        </is>
      </c>
      <c r="B6" s="66" t="inlineStr">
        <is>
          <t>Floor</t>
        </is>
      </c>
      <c r="C6" s="66" t="inlineStr">
        <is>
          <t>Flooring</t>
        </is>
      </c>
      <c r="D6" s="66" t="inlineStr">
        <is>
          <t>White Oak Engineered</t>
        </is>
      </c>
      <c r="E6" s="66" t="inlineStr">
        <is>
          <t>Natural</t>
        </is>
      </c>
      <c r="F6" s="66" t="inlineStr">
        <is>
          <t>White Oak</t>
        </is>
      </c>
      <c r="G6" s="66" t="inlineStr">
        <is>
          <t>Wide Plank</t>
        </is>
      </c>
      <c r="H6" s="66" t="inlineStr">
        <is>
          <t>https://example.com/floor</t>
        </is>
      </c>
      <c r="I6" s="66" t="inlineStr">
        <is>
          <t>WO-7</t>
        </is>
      </c>
      <c r="J6" s="67" t="n">
        <v>320</v>
      </c>
      <c r="K6" s="68" t="n">
        <v>12.5</v>
      </c>
      <c r="L6" s="69">
        <f>J6*K6</f>
        <v/>
      </c>
      <c r="M6" s="67" t="inlineStr">
        <is>
          <t>Yes</t>
        </is>
      </c>
      <c r="N6" s="67" t="inlineStr">
        <is>
          <t>Yes</t>
        </is>
      </c>
      <c r="O6" s="66" t="inlineStr">
        <is>
          <t>7" width, matte</t>
        </is>
      </c>
    </row>
    <row r="7">
      <c r="A7" s="66" t="inlineStr">
        <is>
          <t>Kitchen</t>
        </is>
      </c>
      <c r="B7" s="66" t="inlineStr">
        <is>
          <t>Countertop</t>
        </is>
      </c>
      <c r="C7" s="66" t="inlineStr">
        <is>
          <t>Countertop</t>
        </is>
      </c>
      <c r="D7" s="66" t="inlineStr">
        <is>
          <t>Calacatta Quartz</t>
        </is>
      </c>
      <c r="E7" s="66" t="inlineStr">
        <is>
          <t>Calacatta</t>
        </is>
      </c>
      <c r="F7" s="66" t="inlineStr">
        <is>
          <t>Quartz</t>
        </is>
      </c>
      <c r="G7" s="66" t="inlineStr">
        <is>
          <t>Caesarstone</t>
        </is>
      </c>
      <c r="H7" s="66" t="inlineStr">
        <is>
          <t>https://example.com/quartz</t>
        </is>
      </c>
      <c r="I7" s="66" t="inlineStr">
        <is>
          <t>5143</t>
        </is>
      </c>
      <c r="J7" s="67" t="n">
        <v>45</v>
      </c>
      <c r="K7" s="68" t="n">
        <v>85</v>
      </c>
      <c r="L7" s="69">
        <f>J7*K7</f>
        <v/>
      </c>
      <c r="M7" s="67" t="inlineStr">
        <is>
          <t>Yes</t>
        </is>
      </c>
      <c r="N7" s="67" t="inlineStr">
        <is>
          <t>Yes</t>
        </is>
      </c>
      <c r="O7" s="66" t="inlineStr">
        <is>
          <t>Mitered island edge</t>
        </is>
      </c>
    </row>
    <row r="8">
      <c r="A8" s="66" t="inlineStr">
        <is>
          <t>Kitchen</t>
        </is>
      </c>
      <c r="B8" s="66" t="inlineStr">
        <is>
          <t>Backsplash</t>
        </is>
      </c>
      <c r="C8" s="66" t="inlineStr">
        <is>
          <t>Tile</t>
        </is>
      </c>
      <c r="D8" s="66" t="inlineStr">
        <is>
          <t>Handmade Zellige</t>
        </is>
      </c>
      <c r="E8" s="66" t="inlineStr">
        <is>
          <t>Warm White</t>
        </is>
      </c>
      <c r="F8" s="66" t="inlineStr">
        <is>
          <t>Ceramic</t>
        </is>
      </c>
      <c r="G8" s="66" t="inlineStr">
        <is>
          <t>Cle Tile</t>
        </is>
      </c>
      <c r="H8" s="66" t="inlineStr">
        <is>
          <t>https://example.com/zellige</t>
        </is>
      </c>
      <c r="I8" s="66" t="inlineStr">
        <is>
          <t>ZEL-WW</t>
        </is>
      </c>
      <c r="J8" s="67" t="n">
        <v>80</v>
      </c>
      <c r="K8" s="68" t="n">
        <v>28</v>
      </c>
      <c r="L8" s="69">
        <f>J8*K8</f>
        <v/>
      </c>
      <c r="M8" s="67" t="inlineStr">
        <is>
          <t>Yes</t>
        </is>
      </c>
      <c r="N8" s="67" t="inlineStr">
        <is>
          <t>Pending</t>
        </is>
      </c>
      <c r="O8" s="66" t="inlineStr">
        <is>
          <t>2x6 vertical stack</t>
        </is>
      </c>
    </row>
    <row r="9">
      <c r="A9" s="66" t="inlineStr">
        <is>
          <t>Master Bedroom</t>
        </is>
      </c>
      <c r="B9" s="66" t="inlineStr">
        <is>
          <t>Wall</t>
        </is>
      </c>
      <c r="C9" s="66" t="inlineStr">
        <is>
          <t>Paint</t>
        </is>
      </c>
      <c r="D9" s="66" t="inlineStr">
        <is>
          <t>Agreeable Gray</t>
        </is>
      </c>
      <c r="E9" s="66" t="inlineStr">
        <is>
          <t>Agreeable Gray</t>
        </is>
      </c>
      <c r="F9" s="66" t="inlineStr">
        <is>
          <t>Latex</t>
        </is>
      </c>
      <c r="G9" s="66" t="inlineStr">
        <is>
          <t>Sherwin Williams</t>
        </is>
      </c>
      <c r="H9" s="66" t="inlineStr">
        <is>
          <t>https://example.com/ag</t>
        </is>
      </c>
      <c r="I9" s="66" t="inlineStr">
        <is>
          <t>SW 7029</t>
        </is>
      </c>
      <c r="J9" s="67" t="n">
        <v>3</v>
      </c>
      <c r="K9" s="68" t="n">
        <v>55</v>
      </c>
      <c r="L9" s="69">
        <f>J9*K9</f>
        <v/>
      </c>
      <c r="M9" s="67" t="inlineStr">
        <is>
          <t>Yes</t>
        </is>
      </c>
      <c r="N9" s="67" t="inlineStr">
        <is>
          <t>Yes</t>
        </is>
      </c>
      <c r="O9" s="66" t="inlineStr">
        <is>
          <t>Flat on walls</t>
        </is>
      </c>
    </row>
    <row r="10">
      <c r="A10" s="66" t="inlineStr">
        <is>
          <t>Powder Room</t>
        </is>
      </c>
      <c r="B10" s="66" t="inlineStr">
        <is>
          <t>Wall</t>
        </is>
      </c>
      <c r="C10" s="66" t="inlineStr">
        <is>
          <t>Wallpaper</t>
        </is>
      </c>
      <c r="D10" s="66" t="inlineStr">
        <is>
          <t>Grasscloth Weave</t>
        </is>
      </c>
      <c r="E10" s="66" t="inlineStr">
        <is>
          <t>Natural Flax</t>
        </is>
      </c>
      <c r="F10" s="66" t="inlineStr">
        <is>
          <t>Grasscloth</t>
        </is>
      </c>
      <c r="G10" s="66" t="inlineStr">
        <is>
          <t>Phillip Jeffries</t>
        </is>
      </c>
      <c r="H10" s="66" t="inlineStr">
        <is>
          <t>https://example.com/pj</t>
        </is>
      </c>
      <c r="I10" s="66" t="inlineStr">
        <is>
          <t>PJ-4410</t>
        </is>
      </c>
      <c r="J10" s="67" t="n">
        <v>6</v>
      </c>
      <c r="K10" s="68" t="n">
        <v>120</v>
      </c>
      <c r="L10" s="69">
        <f>J10*K10</f>
        <v/>
      </c>
      <c r="M10" s="67" t="inlineStr">
        <is>
          <t>Yes</t>
        </is>
      </c>
      <c r="N10" s="67" t="inlineStr">
        <is>
          <t>Yes</t>
        </is>
      </c>
      <c r="O10" s="66" t="inlineStr">
        <is>
          <t>Pre-pasted liner required</t>
        </is>
      </c>
    </row>
    <row r="11">
      <c r="A11" s="66" t="inlineStr">
        <is>
          <t>Kitchen</t>
        </is>
      </c>
      <c r="B11" s="66" t="inlineStr">
        <is>
          <t>Cabinet</t>
        </is>
      </c>
      <c r="C11" s="66" t="inlineStr">
        <is>
          <t>Cabinet Finish</t>
        </is>
      </c>
      <c r="D11" s="66" t="inlineStr">
        <is>
          <t>Shaker Painted</t>
        </is>
      </c>
      <c r="E11" s="66" t="inlineStr">
        <is>
          <t>Soft White</t>
        </is>
      </c>
      <c r="F11" s="66" t="inlineStr">
        <is>
          <t>Maple</t>
        </is>
      </c>
      <c r="G11" s="66" t="inlineStr">
        <is>
          <t>Custom Millwork</t>
        </is>
      </c>
      <c r="H11" s="66" t="inlineStr"/>
      <c r="I11" s="66" t="inlineStr">
        <is>
          <t>CM-SW</t>
        </is>
      </c>
      <c r="J11" s="67" t="n">
        <v>1</v>
      </c>
      <c r="K11" s="68" t="n">
        <v>8500</v>
      </c>
      <c r="L11" s="69">
        <f>J11*K11</f>
        <v/>
      </c>
      <c r="M11" s="67" t="inlineStr">
        <is>
          <t>No</t>
        </is>
      </c>
      <c r="N11" s="67" t="inlineStr">
        <is>
          <t>No</t>
        </is>
      </c>
      <c r="O11" s="66" t="inlineStr">
        <is>
          <t>Soft-close all doors</t>
        </is>
      </c>
    </row>
    <row r="12">
      <c r="A12" s="66" t="inlineStr">
        <is>
          <t>Dining Room</t>
        </is>
      </c>
      <c r="B12" s="66" t="inlineStr">
        <is>
          <t>Drapery</t>
        </is>
      </c>
      <c r="C12" s="66" t="inlineStr">
        <is>
          <t>Fabric</t>
        </is>
      </c>
      <c r="D12" s="66" t="inlineStr">
        <is>
          <t>Linen Sheer</t>
        </is>
      </c>
      <c r="E12" s="66" t="inlineStr">
        <is>
          <t>Oatmeal</t>
        </is>
      </c>
      <c r="F12" s="66" t="inlineStr">
        <is>
          <t>Linen</t>
        </is>
      </c>
      <c r="G12" s="66" t="inlineStr">
        <is>
          <t>Romano</t>
        </is>
      </c>
      <c r="H12" s="66" t="inlineStr">
        <is>
          <t>https://example.com/linen</t>
        </is>
      </c>
      <c r="I12" s="66" t="inlineStr">
        <is>
          <t>LN-OAT</t>
        </is>
      </c>
      <c r="J12" s="67" t="n">
        <v>18</v>
      </c>
      <c r="K12" s="68" t="n">
        <v>42</v>
      </c>
      <c r="L12" s="69">
        <f>J12*K12</f>
        <v/>
      </c>
      <c r="M12" s="67" t="inlineStr">
        <is>
          <t>Yes</t>
        </is>
      </c>
      <c r="N12" s="67" t="inlineStr">
        <is>
          <t>Yes</t>
        </is>
      </c>
      <c r="O12" s="66" t="inlineStr">
        <is>
          <t>Double width panels</t>
        </is>
      </c>
    </row>
    <row r="13">
      <c r="A13" s="66" t="n"/>
      <c r="B13" s="66" t="n"/>
      <c r="C13" s="66" t="n"/>
      <c r="D13" s="66" t="n"/>
      <c r="E13" s="66" t="n"/>
      <c r="F13" s="66" t="n"/>
      <c r="G13" s="66" t="n"/>
      <c r="H13" s="66" t="n"/>
      <c r="I13" s="66" t="n"/>
      <c r="J13" s="66" t="n"/>
      <c r="K13" s="68" t="n"/>
      <c r="L13" s="69">
        <f>IF(J13="","",J13*K13)</f>
        <v/>
      </c>
      <c r="M13" s="66" t="n"/>
      <c r="N13" s="66" t="n"/>
      <c r="O13" s="66" t="n"/>
    </row>
    <row r="14">
      <c r="A14" s="66" t="n"/>
      <c r="B14" s="66" t="n"/>
      <c r="C14" s="66" t="n"/>
      <c r="D14" s="66" t="n"/>
      <c r="E14" s="66" t="n"/>
      <c r="F14" s="66" t="n"/>
      <c r="G14" s="66" t="n"/>
      <c r="H14" s="66" t="n"/>
      <c r="I14" s="66" t="n"/>
      <c r="J14" s="66" t="n"/>
      <c r="K14" s="68" t="n"/>
      <c r="L14" s="69">
        <f>IF(J14="","",J14*K14)</f>
        <v/>
      </c>
      <c r="M14" s="66" t="n"/>
      <c r="N14" s="66" t="n"/>
      <c r="O14" s="66" t="n"/>
    </row>
    <row r="15">
      <c r="A15" s="66" t="n"/>
      <c r="B15" s="66" t="n"/>
      <c r="C15" s="66" t="n"/>
      <c r="D15" s="66" t="n"/>
      <c r="E15" s="66" t="n"/>
      <c r="F15" s="66" t="n"/>
      <c r="G15" s="66" t="n"/>
      <c r="H15" s="66" t="n"/>
      <c r="I15" s="66" t="n"/>
      <c r="J15" s="66" t="n"/>
      <c r="K15" s="68" t="n"/>
      <c r="L15" s="69">
        <f>IF(J15="","",J15*K15)</f>
        <v/>
      </c>
      <c r="M15" s="66" t="n"/>
      <c r="N15" s="66" t="n"/>
      <c r="O15" s="66" t="n"/>
    </row>
    <row r="16">
      <c r="A16" s="66" t="n"/>
      <c r="B16" s="66" t="n"/>
      <c r="C16" s="66" t="n"/>
      <c r="D16" s="66" t="n"/>
      <c r="E16" s="66" t="n"/>
      <c r="F16" s="66" t="n"/>
      <c r="G16" s="66" t="n"/>
      <c r="H16" s="66" t="n"/>
      <c r="I16" s="66" t="n"/>
      <c r="J16" s="66" t="n"/>
      <c r="K16" s="68" t="n"/>
      <c r="L16" s="69">
        <f>IF(J16="","",J16*K16)</f>
        <v/>
      </c>
      <c r="M16" s="66" t="n"/>
      <c r="N16" s="66" t="n"/>
      <c r="O16" s="66" t="n"/>
    </row>
    <row r="17">
      <c r="A17" s="66" t="n"/>
      <c r="B17" s="66" t="n"/>
      <c r="C17" s="66" t="n"/>
      <c r="D17" s="66" t="n"/>
      <c r="E17" s="66" t="n"/>
      <c r="F17" s="66" t="n"/>
      <c r="G17" s="66" t="n"/>
      <c r="H17" s="66" t="n"/>
      <c r="I17" s="66" t="n"/>
      <c r="J17" s="66" t="n"/>
      <c r="K17" s="68" t="n"/>
      <c r="L17" s="69">
        <f>IF(J17="","",J17*K17)</f>
        <v/>
      </c>
      <c r="M17" s="66" t="n"/>
      <c r="N17" s="66" t="n"/>
      <c r="O17" s="66" t="n"/>
    </row>
    <row r="18">
      <c r="A18" s="66" t="n"/>
      <c r="B18" s="66" t="n"/>
      <c r="C18" s="66" t="n"/>
      <c r="D18" s="66" t="n"/>
      <c r="E18" s="66" t="n"/>
      <c r="F18" s="66" t="n"/>
      <c r="G18" s="66" t="n"/>
      <c r="H18" s="66" t="n"/>
      <c r="I18" s="66" t="n"/>
      <c r="J18" s="66" t="n"/>
      <c r="K18" s="68" t="n"/>
      <c r="L18" s="69">
        <f>IF(J18="","",J18*K18)</f>
        <v/>
      </c>
      <c r="M18" s="66" t="n"/>
      <c r="N18" s="66" t="n"/>
      <c r="O18" s="66" t="n"/>
    </row>
    <row r="19">
      <c r="A19" s="66" t="n"/>
      <c r="B19" s="66" t="n"/>
      <c r="C19" s="66" t="n"/>
      <c r="D19" s="66" t="n"/>
      <c r="E19" s="66" t="n"/>
      <c r="F19" s="66" t="n"/>
      <c r="G19" s="66" t="n"/>
      <c r="H19" s="66" t="n"/>
      <c r="I19" s="66" t="n"/>
      <c r="J19" s="66" t="n"/>
      <c r="K19" s="68" t="n"/>
      <c r="L19" s="69">
        <f>IF(J19="","",J19*K19)</f>
        <v/>
      </c>
      <c r="M19" s="66" t="n"/>
      <c r="N19" s="66" t="n"/>
      <c r="O19" s="66" t="n"/>
    </row>
    <row r="20">
      <c r="A20" s="66" t="n"/>
      <c r="B20" s="66" t="n"/>
      <c r="C20" s="66" t="n"/>
      <c r="D20" s="66" t="n"/>
      <c r="E20" s="66" t="n"/>
      <c r="F20" s="66" t="n"/>
      <c r="G20" s="66" t="n"/>
      <c r="H20" s="66" t="n"/>
      <c r="I20" s="66" t="n"/>
      <c r="J20" s="66" t="n"/>
      <c r="K20" s="68" t="n"/>
      <c r="L20" s="69">
        <f>IF(J20="","",J20*K20)</f>
        <v/>
      </c>
      <c r="M20" s="66" t="n"/>
      <c r="N20" s="66" t="n"/>
      <c r="O20" s="66" t="n"/>
    </row>
    <row r="21">
      <c r="A21" s="66" t="n"/>
      <c r="B21" s="66" t="n"/>
      <c r="C21" s="66" t="n"/>
      <c r="D21" s="66" t="n"/>
      <c r="E21" s="66" t="n"/>
      <c r="F21" s="66" t="n"/>
      <c r="G21" s="66" t="n"/>
      <c r="H21" s="66" t="n"/>
      <c r="I21" s="66" t="n"/>
      <c r="J21" s="66" t="n"/>
      <c r="K21" s="68" t="n"/>
      <c r="L21" s="69">
        <f>IF(J21="","",J21*K21)</f>
        <v/>
      </c>
      <c r="M21" s="66" t="n"/>
      <c r="N21" s="66" t="n"/>
      <c r="O21" s="66" t="n"/>
    </row>
    <row r="22">
      <c r="A22" s="66" t="n"/>
      <c r="B22" s="66" t="n"/>
      <c r="C22" s="66" t="n"/>
      <c r="D22" s="66" t="n"/>
      <c r="E22" s="66" t="n"/>
      <c r="F22" s="66" t="n"/>
      <c r="G22" s="66" t="n"/>
      <c r="H22" s="66" t="n"/>
      <c r="I22" s="66" t="n"/>
      <c r="J22" s="66" t="n"/>
      <c r="K22" s="68" t="n"/>
      <c r="L22" s="69">
        <f>IF(J22="","",J22*K22)</f>
        <v/>
      </c>
      <c r="M22" s="66" t="n"/>
      <c r="N22" s="66" t="n"/>
      <c r="O22" s="66" t="n"/>
    </row>
    <row r="23">
      <c r="A23" s="66" t="n"/>
      <c r="B23" s="66" t="n"/>
      <c r="C23" s="66" t="n"/>
      <c r="D23" s="66" t="n"/>
      <c r="E23" s="66" t="n"/>
      <c r="F23" s="66" t="n"/>
      <c r="G23" s="66" t="n"/>
      <c r="H23" s="66" t="n"/>
      <c r="I23" s="66" t="n"/>
      <c r="J23" s="66" t="n"/>
      <c r="K23" s="68" t="n"/>
      <c r="L23" s="69">
        <f>IF(J23="","",J23*K23)</f>
        <v/>
      </c>
      <c r="M23" s="66" t="n"/>
      <c r="N23" s="66" t="n"/>
      <c r="O23" s="66" t="n"/>
    </row>
    <row r="24">
      <c r="A24" s="66" t="n"/>
      <c r="B24" s="66" t="n"/>
      <c r="C24" s="66" t="n"/>
      <c r="D24" s="66" t="n"/>
      <c r="E24" s="66" t="n"/>
      <c r="F24" s="66" t="n"/>
      <c r="G24" s="66" t="n"/>
      <c r="H24" s="66" t="n"/>
      <c r="I24" s="66" t="n"/>
      <c r="J24" s="66" t="n"/>
      <c r="K24" s="68" t="n"/>
      <c r="L24" s="69">
        <f>IF(J24="","",J24*K24)</f>
        <v/>
      </c>
      <c r="M24" s="66" t="n"/>
      <c r="N24" s="66" t="n"/>
      <c r="O24" s="66" t="n"/>
    </row>
    <row r="25">
      <c r="A25" s="66" t="n"/>
      <c r="B25" s="66" t="n"/>
      <c r="C25" s="66" t="n"/>
      <c r="D25" s="66" t="n"/>
      <c r="E25" s="66" t="n"/>
      <c r="F25" s="66" t="n"/>
      <c r="G25" s="66" t="n"/>
      <c r="H25" s="66" t="n"/>
      <c r="I25" s="66" t="n"/>
      <c r="J25" s="66" t="n"/>
      <c r="K25" s="68" t="n"/>
      <c r="L25" s="69">
        <f>IF(J25="","",J25*K25)</f>
        <v/>
      </c>
      <c r="M25" s="66" t="n"/>
      <c r="N25" s="66" t="n"/>
      <c r="O25" s="66" t="n"/>
    </row>
    <row r="26">
      <c r="A26" s="66" t="n"/>
      <c r="B26" s="66" t="n"/>
      <c r="C26" s="66" t="n"/>
      <c r="D26" s="66" t="n"/>
      <c r="E26" s="66" t="n"/>
      <c r="F26" s="66" t="n"/>
      <c r="G26" s="66" t="n"/>
      <c r="H26" s="66" t="n"/>
      <c r="I26" s="66" t="n"/>
      <c r="J26" s="66" t="n"/>
      <c r="K26" s="68" t="n"/>
      <c r="L26" s="69">
        <f>IF(J26="","",J26*K26)</f>
        <v/>
      </c>
      <c r="M26" s="66" t="n"/>
      <c r="N26" s="66" t="n"/>
      <c r="O26" s="66" t="n"/>
    </row>
    <row r="27">
      <c r="A27" s="66" t="n"/>
      <c r="B27" s="66" t="n"/>
      <c r="C27" s="66" t="n"/>
      <c r="D27" s="66" t="n"/>
      <c r="E27" s="66" t="n"/>
      <c r="F27" s="66" t="n"/>
      <c r="G27" s="66" t="n"/>
      <c r="H27" s="66" t="n"/>
      <c r="I27" s="66" t="n"/>
      <c r="J27" s="66" t="n"/>
      <c r="K27" s="68" t="n"/>
      <c r="L27" s="69">
        <f>IF(J27="","",J27*K27)</f>
        <v/>
      </c>
      <c r="M27" s="66" t="n"/>
      <c r="N27" s="66" t="n"/>
      <c r="O27" s="66" t="n"/>
    </row>
    <row r="28">
      <c r="A28" s="66" t="n"/>
      <c r="B28" s="66" t="n"/>
      <c r="C28" s="66" t="n"/>
      <c r="D28" s="66" t="n"/>
      <c r="E28" s="66" t="n"/>
      <c r="F28" s="66" t="n"/>
      <c r="G28" s="66" t="n"/>
      <c r="H28" s="66" t="n"/>
      <c r="I28" s="66" t="n"/>
      <c r="J28" s="66" t="n"/>
      <c r="K28" s="68" t="n"/>
      <c r="L28" s="69">
        <f>IF(J28="","",J28*K28)</f>
        <v/>
      </c>
      <c r="M28" s="66" t="n"/>
      <c r="N28" s="66" t="n"/>
      <c r="O28" s="66" t="n"/>
    </row>
    <row r="29">
      <c r="A29" s="66" t="n"/>
      <c r="B29" s="66" t="n"/>
      <c r="C29" s="66" t="n"/>
      <c r="D29" s="66" t="n"/>
      <c r="E29" s="66" t="n"/>
      <c r="F29" s="66" t="n"/>
      <c r="G29" s="66" t="n"/>
      <c r="H29" s="66" t="n"/>
      <c r="I29" s="66" t="n"/>
      <c r="J29" s="66" t="n"/>
      <c r="K29" s="68" t="n"/>
      <c r="L29" s="69">
        <f>IF(J29="","",J29*K29)</f>
        <v/>
      </c>
      <c r="M29" s="66" t="n"/>
      <c r="N29" s="66" t="n"/>
      <c r="O29" s="66" t="n"/>
    </row>
    <row r="30">
      <c r="A30" s="66" t="n"/>
      <c r="B30" s="66" t="n"/>
      <c r="C30" s="66" t="n"/>
      <c r="D30" s="66" t="n"/>
      <c r="E30" s="66" t="n"/>
      <c r="F30" s="66" t="n"/>
      <c r="G30" s="66" t="n"/>
      <c r="H30" s="66" t="n"/>
      <c r="I30" s="66" t="n"/>
      <c r="J30" s="66" t="n"/>
      <c r="K30" s="68" t="n"/>
      <c r="L30" s="69">
        <f>IF(J30="","",J30*K30)</f>
        <v/>
      </c>
      <c r="M30" s="66" t="n"/>
      <c r="N30" s="66" t="n"/>
      <c r="O30" s="66" t="n"/>
    </row>
    <row r="31">
      <c r="A31" s="66" t="n"/>
      <c r="B31" s="66" t="n"/>
      <c r="C31" s="66" t="n"/>
      <c r="D31" s="66" t="n"/>
      <c r="E31" s="66" t="n"/>
      <c r="F31" s="66" t="n"/>
      <c r="G31" s="66" t="n"/>
      <c r="H31" s="66" t="n"/>
      <c r="I31" s="66" t="n"/>
      <c r="J31" s="66" t="n"/>
      <c r="K31" s="68" t="n"/>
      <c r="L31" s="69">
        <f>IF(J31="","",J31*K31)</f>
        <v/>
      </c>
      <c r="M31" s="66" t="n"/>
      <c r="N31" s="66" t="n"/>
      <c r="O31" s="66" t="n"/>
    </row>
    <row r="32">
      <c r="A32" s="66" t="n"/>
      <c r="B32" s="66" t="n"/>
      <c r="C32" s="66" t="n"/>
      <c r="D32" s="66" t="n"/>
      <c r="E32" s="66" t="n"/>
      <c r="F32" s="66" t="n"/>
      <c r="G32" s="66" t="n"/>
      <c r="H32" s="66" t="n"/>
      <c r="I32" s="66" t="n"/>
      <c r="J32" s="66" t="n"/>
      <c r="K32" s="68" t="n"/>
      <c r="L32" s="69">
        <f>IF(J32="","",J32*K32)</f>
        <v/>
      </c>
      <c r="M32" s="66" t="n"/>
      <c r="N32" s="66" t="n"/>
      <c r="O32" s="66" t="n"/>
    </row>
    <row r="33">
      <c r="A33" s="66" t="n"/>
      <c r="B33" s="66" t="n"/>
      <c r="C33" s="66" t="n"/>
      <c r="D33" s="66" t="n"/>
      <c r="E33" s="66" t="n"/>
      <c r="F33" s="66" t="n"/>
      <c r="G33" s="66" t="n"/>
      <c r="H33" s="66" t="n"/>
      <c r="I33" s="66" t="n"/>
      <c r="J33" s="66" t="n"/>
      <c r="K33" s="68" t="n"/>
      <c r="L33" s="69">
        <f>IF(J33="","",J33*K33)</f>
        <v/>
      </c>
      <c r="M33" s="66" t="n"/>
      <c r="N33" s="66" t="n"/>
      <c r="O33" s="66" t="n"/>
    </row>
    <row r="34">
      <c r="A34" s="66" t="n"/>
      <c r="B34" s="66" t="n"/>
      <c r="C34" s="66" t="n"/>
      <c r="D34" s="66" t="n"/>
      <c r="E34" s="66" t="n"/>
      <c r="F34" s="66" t="n"/>
      <c r="G34" s="66" t="n"/>
      <c r="H34" s="66" t="n"/>
      <c r="I34" s="66" t="n"/>
      <c r="J34" s="66" t="n"/>
      <c r="K34" s="68" t="n"/>
      <c r="L34" s="69">
        <f>IF(J34="","",J34*K34)</f>
        <v/>
      </c>
      <c r="M34" s="66" t="n"/>
      <c r="N34" s="66" t="n"/>
      <c r="O34" s="66" t="n"/>
    </row>
    <row r="35">
      <c r="A35" s="66" t="n"/>
      <c r="B35" s="66" t="n"/>
      <c r="C35" s="66" t="n"/>
      <c r="D35" s="66" t="n"/>
      <c r="E35" s="66" t="n"/>
      <c r="F35" s="66" t="n"/>
      <c r="G35" s="66" t="n"/>
      <c r="H35" s="66" t="n"/>
      <c r="I35" s="66" t="n"/>
      <c r="J35" s="66" t="n"/>
      <c r="K35" s="68" t="n"/>
      <c r="L35" s="69">
        <f>IF(J35="","",J35*K35)</f>
        <v/>
      </c>
      <c r="M35" s="66" t="n"/>
      <c r="N35" s="66" t="n"/>
      <c r="O35" s="66" t="n"/>
    </row>
    <row r="36">
      <c r="A36" s="66" t="n"/>
      <c r="B36" s="66" t="n"/>
      <c r="C36" s="66" t="n"/>
      <c r="D36" s="66" t="n"/>
      <c r="E36" s="66" t="n"/>
      <c r="F36" s="66" t="n"/>
      <c r="G36" s="66" t="n"/>
      <c r="H36" s="66" t="n"/>
      <c r="I36" s="66" t="n"/>
      <c r="J36" s="66" t="n"/>
      <c r="K36" s="68" t="n"/>
      <c r="L36" s="69">
        <f>IF(J36="","",J36*K36)</f>
        <v/>
      </c>
      <c r="M36" s="66" t="n"/>
      <c r="N36" s="66" t="n"/>
      <c r="O36" s="66" t="n"/>
    </row>
    <row r="37">
      <c r="A37" s="66" t="n"/>
      <c r="B37" s="66" t="n"/>
      <c r="C37" s="66" t="n"/>
      <c r="D37" s="66" t="n"/>
      <c r="E37" s="66" t="n"/>
      <c r="F37" s="66" t="n"/>
      <c r="G37" s="66" t="n"/>
      <c r="H37" s="66" t="n"/>
      <c r="I37" s="66" t="n"/>
      <c r="J37" s="66" t="n"/>
      <c r="K37" s="68" t="n"/>
      <c r="L37" s="69">
        <f>IF(J37="","",J37*K37)</f>
        <v/>
      </c>
      <c r="M37" s="66" t="n"/>
      <c r="N37" s="66" t="n"/>
      <c r="O37" s="66" t="n"/>
    </row>
    <row r="38">
      <c r="A38" s="66" t="n"/>
      <c r="B38" s="66" t="n"/>
      <c r="C38" s="66" t="n"/>
      <c r="D38" s="66" t="n"/>
      <c r="E38" s="66" t="n"/>
      <c r="F38" s="66" t="n"/>
      <c r="G38" s="66" t="n"/>
      <c r="H38" s="66" t="n"/>
      <c r="I38" s="66" t="n"/>
      <c r="J38" s="66" t="n"/>
      <c r="K38" s="68" t="n"/>
      <c r="L38" s="69">
        <f>IF(J38="","",J38*K38)</f>
        <v/>
      </c>
      <c r="M38" s="66" t="n"/>
      <c r="N38" s="66" t="n"/>
      <c r="O38" s="66" t="n"/>
    </row>
    <row r="39">
      <c r="A39" s="66" t="n"/>
      <c r="B39" s="66" t="n"/>
      <c r="C39" s="66" t="n"/>
      <c r="D39" s="66" t="n"/>
      <c r="E39" s="66" t="n"/>
      <c r="F39" s="66" t="n"/>
      <c r="G39" s="66" t="n"/>
      <c r="H39" s="66" t="n"/>
      <c r="I39" s="66" t="n"/>
      <c r="J39" s="66" t="n"/>
      <c r="K39" s="68" t="n"/>
      <c r="L39" s="69">
        <f>IF(J39="","",J39*K39)</f>
        <v/>
      </c>
      <c r="M39" s="66" t="n"/>
      <c r="N39" s="66" t="n"/>
      <c r="O39" s="66" t="n"/>
    </row>
    <row r="40">
      <c r="A40" s="56" t="n"/>
      <c r="B40" s="56" t="n"/>
      <c r="C40" s="56" t="n"/>
      <c r="D40" s="56" t="n"/>
      <c r="E40" s="56" t="n"/>
      <c r="F40" s="56" t="n"/>
      <c r="G40" s="56" t="n"/>
      <c r="H40" s="56" t="n"/>
      <c r="I40" s="56" t="n"/>
      <c r="J40" s="56" t="n"/>
      <c r="K40" s="56" t="n"/>
      <c r="L40" s="56" t="n"/>
      <c r="M40" s="56" t="n"/>
      <c r="N40" s="56" t="n"/>
      <c r="O40" s="56" t="n"/>
    </row>
    <row r="41">
      <c r="A41" s="56" t="n"/>
      <c r="B41" s="56" t="n"/>
      <c r="C41" s="56" t="n"/>
      <c r="D41" s="56" t="n"/>
      <c r="E41" s="56" t="n"/>
      <c r="F41" s="56" t="n"/>
      <c r="G41" s="56" t="n"/>
      <c r="H41" s="56" t="n"/>
      <c r="I41" s="56" t="n"/>
      <c r="J41" s="56" t="n"/>
      <c r="K41" s="56" t="n"/>
      <c r="L41" s="56" t="n"/>
      <c r="M41" s="56" t="n"/>
      <c r="N41" s="56" t="n"/>
      <c r="O41" s="56" t="n"/>
    </row>
    <row r="42">
      <c r="A42" s="56" t="n"/>
      <c r="B42" s="56" t="n"/>
      <c r="C42" s="56" t="n"/>
      <c r="D42" s="56" t="n"/>
      <c r="E42" s="56" t="n"/>
      <c r="F42" s="56" t="n"/>
      <c r="G42" s="56" t="n"/>
      <c r="H42" s="56" t="n"/>
      <c r="I42" s="56" t="n"/>
      <c r="J42" s="56" t="n"/>
      <c r="K42" s="56" t="n"/>
      <c r="L42" s="56" t="n"/>
      <c r="M42" s="56" t="n"/>
      <c r="N42" s="56" t="n"/>
      <c r="O42" s="56" t="n"/>
    </row>
    <row r="43">
      <c r="A43" s="56" t="n"/>
      <c r="B43" s="56" t="n"/>
      <c r="C43" s="56" t="n"/>
      <c r="D43" s="56" t="n"/>
      <c r="E43" s="56" t="n"/>
      <c r="F43" s="56" t="n"/>
      <c r="G43" s="56" t="n"/>
      <c r="H43" s="56" t="n"/>
      <c r="I43" s="56" t="n"/>
      <c r="J43" s="56" t="n"/>
      <c r="K43" s="56" t="n"/>
      <c r="L43" s="56" t="n"/>
      <c r="M43" s="56" t="n"/>
      <c r="N43" s="56" t="n"/>
      <c r="O43" s="56" t="n"/>
    </row>
    <row r="44">
      <c r="A44" s="56" t="n"/>
      <c r="B44" s="56" t="n"/>
      <c r="C44" s="56" t="n"/>
      <c r="D44" s="56" t="n"/>
      <c r="E44" s="56" t="n"/>
      <c r="F44" s="56" t="n"/>
      <c r="G44" s="56" t="n"/>
      <c r="H44" s="56" t="n"/>
      <c r="I44" s="56" t="n"/>
      <c r="J44" s="56" t="n"/>
      <c r="K44" s="56" t="n"/>
      <c r="L44" s="56" t="n"/>
      <c r="M44" s="56" t="n"/>
      <c r="N44" s="56" t="n"/>
      <c r="O44" s="56" t="n"/>
    </row>
  </sheetData>
  <sheetProtection selectLockedCells="0" selectUnlockedCells="0" sheet="1" objects="0" insertRows="0" insertHyperlinks="0" autoFilter="0" scenarios="1" formatColumns="0" deleteColumns="1" insertColumns="1" pivotTables="1" deleteRows="0" formatCells="0" formatRows="0" sort="0" password="EC7C"/>
  <autoFilter ref="A4:O39"/>
  <mergeCells count="2">
    <mergeCell ref="A1:O1"/>
    <mergeCell ref="A2:O2"/>
  </mergeCells>
  <dataValidations count="5">
    <dataValidation sqref="A5:A39" showDropDown="0" showInputMessage="1" showErrorMessage="1" allowBlank="1" errorTitle="Invalid Entry" error="Please select a value from the dropdown list." promptTitle="Select" prompt="Choose from the list" type="list">
      <formula1>"Living Room,Master Bedroom,Kitchen,Dining Room,Home Office,Powder Room"</formula1>
    </dataValidation>
    <dataValidation sqref="B5:B39" showDropDown="0" showInputMessage="1" showErrorMessage="1" allowBlank="1" errorTitle="Invalid Entry" error="Please select a value from the dropdown list." promptTitle="Select" prompt="Choose from the list" type="list">
      <formula1>"Wall,Ceiling,Floor,Cabinet,Countertop,Shower Wall,Backsplash,Upholstery,Drapery,Other"</formula1>
    </dataValidation>
    <dataValidation sqref="C5:C39" showDropDown="0" showInputMessage="1" showErrorMessage="1" allowBlank="1" errorTitle="Invalid Entry" error="Please select a value from the dropdown list." promptTitle="Select" prompt="Choose from the list" type="list">
      <formula1>"Paint,Wallpaper,Flooring,Tile,Countertop,Backsplash,Cabinet Finish,Fabric,Trim,Stone,Wood,Metal,Other"</formula1>
    </dataValidation>
    <dataValidation sqref="M5:M39" showDropDown="0" showInputMessage="1" showErrorMessage="1" allowBlank="1" errorTitle="Invalid Entry" error="Please select a value from the dropdown list." promptTitle="Select" prompt="Choose from the list" type="list">
      <formula1>"Yes,No"</formula1>
    </dataValidation>
    <dataValidation sqref="N5:N39" showDropDown="0" showInputMessage="1" showErrorMessage="1" allowBlank="1" errorTitle="Invalid Entry" error="Please select a value from the dropdown list." promptTitle="Select" prompt="Choose from the list" type="list">
      <formula1>"Yes,No,Pending"</formula1>
    </dataValidation>
  </dataValidations>
  <pageMargins left="0.5" right="0.5" top="0.6" bottom="0.6" header="0.5" footer="0.5"/>
  <headerFooter>
    <oddHeader/>
    <oddFooter>&amp;C&amp;"Calibri"&amp;8 &amp;"Calibri"&amp;8Novality store  ·  Interior Design FF&amp;E Tracker  ·  Page &amp;P of &amp;N</oddFooter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tabColor rgb="00C9A227"/>
    <outlinePr summaryBelow="1" summaryRight="1"/>
    <pageSetUpPr/>
  </sheetPr>
  <dimension ref="A1:M3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22" customWidth="1" min="3" max="3"/>
    <col width="12" customWidth="1" min="4" max="4"/>
    <col width="22" customWidth="1" min="5" max="5"/>
    <col width="12" customWidth="1" min="6" max="6"/>
    <col width="22" customWidth="1" min="7" max="7"/>
    <col width="12" customWidth="1" min="8" max="8"/>
    <col width="14" customWidth="1" min="9" max="9"/>
    <col width="28" customWidth="1" min="10" max="10"/>
    <col width="28" customWidth="1" min="11" max="11"/>
    <col width="24" customWidth="1" min="12" max="12"/>
    <col width="20" customWidth="1" min="13" max="13"/>
  </cols>
  <sheetData>
    <row r="1" ht="38" customHeight="1">
      <c r="A1" s="51" t="inlineStr">
        <is>
          <t>PRODUCT SOURCING TRACKER</t>
        </is>
      </c>
      <c r="B1" s="52" t="n"/>
      <c r="C1" s="52" t="n"/>
      <c r="D1" s="52" t="n"/>
      <c r="E1" s="52" t="n"/>
      <c r="F1" s="52" t="n"/>
      <c r="G1" s="52" t="n"/>
      <c r="H1" s="52" t="n"/>
      <c r="I1" s="52" t="n"/>
      <c r="J1" s="52" t="n"/>
      <c r="K1" s="52" t="n"/>
      <c r="L1" s="52" t="n"/>
      <c r="M1" s="52" t="n"/>
    </row>
    <row r="2" ht="18" customHeight="1">
      <c r="A2" s="53" t="inlineStr">
        <is>
          <t>Compare options before locking the final FF&amp;E selection  ·  Novality store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</row>
    <row r="3"/>
    <row r="4" ht="34" customHeight="1">
      <c r="A4" s="65" t="inlineStr">
        <is>
          <t>Room</t>
        </is>
      </c>
      <c r="B4" s="65" t="inlineStr">
        <is>
          <t>Item Needed</t>
        </is>
      </c>
      <c r="C4" s="65" t="inlineStr">
        <is>
          <t>Option 1 Link</t>
        </is>
      </c>
      <c r="D4" s="65" t="inlineStr">
        <is>
          <t>Option 1 Price</t>
        </is>
      </c>
      <c r="E4" s="65" t="inlineStr">
        <is>
          <t>Option 2 Link</t>
        </is>
      </c>
      <c r="F4" s="65" t="inlineStr">
        <is>
          <t>Option 2 Price</t>
        </is>
      </c>
      <c r="G4" s="65" t="inlineStr">
        <is>
          <t>Option 3 Link</t>
        </is>
      </c>
      <c r="H4" s="65" t="inlineStr">
        <is>
          <t>Option 3 Price</t>
        </is>
      </c>
      <c r="I4" s="65" t="inlineStr">
        <is>
          <t>Preferred Option</t>
        </is>
      </c>
      <c r="J4" s="65" t="inlineStr">
        <is>
          <t>Pros</t>
        </is>
      </c>
      <c r="K4" s="65" t="inlineStr">
        <is>
          <t>Cons</t>
        </is>
      </c>
      <c r="L4" s="65" t="inlineStr">
        <is>
          <t>Client Feedback</t>
        </is>
      </c>
      <c r="M4" s="65" t="inlineStr">
        <is>
          <t>Final Selection</t>
        </is>
      </c>
    </row>
    <row r="5">
      <c r="A5" s="66" t="inlineStr">
        <is>
          <t>Dining Room</t>
        </is>
      </c>
      <c r="B5" s="66" t="inlineStr">
        <is>
          <t>Dining Table</t>
        </is>
      </c>
      <c r="C5" s="66" t="inlineStr">
        <is>
          <t>https://example.com/t1</t>
        </is>
      </c>
      <c r="D5" s="68" t="n">
        <v>2499</v>
      </c>
      <c r="E5" s="66" t="inlineStr">
        <is>
          <t>https://example.com/t2</t>
        </is>
      </c>
      <c r="F5" s="68" t="n">
        <v>1899</v>
      </c>
      <c r="G5" s="66" t="inlineStr">
        <is>
          <t>https://example.com/t3</t>
        </is>
      </c>
      <c r="H5" s="68" t="n">
        <v>3200</v>
      </c>
      <c r="I5" s="66" t="inlineStr">
        <is>
          <t>Option 1</t>
        </is>
      </c>
      <c r="J5" s="66" t="inlineStr">
        <is>
          <t>Solid oak, extends</t>
        </is>
      </c>
      <c r="K5" s="66" t="inlineStr">
        <is>
          <t>Long lead time</t>
        </is>
      </c>
      <c r="L5" s="66" t="inlineStr">
        <is>
          <t>Likes option 1 scale</t>
        </is>
      </c>
      <c r="M5" s="66" t="inlineStr"/>
    </row>
    <row r="6">
      <c r="A6" s="66" t="inlineStr">
        <is>
          <t>Master Bedroom</t>
        </is>
      </c>
      <c r="B6" s="66" t="inlineStr">
        <is>
          <t>Platform Bed</t>
        </is>
      </c>
      <c r="C6" s="66" t="inlineStr">
        <is>
          <t>https://example.com/b1</t>
        </is>
      </c>
      <c r="D6" s="68" t="n">
        <v>1499</v>
      </c>
      <c r="E6" s="66" t="inlineStr">
        <is>
          <t>https://example.com/b2</t>
        </is>
      </c>
      <c r="F6" s="68" t="n">
        <v>1799</v>
      </c>
      <c r="G6" s="66" t="inlineStr">
        <is>
          <t>https://example.com/b3</t>
        </is>
      </c>
      <c r="H6" s="68" t="n">
        <v>1299</v>
      </c>
      <c r="I6" s="66" t="inlineStr">
        <is>
          <t>Option 1</t>
        </is>
      </c>
      <c r="J6" s="66" t="inlineStr">
        <is>
          <t>Performance fabric</t>
        </is>
      </c>
      <c r="K6" s="66" t="inlineStr">
        <is>
          <t>Only 2 finishes</t>
        </is>
      </c>
      <c r="L6" s="66" t="inlineStr">
        <is>
          <t>Wants oatmeal</t>
        </is>
      </c>
      <c r="M6" s="66" t="inlineStr">
        <is>
          <t>Article Ceni King</t>
        </is>
      </c>
    </row>
    <row r="7">
      <c r="A7" s="66" t="inlineStr">
        <is>
          <t>Home Office</t>
        </is>
      </c>
      <c r="B7" s="66" t="inlineStr">
        <is>
          <t>Desk Chair</t>
        </is>
      </c>
      <c r="C7" s="66" t="inlineStr">
        <is>
          <t>https://example.com/c1</t>
        </is>
      </c>
      <c r="D7" s="68" t="n">
        <v>1395</v>
      </c>
      <c r="E7" s="66" t="inlineStr">
        <is>
          <t>https://example.com/c2</t>
        </is>
      </c>
      <c r="F7" s="68" t="n">
        <v>850</v>
      </c>
      <c r="G7" s="66" t="inlineStr">
        <is>
          <t>https://example.com/c3</t>
        </is>
      </c>
      <c r="H7" s="68" t="n">
        <v>450</v>
      </c>
      <c r="I7" s="66" t="inlineStr">
        <is>
          <t>Option 2</t>
        </is>
      </c>
      <c r="J7" s="66" t="inlineStr">
        <is>
          <t>Good ergonomics, lower cost</t>
        </is>
      </c>
      <c r="K7" s="66" t="inlineStr">
        <is>
          <t>Less brand prestige</t>
        </is>
      </c>
      <c r="L7" s="66" t="inlineStr">
        <is>
          <t>Budget conscious</t>
        </is>
      </c>
      <c r="M7" s="66" t="inlineStr"/>
    </row>
    <row r="8">
      <c r="A8" s="66" t="inlineStr">
        <is>
          <t>Living Room</t>
        </is>
      </c>
      <c r="B8" s="66" t="inlineStr">
        <is>
          <t>Accent Chair</t>
        </is>
      </c>
      <c r="C8" s="66" t="inlineStr">
        <is>
          <t>https://example.com/a1</t>
        </is>
      </c>
      <c r="D8" s="68" t="n">
        <v>699</v>
      </c>
      <c r="E8" s="66" t="inlineStr">
        <is>
          <t>https://example.com/a2</t>
        </is>
      </c>
      <c r="F8" s="68" t="n">
        <v>899</v>
      </c>
      <c r="G8" s="66" t="inlineStr">
        <is>
          <t>https://example.com/a3</t>
        </is>
      </c>
      <c r="H8" s="68" t="n">
        <v>549</v>
      </c>
      <c r="I8" s="66" t="inlineStr">
        <is>
          <t>Option 1</t>
        </is>
      </c>
      <c r="J8" s="66" t="inlineStr">
        <is>
          <t>Swivel, boucle</t>
        </is>
      </c>
      <c r="K8" s="66" t="inlineStr">
        <is>
          <t>Shows pet hair</t>
        </is>
      </c>
      <c r="L8" s="66" t="inlineStr">
        <is>
          <t>Approved pair</t>
        </is>
      </c>
      <c r="M8" s="66" t="inlineStr">
        <is>
          <t>West Elm Orbit</t>
        </is>
      </c>
    </row>
    <row r="9">
      <c r="A9" s="66" t="n"/>
      <c r="B9" s="66" t="n"/>
      <c r="C9" s="66" t="n"/>
      <c r="D9" s="68" t="n"/>
      <c r="E9" s="66" t="n"/>
      <c r="F9" s="68" t="n"/>
      <c r="G9" s="66" t="n"/>
      <c r="H9" s="68" t="n"/>
      <c r="I9" s="66" t="n"/>
      <c r="J9" s="66" t="n"/>
      <c r="K9" s="66" t="n"/>
      <c r="L9" s="66" t="n"/>
      <c r="M9" s="66" t="n"/>
    </row>
    <row r="10">
      <c r="A10" s="66" t="n"/>
      <c r="B10" s="66" t="n"/>
      <c r="C10" s="66" t="n"/>
      <c r="D10" s="68" t="n"/>
      <c r="E10" s="66" t="n"/>
      <c r="F10" s="68" t="n"/>
      <c r="G10" s="66" t="n"/>
      <c r="H10" s="68" t="n"/>
      <c r="I10" s="66" t="n"/>
      <c r="J10" s="66" t="n"/>
      <c r="K10" s="66" t="n"/>
      <c r="L10" s="66" t="n"/>
      <c r="M10" s="66" t="n"/>
    </row>
    <row r="11">
      <c r="A11" s="66" t="n"/>
      <c r="B11" s="66" t="n"/>
      <c r="C11" s="66" t="n"/>
      <c r="D11" s="68" t="n"/>
      <c r="E11" s="66" t="n"/>
      <c r="F11" s="68" t="n"/>
      <c r="G11" s="66" t="n"/>
      <c r="H11" s="68" t="n"/>
      <c r="I11" s="66" t="n"/>
      <c r="J11" s="66" t="n"/>
      <c r="K11" s="66" t="n"/>
      <c r="L11" s="66" t="n"/>
      <c r="M11" s="66" t="n"/>
    </row>
    <row r="12">
      <c r="A12" s="66" t="n"/>
      <c r="B12" s="66" t="n"/>
      <c r="C12" s="66" t="n"/>
      <c r="D12" s="68" t="n"/>
      <c r="E12" s="66" t="n"/>
      <c r="F12" s="68" t="n"/>
      <c r="G12" s="66" t="n"/>
      <c r="H12" s="68" t="n"/>
      <c r="I12" s="66" t="n"/>
      <c r="J12" s="66" t="n"/>
      <c r="K12" s="66" t="n"/>
      <c r="L12" s="66" t="n"/>
      <c r="M12" s="66" t="n"/>
    </row>
    <row r="13">
      <c r="A13" s="66" t="n"/>
      <c r="B13" s="66" t="n"/>
      <c r="C13" s="66" t="n"/>
      <c r="D13" s="68" t="n"/>
      <c r="E13" s="66" t="n"/>
      <c r="F13" s="68" t="n"/>
      <c r="G13" s="66" t="n"/>
      <c r="H13" s="68" t="n"/>
      <c r="I13" s="66" t="n"/>
      <c r="J13" s="66" t="n"/>
      <c r="K13" s="66" t="n"/>
      <c r="L13" s="66" t="n"/>
      <c r="M13" s="66" t="n"/>
    </row>
    <row r="14">
      <c r="A14" s="66" t="n"/>
      <c r="B14" s="66" t="n"/>
      <c r="C14" s="66" t="n"/>
      <c r="D14" s="68" t="n"/>
      <c r="E14" s="66" t="n"/>
      <c r="F14" s="68" t="n"/>
      <c r="G14" s="66" t="n"/>
      <c r="H14" s="68" t="n"/>
      <c r="I14" s="66" t="n"/>
      <c r="J14" s="66" t="n"/>
      <c r="K14" s="66" t="n"/>
      <c r="L14" s="66" t="n"/>
      <c r="M14" s="66" t="n"/>
    </row>
    <row r="15">
      <c r="A15" s="66" t="n"/>
      <c r="B15" s="66" t="n"/>
      <c r="C15" s="66" t="n"/>
      <c r="D15" s="68" t="n"/>
      <c r="E15" s="66" t="n"/>
      <c r="F15" s="68" t="n"/>
      <c r="G15" s="66" t="n"/>
      <c r="H15" s="68" t="n"/>
      <c r="I15" s="66" t="n"/>
      <c r="J15" s="66" t="n"/>
      <c r="K15" s="66" t="n"/>
      <c r="L15" s="66" t="n"/>
      <c r="M15" s="66" t="n"/>
    </row>
    <row r="16">
      <c r="A16" s="66" t="n"/>
      <c r="B16" s="66" t="n"/>
      <c r="C16" s="66" t="n"/>
      <c r="D16" s="68" t="n"/>
      <c r="E16" s="66" t="n"/>
      <c r="F16" s="68" t="n"/>
      <c r="G16" s="66" t="n"/>
      <c r="H16" s="68" t="n"/>
      <c r="I16" s="66" t="n"/>
      <c r="J16" s="66" t="n"/>
      <c r="K16" s="66" t="n"/>
      <c r="L16" s="66" t="n"/>
      <c r="M16" s="66" t="n"/>
    </row>
    <row r="17">
      <c r="A17" s="66" t="n"/>
      <c r="B17" s="66" t="n"/>
      <c r="C17" s="66" t="n"/>
      <c r="D17" s="68" t="n"/>
      <c r="E17" s="66" t="n"/>
      <c r="F17" s="68" t="n"/>
      <c r="G17" s="66" t="n"/>
      <c r="H17" s="68" t="n"/>
      <c r="I17" s="66" t="n"/>
      <c r="J17" s="66" t="n"/>
      <c r="K17" s="66" t="n"/>
      <c r="L17" s="66" t="n"/>
      <c r="M17" s="66" t="n"/>
    </row>
    <row r="18">
      <c r="A18" s="66" t="n"/>
      <c r="B18" s="66" t="n"/>
      <c r="C18" s="66" t="n"/>
      <c r="D18" s="68" t="n"/>
      <c r="E18" s="66" t="n"/>
      <c r="F18" s="68" t="n"/>
      <c r="G18" s="66" t="n"/>
      <c r="H18" s="68" t="n"/>
      <c r="I18" s="66" t="n"/>
      <c r="J18" s="66" t="n"/>
      <c r="K18" s="66" t="n"/>
      <c r="L18" s="66" t="n"/>
      <c r="M18" s="66" t="n"/>
    </row>
    <row r="19">
      <c r="A19" s="66" t="n"/>
      <c r="B19" s="66" t="n"/>
      <c r="C19" s="66" t="n"/>
      <c r="D19" s="68" t="n"/>
      <c r="E19" s="66" t="n"/>
      <c r="F19" s="68" t="n"/>
      <c r="G19" s="66" t="n"/>
      <c r="H19" s="68" t="n"/>
      <c r="I19" s="66" t="n"/>
      <c r="J19" s="66" t="n"/>
      <c r="K19" s="66" t="n"/>
      <c r="L19" s="66" t="n"/>
      <c r="M19" s="66" t="n"/>
    </row>
    <row r="20">
      <c r="A20" s="66" t="n"/>
      <c r="B20" s="66" t="n"/>
      <c r="C20" s="66" t="n"/>
      <c r="D20" s="68" t="n"/>
      <c r="E20" s="66" t="n"/>
      <c r="F20" s="68" t="n"/>
      <c r="G20" s="66" t="n"/>
      <c r="H20" s="68" t="n"/>
      <c r="I20" s="66" t="n"/>
      <c r="J20" s="66" t="n"/>
      <c r="K20" s="66" t="n"/>
      <c r="L20" s="66" t="n"/>
      <c r="M20" s="66" t="n"/>
    </row>
    <row r="21">
      <c r="A21" s="66" t="n"/>
      <c r="B21" s="66" t="n"/>
      <c r="C21" s="66" t="n"/>
      <c r="D21" s="68" t="n"/>
      <c r="E21" s="66" t="n"/>
      <c r="F21" s="68" t="n"/>
      <c r="G21" s="66" t="n"/>
      <c r="H21" s="68" t="n"/>
      <c r="I21" s="66" t="n"/>
      <c r="J21" s="66" t="n"/>
      <c r="K21" s="66" t="n"/>
      <c r="L21" s="66" t="n"/>
      <c r="M21" s="66" t="n"/>
    </row>
    <row r="22">
      <c r="A22" s="66" t="n"/>
      <c r="B22" s="66" t="n"/>
      <c r="C22" s="66" t="n"/>
      <c r="D22" s="68" t="n"/>
      <c r="E22" s="66" t="n"/>
      <c r="F22" s="68" t="n"/>
      <c r="G22" s="66" t="n"/>
      <c r="H22" s="68" t="n"/>
      <c r="I22" s="66" t="n"/>
      <c r="J22" s="66" t="n"/>
      <c r="K22" s="66" t="n"/>
      <c r="L22" s="66" t="n"/>
      <c r="M22" s="66" t="n"/>
    </row>
    <row r="23">
      <c r="A23" s="66" t="n"/>
      <c r="B23" s="66" t="n"/>
      <c r="C23" s="66" t="n"/>
      <c r="D23" s="68" t="n"/>
      <c r="E23" s="66" t="n"/>
      <c r="F23" s="68" t="n"/>
      <c r="G23" s="66" t="n"/>
      <c r="H23" s="68" t="n"/>
      <c r="I23" s="66" t="n"/>
      <c r="J23" s="66" t="n"/>
      <c r="K23" s="66" t="n"/>
      <c r="L23" s="66" t="n"/>
      <c r="M23" s="66" t="n"/>
    </row>
    <row r="24">
      <c r="A24" s="66" t="n"/>
      <c r="B24" s="66" t="n"/>
      <c r="C24" s="66" t="n"/>
      <c r="D24" s="68" t="n"/>
      <c r="E24" s="66" t="n"/>
      <c r="F24" s="68" t="n"/>
      <c r="G24" s="66" t="n"/>
      <c r="H24" s="68" t="n"/>
      <c r="I24" s="66" t="n"/>
      <c r="J24" s="66" t="n"/>
      <c r="K24" s="66" t="n"/>
      <c r="L24" s="66" t="n"/>
      <c r="M24" s="66" t="n"/>
    </row>
    <row r="25">
      <c r="A25" s="66" t="n"/>
      <c r="B25" s="66" t="n"/>
      <c r="C25" s="66" t="n"/>
      <c r="D25" s="68" t="n"/>
      <c r="E25" s="66" t="n"/>
      <c r="F25" s="68" t="n"/>
      <c r="G25" s="66" t="n"/>
      <c r="H25" s="68" t="n"/>
      <c r="I25" s="66" t="n"/>
      <c r="J25" s="66" t="n"/>
      <c r="K25" s="66" t="n"/>
      <c r="L25" s="66" t="n"/>
      <c r="M25" s="66" t="n"/>
    </row>
    <row r="26">
      <c r="A26" s="66" t="n"/>
      <c r="B26" s="66" t="n"/>
      <c r="C26" s="66" t="n"/>
      <c r="D26" s="68" t="n"/>
      <c r="E26" s="66" t="n"/>
      <c r="F26" s="68" t="n"/>
      <c r="G26" s="66" t="n"/>
      <c r="H26" s="68" t="n"/>
      <c r="I26" s="66" t="n"/>
      <c r="J26" s="66" t="n"/>
      <c r="K26" s="66" t="n"/>
      <c r="L26" s="66" t="n"/>
      <c r="M26" s="66" t="n"/>
    </row>
    <row r="27">
      <c r="A27" s="66" t="n"/>
      <c r="B27" s="66" t="n"/>
      <c r="C27" s="66" t="n"/>
      <c r="D27" s="68" t="n"/>
      <c r="E27" s="66" t="n"/>
      <c r="F27" s="68" t="n"/>
      <c r="G27" s="66" t="n"/>
      <c r="H27" s="68" t="n"/>
      <c r="I27" s="66" t="n"/>
      <c r="J27" s="66" t="n"/>
      <c r="K27" s="66" t="n"/>
      <c r="L27" s="66" t="n"/>
      <c r="M27" s="66" t="n"/>
    </row>
    <row r="28">
      <c r="A28" s="66" t="n"/>
      <c r="B28" s="66" t="n"/>
      <c r="C28" s="66" t="n"/>
      <c r="D28" s="68" t="n"/>
      <c r="E28" s="66" t="n"/>
      <c r="F28" s="68" t="n"/>
      <c r="G28" s="66" t="n"/>
      <c r="H28" s="68" t="n"/>
      <c r="I28" s="66" t="n"/>
      <c r="J28" s="66" t="n"/>
      <c r="K28" s="66" t="n"/>
      <c r="L28" s="66" t="n"/>
      <c r="M28" s="66" t="n"/>
    </row>
    <row r="29">
      <c r="A29" s="66" t="n"/>
      <c r="B29" s="66" t="n"/>
      <c r="C29" s="66" t="n"/>
      <c r="D29" s="68" t="n"/>
      <c r="E29" s="66" t="n"/>
      <c r="F29" s="68" t="n"/>
      <c r="G29" s="66" t="n"/>
      <c r="H29" s="68" t="n"/>
      <c r="I29" s="66" t="n"/>
      <c r="J29" s="66" t="n"/>
      <c r="K29" s="66" t="n"/>
      <c r="L29" s="66" t="n"/>
      <c r="M29" s="66" t="n"/>
    </row>
    <row r="30">
      <c r="A30" s="66" t="n"/>
      <c r="B30" s="66" t="n"/>
      <c r="C30" s="66" t="n"/>
      <c r="D30" s="68" t="n"/>
      <c r="E30" s="66" t="n"/>
      <c r="F30" s="68" t="n"/>
      <c r="G30" s="66" t="n"/>
      <c r="H30" s="68" t="n"/>
      <c r="I30" s="66" t="n"/>
      <c r="J30" s="66" t="n"/>
      <c r="K30" s="66" t="n"/>
      <c r="L30" s="66" t="n"/>
      <c r="M30" s="66" t="n"/>
    </row>
    <row r="31">
      <c r="A31" s="66" t="n"/>
      <c r="B31" s="66" t="n"/>
      <c r="C31" s="66" t="n"/>
      <c r="D31" s="68" t="n"/>
      <c r="E31" s="66" t="n"/>
      <c r="F31" s="68" t="n"/>
      <c r="G31" s="66" t="n"/>
      <c r="H31" s="68" t="n"/>
      <c r="I31" s="66" t="n"/>
      <c r="J31" s="66" t="n"/>
      <c r="K31" s="66" t="n"/>
      <c r="L31" s="66" t="n"/>
      <c r="M31" s="66" t="n"/>
    </row>
    <row r="32">
      <c r="A32" s="66" t="n"/>
      <c r="B32" s="66" t="n"/>
      <c r="C32" s="66" t="n"/>
      <c r="D32" s="68" t="n"/>
      <c r="E32" s="66" t="n"/>
      <c r="F32" s="68" t="n"/>
      <c r="G32" s="66" t="n"/>
      <c r="H32" s="68" t="n"/>
      <c r="I32" s="66" t="n"/>
      <c r="J32" s="66" t="n"/>
      <c r="K32" s="66" t="n"/>
      <c r="L32" s="66" t="n"/>
      <c r="M32" s="66" t="n"/>
    </row>
    <row r="33">
      <c r="A33" s="66" t="n"/>
      <c r="B33" s="66" t="n"/>
      <c r="C33" s="66" t="n"/>
      <c r="D33" s="68" t="n"/>
      <c r="E33" s="66" t="n"/>
      <c r="F33" s="68" t="n"/>
      <c r="G33" s="66" t="n"/>
      <c r="H33" s="68" t="n"/>
      <c r="I33" s="66" t="n"/>
      <c r="J33" s="66" t="n"/>
      <c r="K33" s="66" t="n"/>
      <c r="L33" s="66" t="n"/>
      <c r="M33" s="66" t="n"/>
    </row>
    <row r="34">
      <c r="A34" s="66" t="n"/>
      <c r="B34" s="66" t="n"/>
      <c r="C34" s="66" t="n"/>
      <c r="D34" s="68" t="n"/>
      <c r="E34" s="66" t="n"/>
      <c r="F34" s="68" t="n"/>
      <c r="G34" s="66" t="n"/>
      <c r="H34" s="68" t="n"/>
      <c r="I34" s="66" t="n"/>
      <c r="J34" s="66" t="n"/>
      <c r="K34" s="66" t="n"/>
      <c r="L34" s="66" t="n"/>
      <c r="M34" s="66" t="n"/>
    </row>
    <row r="35">
      <c r="A35" s="56" t="n"/>
      <c r="B35" s="56" t="n"/>
      <c r="C35" s="56" t="n"/>
      <c r="D35" s="56" t="n"/>
      <c r="E35" s="56" t="n"/>
      <c r="F35" s="56" t="n"/>
      <c r="G35" s="56" t="n"/>
      <c r="H35" s="56" t="n"/>
      <c r="I35" s="56" t="n"/>
      <c r="J35" s="56" t="n"/>
      <c r="K35" s="56" t="n"/>
      <c r="L35" s="56" t="n"/>
      <c r="M35" s="56" t="n"/>
    </row>
    <row r="36">
      <c r="A36" s="56" t="n"/>
      <c r="B36" s="56" t="n"/>
      <c r="C36" s="56" t="n"/>
      <c r="D36" s="56" t="n"/>
      <c r="E36" s="56" t="n"/>
      <c r="F36" s="56" t="n"/>
      <c r="G36" s="56" t="n"/>
      <c r="H36" s="56" t="n"/>
      <c r="I36" s="56" t="n"/>
      <c r="J36" s="56" t="n"/>
      <c r="K36" s="56" t="n"/>
      <c r="L36" s="56" t="n"/>
      <c r="M36" s="56" t="n"/>
    </row>
    <row r="37">
      <c r="A37" s="56" t="n"/>
      <c r="B37" s="56" t="n"/>
      <c r="C37" s="56" t="n"/>
      <c r="D37" s="56" t="n"/>
      <c r="E37" s="56" t="n"/>
      <c r="F37" s="56" t="n"/>
      <c r="G37" s="56" t="n"/>
      <c r="H37" s="56" t="n"/>
      <c r="I37" s="56" t="n"/>
      <c r="J37" s="56" t="n"/>
      <c r="K37" s="56" t="n"/>
      <c r="L37" s="56" t="n"/>
      <c r="M37" s="56" t="n"/>
    </row>
    <row r="38">
      <c r="A38" s="56" t="n"/>
      <c r="B38" s="56" t="n"/>
      <c r="C38" s="56" t="n"/>
      <c r="D38" s="56" t="n"/>
      <c r="E38" s="56" t="n"/>
      <c r="F38" s="56" t="n"/>
      <c r="G38" s="56" t="n"/>
      <c r="H38" s="56" t="n"/>
      <c r="I38" s="56" t="n"/>
      <c r="J38" s="56" t="n"/>
      <c r="K38" s="56" t="n"/>
      <c r="L38" s="56" t="n"/>
      <c r="M38" s="56" t="n"/>
    </row>
    <row r="39">
      <c r="A39" s="56" t="n"/>
      <c r="B39" s="56" t="n"/>
      <c r="C39" s="56" t="n"/>
      <c r="D39" s="56" t="n"/>
      <c r="E39" s="56" t="n"/>
      <c r="F39" s="56" t="n"/>
      <c r="G39" s="56" t="n"/>
      <c r="H39" s="56" t="n"/>
      <c r="I39" s="56" t="n"/>
      <c r="J39" s="56" t="n"/>
      <c r="K39" s="56" t="n"/>
      <c r="L39" s="56" t="n"/>
      <c r="M39" s="56" t="n"/>
    </row>
  </sheetData>
  <sheetProtection selectLockedCells="0" selectUnlockedCells="0" sheet="1" objects="0" insertRows="0" insertHyperlinks="0" autoFilter="0" scenarios="1" formatColumns="0" deleteColumns="1" insertColumns="1" pivotTables="1" deleteRows="0" formatCells="0" formatRows="0" sort="0" password="EC7C"/>
  <autoFilter ref="A4:M34"/>
  <mergeCells count="2">
    <mergeCell ref="A2:M2"/>
    <mergeCell ref="A1:M1"/>
  </mergeCells>
  <dataValidations count="2">
    <dataValidation sqref="A5:A34" showDropDown="0" showInputMessage="1" showErrorMessage="1" allowBlank="1" errorTitle="Invalid Entry" error="Please select a value from the dropdown list." promptTitle="Select" prompt="Choose from the list" type="list">
      <formula1>"Living Room,Master Bedroom,Kitchen,Dining Room,Home Office,Powder Room"</formula1>
    </dataValidation>
    <dataValidation sqref="I5:I34" showDropDown="0" showInputMessage="1" showErrorMessage="1" allowBlank="1" errorTitle="Invalid Entry" error="Please select a value from the dropdown list." promptTitle="Select" prompt="Choose from the list" type="list">
      <formula1>"Option 1,Option 2,Option 3,None / Keep Looking"</formula1>
    </dataValidation>
  </dataValidations>
  <pageMargins left="0.5" right="0.5" top="0.6" bottom="0.6" header="0.5" footer="0.5"/>
  <headerFooter>
    <oddHeader/>
    <oddFooter>&amp;C&amp;"Calibri"&amp;8 &amp;"Calibri"&amp;8Novality store  ·  Interior Design FF&amp;E Tracker  ·  Page &amp;P of &amp;N</oddFooter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>
    <tabColor rgb="003D7EA6"/>
    <outlinePr summaryBelow="1" summaryRight="1"/>
    <pageSetUpPr/>
  </sheetPr>
  <dimension ref="A1:L4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24" customWidth="1" min="4" max="4"/>
    <col width="16" customWidth="1" min="5" max="5"/>
    <col width="24" customWidth="1" min="6" max="6"/>
    <col width="14" customWidth="1" min="7" max="7"/>
    <col width="14" customWidth="1" min="8" max="8"/>
    <col width="12" customWidth="1" min="9" max="9"/>
    <col width="14" customWidth="1" min="10" max="10"/>
    <col width="18" customWidth="1" min="11" max="11"/>
    <col width="30" customWidth="1" min="12" max="12"/>
  </cols>
  <sheetData>
    <row r="1" ht="38" customHeight="1">
      <c r="A1" s="51" t="inlineStr">
        <is>
          <t>VENDOR &amp; SUPPLIER DATABASE</t>
        </is>
      </c>
      <c r="B1" s="52" t="n"/>
      <c r="C1" s="52" t="n"/>
      <c r="D1" s="52" t="n"/>
      <c r="E1" s="52" t="n"/>
      <c r="F1" s="52" t="n"/>
      <c r="G1" s="52" t="n"/>
      <c r="H1" s="52" t="n"/>
      <c r="I1" s="52" t="n"/>
      <c r="J1" s="52" t="n"/>
      <c r="K1" s="52" t="n"/>
      <c r="L1" s="52" t="n"/>
    </row>
    <row r="2" ht="18" customHeight="1">
      <c r="A2" s="53" t="inlineStr">
        <is>
          <t>Trade accounts, discounts, and lead times in one place  ·  Novality store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</row>
    <row r="3"/>
    <row r="4" ht="34" customHeight="1">
      <c r="A4" s="65" t="inlineStr">
        <is>
          <t>Vendor Name</t>
        </is>
      </c>
      <c r="B4" s="65" t="inlineStr">
        <is>
          <t>Vendor Type</t>
        </is>
      </c>
      <c r="C4" s="65" t="inlineStr">
        <is>
          <t>Contact Person</t>
        </is>
      </c>
      <c r="D4" s="65" t="inlineStr">
        <is>
          <t>Email</t>
        </is>
      </c>
      <c r="E4" s="65" t="inlineStr">
        <is>
          <t>Phone</t>
        </is>
      </c>
      <c r="F4" s="65" t="inlineStr">
        <is>
          <t>Website</t>
        </is>
      </c>
      <c r="G4" s="65" t="inlineStr">
        <is>
          <t>Account Number</t>
        </is>
      </c>
      <c r="H4" s="65" t="inlineStr">
        <is>
          <t>Trade Discount %</t>
        </is>
      </c>
      <c r="I4" s="65" t="inlineStr">
        <is>
          <t>Lead Time</t>
        </is>
      </c>
      <c r="J4" s="65" t="inlineStr">
        <is>
          <t>Shipping Terms</t>
        </is>
      </c>
      <c r="K4" s="65" t="inlineStr">
        <is>
          <t>Return Policy</t>
        </is>
      </c>
      <c r="L4" s="65" t="inlineStr">
        <is>
          <t>Notes</t>
        </is>
      </c>
    </row>
    <row r="5">
      <c r="A5" s="66" t="inlineStr">
        <is>
          <t>Article</t>
        </is>
      </c>
      <c r="B5" s="66" t="inlineStr">
        <is>
          <t>Furniture</t>
        </is>
      </c>
      <c r="C5" s="66" t="inlineStr">
        <is>
          <t>Sales Team</t>
        </is>
      </c>
      <c r="D5" s="66" t="inlineStr">
        <is>
          <t>trade@article.com</t>
        </is>
      </c>
      <c r="E5" s="66" t="inlineStr">
        <is>
          <t>888-555-0101</t>
        </is>
      </c>
      <c r="F5" s="66" t="inlineStr">
        <is>
          <t>https://article.com</t>
        </is>
      </c>
      <c r="G5" s="66" t="inlineStr">
        <is>
          <t>ART-4521</t>
        </is>
      </c>
      <c r="H5" s="74" t="n">
        <v>0.15</v>
      </c>
      <c r="I5" s="66" t="inlineStr">
        <is>
          <t>4-8 weeks</t>
        </is>
      </c>
      <c r="J5" s="66" t="inlineStr">
        <is>
          <t>Free over $999</t>
        </is>
      </c>
      <c r="K5" s="66" t="inlineStr">
        <is>
          <t>30 days unused</t>
        </is>
      </c>
      <c r="L5" s="66" t="inlineStr">
        <is>
          <t>Preferred furniture vendor</t>
        </is>
      </c>
    </row>
    <row r="6">
      <c r="A6" s="66" t="inlineStr">
        <is>
          <t>West Elm</t>
        </is>
      </c>
      <c r="B6" s="66" t="inlineStr">
        <is>
          <t>Furniture</t>
        </is>
      </c>
      <c r="C6" s="66" t="inlineStr">
        <is>
          <t>Trade Desk</t>
        </is>
      </c>
      <c r="D6" s="66" t="inlineStr">
        <is>
          <t>trade@westelm.com</t>
        </is>
      </c>
      <c r="E6" s="66" t="inlineStr">
        <is>
          <t>800-555-0102</t>
        </is>
      </c>
      <c r="F6" s="66" t="inlineStr">
        <is>
          <t>https://westelm.com</t>
        </is>
      </c>
      <c r="G6" s="66" t="inlineStr">
        <is>
          <t>WE-8891</t>
        </is>
      </c>
      <c r="H6" s="74" t="n">
        <v>0.2</v>
      </c>
      <c r="I6" s="66" t="inlineStr">
        <is>
          <t>2-6 weeks</t>
        </is>
      </c>
      <c r="J6" s="66" t="inlineStr">
        <is>
          <t>Flat $99</t>
        </is>
      </c>
      <c r="K6" s="66" t="inlineStr">
        <is>
          <t>30 days</t>
        </is>
      </c>
      <c r="L6" s="66" t="inlineStr">
        <is>
          <t>Good for accents</t>
        </is>
      </c>
    </row>
    <row r="7">
      <c r="A7" s="66" t="inlineStr">
        <is>
          <t>CB2</t>
        </is>
      </c>
      <c r="B7" s="66" t="inlineStr">
        <is>
          <t>Furniture</t>
        </is>
      </c>
      <c r="C7" s="66" t="inlineStr">
        <is>
          <t>Trade</t>
        </is>
      </c>
      <c r="D7" s="66" t="inlineStr">
        <is>
          <t>trade@cb2.com</t>
        </is>
      </c>
      <c r="E7" s="66" t="inlineStr">
        <is>
          <t>800-555-0103</t>
        </is>
      </c>
      <c r="F7" s="66" t="inlineStr">
        <is>
          <t>https://cb2.com</t>
        </is>
      </c>
      <c r="G7" s="66" t="inlineStr">
        <is>
          <t>CB2-3310</t>
        </is>
      </c>
      <c r="H7" s="74" t="n">
        <v>0.15</v>
      </c>
      <c r="I7" s="66" t="inlineStr">
        <is>
          <t>3-6 weeks</t>
        </is>
      </c>
      <c r="J7" s="66" t="inlineStr">
        <is>
          <t>Varies</t>
        </is>
      </c>
      <c r="K7" s="66" t="inlineStr">
        <is>
          <t>14 days</t>
        </is>
      </c>
      <c r="L7" s="66" t="inlineStr"/>
    </row>
    <row r="8">
      <c r="A8" s="66" t="inlineStr">
        <is>
          <t>Visual Comfort</t>
        </is>
      </c>
      <c r="B8" s="66" t="inlineStr">
        <is>
          <t>Lighting</t>
        </is>
      </c>
      <c r="C8" s="66" t="inlineStr">
        <is>
          <t>Rep: Jordan Lee</t>
        </is>
      </c>
      <c r="D8" s="66" t="inlineStr">
        <is>
          <t>jordan@vc.com</t>
        </is>
      </c>
      <c r="E8" s="66" t="inlineStr">
        <is>
          <t>800-555-0104</t>
        </is>
      </c>
      <c r="F8" s="66" t="inlineStr">
        <is>
          <t>https://visualcomfort.com</t>
        </is>
      </c>
      <c r="G8" s="66" t="inlineStr">
        <is>
          <t>VC-772</t>
        </is>
      </c>
      <c r="H8" s="74" t="n">
        <v>0.4</v>
      </c>
      <c r="I8" s="66" t="inlineStr">
        <is>
          <t>6-12 weeks</t>
        </is>
      </c>
      <c r="J8" s="66" t="inlineStr">
        <is>
          <t>FOB</t>
        </is>
      </c>
      <c r="K8" s="66" t="inlineStr">
        <is>
          <t>Special order no return</t>
        </is>
      </c>
      <c r="L8" s="66" t="inlineStr">
        <is>
          <t>Trade pricing excellent</t>
        </is>
      </c>
    </row>
    <row r="9">
      <c r="A9" s="66" t="inlineStr">
        <is>
          <t>Schoolhouse</t>
        </is>
      </c>
      <c r="B9" s="66" t="inlineStr">
        <is>
          <t>Lighting</t>
        </is>
      </c>
      <c r="C9" s="66" t="inlineStr">
        <is>
          <t>Trade</t>
        </is>
      </c>
      <c r="D9" s="66" t="inlineStr">
        <is>
          <t>trade@schoolhouse.com</t>
        </is>
      </c>
      <c r="E9" s="66" t="inlineStr">
        <is>
          <t>800-555-0105</t>
        </is>
      </c>
      <c r="F9" s="66" t="inlineStr">
        <is>
          <t>https://schoolhouse.com</t>
        </is>
      </c>
      <c r="G9" s="66" t="inlineStr">
        <is>
          <t>SH-220</t>
        </is>
      </c>
      <c r="H9" s="74" t="n">
        <v>0.2</v>
      </c>
      <c r="I9" s="66" t="inlineStr">
        <is>
          <t>2-4 weeks</t>
        </is>
      </c>
      <c r="J9" s="66" t="inlineStr">
        <is>
          <t>Free over $150</t>
        </is>
      </c>
      <c r="K9" s="66" t="inlineStr">
        <is>
          <t>30 days</t>
        </is>
      </c>
      <c r="L9" s="66" t="inlineStr"/>
    </row>
    <row r="10">
      <c r="A10" s="66" t="inlineStr">
        <is>
          <t>Loloi</t>
        </is>
      </c>
      <c r="B10" s="66" t="inlineStr">
        <is>
          <t>Flooring</t>
        </is>
      </c>
      <c r="C10" s="66" t="inlineStr">
        <is>
          <t>Rep: Sam Park</t>
        </is>
      </c>
      <c r="D10" s="66" t="inlineStr">
        <is>
          <t>sam@loloi.com</t>
        </is>
      </c>
      <c r="E10" s="66" t="inlineStr">
        <is>
          <t>800-555-0106</t>
        </is>
      </c>
      <c r="F10" s="66" t="inlineStr">
        <is>
          <t>https://loloirugs.com</t>
        </is>
      </c>
      <c r="G10" s="66" t="inlineStr">
        <is>
          <t>LO-991</t>
        </is>
      </c>
      <c r="H10" s="74" t="n">
        <v>0.25</v>
      </c>
      <c r="I10" s="66" t="inlineStr">
        <is>
          <t>2-4 weeks</t>
        </is>
      </c>
      <c r="J10" s="66" t="inlineStr">
        <is>
          <t>Free over $500</t>
        </is>
      </c>
      <c r="K10" s="66" t="inlineStr">
        <is>
          <t>30 days</t>
        </is>
      </c>
      <c r="L10" s="66" t="inlineStr">
        <is>
          <t>Rug specialist</t>
        </is>
      </c>
    </row>
    <row r="11">
      <c r="A11" s="66" t="inlineStr">
        <is>
          <t>Wolf / Sub-Zero</t>
        </is>
      </c>
      <c r="B11" s="66" t="inlineStr">
        <is>
          <t>Other</t>
        </is>
      </c>
      <c r="C11" s="66" t="inlineStr">
        <is>
          <t>Builder Sales</t>
        </is>
      </c>
      <c r="D11" s="66" t="inlineStr">
        <is>
          <t>builder@subzero.com</t>
        </is>
      </c>
      <c r="E11" s="66" t="inlineStr">
        <is>
          <t>800-555-0107</t>
        </is>
      </c>
      <c r="F11" s="66" t="inlineStr">
        <is>
          <t>https://subzero-wolf.com</t>
        </is>
      </c>
      <c r="G11" s="66" t="inlineStr">
        <is>
          <t>SZ-110</t>
        </is>
      </c>
      <c r="H11" s="74" t="n">
        <v>0</v>
      </c>
      <c r="I11" s="66" t="inlineStr">
        <is>
          <t>8-16 weeks</t>
        </is>
      </c>
      <c r="J11" s="66" t="inlineStr">
        <is>
          <t>Freight</t>
        </is>
      </c>
      <c r="K11" s="66" t="inlineStr">
        <is>
          <t>No return installed</t>
        </is>
      </c>
      <c r="L11" s="66" t="inlineStr">
        <is>
          <t>Appliances via dealer</t>
        </is>
      </c>
    </row>
    <row r="12">
      <c r="A12" s="66" t="inlineStr">
        <is>
          <t>Rejuvenation</t>
        </is>
      </c>
      <c r="B12" s="66" t="inlineStr">
        <is>
          <t>Hardware</t>
        </is>
      </c>
      <c r="C12" s="66" t="inlineStr">
        <is>
          <t>Trade</t>
        </is>
      </c>
      <c r="D12" s="66" t="inlineStr">
        <is>
          <t>trade@rejuvenation.com</t>
        </is>
      </c>
      <c r="E12" s="66" t="inlineStr">
        <is>
          <t>800-555-0108</t>
        </is>
      </c>
      <c r="F12" s="66" t="inlineStr">
        <is>
          <t>https://rejuvenation.com</t>
        </is>
      </c>
      <c r="G12" s="66" t="inlineStr">
        <is>
          <t>RJ-554</t>
        </is>
      </c>
      <c r="H12" s="74" t="n">
        <v>0.15</v>
      </c>
      <c r="I12" s="66" t="inlineStr">
        <is>
          <t>1-3 weeks</t>
        </is>
      </c>
      <c r="J12" s="66" t="inlineStr">
        <is>
          <t>Free over $99</t>
        </is>
      </c>
      <c r="K12" s="66" t="inlineStr">
        <is>
          <t>30 days</t>
        </is>
      </c>
      <c r="L12" s="66" t="inlineStr">
        <is>
          <t>Hardware + lighting</t>
        </is>
      </c>
    </row>
    <row r="13">
      <c r="A13" s="66" t="inlineStr">
        <is>
          <t>Four Hands</t>
        </is>
      </c>
      <c r="B13" s="66" t="inlineStr">
        <is>
          <t>Furniture</t>
        </is>
      </c>
      <c r="C13" s="66" t="inlineStr">
        <is>
          <t>Rep: Ava Kim</t>
        </is>
      </c>
      <c r="D13" s="66" t="inlineStr">
        <is>
          <t>ava@fourhands.com</t>
        </is>
      </c>
      <c r="E13" s="66" t="inlineStr">
        <is>
          <t>800-555-0109</t>
        </is>
      </c>
      <c r="F13" s="66" t="inlineStr">
        <is>
          <t>https://fourhands.com</t>
        </is>
      </c>
      <c r="G13" s="66" t="inlineStr">
        <is>
          <t>FH-440</t>
        </is>
      </c>
      <c r="H13" s="74" t="n">
        <v>0.3</v>
      </c>
      <c r="I13" s="66" t="inlineStr">
        <is>
          <t>6-10 weeks</t>
        </is>
      </c>
      <c r="J13" s="66" t="inlineStr">
        <is>
          <t>FOB warehouse</t>
        </is>
      </c>
      <c r="K13" s="66" t="inlineStr">
        <is>
          <t>Special order</t>
        </is>
      </c>
      <c r="L13" s="66" t="inlineStr">
        <is>
          <t>Showroom visit recommended</t>
        </is>
      </c>
    </row>
    <row r="14">
      <c r="A14" s="66" t="inlineStr">
        <is>
          <t>Signature Hardware</t>
        </is>
      </c>
      <c r="B14" s="66" t="inlineStr">
        <is>
          <t>Hardware</t>
        </is>
      </c>
      <c r="C14" s="66" t="inlineStr">
        <is>
          <t>Trade</t>
        </is>
      </c>
      <c r="D14" s="66" t="inlineStr">
        <is>
          <t>trade@signaturehardware.com</t>
        </is>
      </c>
      <c r="E14" s="66" t="inlineStr">
        <is>
          <t>800-555-0110</t>
        </is>
      </c>
      <c r="F14" s="66" t="inlineStr">
        <is>
          <t>https://signaturehardware.com</t>
        </is>
      </c>
      <c r="G14" s="66" t="inlineStr">
        <is>
          <t>SIG-88</t>
        </is>
      </c>
      <c r="H14" s="74" t="n">
        <v>0.1</v>
      </c>
      <c r="I14" s="66" t="inlineStr">
        <is>
          <t>1-3 weeks</t>
        </is>
      </c>
      <c r="J14" s="66" t="inlineStr">
        <is>
          <t>Free over $99</t>
        </is>
      </c>
      <c r="K14" s="66" t="inlineStr">
        <is>
          <t>30 days</t>
        </is>
      </c>
      <c r="L14" s="66" t="inlineStr">
        <is>
          <t>Plumbing fixtures</t>
        </is>
      </c>
    </row>
    <row r="15">
      <c r="A15" s="66" t="n"/>
      <c r="B15" s="66" t="n"/>
      <c r="C15" s="66" t="n"/>
      <c r="D15" s="66" t="n"/>
      <c r="E15" s="66" t="n"/>
      <c r="F15" s="66" t="n"/>
      <c r="G15" s="66" t="n"/>
      <c r="H15" s="75" t="n"/>
      <c r="I15" s="66" t="n"/>
      <c r="J15" s="66" t="n"/>
      <c r="K15" s="66" t="n"/>
      <c r="L15" s="66" t="n"/>
    </row>
    <row r="16">
      <c r="A16" s="66" t="n"/>
      <c r="B16" s="66" t="n"/>
      <c r="C16" s="66" t="n"/>
      <c r="D16" s="66" t="n"/>
      <c r="E16" s="66" t="n"/>
      <c r="F16" s="66" t="n"/>
      <c r="G16" s="66" t="n"/>
      <c r="H16" s="75" t="n"/>
      <c r="I16" s="66" t="n"/>
      <c r="J16" s="66" t="n"/>
      <c r="K16" s="66" t="n"/>
      <c r="L16" s="66" t="n"/>
    </row>
    <row r="17">
      <c r="A17" s="66" t="n"/>
      <c r="B17" s="66" t="n"/>
      <c r="C17" s="66" t="n"/>
      <c r="D17" s="66" t="n"/>
      <c r="E17" s="66" t="n"/>
      <c r="F17" s="66" t="n"/>
      <c r="G17" s="66" t="n"/>
      <c r="H17" s="75" t="n"/>
      <c r="I17" s="66" t="n"/>
      <c r="J17" s="66" t="n"/>
      <c r="K17" s="66" t="n"/>
      <c r="L17" s="66" t="n"/>
    </row>
    <row r="18">
      <c r="A18" s="66" t="n"/>
      <c r="B18" s="66" t="n"/>
      <c r="C18" s="66" t="n"/>
      <c r="D18" s="66" t="n"/>
      <c r="E18" s="66" t="n"/>
      <c r="F18" s="66" t="n"/>
      <c r="G18" s="66" t="n"/>
      <c r="H18" s="75" t="n"/>
      <c r="I18" s="66" t="n"/>
      <c r="J18" s="66" t="n"/>
      <c r="K18" s="66" t="n"/>
      <c r="L18" s="66" t="n"/>
    </row>
    <row r="19">
      <c r="A19" s="66" t="n"/>
      <c r="B19" s="66" t="n"/>
      <c r="C19" s="66" t="n"/>
      <c r="D19" s="66" t="n"/>
      <c r="E19" s="66" t="n"/>
      <c r="F19" s="66" t="n"/>
      <c r="G19" s="66" t="n"/>
      <c r="H19" s="75" t="n"/>
      <c r="I19" s="66" t="n"/>
      <c r="J19" s="66" t="n"/>
      <c r="K19" s="66" t="n"/>
      <c r="L19" s="66" t="n"/>
    </row>
    <row r="20">
      <c r="A20" s="66" t="n"/>
      <c r="B20" s="66" t="n"/>
      <c r="C20" s="66" t="n"/>
      <c r="D20" s="66" t="n"/>
      <c r="E20" s="66" t="n"/>
      <c r="F20" s="66" t="n"/>
      <c r="G20" s="66" t="n"/>
      <c r="H20" s="75" t="n"/>
      <c r="I20" s="66" t="n"/>
      <c r="J20" s="66" t="n"/>
      <c r="K20" s="66" t="n"/>
      <c r="L20" s="66" t="n"/>
    </row>
    <row r="21">
      <c r="A21" s="66" t="n"/>
      <c r="B21" s="66" t="n"/>
      <c r="C21" s="66" t="n"/>
      <c r="D21" s="66" t="n"/>
      <c r="E21" s="66" t="n"/>
      <c r="F21" s="66" t="n"/>
      <c r="G21" s="66" t="n"/>
      <c r="H21" s="75" t="n"/>
      <c r="I21" s="66" t="n"/>
      <c r="J21" s="66" t="n"/>
      <c r="K21" s="66" t="n"/>
      <c r="L21" s="66" t="n"/>
    </row>
    <row r="22">
      <c r="A22" s="66" t="n"/>
      <c r="B22" s="66" t="n"/>
      <c r="C22" s="66" t="n"/>
      <c r="D22" s="66" t="n"/>
      <c r="E22" s="66" t="n"/>
      <c r="F22" s="66" t="n"/>
      <c r="G22" s="66" t="n"/>
      <c r="H22" s="75" t="n"/>
      <c r="I22" s="66" t="n"/>
      <c r="J22" s="66" t="n"/>
      <c r="K22" s="66" t="n"/>
      <c r="L22" s="66" t="n"/>
    </row>
    <row r="23">
      <c r="A23" s="66" t="n"/>
      <c r="B23" s="66" t="n"/>
      <c r="C23" s="66" t="n"/>
      <c r="D23" s="66" t="n"/>
      <c r="E23" s="66" t="n"/>
      <c r="F23" s="66" t="n"/>
      <c r="G23" s="66" t="n"/>
      <c r="H23" s="75" t="n"/>
      <c r="I23" s="66" t="n"/>
      <c r="J23" s="66" t="n"/>
      <c r="K23" s="66" t="n"/>
      <c r="L23" s="66" t="n"/>
    </row>
    <row r="24">
      <c r="A24" s="66" t="n"/>
      <c r="B24" s="66" t="n"/>
      <c r="C24" s="66" t="n"/>
      <c r="D24" s="66" t="n"/>
      <c r="E24" s="66" t="n"/>
      <c r="F24" s="66" t="n"/>
      <c r="G24" s="66" t="n"/>
      <c r="H24" s="75" t="n"/>
      <c r="I24" s="66" t="n"/>
      <c r="J24" s="66" t="n"/>
      <c r="K24" s="66" t="n"/>
      <c r="L24" s="66" t="n"/>
    </row>
    <row r="25">
      <c r="A25" s="66" t="n"/>
      <c r="B25" s="66" t="n"/>
      <c r="C25" s="66" t="n"/>
      <c r="D25" s="66" t="n"/>
      <c r="E25" s="66" t="n"/>
      <c r="F25" s="66" t="n"/>
      <c r="G25" s="66" t="n"/>
      <c r="H25" s="75" t="n"/>
      <c r="I25" s="66" t="n"/>
      <c r="J25" s="66" t="n"/>
      <c r="K25" s="66" t="n"/>
      <c r="L25" s="66" t="n"/>
    </row>
    <row r="26">
      <c r="A26" s="66" t="n"/>
      <c r="B26" s="66" t="n"/>
      <c r="C26" s="66" t="n"/>
      <c r="D26" s="66" t="n"/>
      <c r="E26" s="66" t="n"/>
      <c r="F26" s="66" t="n"/>
      <c r="G26" s="66" t="n"/>
      <c r="H26" s="75" t="n"/>
      <c r="I26" s="66" t="n"/>
      <c r="J26" s="66" t="n"/>
      <c r="K26" s="66" t="n"/>
      <c r="L26" s="66" t="n"/>
    </row>
    <row r="27">
      <c r="A27" s="66" t="n"/>
      <c r="B27" s="66" t="n"/>
      <c r="C27" s="66" t="n"/>
      <c r="D27" s="66" t="n"/>
      <c r="E27" s="66" t="n"/>
      <c r="F27" s="66" t="n"/>
      <c r="G27" s="66" t="n"/>
      <c r="H27" s="75" t="n"/>
      <c r="I27" s="66" t="n"/>
      <c r="J27" s="66" t="n"/>
      <c r="K27" s="66" t="n"/>
      <c r="L27" s="66" t="n"/>
    </row>
    <row r="28">
      <c r="A28" s="66" t="n"/>
      <c r="B28" s="66" t="n"/>
      <c r="C28" s="66" t="n"/>
      <c r="D28" s="66" t="n"/>
      <c r="E28" s="66" t="n"/>
      <c r="F28" s="66" t="n"/>
      <c r="G28" s="66" t="n"/>
      <c r="H28" s="75" t="n"/>
      <c r="I28" s="66" t="n"/>
      <c r="J28" s="66" t="n"/>
      <c r="K28" s="66" t="n"/>
      <c r="L28" s="66" t="n"/>
    </row>
    <row r="29">
      <c r="A29" s="66" t="n"/>
      <c r="B29" s="66" t="n"/>
      <c r="C29" s="66" t="n"/>
      <c r="D29" s="66" t="n"/>
      <c r="E29" s="66" t="n"/>
      <c r="F29" s="66" t="n"/>
      <c r="G29" s="66" t="n"/>
      <c r="H29" s="75" t="n"/>
      <c r="I29" s="66" t="n"/>
      <c r="J29" s="66" t="n"/>
      <c r="K29" s="66" t="n"/>
      <c r="L29" s="66" t="n"/>
    </row>
    <row r="30">
      <c r="A30" s="66" t="n"/>
      <c r="B30" s="66" t="n"/>
      <c r="C30" s="66" t="n"/>
      <c r="D30" s="66" t="n"/>
      <c r="E30" s="66" t="n"/>
      <c r="F30" s="66" t="n"/>
      <c r="G30" s="66" t="n"/>
      <c r="H30" s="75" t="n"/>
      <c r="I30" s="66" t="n"/>
      <c r="J30" s="66" t="n"/>
      <c r="K30" s="66" t="n"/>
      <c r="L30" s="66" t="n"/>
    </row>
    <row r="31">
      <c r="A31" s="66" t="n"/>
      <c r="B31" s="66" t="n"/>
      <c r="C31" s="66" t="n"/>
      <c r="D31" s="66" t="n"/>
      <c r="E31" s="66" t="n"/>
      <c r="F31" s="66" t="n"/>
      <c r="G31" s="66" t="n"/>
      <c r="H31" s="75" t="n"/>
      <c r="I31" s="66" t="n"/>
      <c r="J31" s="66" t="n"/>
      <c r="K31" s="66" t="n"/>
      <c r="L31" s="66" t="n"/>
    </row>
    <row r="32">
      <c r="A32" s="66" t="n"/>
      <c r="B32" s="66" t="n"/>
      <c r="C32" s="66" t="n"/>
      <c r="D32" s="66" t="n"/>
      <c r="E32" s="66" t="n"/>
      <c r="F32" s="66" t="n"/>
      <c r="G32" s="66" t="n"/>
      <c r="H32" s="75" t="n"/>
      <c r="I32" s="66" t="n"/>
      <c r="J32" s="66" t="n"/>
      <c r="K32" s="66" t="n"/>
      <c r="L32" s="66" t="n"/>
    </row>
    <row r="33">
      <c r="A33" s="66" t="n"/>
      <c r="B33" s="66" t="n"/>
      <c r="C33" s="66" t="n"/>
      <c r="D33" s="66" t="n"/>
      <c r="E33" s="66" t="n"/>
      <c r="F33" s="66" t="n"/>
      <c r="G33" s="66" t="n"/>
      <c r="H33" s="75" t="n"/>
      <c r="I33" s="66" t="n"/>
      <c r="J33" s="66" t="n"/>
      <c r="K33" s="66" t="n"/>
      <c r="L33" s="66" t="n"/>
    </row>
    <row r="34">
      <c r="A34" s="66" t="n"/>
      <c r="B34" s="66" t="n"/>
      <c r="C34" s="66" t="n"/>
      <c r="D34" s="66" t="n"/>
      <c r="E34" s="66" t="n"/>
      <c r="F34" s="66" t="n"/>
      <c r="G34" s="66" t="n"/>
      <c r="H34" s="75" t="n"/>
      <c r="I34" s="66" t="n"/>
      <c r="J34" s="66" t="n"/>
      <c r="K34" s="66" t="n"/>
      <c r="L34" s="66" t="n"/>
    </row>
    <row r="35">
      <c r="A35" s="66" t="n"/>
      <c r="B35" s="66" t="n"/>
      <c r="C35" s="66" t="n"/>
      <c r="D35" s="66" t="n"/>
      <c r="E35" s="66" t="n"/>
      <c r="F35" s="66" t="n"/>
      <c r="G35" s="66" t="n"/>
      <c r="H35" s="75" t="n"/>
      <c r="I35" s="66" t="n"/>
      <c r="J35" s="66" t="n"/>
      <c r="K35" s="66" t="n"/>
      <c r="L35" s="66" t="n"/>
    </row>
    <row r="36">
      <c r="A36" s="66" t="n"/>
      <c r="B36" s="66" t="n"/>
      <c r="C36" s="66" t="n"/>
      <c r="D36" s="66" t="n"/>
      <c r="E36" s="66" t="n"/>
      <c r="F36" s="66" t="n"/>
      <c r="G36" s="66" t="n"/>
      <c r="H36" s="75" t="n"/>
      <c r="I36" s="66" t="n"/>
      <c r="J36" s="66" t="n"/>
      <c r="K36" s="66" t="n"/>
      <c r="L36" s="66" t="n"/>
    </row>
    <row r="37">
      <c r="A37" s="66" t="n"/>
      <c r="B37" s="66" t="n"/>
      <c r="C37" s="66" t="n"/>
      <c r="D37" s="66" t="n"/>
      <c r="E37" s="66" t="n"/>
      <c r="F37" s="66" t="n"/>
      <c r="G37" s="66" t="n"/>
      <c r="H37" s="75" t="n"/>
      <c r="I37" s="66" t="n"/>
      <c r="J37" s="66" t="n"/>
      <c r="K37" s="66" t="n"/>
      <c r="L37" s="66" t="n"/>
    </row>
    <row r="38">
      <c r="A38" s="66" t="n"/>
      <c r="B38" s="66" t="n"/>
      <c r="C38" s="66" t="n"/>
      <c r="D38" s="66" t="n"/>
      <c r="E38" s="66" t="n"/>
      <c r="F38" s="66" t="n"/>
      <c r="G38" s="66" t="n"/>
      <c r="H38" s="75" t="n"/>
      <c r="I38" s="66" t="n"/>
      <c r="J38" s="66" t="n"/>
      <c r="K38" s="66" t="n"/>
      <c r="L38" s="66" t="n"/>
    </row>
    <row r="39">
      <c r="A39" s="66" t="n"/>
      <c r="B39" s="66" t="n"/>
      <c r="C39" s="66" t="n"/>
      <c r="D39" s="66" t="n"/>
      <c r="E39" s="66" t="n"/>
      <c r="F39" s="66" t="n"/>
      <c r="G39" s="66" t="n"/>
      <c r="H39" s="75" t="n"/>
      <c r="I39" s="66" t="n"/>
      <c r="J39" s="66" t="n"/>
      <c r="K39" s="66" t="n"/>
      <c r="L39" s="66" t="n"/>
    </row>
    <row r="40">
      <c r="A40" s="56" t="n"/>
      <c r="B40" s="56" t="n"/>
      <c r="C40" s="56" t="n"/>
      <c r="D40" s="56" t="n"/>
      <c r="E40" s="56" t="n"/>
      <c r="F40" s="56" t="n"/>
      <c r="G40" s="56" t="n"/>
      <c r="H40" s="56" t="n"/>
      <c r="I40" s="56" t="n"/>
      <c r="J40" s="56" t="n"/>
      <c r="K40" s="56" t="n"/>
      <c r="L40" s="56" t="n"/>
    </row>
    <row r="41">
      <c r="A41" s="56" t="n"/>
      <c r="B41" s="56" t="n"/>
      <c r="C41" s="56" t="n"/>
      <c r="D41" s="56" t="n"/>
      <c r="E41" s="56" t="n"/>
      <c r="F41" s="56" t="n"/>
      <c r="G41" s="56" t="n"/>
      <c r="H41" s="56" t="n"/>
      <c r="I41" s="56" t="n"/>
      <c r="J41" s="56" t="n"/>
      <c r="K41" s="56" t="n"/>
      <c r="L41" s="56" t="n"/>
    </row>
    <row r="42">
      <c r="A42" s="56" t="n"/>
      <c r="B42" s="56" t="n"/>
      <c r="C42" s="56" t="n"/>
      <c r="D42" s="56" t="n"/>
      <c r="E42" s="56" t="n"/>
      <c r="F42" s="56" t="n"/>
      <c r="G42" s="56" t="n"/>
      <c r="H42" s="56" t="n"/>
      <c r="I42" s="56" t="n"/>
      <c r="J42" s="56" t="n"/>
      <c r="K42" s="56" t="n"/>
      <c r="L42" s="56" t="n"/>
    </row>
    <row r="43">
      <c r="A43" s="56" t="n"/>
      <c r="B43" s="56" t="n"/>
      <c r="C43" s="56" t="n"/>
      <c r="D43" s="56" t="n"/>
      <c r="E43" s="56" t="n"/>
      <c r="F43" s="56" t="n"/>
      <c r="G43" s="56" t="n"/>
      <c r="H43" s="56" t="n"/>
      <c r="I43" s="56" t="n"/>
      <c r="J43" s="56" t="n"/>
      <c r="K43" s="56" t="n"/>
      <c r="L43" s="56" t="n"/>
    </row>
    <row r="44">
      <c r="A44" s="56" t="n"/>
      <c r="B44" s="56" t="n"/>
      <c r="C44" s="56" t="n"/>
      <c r="D44" s="56" t="n"/>
      <c r="E44" s="56" t="n"/>
      <c r="F44" s="56" t="n"/>
      <c r="G44" s="56" t="n"/>
      <c r="H44" s="56" t="n"/>
      <c r="I44" s="56" t="n"/>
      <c r="J44" s="56" t="n"/>
      <c r="K44" s="56" t="n"/>
      <c r="L44" s="56" t="n"/>
    </row>
  </sheetData>
  <sheetProtection selectLockedCells="0" selectUnlockedCells="0" sheet="1" objects="0" insertRows="0" insertHyperlinks="0" autoFilter="0" scenarios="1" formatColumns="0" deleteColumns="1" insertColumns="1" pivotTables="1" deleteRows="0" formatCells="0" formatRows="0" sort="0" password="EC7C"/>
  <autoFilter ref="A4:L39"/>
  <mergeCells count="2">
    <mergeCell ref="A2:L2"/>
    <mergeCell ref="A1:L1"/>
  </mergeCells>
  <dataValidations count="1">
    <dataValidation sqref="B5:B39" showDropDown="0" showInputMessage="1" showErrorMessage="1" allowBlank="1" errorTitle="Invalid Entry" error="Please select a value from the dropdown list." promptTitle="Select" prompt="Choose from the list" type="list">
      <formula1>"Furniture,Lighting,Fabric,Flooring,Tile,Paint,Wallpaper,Decor,Hardware,Contractor,Installer,Workroom,Custom Furniture,Other"</formula1>
    </dataValidation>
  </dataValidations>
  <pageMargins left="0.5" right="0.5" top="0.6" bottom="0.6" header="0.5" footer="0.5"/>
  <headerFooter>
    <oddHeader/>
    <oddFooter>&amp;C&amp;"Calibri"&amp;8 &amp;"Calibri"&amp;8Novality store  ·  Interior Design FF&amp;E Tracker  ·  Page &amp;P of &amp;N</oddFooter>
    <evenHeader/>
    <evenFooter/>
    <firstHeader/>
    <firstFooter/>
  </headerFooter>
</worksheet>
</file>

<file path=xl/worksheets/sheet12.xml><?xml version="1.0" encoding="utf-8"?>
<worksheet xmlns="http://schemas.openxmlformats.org/spreadsheetml/2006/main">
  <sheetPr>
    <tabColor rgb="002F6B4F"/>
    <outlinePr summaryBelow="1" summaryRight="1"/>
    <pageSetUpPr/>
  </sheetPr>
  <dimension ref="A1:I3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30" customWidth="1" min="9" max="9"/>
  </cols>
  <sheetData>
    <row r="1" ht="38" customHeight="1">
      <c r="A1" s="51" t="inlineStr">
        <is>
          <t>BUDGET TRACKER</t>
        </is>
      </c>
      <c r="B1" s="52" t="n"/>
      <c r="C1" s="52" t="n"/>
      <c r="D1" s="52" t="n"/>
      <c r="E1" s="52" t="n"/>
      <c r="F1" s="52" t="n"/>
      <c r="G1" s="52" t="n"/>
      <c r="H1" s="52" t="n"/>
      <c r="I1" s="52" t="n"/>
    </row>
    <row r="2" ht="18" customHeight="1">
      <c r="A2" s="53" t="inlineStr">
        <is>
          <t>Category-level budget control with auto totals and variance  ·  Novality store</t>
        </is>
      </c>
      <c r="B2" s="5" t="n"/>
      <c r="C2" s="5" t="n"/>
      <c r="D2" s="5" t="n"/>
      <c r="E2" s="5" t="n"/>
      <c r="F2" s="5" t="n"/>
      <c r="G2" s="5" t="n"/>
      <c r="H2" s="5" t="n"/>
      <c r="I2" s="5" t="n"/>
    </row>
    <row r="3"/>
    <row r="4" ht="34" customHeight="1">
      <c r="A4" s="65" t="inlineStr">
        <is>
          <t>Budget Category</t>
        </is>
      </c>
      <c r="B4" s="65" t="inlineStr">
        <is>
          <t>Budgeted Amount</t>
        </is>
      </c>
      <c r="C4" s="65" t="inlineStr">
        <is>
          <t>Estimated Amount</t>
        </is>
      </c>
      <c r="D4" s="65" t="inlineStr">
        <is>
          <t>Actual Amount</t>
        </is>
      </c>
      <c r="E4" s="65" t="inlineStr">
        <is>
          <t>Difference</t>
        </is>
      </c>
      <c r="F4" s="65" t="inlineStr">
        <is>
          <t>Paid Amount</t>
        </is>
      </c>
      <c r="G4" s="65" t="inlineStr">
        <is>
          <t>Balance Due</t>
        </is>
      </c>
      <c r="H4" s="65" t="inlineStr">
        <is>
          <t>Payment Status</t>
        </is>
      </c>
      <c r="I4" s="65" t="inlineStr">
        <is>
          <t>Notes</t>
        </is>
      </c>
    </row>
    <row r="5">
      <c r="A5" s="76" t="inlineStr">
        <is>
          <t>Furniture</t>
        </is>
      </c>
      <c r="B5" s="77" t="n">
        <v>35000</v>
      </c>
      <c r="C5" s="69">
        <f>SUMIF('05 Master FF&amp;E'!C:C,"Sofa",'05 Master FF&amp;E'!T:T)+SUMIF('05 Master FF&amp;E'!C:C,"Chair",'05 Master FF&amp;E'!T:T)+SUMIF('05 Master FF&amp;E'!C:C,"Table",'05 Master FF&amp;E'!T:T)+SUMIF('05 Master FF&amp;E'!C:C,"Bed",'05 Master FF&amp;E'!T:T)</f>
        <v/>
      </c>
      <c r="D5" s="69">
        <f>C5</f>
        <v/>
      </c>
      <c r="E5" s="69">
        <f>B5-D5</f>
        <v/>
      </c>
      <c r="F5" s="77" t="n">
        <v>0</v>
      </c>
      <c r="G5" s="69">
        <f>D5-F5</f>
        <v/>
      </c>
      <c r="H5" s="76" t="inlineStr">
        <is>
          <t>Unpaid</t>
        </is>
      </c>
      <c r="I5" s="76" t="inlineStr"/>
    </row>
    <row r="6">
      <c r="A6" s="76" t="inlineStr">
        <is>
          <t>Lighting</t>
        </is>
      </c>
      <c r="B6" s="77" t="n">
        <v>8000</v>
      </c>
      <c r="C6" s="69">
        <f>SUMIF('05 Master FF&amp;E'!C:C,"Lighting",'05 Master FF&amp;E'!T:T)</f>
        <v/>
      </c>
      <c r="D6" s="69">
        <f>C6</f>
        <v/>
      </c>
      <c r="E6" s="69">
        <f>B6-D6</f>
        <v/>
      </c>
      <c r="F6" s="77" t="n">
        <v>0</v>
      </c>
      <c r="G6" s="69">
        <f>D6-F6</f>
        <v/>
      </c>
      <c r="H6" s="76" t="inlineStr">
        <is>
          <t>Unpaid</t>
        </is>
      </c>
      <c r="I6" s="76" t="inlineStr"/>
    </row>
    <row r="7">
      <c r="A7" s="76" t="inlineStr">
        <is>
          <t>Rugs</t>
        </is>
      </c>
      <c r="B7" s="77" t="n">
        <v>4000</v>
      </c>
      <c r="C7" s="69">
        <f>SUMIF('05 Master FF&amp;E'!C:C,"Rug",'05 Master FF&amp;E'!T:T)</f>
        <v/>
      </c>
      <c r="D7" s="69">
        <f>C7</f>
        <v/>
      </c>
      <c r="E7" s="69">
        <f>B7-D7</f>
        <v/>
      </c>
      <c r="F7" s="77" t="n">
        <v>0</v>
      </c>
      <c r="G7" s="69">
        <f>D7-F7</f>
        <v/>
      </c>
      <c r="H7" s="76" t="inlineStr">
        <is>
          <t>Unpaid</t>
        </is>
      </c>
      <c r="I7" s="76" t="inlineStr"/>
    </row>
    <row r="8">
      <c r="A8" s="76" t="inlineStr">
        <is>
          <t>Decor</t>
        </is>
      </c>
      <c r="B8" s="77" t="n">
        <v>2500</v>
      </c>
      <c r="C8" s="78" t="n">
        <v>0</v>
      </c>
      <c r="D8" s="69">
        <f>C8</f>
        <v/>
      </c>
      <c r="E8" s="69">
        <f>B8-D8</f>
        <v/>
      </c>
      <c r="F8" s="77" t="n">
        <v>0</v>
      </c>
      <c r="G8" s="69">
        <f>D8-F8</f>
        <v/>
      </c>
      <c r="H8" s="76" t="inlineStr">
        <is>
          <t>Unpaid</t>
        </is>
      </c>
      <c r="I8" s="76" t="inlineStr"/>
    </row>
    <row r="9">
      <c r="A9" s="76" t="inlineStr">
        <is>
          <t>Artwork</t>
        </is>
      </c>
      <c r="B9" s="77" t="n">
        <v>3000</v>
      </c>
      <c r="C9" s="69">
        <f>SUMIF('05 Master FF&amp;E'!C:C,"Artwork",'05 Master FF&amp;E'!T:T)</f>
        <v/>
      </c>
      <c r="D9" s="69">
        <f>C9</f>
        <v/>
      </c>
      <c r="E9" s="69">
        <f>B9-D9</f>
        <v/>
      </c>
      <c r="F9" s="77" t="n">
        <v>0</v>
      </c>
      <c r="G9" s="69">
        <f>D9-F9</f>
        <v/>
      </c>
      <c r="H9" s="76" t="inlineStr">
        <is>
          <t>Unpaid</t>
        </is>
      </c>
      <c r="I9" s="76" t="inlineStr"/>
    </row>
    <row r="10">
      <c r="A10" s="76" t="inlineStr">
        <is>
          <t>Window Treatments</t>
        </is>
      </c>
      <c r="B10" s="77" t="n">
        <v>4500</v>
      </c>
      <c r="C10" s="78" t="n">
        <v>0</v>
      </c>
      <c r="D10" s="69">
        <f>C10</f>
        <v/>
      </c>
      <c r="E10" s="69">
        <f>B10-D10</f>
        <v/>
      </c>
      <c r="F10" s="77" t="n">
        <v>0</v>
      </c>
      <c r="G10" s="69">
        <f>D10-F10</f>
        <v/>
      </c>
      <c r="H10" s="76" t="inlineStr">
        <is>
          <t>Unpaid</t>
        </is>
      </c>
      <c r="I10" s="76" t="inlineStr"/>
    </row>
    <row r="11">
      <c r="A11" s="76" t="inlineStr">
        <is>
          <t>Flooring</t>
        </is>
      </c>
      <c r="B11" s="77" t="n">
        <v>9000</v>
      </c>
      <c r="C11" s="78" t="n">
        <v>0</v>
      </c>
      <c r="D11" s="69">
        <f>C11</f>
        <v/>
      </c>
      <c r="E11" s="69">
        <f>B11-D11</f>
        <v/>
      </c>
      <c r="F11" s="77" t="n">
        <v>0</v>
      </c>
      <c r="G11" s="69">
        <f>D11-F11</f>
        <v/>
      </c>
      <c r="H11" s="76" t="inlineStr">
        <is>
          <t>Unpaid</t>
        </is>
      </c>
      <c r="I11" s="76" t="inlineStr"/>
    </row>
    <row r="12">
      <c r="A12" s="76" t="inlineStr">
        <is>
          <t>Paint/Wallcovering</t>
        </is>
      </c>
      <c r="B12" s="77" t="n">
        <v>2500</v>
      </c>
      <c r="C12" s="78" t="n">
        <v>0</v>
      </c>
      <c r="D12" s="69">
        <f>C12</f>
        <v/>
      </c>
      <c r="E12" s="69">
        <f>B12-D12</f>
        <v/>
      </c>
      <c r="F12" s="77" t="n">
        <v>0</v>
      </c>
      <c r="G12" s="69">
        <f>D12-F12</f>
        <v/>
      </c>
      <c r="H12" s="76" t="inlineStr">
        <is>
          <t>Unpaid</t>
        </is>
      </c>
      <c r="I12" s="76" t="inlineStr"/>
    </row>
    <row r="13">
      <c r="A13" s="76" t="inlineStr">
        <is>
          <t>Contractor Labor</t>
        </is>
      </c>
      <c r="B13" s="77" t="n">
        <v>5000</v>
      </c>
      <c r="C13" s="78" t="n">
        <v>0</v>
      </c>
      <c r="D13" s="69">
        <f>C13</f>
        <v/>
      </c>
      <c r="E13" s="69">
        <f>B13-D13</f>
        <v/>
      </c>
      <c r="F13" s="77" t="n">
        <v>0</v>
      </c>
      <c r="G13" s="69">
        <f>D13-F13</f>
        <v/>
      </c>
      <c r="H13" s="76" t="inlineStr">
        <is>
          <t>Unpaid</t>
        </is>
      </c>
      <c r="I13" s="76" t="inlineStr"/>
    </row>
    <row r="14">
      <c r="A14" s="76" t="inlineStr">
        <is>
          <t>Installation</t>
        </is>
      </c>
      <c r="B14" s="77" t="n">
        <v>2500</v>
      </c>
      <c r="C14" s="78" t="n">
        <v>0</v>
      </c>
      <c r="D14" s="69">
        <f>C14</f>
        <v/>
      </c>
      <c r="E14" s="69">
        <f>B14-D14</f>
        <v/>
      </c>
      <c r="F14" s="77" t="n">
        <v>0</v>
      </c>
      <c r="G14" s="69">
        <f>D14-F14</f>
        <v/>
      </c>
      <c r="H14" s="76" t="inlineStr">
        <is>
          <t>Unpaid</t>
        </is>
      </c>
      <c r="I14" s="76" t="inlineStr"/>
    </row>
    <row r="15">
      <c r="A15" s="76" t="inlineStr">
        <is>
          <t>Shipping</t>
        </is>
      </c>
      <c r="B15" s="77" t="n">
        <v>1500</v>
      </c>
      <c r="C15" s="69">
        <f>SUM('05 Master FF&amp;E'!R5:R84)</f>
        <v/>
      </c>
      <c r="D15" s="69">
        <f>C15</f>
        <v/>
      </c>
      <c r="E15" s="69">
        <f>B15-D15</f>
        <v/>
      </c>
      <c r="F15" s="77" t="n">
        <v>0</v>
      </c>
      <c r="G15" s="69">
        <f>D15-F15</f>
        <v/>
      </c>
      <c r="H15" s="76" t="inlineStr">
        <is>
          <t>Unpaid</t>
        </is>
      </c>
      <c r="I15" s="76" t="inlineStr"/>
    </row>
    <row r="16">
      <c r="A16" s="76" t="inlineStr">
        <is>
          <t>Taxes</t>
        </is>
      </c>
      <c r="B16" s="77" t="n">
        <v>4000</v>
      </c>
      <c r="C16" s="69">
        <f>SUM('05 Master FF&amp;E'!Q5:Q84)</f>
        <v/>
      </c>
      <c r="D16" s="69">
        <f>C16</f>
        <v/>
      </c>
      <c r="E16" s="69">
        <f>B16-D16</f>
        <v/>
      </c>
      <c r="F16" s="77" t="n">
        <v>0</v>
      </c>
      <c r="G16" s="69">
        <f>D16-F16</f>
        <v/>
      </c>
      <c r="H16" s="76" t="inlineStr">
        <is>
          <t>Unpaid</t>
        </is>
      </c>
      <c r="I16" s="76" t="inlineStr"/>
    </row>
    <row r="17">
      <c r="A17" s="76" t="inlineStr">
        <is>
          <t>Design Fee</t>
        </is>
      </c>
      <c r="B17" s="77" t="n">
        <v>12000</v>
      </c>
      <c r="C17" s="69">
        <f>'03 Client Profile'!C28</f>
        <v/>
      </c>
      <c r="D17" s="69">
        <f>C17</f>
        <v/>
      </c>
      <c r="E17" s="69">
        <f>B17-D17</f>
        <v/>
      </c>
      <c r="F17" s="77" t="n">
        <v>3600</v>
      </c>
      <c r="G17" s="69">
        <f>D17-F17</f>
        <v/>
      </c>
      <c r="H17" s="76" t="inlineStr">
        <is>
          <t>Partially Paid</t>
        </is>
      </c>
      <c r="I17" s="76" t="inlineStr"/>
    </row>
    <row r="18">
      <c r="A18" s="76" t="inlineStr">
        <is>
          <t>Contingency</t>
        </is>
      </c>
      <c r="B18" s="77" t="n">
        <v>5000</v>
      </c>
      <c r="C18" s="78" t="n">
        <v>0</v>
      </c>
      <c r="D18" s="69">
        <f>C18</f>
        <v/>
      </c>
      <c r="E18" s="69">
        <f>B18-D18</f>
        <v/>
      </c>
      <c r="F18" s="77" t="n">
        <v>0</v>
      </c>
      <c r="G18" s="69">
        <f>D18-F18</f>
        <v/>
      </c>
      <c r="H18" s="76" t="inlineStr">
        <is>
          <t>Unpaid</t>
        </is>
      </c>
      <c r="I18" s="76" t="inlineStr"/>
    </row>
    <row r="19">
      <c r="A19" s="70" t="inlineStr">
        <is>
          <t>TOTALS</t>
        </is>
      </c>
      <c r="B19" s="72">
        <f>SUM(B5:B18)</f>
        <v/>
      </c>
      <c r="C19" s="72">
        <f>SUM(C5:C18)</f>
        <v/>
      </c>
      <c r="D19" s="72">
        <f>SUM(D5:D18)</f>
        <v/>
      </c>
      <c r="E19" s="72">
        <f>SUM(E5:E18)</f>
        <v/>
      </c>
      <c r="F19" s="72">
        <f>SUM(F5:F18)</f>
        <v/>
      </c>
      <c r="G19" s="72">
        <f>SUM(G5:G18)</f>
        <v/>
      </c>
      <c r="H19" s="56" t="n"/>
      <c r="I19" s="56" t="n"/>
    </row>
    <row r="20">
      <c r="A20" s="56" t="n"/>
      <c r="B20" s="56" t="n"/>
      <c r="C20" s="56" t="n"/>
      <c r="D20" s="56" t="n"/>
      <c r="E20" s="56" t="n"/>
      <c r="F20" s="56" t="n"/>
      <c r="G20" s="56" t="n"/>
      <c r="H20" s="56" t="n"/>
      <c r="I20" s="56" t="n"/>
    </row>
    <row r="21">
      <c r="A21" s="79" t="inlineStr">
        <is>
          <t>BUDGET SUMMARY</t>
        </is>
      </c>
      <c r="B21" s="56" t="n"/>
      <c r="C21" s="56" t="n"/>
      <c r="D21" s="56" t="n"/>
      <c r="E21" s="56" t="n"/>
      <c r="F21" s="56" t="n"/>
      <c r="G21" s="56" t="n"/>
      <c r="H21" s="56" t="n"/>
      <c r="I21" s="56" t="n"/>
    </row>
    <row r="22">
      <c r="A22" s="80" t="inlineStr">
        <is>
          <t>Total Budget</t>
        </is>
      </c>
      <c r="B22" s="81">
        <f>B19</f>
        <v/>
      </c>
      <c r="C22" s="56" t="n"/>
      <c r="D22" s="56" t="n"/>
      <c r="E22" s="56" t="n"/>
      <c r="F22" s="56" t="n"/>
      <c r="G22" s="56" t="n"/>
      <c r="H22" s="56" t="n"/>
      <c r="I22" s="56" t="n"/>
    </row>
    <row r="23">
      <c r="A23" s="80" t="inlineStr">
        <is>
          <t>Total Estimated</t>
        </is>
      </c>
      <c r="B23" s="81">
        <f>C19</f>
        <v/>
      </c>
      <c r="C23" s="56" t="n"/>
      <c r="D23" s="56" t="n"/>
      <c r="E23" s="56" t="n"/>
      <c r="F23" s="56" t="n"/>
      <c r="G23" s="56" t="n"/>
      <c r="H23" s="56" t="n"/>
      <c r="I23" s="56" t="n"/>
    </row>
    <row r="24">
      <c r="A24" s="80" t="inlineStr">
        <is>
          <t>Total Actual</t>
        </is>
      </c>
      <c r="B24" s="81">
        <f>D19</f>
        <v/>
      </c>
      <c r="C24" s="56" t="n"/>
      <c r="D24" s="56" t="n"/>
      <c r="E24" s="56" t="n"/>
      <c r="F24" s="56" t="n"/>
      <c r="G24" s="56" t="n"/>
      <c r="H24" s="56" t="n"/>
      <c r="I24" s="56" t="n"/>
    </row>
    <row r="25">
      <c r="A25" s="80" t="inlineStr">
        <is>
          <t>Over/Under Budget</t>
        </is>
      </c>
      <c r="B25" s="81">
        <f>B19-D19</f>
        <v/>
      </c>
      <c r="C25" s="56" t="n"/>
      <c r="D25" s="56" t="n"/>
      <c r="E25" s="56" t="n"/>
      <c r="F25" s="56" t="n"/>
      <c r="G25" s="56" t="n"/>
      <c r="H25" s="56" t="n"/>
      <c r="I25" s="56" t="n"/>
    </row>
    <row r="26">
      <c r="A26" s="80" t="inlineStr">
        <is>
          <t>Remaining Balance Due</t>
        </is>
      </c>
      <c r="B26" s="81">
        <f>G19</f>
        <v/>
      </c>
      <c r="C26" s="56" t="n"/>
      <c r="D26" s="56" t="n"/>
      <c r="E26" s="56" t="n"/>
      <c r="F26" s="56" t="n"/>
      <c r="G26" s="56" t="n"/>
      <c r="H26" s="56" t="n"/>
      <c r="I26" s="56" t="n"/>
    </row>
    <row r="27">
      <c r="A27" s="80" t="inlineStr">
        <is>
          <t>Total Paid</t>
        </is>
      </c>
      <c r="B27" s="81">
        <f>F19</f>
        <v/>
      </c>
      <c r="C27" s="56" t="n"/>
      <c r="D27" s="56" t="n"/>
      <c r="E27" s="56" t="n"/>
      <c r="F27" s="56" t="n"/>
      <c r="G27" s="56" t="n"/>
      <c r="H27" s="56" t="n"/>
      <c r="I27" s="56" t="n"/>
    </row>
    <row r="28">
      <c r="A28" s="80" t="inlineStr">
        <is>
          <t>Paid vs Unpaid %</t>
        </is>
      </c>
      <c r="B28" s="82">
        <f>IF(D19=0,0,F19/D19)</f>
        <v/>
      </c>
      <c r="C28" s="56" t="n"/>
      <c r="D28" s="56" t="n"/>
      <c r="E28" s="56" t="n"/>
      <c r="F28" s="56" t="n"/>
      <c r="G28" s="56" t="n"/>
      <c r="H28" s="56" t="n"/>
      <c r="I28" s="56" t="n"/>
    </row>
    <row r="29">
      <c r="A29" s="56" t="n"/>
      <c r="B29" s="56" t="n"/>
      <c r="C29" s="56" t="n"/>
      <c r="D29" s="56" t="n"/>
      <c r="E29" s="56" t="n"/>
      <c r="F29" s="56" t="n"/>
      <c r="G29" s="56" t="n"/>
      <c r="H29" s="56" t="n"/>
      <c r="I29" s="56" t="n"/>
    </row>
    <row r="30">
      <c r="A30" s="56" t="n"/>
      <c r="B30" s="56" t="n"/>
      <c r="C30" s="56" t="n"/>
      <c r="D30" s="56" t="n"/>
      <c r="E30" s="56" t="n"/>
      <c r="F30" s="56" t="n"/>
      <c r="G30" s="56" t="n"/>
      <c r="H30" s="56" t="n"/>
      <c r="I30" s="56" t="n"/>
    </row>
    <row r="31">
      <c r="A31" s="56" t="n"/>
      <c r="B31" s="56" t="n"/>
      <c r="C31" s="56" t="n"/>
      <c r="D31" s="56" t="n"/>
      <c r="E31" s="56" t="n"/>
      <c r="F31" s="56" t="n"/>
      <c r="G31" s="56" t="n"/>
      <c r="H31" s="56" t="n"/>
      <c r="I31" s="56" t="n"/>
    </row>
    <row r="32">
      <c r="A32" s="56" t="n"/>
      <c r="B32" s="56" t="n"/>
      <c r="C32" s="56" t="n"/>
      <c r="D32" s="56" t="n"/>
      <c r="E32" s="56" t="n"/>
      <c r="F32" s="56" t="n"/>
      <c r="G32" s="56" t="n"/>
      <c r="H32" s="56" t="n"/>
      <c r="I32" s="56" t="n"/>
    </row>
    <row r="33">
      <c r="A33" s="56" t="n"/>
      <c r="B33" s="56" t="n"/>
      <c r="C33" s="56" t="n"/>
      <c r="D33" s="56" t="n"/>
      <c r="E33" s="56" t="n"/>
      <c r="F33" s="56" t="n"/>
      <c r="G33" s="56" t="n"/>
      <c r="H33" s="56" t="n"/>
      <c r="I33" s="56" t="n"/>
    </row>
    <row r="34">
      <c r="A34" s="56" t="n"/>
      <c r="B34" s="56" t="n"/>
      <c r="C34" s="56" t="n"/>
      <c r="D34" s="56" t="n"/>
      <c r="E34" s="56" t="n"/>
      <c r="F34" s="56" t="n"/>
      <c r="G34" s="56" t="n"/>
      <c r="H34" s="56" t="n"/>
      <c r="I34" s="56" t="n"/>
    </row>
    <row r="35">
      <c r="A35" s="56" t="n"/>
      <c r="B35" s="56" t="n"/>
      <c r="C35" s="56" t="n"/>
      <c r="D35" s="56" t="n"/>
      <c r="E35" s="56" t="n"/>
      <c r="F35" s="56" t="n"/>
      <c r="G35" s="56" t="n"/>
      <c r="H35" s="56" t="n"/>
      <c r="I35" s="56" t="n"/>
    </row>
  </sheetData>
  <sheetProtection selectLockedCells="0" selectUnlockedCells="0" sheet="1" objects="0" insertRows="0" insertHyperlinks="0" autoFilter="0" scenarios="1" formatColumns="0" deleteColumns="1" insertColumns="1" pivotTables="1" deleteRows="0" formatCells="0" formatRows="0" sort="0" password="EC7C"/>
  <autoFilter ref="A4:I18"/>
  <mergeCells count="2">
    <mergeCell ref="A1:I1"/>
    <mergeCell ref="A2:I2"/>
  </mergeCells>
  <conditionalFormatting sqref="H5:H18">
    <cfRule type="expression" priority="1" dxfId="0">
      <formula>ISNUMBER(SEARCH("Approved",H5))</formula>
    </cfRule>
    <cfRule type="expression" priority="2" dxfId="0">
      <formula>ISNUMBER(SEARCH("Installed",H5))</formula>
    </cfRule>
    <cfRule type="expression" priority="3" dxfId="0">
      <formula>ISNUMBER(SEARCH("Delivered",H5))</formula>
    </cfRule>
    <cfRule type="expression" priority="4" dxfId="0">
      <formula>ISNUMBER(SEARCH("Complete",H5))</formula>
    </cfRule>
    <cfRule type="expression" priority="5" dxfId="0">
      <formula>ISNUMBER(SEARCH("Completed",H5))</formula>
    </cfRule>
    <cfRule type="expression" priority="6" dxfId="0">
      <formula>ISNUMBER(SEARCH("Paid",H5))</formula>
    </cfRule>
    <cfRule type="expression" priority="7" dxfId="0">
      <formula>ISNUMBER(SEARCH("Good Condition",H5))</formula>
    </cfRule>
    <cfRule type="expression" priority="8" dxfId="0">
      <formula>ISNUMBER(SEARCH("Yes",H5))</formula>
    </cfRule>
    <cfRule type="expression" priority="9" dxfId="1">
      <formula>ISNUMBER(SEARCH("Pending",H5))</formula>
    </cfRule>
    <cfRule type="expression" priority="10" dxfId="1">
      <formula>ISNUMBER(SEARCH("In Progress",H5))</formula>
    </cfRule>
    <cfRule type="expression" priority="11" dxfId="1">
      <formula>ISNUMBER(SEARCH("Sent",H5))</formula>
    </cfRule>
    <cfRule type="expression" priority="12" dxfId="1">
      <formula>ISNUMBER(SEARCH("Client Review",H5))</formula>
    </cfRule>
    <cfRule type="expression" priority="13" dxfId="1">
      <formula>ISNUMBER(SEARCH("Ordered",H5))</formula>
    </cfRule>
    <cfRule type="expression" priority="14" dxfId="1">
      <formula>ISNUMBER(SEARCH("Shipped",H5))</formula>
    </cfRule>
    <cfRule type="expression" priority="15" dxfId="1">
      <formula>ISNUMBER(SEARCH("Scheduled",H5))</formula>
    </cfRule>
    <cfRule type="expression" priority="16" dxfId="1">
      <formula>ISNUMBER(SEARCH("Partially Paid",H5))</formula>
    </cfRule>
    <cfRule type="expression" priority="17" dxfId="1">
      <formula>ISNUMBER(SEARCH("Waiting on Client",H5))</formula>
    </cfRule>
    <cfRule type="expression" priority="18" dxfId="1">
      <formula>ISNUMBER(SEARCH("Waiting on Vendor",H5))</formula>
    </cfRule>
    <cfRule type="expression" priority="19" dxfId="1">
      <formula>ISNUMBER(SEARCH("Sourcing",H5))</formula>
    </cfRule>
    <cfRule type="expression" priority="20" dxfId="1">
      <formula>ISNUMBER(SEARCH("Option Selected",H5))</formula>
    </cfRule>
    <cfRule type="expression" priority="21" dxfId="1">
      <formula>ISNUMBER(SEARCH("Confirmed",H5))</formula>
    </cfRule>
    <cfRule type="expression" priority="22" dxfId="1">
      <formula>ISNUMBER(SEARCH("In Production",H5))</formula>
    </cfRule>
    <cfRule type="expression" priority="23" dxfId="1">
      <formula>ISNUMBER(SEARCH("In Transit",H5))</formula>
    </cfRule>
    <cfRule type="expression" priority="24" dxfId="1">
      <formula>ISNUMBER(SEARCH("Not Checked",H5))</formula>
    </cfRule>
    <cfRule type="expression" priority="25" dxfId="2">
      <formula>ISNUMBER(SEARCH("Overdue",H5))</formula>
    </cfRule>
    <cfRule type="expression" priority="26" dxfId="2">
      <formula>ISNUMBER(SEARCH("Delayed",H5))</formula>
    </cfRule>
    <cfRule type="expression" priority="27" dxfId="2">
      <formula>ISNUMBER(SEARCH("Rejected",H5))</formula>
    </cfRule>
    <cfRule type="expression" priority="28" dxfId="2">
      <formula>ISNUMBER(SEARCH("Damaged",H5))</formula>
    </cfRule>
    <cfRule type="expression" priority="29" dxfId="2">
      <formula>ISNUMBER(SEARCH("Missing Item",H5))</formula>
    </cfRule>
    <cfRule type="expression" priority="30" dxfId="2">
      <formula>ISNUMBER(SEARCH("Wrong Item",H5))</formula>
    </cfRule>
    <cfRule type="expression" priority="31" dxfId="2">
      <formula>ISNUMBER(SEARCH("Backordered",H5))</formula>
    </cfRule>
    <cfRule type="expression" priority="32" dxfId="2">
      <formula>ISNUMBER(SEARCH("Urgent",H5))</formula>
    </cfRule>
    <cfRule type="expression" priority="33" dxfId="3">
      <formula>ISNUMBER(SEARCH("Cancelled",H5))</formula>
    </cfRule>
    <cfRule type="expression" priority="34" dxfId="3">
      <formula>ISNUMBER(SEARCH("On Hold",H5))</formula>
    </cfRule>
    <cfRule type="expression" priority="35" dxfId="3">
      <formula>ISNUMBER(SEARCH("Not Started",H5))</formula>
    </cfRule>
    <cfRule type="expression" priority="36" dxfId="3">
      <formula>ISNUMBER(SEARCH("Not Sent",H5))</formula>
    </cfRule>
    <cfRule type="expression" priority="37" dxfId="3">
      <formula>ISNUMBER(SEARCH("Draft",H5))</formula>
    </cfRule>
    <cfRule type="expression" priority="38" dxfId="3">
      <formula>ISNUMBER(SEARCH("Not Ordered",H5))</formula>
    </cfRule>
  </conditionalFormatting>
  <conditionalFormatting sqref="E5:E18">
    <cfRule type="cellIs" priority="39" operator="lessThan" dxfId="4">
      <formula>0</formula>
    </cfRule>
    <cfRule type="cellIs" priority="40" operator="greaterThanOrEqual" dxfId="5">
      <formula>0</formula>
    </cfRule>
  </conditionalFormatting>
  <dataValidations count="1">
    <dataValidation sqref="H5:H18" showDropDown="0" showInputMessage="1" showErrorMessage="1" allowBlank="1" errorTitle="Invalid Entry" error="Please select a value from the dropdown list." promptTitle="Select" prompt="Choose from the list" type="list">
      <formula1>"Draft,Sent,Paid,Partially Paid,Overdue,Cancelled,Unpaid"</formula1>
    </dataValidation>
  </dataValidations>
  <pageMargins left="0.5" right="0.5" top="0.6" bottom="0.6" header="0.5" footer="0.5"/>
  <headerFooter>
    <oddHeader/>
    <oddFooter>&amp;C&amp;"Calibri"&amp;8 &amp;"Calibri"&amp;8Novality store  ·  Interior Design FF&amp;E Tracker  ·  Page &amp;P of &amp;N</oddFooter>
    <evenHeader/>
    <evenFooter/>
    <firstHeader/>
    <firstFooter/>
  </headerFooter>
</worksheet>
</file>

<file path=xl/worksheets/sheet13.xml><?xml version="1.0" encoding="utf-8"?>
<worksheet xmlns="http://schemas.openxmlformats.org/spreadsheetml/2006/main">
  <sheetPr>
    <tabColor rgb="00C45C26"/>
    <outlinePr summaryBelow="1" summaryRight="1"/>
    <pageSetUpPr/>
  </sheetPr>
  <dimension ref="A1:P4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2" customWidth="1" min="4" max="4"/>
    <col width="10" customWidth="1" min="5" max="5"/>
    <col width="12" customWidth="1" min="6" max="6"/>
    <col width="14" customWidth="1" min="7" max="7"/>
    <col width="14" customWidth="1" min="8" max="8"/>
    <col width="14" customWidth="1" min="9" max="9"/>
    <col width="14" customWidth="1" min="10" max="10"/>
    <col width="16" customWidth="1" min="11" max="11"/>
    <col width="12" customWidth="1" min="12" max="12"/>
    <col width="14" customWidth="1" min="13" max="13"/>
    <col width="12" customWidth="1" min="14" max="14"/>
    <col width="12" customWidth="1" min="15" max="15"/>
    <col width="24" customWidth="1" min="16" max="16"/>
  </cols>
  <sheetData>
    <row r="1" ht="38" customHeight="1">
      <c r="A1" s="51" t="inlineStr">
        <is>
          <t>PURCHASE ORDER / ORDER TRACKER</t>
        </is>
      </c>
      <c r="B1" s="52" t="n"/>
      <c r="C1" s="52" t="n"/>
      <c r="D1" s="52" t="n"/>
      <c r="E1" s="52" t="n"/>
      <c r="F1" s="52" t="n"/>
      <c r="G1" s="52" t="n"/>
      <c r="H1" s="52" t="n"/>
      <c r="I1" s="52" t="n"/>
      <c r="J1" s="52" t="n"/>
      <c r="K1" s="52" t="n"/>
      <c r="L1" s="52" t="n"/>
      <c r="M1" s="52" t="n"/>
      <c r="N1" s="52" t="n"/>
      <c r="O1" s="52" t="n"/>
      <c r="P1" s="52" t="n"/>
    </row>
    <row r="2" ht="18" customHeight="1">
      <c r="A2" s="53" t="inlineStr">
        <is>
          <t>Professional order log with tracking and payment status  ·  Novality store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</row>
    <row r="3"/>
    <row r="4" ht="34" customHeight="1">
      <c r="A4" s="65" t="inlineStr">
        <is>
          <t>PO Number</t>
        </is>
      </c>
      <c r="B4" s="65" t="inlineStr">
        <is>
          <t>Vendor</t>
        </is>
      </c>
      <c r="C4" s="65" t="inlineStr">
        <is>
          <t>Room</t>
        </is>
      </c>
      <c r="D4" s="65" t="inlineStr">
        <is>
          <t>Item</t>
        </is>
      </c>
      <c r="E4" s="65" t="inlineStr">
        <is>
          <t>Quantity</t>
        </is>
      </c>
      <c r="F4" s="65" t="inlineStr">
        <is>
          <t>Order Date</t>
        </is>
      </c>
      <c r="G4" s="65" t="inlineStr">
        <is>
          <t>Expected Ship Date</t>
        </is>
      </c>
      <c r="H4" s="65" t="inlineStr">
        <is>
          <t>Expected Delivery Date</t>
        </is>
      </c>
      <c r="I4" s="65" t="inlineStr">
        <is>
          <t>Actual Delivery Date</t>
        </is>
      </c>
      <c r="J4" s="65" t="inlineStr">
        <is>
          <t>Order Status</t>
        </is>
      </c>
      <c r="K4" s="65" t="inlineStr">
        <is>
          <t>Tracking Number</t>
        </is>
      </c>
      <c r="L4" s="65" t="inlineStr">
        <is>
          <t>Carrier</t>
        </is>
      </c>
      <c r="M4" s="65" t="inlineStr">
        <is>
          <t>Invoice Number</t>
        </is>
      </c>
      <c r="N4" s="65" t="inlineStr">
        <is>
          <t>Amount</t>
        </is>
      </c>
      <c r="O4" s="65" t="inlineStr">
        <is>
          <t>Paid Status</t>
        </is>
      </c>
      <c r="P4" s="65" t="inlineStr">
        <is>
          <t>Notes</t>
        </is>
      </c>
    </row>
    <row r="5">
      <c r="A5" s="66" t="inlineStr">
        <is>
          <t>PO-1001</t>
        </is>
      </c>
      <c r="B5" s="66" t="inlineStr">
        <is>
          <t>Article</t>
        </is>
      </c>
      <c r="C5" s="66" t="inlineStr">
        <is>
          <t>Living Room</t>
        </is>
      </c>
      <c r="D5" s="66" t="inlineStr">
        <is>
          <t>Performance Sofa</t>
        </is>
      </c>
      <c r="E5" s="67" t="n">
        <v>1</v>
      </c>
      <c r="F5" s="73" t="n">
        <v>46114</v>
      </c>
      <c r="G5" s="73" t="n">
        <v>46157</v>
      </c>
      <c r="H5" s="73" t="n">
        <v>46164</v>
      </c>
      <c r="I5" s="73" t="n"/>
      <c r="J5" s="67" t="inlineStr">
        <is>
          <t>Ordered</t>
        </is>
      </c>
      <c r="K5" s="66" t="inlineStr"/>
      <c r="L5" s="66" t="inlineStr">
        <is>
          <t>Freight</t>
        </is>
      </c>
      <c r="M5" s="66" t="inlineStr">
        <is>
          <t>INV-pending</t>
        </is>
      </c>
      <c r="N5" s="68" t="n">
        <v>2040.92</v>
      </c>
      <c r="O5" s="67" t="inlineStr">
        <is>
          <t>Unpaid</t>
        </is>
      </c>
      <c r="P5" s="66" t="inlineStr"/>
    </row>
    <row r="6">
      <c r="A6" s="66" t="inlineStr">
        <is>
          <t>PO-1002</t>
        </is>
      </c>
      <c r="B6" s="66" t="inlineStr">
        <is>
          <t>West Elm</t>
        </is>
      </c>
      <c r="C6" s="66" t="inlineStr">
        <is>
          <t>Living Room</t>
        </is>
      </c>
      <c r="D6" s="66" t="inlineStr">
        <is>
          <t>Accent Lounge Chairs x2</t>
        </is>
      </c>
      <c r="E6" s="67" t="n">
        <v>2</v>
      </c>
      <c r="F6" s="73" t="n">
        <v>46117</v>
      </c>
      <c r="G6" s="73" t="n">
        <v>46140</v>
      </c>
      <c r="H6" s="73" t="n">
        <v>46147</v>
      </c>
      <c r="I6" s="73" t="n"/>
      <c r="J6" s="67" t="inlineStr">
        <is>
          <t>Shipped</t>
        </is>
      </c>
      <c r="K6" s="66" t="inlineStr">
        <is>
          <t>1Z999AA10123456784</t>
        </is>
      </c>
      <c r="L6" s="66" t="inlineStr">
        <is>
          <t>UPS</t>
        </is>
      </c>
      <c r="M6" s="66" t="inlineStr">
        <is>
          <t>INV-WE-8891</t>
        </is>
      </c>
      <c r="N6" s="68" t="n">
        <v>1459.84</v>
      </c>
      <c r="O6" s="67" t="inlineStr">
        <is>
          <t>Paid</t>
        </is>
      </c>
      <c r="P6" s="66" t="inlineStr"/>
    </row>
    <row r="7">
      <c r="A7" s="66" t="inlineStr">
        <is>
          <t>PO-1003</t>
        </is>
      </c>
      <c r="B7" s="66" t="inlineStr">
        <is>
          <t>Loloi</t>
        </is>
      </c>
      <c r="C7" s="66" t="inlineStr">
        <is>
          <t>Living Room</t>
        </is>
      </c>
      <c r="D7" s="66" t="inlineStr">
        <is>
          <t>Area Rug 9x12</t>
        </is>
      </c>
      <c r="E7" s="67" t="n">
        <v>1</v>
      </c>
      <c r="F7" s="73" t="n">
        <v>46101</v>
      </c>
      <c r="G7" s="73" t="n">
        <v>46117</v>
      </c>
      <c r="H7" s="73" t="n">
        <v>46122</v>
      </c>
      <c r="I7" s="73" t="n">
        <v>46121</v>
      </c>
      <c r="J7" s="67" t="inlineStr">
        <is>
          <t>Delivered</t>
        </is>
      </c>
      <c r="K7" s="66" t="inlineStr">
        <is>
          <t>1Z999BB</t>
        </is>
      </c>
      <c r="L7" s="66" t="inlineStr">
        <is>
          <t>FedEx</t>
        </is>
      </c>
      <c r="M7" s="66" t="inlineStr">
        <is>
          <t>INV-LO-220</t>
        </is>
      </c>
      <c r="N7" s="68" t="n">
        <v>1377.92</v>
      </c>
      <c r="O7" s="67" t="inlineStr">
        <is>
          <t>Paid</t>
        </is>
      </c>
      <c r="P7" s="66" t="inlineStr">
        <is>
          <t>Pad separate</t>
        </is>
      </c>
    </row>
    <row r="8">
      <c r="A8" s="66" t="inlineStr">
        <is>
          <t>PO-1004</t>
        </is>
      </c>
      <c r="B8" s="66" t="inlineStr">
        <is>
          <t>Wolf / Sub-Zero</t>
        </is>
      </c>
      <c r="C8" s="66" t="inlineStr">
        <is>
          <t>Kitchen</t>
        </is>
      </c>
      <c r="D8" s="66" t="inlineStr">
        <is>
          <t>Range 36"</t>
        </is>
      </c>
      <c r="E8" s="67" t="n">
        <v>1</v>
      </c>
      <c r="F8" s="73" t="n">
        <v>46096</v>
      </c>
      <c r="G8" s="73" t="n">
        <v>46174</v>
      </c>
      <c r="H8" s="73" t="n">
        <v>46183</v>
      </c>
      <c r="I8" s="73" t="n"/>
      <c r="J8" s="67" t="inlineStr">
        <is>
          <t>In Production</t>
        </is>
      </c>
      <c r="K8" s="66" t="inlineStr"/>
      <c r="L8" s="66" t="inlineStr">
        <is>
          <t>Freight</t>
        </is>
      </c>
      <c r="M8" s="66" t="inlineStr"/>
      <c r="N8" s="68" t="n">
        <v>9858.92</v>
      </c>
      <c r="O8" s="67" t="inlineStr">
        <is>
          <t>Partially Paid</t>
        </is>
      </c>
      <c r="P8" s="66" t="inlineStr">
        <is>
          <t>Deposit paid</t>
        </is>
      </c>
    </row>
    <row r="9">
      <c r="A9" s="66" t="inlineStr">
        <is>
          <t>PO-1005</t>
        </is>
      </c>
      <c r="B9" s="66" t="inlineStr">
        <is>
          <t>Visual Comfort</t>
        </is>
      </c>
      <c r="C9" s="66" t="inlineStr">
        <is>
          <t>Kitchen</t>
        </is>
      </c>
      <c r="D9" s="66" t="inlineStr">
        <is>
          <t>Island Pendants x3</t>
        </is>
      </c>
      <c r="E9" s="67" t="n">
        <v>3</v>
      </c>
      <c r="F9" s="73" t="n">
        <v>46122</v>
      </c>
      <c r="G9" s="73" t="n">
        <v>46162</v>
      </c>
      <c r="H9" s="73" t="n">
        <v>46170</v>
      </c>
      <c r="I9" s="73" t="n"/>
      <c r="J9" s="67" t="inlineStr">
        <is>
          <t>Confirmed</t>
        </is>
      </c>
      <c r="K9" s="66" t="inlineStr"/>
      <c r="L9" s="66" t="inlineStr">
        <is>
          <t>UPS</t>
        </is>
      </c>
      <c r="M9" s="66" t="inlineStr"/>
      <c r="N9" s="68" t="n">
        <v>1775.28</v>
      </c>
      <c r="O9" s="67" t="inlineStr">
        <is>
          <t>Unpaid</t>
        </is>
      </c>
      <c r="P9" s="66" t="inlineStr"/>
    </row>
    <row r="10">
      <c r="A10" s="66" t="inlineStr">
        <is>
          <t>PO-1006</t>
        </is>
      </c>
      <c r="B10" s="66" t="inlineStr">
        <is>
          <t>Rejuvenation</t>
        </is>
      </c>
      <c r="C10" s="66" t="inlineStr">
        <is>
          <t>Kitchen</t>
        </is>
      </c>
      <c r="D10" s="66" t="inlineStr">
        <is>
          <t>Cabinet Pulls x24</t>
        </is>
      </c>
      <c r="E10" s="67" t="n">
        <v>24</v>
      </c>
      <c r="F10" s="73" t="n">
        <v>46124</v>
      </c>
      <c r="G10" s="73" t="n">
        <v>46137</v>
      </c>
      <c r="H10" s="73" t="n">
        <v>46140</v>
      </c>
      <c r="I10" s="73" t="n"/>
      <c r="J10" s="67" t="inlineStr">
        <is>
          <t>Ordered</t>
        </is>
      </c>
      <c r="K10" s="66" t="inlineStr"/>
      <c r="L10" s="66" t="inlineStr">
        <is>
          <t>USPS</t>
        </is>
      </c>
      <c r="M10" s="66" t="inlineStr"/>
      <c r="N10" s="68" t="n">
        <v>491.56</v>
      </c>
      <c r="O10" s="67" t="inlineStr">
        <is>
          <t>Unpaid</t>
        </is>
      </c>
      <c r="P10" s="66" t="inlineStr"/>
    </row>
    <row r="11">
      <c r="A11" s="66" t="inlineStr">
        <is>
          <t>PO-1007</t>
        </is>
      </c>
      <c r="B11" s="66" t="inlineStr">
        <is>
          <t>Schoolhouse</t>
        </is>
      </c>
      <c r="C11" s="66" t="inlineStr">
        <is>
          <t>Master Bedroom</t>
        </is>
      </c>
      <c r="D11" s="66" t="inlineStr">
        <is>
          <t>Pendant Pair</t>
        </is>
      </c>
      <c r="E11" s="67" t="n">
        <v>2</v>
      </c>
      <c r="F11" s="73" t="n">
        <v>46120</v>
      </c>
      <c r="G11" s="73" t="n">
        <v>46143</v>
      </c>
      <c r="H11" s="73" t="n">
        <v>46150</v>
      </c>
      <c r="I11" s="73" t="n"/>
      <c r="J11" s="67" t="inlineStr">
        <is>
          <t>Ordered</t>
        </is>
      </c>
      <c r="K11" s="66" t="inlineStr"/>
      <c r="L11" s="66" t="inlineStr">
        <is>
          <t>UPS</t>
        </is>
      </c>
      <c r="M11" s="66" t="inlineStr"/>
      <c r="N11" s="68" t="n">
        <v>652.64</v>
      </c>
      <c r="O11" s="67" t="inlineStr">
        <is>
          <t>Unpaid</t>
        </is>
      </c>
      <c r="P11" s="66" t="inlineStr"/>
    </row>
    <row r="12">
      <c r="A12" s="66" t="n"/>
      <c r="B12" s="66" t="n"/>
      <c r="C12" s="66" t="n"/>
      <c r="D12" s="66" t="n"/>
      <c r="E12" s="66" t="n"/>
      <c r="F12" s="73" t="n"/>
      <c r="G12" s="73" t="n"/>
      <c r="H12" s="73" t="n"/>
      <c r="I12" s="73" t="n"/>
      <c r="J12" s="66" t="n"/>
      <c r="K12" s="66" t="n"/>
      <c r="L12" s="66" t="n"/>
      <c r="M12" s="66" t="n"/>
      <c r="N12" s="68" t="n"/>
      <c r="O12" s="66" t="n"/>
      <c r="P12" s="66" t="n"/>
    </row>
    <row r="13">
      <c r="A13" s="66" t="n"/>
      <c r="B13" s="66" t="n"/>
      <c r="C13" s="66" t="n"/>
      <c r="D13" s="66" t="n"/>
      <c r="E13" s="66" t="n"/>
      <c r="F13" s="73" t="n"/>
      <c r="G13" s="73" t="n"/>
      <c r="H13" s="73" t="n"/>
      <c r="I13" s="73" t="n"/>
      <c r="J13" s="66" t="n"/>
      <c r="K13" s="66" t="n"/>
      <c r="L13" s="66" t="n"/>
      <c r="M13" s="66" t="n"/>
      <c r="N13" s="68" t="n"/>
      <c r="O13" s="66" t="n"/>
      <c r="P13" s="66" t="n"/>
    </row>
    <row r="14">
      <c r="A14" s="66" t="n"/>
      <c r="B14" s="66" t="n"/>
      <c r="C14" s="66" t="n"/>
      <c r="D14" s="66" t="n"/>
      <c r="E14" s="66" t="n"/>
      <c r="F14" s="73" t="n"/>
      <c r="G14" s="73" t="n"/>
      <c r="H14" s="73" t="n"/>
      <c r="I14" s="73" t="n"/>
      <c r="J14" s="66" t="n"/>
      <c r="K14" s="66" t="n"/>
      <c r="L14" s="66" t="n"/>
      <c r="M14" s="66" t="n"/>
      <c r="N14" s="68" t="n"/>
      <c r="O14" s="66" t="n"/>
      <c r="P14" s="66" t="n"/>
    </row>
    <row r="15">
      <c r="A15" s="66" t="n"/>
      <c r="B15" s="66" t="n"/>
      <c r="C15" s="66" t="n"/>
      <c r="D15" s="66" t="n"/>
      <c r="E15" s="66" t="n"/>
      <c r="F15" s="73" t="n"/>
      <c r="G15" s="73" t="n"/>
      <c r="H15" s="73" t="n"/>
      <c r="I15" s="73" t="n"/>
      <c r="J15" s="66" t="n"/>
      <c r="K15" s="66" t="n"/>
      <c r="L15" s="66" t="n"/>
      <c r="M15" s="66" t="n"/>
      <c r="N15" s="68" t="n"/>
      <c r="O15" s="66" t="n"/>
      <c r="P15" s="66" t="n"/>
    </row>
    <row r="16">
      <c r="A16" s="66" t="n"/>
      <c r="B16" s="66" t="n"/>
      <c r="C16" s="66" t="n"/>
      <c r="D16" s="66" t="n"/>
      <c r="E16" s="66" t="n"/>
      <c r="F16" s="73" t="n"/>
      <c r="G16" s="73" t="n"/>
      <c r="H16" s="73" t="n"/>
      <c r="I16" s="73" t="n"/>
      <c r="J16" s="66" t="n"/>
      <c r="K16" s="66" t="n"/>
      <c r="L16" s="66" t="n"/>
      <c r="M16" s="66" t="n"/>
      <c r="N16" s="68" t="n"/>
      <c r="O16" s="66" t="n"/>
      <c r="P16" s="66" t="n"/>
    </row>
    <row r="17">
      <c r="A17" s="66" t="n"/>
      <c r="B17" s="66" t="n"/>
      <c r="C17" s="66" t="n"/>
      <c r="D17" s="66" t="n"/>
      <c r="E17" s="66" t="n"/>
      <c r="F17" s="73" t="n"/>
      <c r="G17" s="73" t="n"/>
      <c r="H17" s="73" t="n"/>
      <c r="I17" s="73" t="n"/>
      <c r="J17" s="66" t="n"/>
      <c r="K17" s="66" t="n"/>
      <c r="L17" s="66" t="n"/>
      <c r="M17" s="66" t="n"/>
      <c r="N17" s="68" t="n"/>
      <c r="O17" s="66" t="n"/>
      <c r="P17" s="66" t="n"/>
    </row>
    <row r="18">
      <c r="A18" s="66" t="n"/>
      <c r="B18" s="66" t="n"/>
      <c r="C18" s="66" t="n"/>
      <c r="D18" s="66" t="n"/>
      <c r="E18" s="66" t="n"/>
      <c r="F18" s="73" t="n"/>
      <c r="G18" s="73" t="n"/>
      <c r="H18" s="73" t="n"/>
      <c r="I18" s="73" t="n"/>
      <c r="J18" s="66" t="n"/>
      <c r="K18" s="66" t="n"/>
      <c r="L18" s="66" t="n"/>
      <c r="M18" s="66" t="n"/>
      <c r="N18" s="68" t="n"/>
      <c r="O18" s="66" t="n"/>
      <c r="P18" s="66" t="n"/>
    </row>
    <row r="19">
      <c r="A19" s="66" t="n"/>
      <c r="B19" s="66" t="n"/>
      <c r="C19" s="66" t="n"/>
      <c r="D19" s="66" t="n"/>
      <c r="E19" s="66" t="n"/>
      <c r="F19" s="73" t="n"/>
      <c r="G19" s="73" t="n"/>
      <c r="H19" s="73" t="n"/>
      <c r="I19" s="73" t="n"/>
      <c r="J19" s="66" t="n"/>
      <c r="K19" s="66" t="n"/>
      <c r="L19" s="66" t="n"/>
      <c r="M19" s="66" t="n"/>
      <c r="N19" s="68" t="n"/>
      <c r="O19" s="66" t="n"/>
      <c r="P19" s="66" t="n"/>
    </row>
    <row r="20">
      <c r="A20" s="66" t="n"/>
      <c r="B20" s="66" t="n"/>
      <c r="C20" s="66" t="n"/>
      <c r="D20" s="66" t="n"/>
      <c r="E20" s="66" t="n"/>
      <c r="F20" s="73" t="n"/>
      <c r="G20" s="73" t="n"/>
      <c r="H20" s="73" t="n"/>
      <c r="I20" s="73" t="n"/>
      <c r="J20" s="66" t="n"/>
      <c r="K20" s="66" t="n"/>
      <c r="L20" s="66" t="n"/>
      <c r="M20" s="66" t="n"/>
      <c r="N20" s="68" t="n"/>
      <c r="O20" s="66" t="n"/>
      <c r="P20" s="66" t="n"/>
    </row>
    <row r="21">
      <c r="A21" s="66" t="n"/>
      <c r="B21" s="66" t="n"/>
      <c r="C21" s="66" t="n"/>
      <c r="D21" s="66" t="n"/>
      <c r="E21" s="66" t="n"/>
      <c r="F21" s="73" t="n"/>
      <c r="G21" s="73" t="n"/>
      <c r="H21" s="73" t="n"/>
      <c r="I21" s="73" t="n"/>
      <c r="J21" s="66" t="n"/>
      <c r="K21" s="66" t="n"/>
      <c r="L21" s="66" t="n"/>
      <c r="M21" s="66" t="n"/>
      <c r="N21" s="68" t="n"/>
      <c r="O21" s="66" t="n"/>
      <c r="P21" s="66" t="n"/>
    </row>
    <row r="22">
      <c r="A22" s="66" t="n"/>
      <c r="B22" s="66" t="n"/>
      <c r="C22" s="66" t="n"/>
      <c r="D22" s="66" t="n"/>
      <c r="E22" s="66" t="n"/>
      <c r="F22" s="73" t="n"/>
      <c r="G22" s="73" t="n"/>
      <c r="H22" s="73" t="n"/>
      <c r="I22" s="73" t="n"/>
      <c r="J22" s="66" t="n"/>
      <c r="K22" s="66" t="n"/>
      <c r="L22" s="66" t="n"/>
      <c r="M22" s="66" t="n"/>
      <c r="N22" s="68" t="n"/>
      <c r="O22" s="66" t="n"/>
      <c r="P22" s="66" t="n"/>
    </row>
    <row r="23">
      <c r="A23" s="66" t="n"/>
      <c r="B23" s="66" t="n"/>
      <c r="C23" s="66" t="n"/>
      <c r="D23" s="66" t="n"/>
      <c r="E23" s="66" t="n"/>
      <c r="F23" s="73" t="n"/>
      <c r="G23" s="73" t="n"/>
      <c r="H23" s="73" t="n"/>
      <c r="I23" s="73" t="n"/>
      <c r="J23" s="66" t="n"/>
      <c r="K23" s="66" t="n"/>
      <c r="L23" s="66" t="n"/>
      <c r="M23" s="66" t="n"/>
      <c r="N23" s="68" t="n"/>
      <c r="O23" s="66" t="n"/>
      <c r="P23" s="66" t="n"/>
    </row>
    <row r="24">
      <c r="A24" s="66" t="n"/>
      <c r="B24" s="66" t="n"/>
      <c r="C24" s="66" t="n"/>
      <c r="D24" s="66" t="n"/>
      <c r="E24" s="66" t="n"/>
      <c r="F24" s="73" t="n"/>
      <c r="G24" s="73" t="n"/>
      <c r="H24" s="73" t="n"/>
      <c r="I24" s="73" t="n"/>
      <c r="J24" s="66" t="n"/>
      <c r="K24" s="66" t="n"/>
      <c r="L24" s="66" t="n"/>
      <c r="M24" s="66" t="n"/>
      <c r="N24" s="68" t="n"/>
      <c r="O24" s="66" t="n"/>
      <c r="P24" s="66" t="n"/>
    </row>
    <row r="25">
      <c r="A25" s="66" t="n"/>
      <c r="B25" s="66" t="n"/>
      <c r="C25" s="66" t="n"/>
      <c r="D25" s="66" t="n"/>
      <c r="E25" s="66" t="n"/>
      <c r="F25" s="73" t="n"/>
      <c r="G25" s="73" t="n"/>
      <c r="H25" s="73" t="n"/>
      <c r="I25" s="73" t="n"/>
      <c r="J25" s="66" t="n"/>
      <c r="K25" s="66" t="n"/>
      <c r="L25" s="66" t="n"/>
      <c r="M25" s="66" t="n"/>
      <c r="N25" s="68" t="n"/>
      <c r="O25" s="66" t="n"/>
      <c r="P25" s="66" t="n"/>
    </row>
    <row r="26">
      <c r="A26" s="66" t="n"/>
      <c r="B26" s="66" t="n"/>
      <c r="C26" s="66" t="n"/>
      <c r="D26" s="66" t="n"/>
      <c r="E26" s="66" t="n"/>
      <c r="F26" s="73" t="n"/>
      <c r="G26" s="73" t="n"/>
      <c r="H26" s="73" t="n"/>
      <c r="I26" s="73" t="n"/>
      <c r="J26" s="66" t="n"/>
      <c r="K26" s="66" t="n"/>
      <c r="L26" s="66" t="n"/>
      <c r="M26" s="66" t="n"/>
      <c r="N26" s="68" t="n"/>
      <c r="O26" s="66" t="n"/>
      <c r="P26" s="66" t="n"/>
    </row>
    <row r="27">
      <c r="A27" s="66" t="n"/>
      <c r="B27" s="66" t="n"/>
      <c r="C27" s="66" t="n"/>
      <c r="D27" s="66" t="n"/>
      <c r="E27" s="66" t="n"/>
      <c r="F27" s="73" t="n"/>
      <c r="G27" s="73" t="n"/>
      <c r="H27" s="73" t="n"/>
      <c r="I27" s="73" t="n"/>
      <c r="J27" s="66" t="n"/>
      <c r="K27" s="66" t="n"/>
      <c r="L27" s="66" t="n"/>
      <c r="M27" s="66" t="n"/>
      <c r="N27" s="68" t="n"/>
      <c r="O27" s="66" t="n"/>
      <c r="P27" s="66" t="n"/>
    </row>
    <row r="28">
      <c r="A28" s="66" t="n"/>
      <c r="B28" s="66" t="n"/>
      <c r="C28" s="66" t="n"/>
      <c r="D28" s="66" t="n"/>
      <c r="E28" s="66" t="n"/>
      <c r="F28" s="73" t="n"/>
      <c r="G28" s="73" t="n"/>
      <c r="H28" s="73" t="n"/>
      <c r="I28" s="73" t="n"/>
      <c r="J28" s="66" t="n"/>
      <c r="K28" s="66" t="n"/>
      <c r="L28" s="66" t="n"/>
      <c r="M28" s="66" t="n"/>
      <c r="N28" s="68" t="n"/>
      <c r="O28" s="66" t="n"/>
      <c r="P28" s="66" t="n"/>
    </row>
    <row r="29">
      <c r="A29" s="66" t="n"/>
      <c r="B29" s="66" t="n"/>
      <c r="C29" s="66" t="n"/>
      <c r="D29" s="66" t="n"/>
      <c r="E29" s="66" t="n"/>
      <c r="F29" s="73" t="n"/>
      <c r="G29" s="73" t="n"/>
      <c r="H29" s="73" t="n"/>
      <c r="I29" s="73" t="n"/>
      <c r="J29" s="66" t="n"/>
      <c r="K29" s="66" t="n"/>
      <c r="L29" s="66" t="n"/>
      <c r="M29" s="66" t="n"/>
      <c r="N29" s="68" t="n"/>
      <c r="O29" s="66" t="n"/>
      <c r="P29" s="66" t="n"/>
    </row>
    <row r="30">
      <c r="A30" s="66" t="n"/>
      <c r="B30" s="66" t="n"/>
      <c r="C30" s="66" t="n"/>
      <c r="D30" s="66" t="n"/>
      <c r="E30" s="66" t="n"/>
      <c r="F30" s="73" t="n"/>
      <c r="G30" s="73" t="n"/>
      <c r="H30" s="73" t="n"/>
      <c r="I30" s="73" t="n"/>
      <c r="J30" s="66" t="n"/>
      <c r="K30" s="66" t="n"/>
      <c r="L30" s="66" t="n"/>
      <c r="M30" s="66" t="n"/>
      <c r="N30" s="68" t="n"/>
      <c r="O30" s="66" t="n"/>
      <c r="P30" s="66" t="n"/>
    </row>
    <row r="31">
      <c r="A31" s="66" t="n"/>
      <c r="B31" s="66" t="n"/>
      <c r="C31" s="66" t="n"/>
      <c r="D31" s="66" t="n"/>
      <c r="E31" s="66" t="n"/>
      <c r="F31" s="73" t="n"/>
      <c r="G31" s="73" t="n"/>
      <c r="H31" s="73" t="n"/>
      <c r="I31" s="73" t="n"/>
      <c r="J31" s="66" t="n"/>
      <c r="K31" s="66" t="n"/>
      <c r="L31" s="66" t="n"/>
      <c r="M31" s="66" t="n"/>
      <c r="N31" s="68" t="n"/>
      <c r="O31" s="66" t="n"/>
      <c r="P31" s="66" t="n"/>
    </row>
    <row r="32">
      <c r="A32" s="66" t="n"/>
      <c r="B32" s="66" t="n"/>
      <c r="C32" s="66" t="n"/>
      <c r="D32" s="66" t="n"/>
      <c r="E32" s="66" t="n"/>
      <c r="F32" s="73" t="n"/>
      <c r="G32" s="73" t="n"/>
      <c r="H32" s="73" t="n"/>
      <c r="I32" s="73" t="n"/>
      <c r="J32" s="66" t="n"/>
      <c r="K32" s="66" t="n"/>
      <c r="L32" s="66" t="n"/>
      <c r="M32" s="66" t="n"/>
      <c r="N32" s="68" t="n"/>
      <c r="O32" s="66" t="n"/>
      <c r="P32" s="66" t="n"/>
    </row>
    <row r="33">
      <c r="A33" s="66" t="n"/>
      <c r="B33" s="66" t="n"/>
      <c r="C33" s="66" t="n"/>
      <c r="D33" s="66" t="n"/>
      <c r="E33" s="66" t="n"/>
      <c r="F33" s="73" t="n"/>
      <c r="G33" s="73" t="n"/>
      <c r="H33" s="73" t="n"/>
      <c r="I33" s="73" t="n"/>
      <c r="J33" s="66" t="n"/>
      <c r="K33" s="66" t="n"/>
      <c r="L33" s="66" t="n"/>
      <c r="M33" s="66" t="n"/>
      <c r="N33" s="68" t="n"/>
      <c r="O33" s="66" t="n"/>
      <c r="P33" s="66" t="n"/>
    </row>
    <row r="34">
      <c r="A34" s="66" t="n"/>
      <c r="B34" s="66" t="n"/>
      <c r="C34" s="66" t="n"/>
      <c r="D34" s="66" t="n"/>
      <c r="E34" s="66" t="n"/>
      <c r="F34" s="73" t="n"/>
      <c r="G34" s="73" t="n"/>
      <c r="H34" s="73" t="n"/>
      <c r="I34" s="73" t="n"/>
      <c r="J34" s="66" t="n"/>
      <c r="K34" s="66" t="n"/>
      <c r="L34" s="66" t="n"/>
      <c r="M34" s="66" t="n"/>
      <c r="N34" s="68" t="n"/>
      <c r="O34" s="66" t="n"/>
      <c r="P34" s="66" t="n"/>
    </row>
    <row r="35">
      <c r="A35" s="66" t="n"/>
      <c r="B35" s="66" t="n"/>
      <c r="C35" s="66" t="n"/>
      <c r="D35" s="66" t="n"/>
      <c r="E35" s="66" t="n"/>
      <c r="F35" s="73" t="n"/>
      <c r="G35" s="73" t="n"/>
      <c r="H35" s="73" t="n"/>
      <c r="I35" s="73" t="n"/>
      <c r="J35" s="66" t="n"/>
      <c r="K35" s="66" t="n"/>
      <c r="L35" s="66" t="n"/>
      <c r="M35" s="66" t="n"/>
      <c r="N35" s="68" t="n"/>
      <c r="O35" s="66" t="n"/>
      <c r="P35" s="66" t="n"/>
    </row>
    <row r="36">
      <c r="A36" s="66" t="n"/>
      <c r="B36" s="66" t="n"/>
      <c r="C36" s="66" t="n"/>
      <c r="D36" s="66" t="n"/>
      <c r="E36" s="66" t="n"/>
      <c r="F36" s="73" t="n"/>
      <c r="G36" s="73" t="n"/>
      <c r="H36" s="73" t="n"/>
      <c r="I36" s="73" t="n"/>
      <c r="J36" s="66" t="n"/>
      <c r="K36" s="66" t="n"/>
      <c r="L36" s="66" t="n"/>
      <c r="M36" s="66" t="n"/>
      <c r="N36" s="68" t="n"/>
      <c r="O36" s="66" t="n"/>
      <c r="P36" s="66" t="n"/>
    </row>
    <row r="37">
      <c r="A37" s="66" t="n"/>
      <c r="B37" s="66" t="n"/>
      <c r="C37" s="66" t="n"/>
      <c r="D37" s="66" t="n"/>
      <c r="E37" s="66" t="n"/>
      <c r="F37" s="73" t="n"/>
      <c r="G37" s="73" t="n"/>
      <c r="H37" s="73" t="n"/>
      <c r="I37" s="73" t="n"/>
      <c r="J37" s="66" t="n"/>
      <c r="K37" s="66" t="n"/>
      <c r="L37" s="66" t="n"/>
      <c r="M37" s="66" t="n"/>
      <c r="N37" s="68" t="n"/>
      <c r="O37" s="66" t="n"/>
      <c r="P37" s="66" t="n"/>
    </row>
    <row r="38">
      <c r="A38" s="66" t="n"/>
      <c r="B38" s="66" t="n"/>
      <c r="C38" s="66" t="n"/>
      <c r="D38" s="66" t="n"/>
      <c r="E38" s="66" t="n"/>
      <c r="F38" s="73" t="n"/>
      <c r="G38" s="73" t="n"/>
      <c r="H38" s="73" t="n"/>
      <c r="I38" s="73" t="n"/>
      <c r="J38" s="66" t="n"/>
      <c r="K38" s="66" t="n"/>
      <c r="L38" s="66" t="n"/>
      <c r="M38" s="66" t="n"/>
      <c r="N38" s="68" t="n"/>
      <c r="O38" s="66" t="n"/>
      <c r="P38" s="66" t="n"/>
    </row>
    <row r="39">
      <c r="A39" s="66" t="n"/>
      <c r="B39" s="66" t="n"/>
      <c r="C39" s="66" t="n"/>
      <c r="D39" s="66" t="n"/>
      <c r="E39" s="66" t="n"/>
      <c r="F39" s="73" t="n"/>
      <c r="G39" s="73" t="n"/>
      <c r="H39" s="73" t="n"/>
      <c r="I39" s="73" t="n"/>
      <c r="J39" s="66" t="n"/>
      <c r="K39" s="66" t="n"/>
      <c r="L39" s="66" t="n"/>
      <c r="M39" s="66" t="n"/>
      <c r="N39" s="68" t="n"/>
      <c r="O39" s="66" t="n"/>
      <c r="P39" s="66" t="n"/>
    </row>
    <row r="40">
      <c r="A40" s="56" t="n"/>
      <c r="B40" s="56" t="n"/>
      <c r="C40" s="56" t="n"/>
      <c r="D40" s="56" t="n"/>
      <c r="E40" s="56" t="n"/>
      <c r="F40" s="56" t="n"/>
      <c r="G40" s="56" t="n"/>
      <c r="H40" s="56" t="n"/>
      <c r="I40" s="56" t="n"/>
      <c r="J40" s="56" t="n"/>
      <c r="K40" s="56" t="n"/>
      <c r="L40" s="56" t="n"/>
      <c r="M40" s="56" t="n"/>
      <c r="N40" s="56" t="n"/>
      <c r="O40" s="56" t="n"/>
      <c r="P40" s="56" t="n"/>
    </row>
    <row r="41">
      <c r="A41" s="56" t="n"/>
      <c r="B41" s="56" t="n"/>
      <c r="C41" s="56" t="n"/>
      <c r="D41" s="56" t="n"/>
      <c r="E41" s="56" t="n"/>
      <c r="F41" s="56" t="n"/>
      <c r="G41" s="56" t="n"/>
      <c r="H41" s="56" t="n"/>
      <c r="I41" s="56" t="n"/>
      <c r="J41" s="56" t="n"/>
      <c r="K41" s="56" t="n"/>
      <c r="L41" s="56" t="n"/>
      <c r="M41" s="56" t="n"/>
      <c r="N41" s="56" t="n"/>
      <c r="O41" s="56" t="n"/>
      <c r="P41" s="56" t="n"/>
    </row>
    <row r="42">
      <c r="A42" s="56" t="n"/>
      <c r="B42" s="56" t="n"/>
      <c r="C42" s="56" t="n"/>
      <c r="D42" s="56" t="n"/>
      <c r="E42" s="56" t="n"/>
      <c r="F42" s="56" t="n"/>
      <c r="G42" s="56" t="n"/>
      <c r="H42" s="56" t="n"/>
      <c r="I42" s="56" t="n"/>
      <c r="J42" s="56" t="n"/>
      <c r="K42" s="56" t="n"/>
      <c r="L42" s="56" t="n"/>
      <c r="M42" s="56" t="n"/>
      <c r="N42" s="56" t="n"/>
      <c r="O42" s="56" t="n"/>
      <c r="P42" s="56" t="n"/>
    </row>
    <row r="43">
      <c r="A43" s="56" t="n"/>
      <c r="B43" s="56" t="n"/>
      <c r="C43" s="56" t="n"/>
      <c r="D43" s="56" t="n"/>
      <c r="E43" s="56" t="n"/>
      <c r="F43" s="56" t="n"/>
      <c r="G43" s="56" t="n"/>
      <c r="H43" s="56" t="n"/>
      <c r="I43" s="56" t="n"/>
      <c r="J43" s="56" t="n"/>
      <c r="K43" s="56" t="n"/>
      <c r="L43" s="56" t="n"/>
      <c r="M43" s="56" t="n"/>
      <c r="N43" s="56" t="n"/>
      <c r="O43" s="56" t="n"/>
      <c r="P43" s="56" t="n"/>
    </row>
    <row r="44">
      <c r="A44" s="56" t="n"/>
      <c r="B44" s="56" t="n"/>
      <c r="C44" s="56" t="n"/>
      <c r="D44" s="56" t="n"/>
      <c r="E44" s="56" t="n"/>
      <c r="F44" s="56" t="n"/>
      <c r="G44" s="56" t="n"/>
      <c r="H44" s="56" t="n"/>
      <c r="I44" s="56" t="n"/>
      <c r="J44" s="56" t="n"/>
      <c r="K44" s="56" t="n"/>
      <c r="L44" s="56" t="n"/>
      <c r="M44" s="56" t="n"/>
      <c r="N44" s="56" t="n"/>
      <c r="O44" s="56" t="n"/>
      <c r="P44" s="56" t="n"/>
    </row>
  </sheetData>
  <sheetProtection selectLockedCells="0" selectUnlockedCells="0" sheet="1" objects="0" insertRows="0" insertHyperlinks="0" autoFilter="0" scenarios="1" formatColumns="0" deleteColumns="1" insertColumns="1" pivotTables="1" deleteRows="0" formatCells="0" formatRows="0" sort="0" password="EC7C"/>
  <autoFilter ref="A4:P39"/>
  <mergeCells count="2">
    <mergeCell ref="A1:P1"/>
    <mergeCell ref="A2:P2"/>
  </mergeCells>
  <conditionalFormatting sqref="J5:J39">
    <cfRule type="expression" priority="1" dxfId="0">
      <formula>ISNUMBER(SEARCH("Approved",J5))</formula>
    </cfRule>
    <cfRule type="expression" priority="2" dxfId="0">
      <formula>ISNUMBER(SEARCH("Installed",J5))</formula>
    </cfRule>
    <cfRule type="expression" priority="3" dxfId="0">
      <formula>ISNUMBER(SEARCH("Delivered",J5))</formula>
    </cfRule>
    <cfRule type="expression" priority="4" dxfId="0">
      <formula>ISNUMBER(SEARCH("Complete",J5))</formula>
    </cfRule>
    <cfRule type="expression" priority="5" dxfId="0">
      <formula>ISNUMBER(SEARCH("Completed",J5))</formula>
    </cfRule>
    <cfRule type="expression" priority="6" dxfId="0">
      <formula>ISNUMBER(SEARCH("Paid",J5))</formula>
    </cfRule>
    <cfRule type="expression" priority="7" dxfId="0">
      <formula>ISNUMBER(SEARCH("Good Condition",J5))</formula>
    </cfRule>
    <cfRule type="expression" priority="8" dxfId="0">
      <formula>ISNUMBER(SEARCH("Yes",J5))</formula>
    </cfRule>
    <cfRule type="expression" priority="9" dxfId="1">
      <formula>ISNUMBER(SEARCH("Pending",J5))</formula>
    </cfRule>
    <cfRule type="expression" priority="10" dxfId="1">
      <formula>ISNUMBER(SEARCH("In Progress",J5))</formula>
    </cfRule>
    <cfRule type="expression" priority="11" dxfId="1">
      <formula>ISNUMBER(SEARCH("Sent",J5))</formula>
    </cfRule>
    <cfRule type="expression" priority="12" dxfId="1">
      <formula>ISNUMBER(SEARCH("Client Review",J5))</formula>
    </cfRule>
    <cfRule type="expression" priority="13" dxfId="1">
      <formula>ISNUMBER(SEARCH("Ordered",J5))</formula>
    </cfRule>
    <cfRule type="expression" priority="14" dxfId="1">
      <formula>ISNUMBER(SEARCH("Shipped",J5))</formula>
    </cfRule>
    <cfRule type="expression" priority="15" dxfId="1">
      <formula>ISNUMBER(SEARCH("Scheduled",J5))</formula>
    </cfRule>
    <cfRule type="expression" priority="16" dxfId="1">
      <formula>ISNUMBER(SEARCH("Partially Paid",J5))</formula>
    </cfRule>
    <cfRule type="expression" priority="17" dxfId="1">
      <formula>ISNUMBER(SEARCH("Waiting on Client",J5))</formula>
    </cfRule>
    <cfRule type="expression" priority="18" dxfId="1">
      <formula>ISNUMBER(SEARCH("Waiting on Vendor",J5))</formula>
    </cfRule>
    <cfRule type="expression" priority="19" dxfId="1">
      <formula>ISNUMBER(SEARCH("Sourcing",J5))</formula>
    </cfRule>
    <cfRule type="expression" priority="20" dxfId="1">
      <formula>ISNUMBER(SEARCH("Option Selected",J5))</formula>
    </cfRule>
    <cfRule type="expression" priority="21" dxfId="1">
      <formula>ISNUMBER(SEARCH("Confirmed",J5))</formula>
    </cfRule>
    <cfRule type="expression" priority="22" dxfId="1">
      <formula>ISNUMBER(SEARCH("In Production",J5))</formula>
    </cfRule>
    <cfRule type="expression" priority="23" dxfId="1">
      <formula>ISNUMBER(SEARCH("In Transit",J5))</formula>
    </cfRule>
    <cfRule type="expression" priority="24" dxfId="1">
      <formula>ISNUMBER(SEARCH("Not Checked",J5))</formula>
    </cfRule>
    <cfRule type="expression" priority="25" dxfId="2">
      <formula>ISNUMBER(SEARCH("Overdue",J5))</formula>
    </cfRule>
    <cfRule type="expression" priority="26" dxfId="2">
      <formula>ISNUMBER(SEARCH("Delayed",J5))</formula>
    </cfRule>
    <cfRule type="expression" priority="27" dxfId="2">
      <formula>ISNUMBER(SEARCH("Rejected",J5))</formula>
    </cfRule>
    <cfRule type="expression" priority="28" dxfId="2">
      <formula>ISNUMBER(SEARCH("Damaged",J5))</formula>
    </cfRule>
    <cfRule type="expression" priority="29" dxfId="2">
      <formula>ISNUMBER(SEARCH("Missing Item",J5))</formula>
    </cfRule>
    <cfRule type="expression" priority="30" dxfId="2">
      <formula>ISNUMBER(SEARCH("Wrong Item",J5))</formula>
    </cfRule>
    <cfRule type="expression" priority="31" dxfId="2">
      <formula>ISNUMBER(SEARCH("Backordered",J5))</formula>
    </cfRule>
    <cfRule type="expression" priority="32" dxfId="2">
      <formula>ISNUMBER(SEARCH("Urgent",J5))</formula>
    </cfRule>
    <cfRule type="expression" priority="33" dxfId="3">
      <formula>ISNUMBER(SEARCH("Cancelled",J5))</formula>
    </cfRule>
    <cfRule type="expression" priority="34" dxfId="3">
      <formula>ISNUMBER(SEARCH("On Hold",J5))</formula>
    </cfRule>
    <cfRule type="expression" priority="35" dxfId="3">
      <formula>ISNUMBER(SEARCH("Not Started",J5))</formula>
    </cfRule>
    <cfRule type="expression" priority="36" dxfId="3">
      <formula>ISNUMBER(SEARCH("Not Sent",J5))</formula>
    </cfRule>
    <cfRule type="expression" priority="37" dxfId="3">
      <formula>ISNUMBER(SEARCH("Draft",J5))</formula>
    </cfRule>
    <cfRule type="expression" priority="38" dxfId="3">
      <formula>ISNUMBER(SEARCH("Not Ordered",J5))</formula>
    </cfRule>
  </conditionalFormatting>
  <conditionalFormatting sqref="O5:O39">
    <cfRule type="expression" priority="39" dxfId="0">
      <formula>ISNUMBER(SEARCH("Approved",O5))</formula>
    </cfRule>
    <cfRule type="expression" priority="40" dxfId="0">
      <formula>ISNUMBER(SEARCH("Installed",O5))</formula>
    </cfRule>
    <cfRule type="expression" priority="41" dxfId="0">
      <formula>ISNUMBER(SEARCH("Delivered",O5))</formula>
    </cfRule>
    <cfRule type="expression" priority="42" dxfId="0">
      <formula>ISNUMBER(SEARCH("Complete",O5))</formula>
    </cfRule>
    <cfRule type="expression" priority="43" dxfId="0">
      <formula>ISNUMBER(SEARCH("Completed",O5))</formula>
    </cfRule>
    <cfRule type="expression" priority="44" dxfId="0">
      <formula>ISNUMBER(SEARCH("Paid",O5))</formula>
    </cfRule>
    <cfRule type="expression" priority="45" dxfId="0">
      <formula>ISNUMBER(SEARCH("Good Condition",O5))</formula>
    </cfRule>
    <cfRule type="expression" priority="46" dxfId="0">
      <formula>ISNUMBER(SEARCH("Yes",O5))</formula>
    </cfRule>
    <cfRule type="expression" priority="47" dxfId="1">
      <formula>ISNUMBER(SEARCH("Pending",O5))</formula>
    </cfRule>
    <cfRule type="expression" priority="48" dxfId="1">
      <formula>ISNUMBER(SEARCH("In Progress",O5))</formula>
    </cfRule>
    <cfRule type="expression" priority="49" dxfId="1">
      <formula>ISNUMBER(SEARCH("Sent",O5))</formula>
    </cfRule>
    <cfRule type="expression" priority="50" dxfId="1">
      <formula>ISNUMBER(SEARCH("Client Review",O5))</formula>
    </cfRule>
    <cfRule type="expression" priority="51" dxfId="1">
      <formula>ISNUMBER(SEARCH("Ordered",O5))</formula>
    </cfRule>
    <cfRule type="expression" priority="52" dxfId="1">
      <formula>ISNUMBER(SEARCH("Shipped",O5))</formula>
    </cfRule>
    <cfRule type="expression" priority="53" dxfId="1">
      <formula>ISNUMBER(SEARCH("Scheduled",O5))</formula>
    </cfRule>
    <cfRule type="expression" priority="54" dxfId="1">
      <formula>ISNUMBER(SEARCH("Partially Paid",O5))</formula>
    </cfRule>
    <cfRule type="expression" priority="55" dxfId="1">
      <formula>ISNUMBER(SEARCH("Waiting on Client",O5))</formula>
    </cfRule>
    <cfRule type="expression" priority="56" dxfId="1">
      <formula>ISNUMBER(SEARCH("Waiting on Vendor",O5))</formula>
    </cfRule>
    <cfRule type="expression" priority="57" dxfId="1">
      <formula>ISNUMBER(SEARCH("Sourcing",O5))</formula>
    </cfRule>
    <cfRule type="expression" priority="58" dxfId="1">
      <formula>ISNUMBER(SEARCH("Option Selected",O5))</formula>
    </cfRule>
    <cfRule type="expression" priority="59" dxfId="1">
      <formula>ISNUMBER(SEARCH("Confirmed",O5))</formula>
    </cfRule>
    <cfRule type="expression" priority="60" dxfId="1">
      <formula>ISNUMBER(SEARCH("In Production",O5))</formula>
    </cfRule>
    <cfRule type="expression" priority="61" dxfId="1">
      <formula>ISNUMBER(SEARCH("In Transit",O5))</formula>
    </cfRule>
    <cfRule type="expression" priority="62" dxfId="1">
      <formula>ISNUMBER(SEARCH("Not Checked",O5))</formula>
    </cfRule>
    <cfRule type="expression" priority="63" dxfId="2">
      <formula>ISNUMBER(SEARCH("Overdue",O5))</formula>
    </cfRule>
    <cfRule type="expression" priority="64" dxfId="2">
      <formula>ISNUMBER(SEARCH("Delayed",O5))</formula>
    </cfRule>
    <cfRule type="expression" priority="65" dxfId="2">
      <formula>ISNUMBER(SEARCH("Rejected",O5))</formula>
    </cfRule>
    <cfRule type="expression" priority="66" dxfId="2">
      <formula>ISNUMBER(SEARCH("Damaged",O5))</formula>
    </cfRule>
    <cfRule type="expression" priority="67" dxfId="2">
      <formula>ISNUMBER(SEARCH("Missing Item",O5))</formula>
    </cfRule>
    <cfRule type="expression" priority="68" dxfId="2">
      <formula>ISNUMBER(SEARCH("Wrong Item",O5))</formula>
    </cfRule>
    <cfRule type="expression" priority="69" dxfId="2">
      <formula>ISNUMBER(SEARCH("Backordered",O5))</formula>
    </cfRule>
    <cfRule type="expression" priority="70" dxfId="2">
      <formula>ISNUMBER(SEARCH("Urgent",O5))</formula>
    </cfRule>
    <cfRule type="expression" priority="71" dxfId="3">
      <formula>ISNUMBER(SEARCH("Cancelled",O5))</formula>
    </cfRule>
    <cfRule type="expression" priority="72" dxfId="3">
      <formula>ISNUMBER(SEARCH("On Hold",O5))</formula>
    </cfRule>
    <cfRule type="expression" priority="73" dxfId="3">
      <formula>ISNUMBER(SEARCH("Not Started",O5))</formula>
    </cfRule>
    <cfRule type="expression" priority="74" dxfId="3">
      <formula>ISNUMBER(SEARCH("Not Sent",O5))</formula>
    </cfRule>
    <cfRule type="expression" priority="75" dxfId="3">
      <formula>ISNUMBER(SEARCH("Draft",O5))</formula>
    </cfRule>
    <cfRule type="expression" priority="76" dxfId="3">
      <formula>ISNUMBER(SEARCH("Not Ordered",O5))</formula>
    </cfRule>
  </conditionalFormatting>
  <dataValidations count="4">
    <dataValidation sqref="B5:B39" showDropDown="0" showInputMessage="1" showErrorMessage="1" allowBlank="1" errorTitle="Invalid Entry" error="Please select a value from the dropdown list." promptTitle="Select" prompt="Choose from the list" type="list">
      <formula1>"Article,West Elm,CB2,Visual Comfort,Schoolhouse,Loloi,Wolf / Sub-Zero,Rejuvenation,Four Hands,Signature Hardware"</formula1>
    </dataValidation>
    <dataValidation sqref="C5:C39" showDropDown="0" showInputMessage="1" showErrorMessage="1" allowBlank="1" errorTitle="Invalid Entry" error="Please select a value from the dropdown list." promptTitle="Select" prompt="Choose from the list" type="list">
      <formula1>"Living Room,Master Bedroom,Kitchen,Dining Room,Home Office,Powder Room"</formula1>
    </dataValidation>
    <dataValidation sqref="J5:J39" showDropDown="0" showInputMessage="1" showErrorMessage="1" allowBlank="1" errorTitle="Invalid Entry" error="Please select a value from the dropdown list." promptTitle="Select" prompt="Choose from the list" type="list">
      <formula1>"Not Ordered,Ordered,Confirmed,In Production,Shipped,Delivered,Delayed,Cancelled,Returned"</formula1>
    </dataValidation>
    <dataValidation sqref="O5:O39" showDropDown="0" showInputMessage="1" showErrorMessage="1" allowBlank="1" errorTitle="Invalid Entry" error="Please select a value from the dropdown list." promptTitle="Select" prompt="Choose from the list" type="list">
      <formula1>"Draft,Sent,Paid,Partially Paid,Overdue,Cancelled,Unpaid"</formula1>
    </dataValidation>
  </dataValidations>
  <pageMargins left="0.5" right="0.5" top="0.6" bottom="0.6" header="0.5" footer="0.5"/>
  <headerFooter>
    <oddHeader/>
    <oddFooter>&amp;C&amp;"Calibri"&amp;8 &amp;"Calibri"&amp;8Novality store  ·  Interior Design FF&amp;E Tracker  ·  Page &amp;P of &amp;N</oddFooter>
    <evenHeader/>
    <evenFooter/>
    <firstHeader/>
    <firstFooter/>
  </headerFooter>
</worksheet>
</file>

<file path=xl/worksheets/sheet14.xml><?xml version="1.0" encoding="utf-8"?>
<worksheet xmlns="http://schemas.openxmlformats.org/spreadsheetml/2006/main">
  <sheetPr>
    <tabColor rgb="000D6B61"/>
    <outlinePr summaryBelow="1" summaryRight="1"/>
    <pageSetUpPr/>
  </sheetPr>
  <dimension ref="A1:O4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8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20" customWidth="1" min="10" max="10"/>
    <col width="16" customWidth="1" min="11" max="11"/>
    <col width="12" customWidth="1" min="12" max="12"/>
    <col width="16" customWidth="1" min="13" max="13"/>
    <col width="14" customWidth="1" min="14" max="14"/>
    <col width="24" customWidth="1" min="15" max="15"/>
  </cols>
  <sheetData>
    <row r="1" ht="38" customHeight="1">
      <c r="A1" s="51" t="inlineStr">
        <is>
          <t>DELIVERY &amp; INSTALLATION TRACKER</t>
        </is>
      </c>
      <c r="B1" s="52" t="n"/>
      <c r="C1" s="52" t="n"/>
      <c r="D1" s="52" t="n"/>
      <c r="E1" s="52" t="n"/>
      <c r="F1" s="52" t="n"/>
      <c r="G1" s="52" t="n"/>
      <c r="H1" s="52" t="n"/>
      <c r="I1" s="52" t="n"/>
      <c r="J1" s="52" t="n"/>
      <c r="K1" s="52" t="n"/>
      <c r="L1" s="52" t="n"/>
      <c r="M1" s="52" t="n"/>
      <c r="N1" s="52" t="n"/>
      <c r="O1" s="52" t="n"/>
    </row>
    <row r="2" ht="18" customHeight="1">
      <c r="A2" s="53" t="inlineStr">
        <is>
          <t>Keep every delivery and install coordinated and documented  ·  Novality store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</row>
    <row r="3"/>
    <row r="4" ht="34" customHeight="1">
      <c r="A4" s="65" t="inlineStr">
        <is>
          <t>Item</t>
        </is>
      </c>
      <c r="B4" s="65" t="inlineStr">
        <is>
          <t>Room</t>
        </is>
      </c>
      <c r="C4" s="65" t="inlineStr">
        <is>
          <t>Vendor</t>
        </is>
      </c>
      <c r="D4" s="65" t="inlineStr">
        <is>
          <t>Delivery Address</t>
        </is>
      </c>
      <c r="E4" s="65" t="inlineStr">
        <is>
          <t>Expected Delivery Date</t>
        </is>
      </c>
      <c r="F4" s="65" t="inlineStr">
        <is>
          <t>Actual Delivery Date</t>
        </is>
      </c>
      <c r="G4" s="65" t="inlineStr">
        <is>
          <t>Delivery Status</t>
        </is>
      </c>
      <c r="H4" s="65" t="inlineStr">
        <is>
          <t>Received By</t>
        </is>
      </c>
      <c r="I4" s="65" t="inlineStr">
        <is>
          <t>Damage Check</t>
        </is>
      </c>
      <c r="J4" s="65" t="inlineStr">
        <is>
          <t>Damage Notes</t>
        </is>
      </c>
      <c r="K4" s="65" t="inlineStr">
        <is>
          <t>Storage Location</t>
        </is>
      </c>
      <c r="L4" s="65" t="inlineStr">
        <is>
          <t>Install Date</t>
        </is>
      </c>
      <c r="M4" s="65" t="inlineStr">
        <is>
          <t>Installer</t>
        </is>
      </c>
      <c r="N4" s="65" t="inlineStr">
        <is>
          <t>Installation Status</t>
        </is>
      </c>
      <c r="O4" s="65" t="inlineStr">
        <is>
          <t>Punch List Notes</t>
        </is>
      </c>
    </row>
    <row r="5">
      <c r="A5" s="66" t="inlineStr">
        <is>
          <t>Area Rug 9x12</t>
        </is>
      </c>
      <c r="B5" s="66" t="inlineStr">
        <is>
          <t>Living Room</t>
        </is>
      </c>
      <c r="C5" s="66" t="inlineStr">
        <is>
          <t>Loloi</t>
        </is>
      </c>
      <c r="D5" s="66" t="inlineStr">
        <is>
          <t>482 Maple Lane, Portland, OR</t>
        </is>
      </c>
      <c r="E5" s="73" t="n">
        <v>46122</v>
      </c>
      <c r="F5" s="73" t="n">
        <v>46121</v>
      </c>
      <c r="G5" s="67" t="inlineStr">
        <is>
          <t>Delivered</t>
        </is>
      </c>
      <c r="H5" s="66" t="inlineStr">
        <is>
          <t>J. Blake</t>
        </is>
      </c>
      <c r="I5" s="67" t="inlineStr">
        <is>
          <t>Good Condition</t>
        </is>
      </c>
      <c r="J5" s="66" t="inlineStr"/>
      <c r="K5" s="66" t="inlineStr">
        <is>
          <t>On site living</t>
        </is>
      </c>
      <c r="L5" s="73" t="n">
        <v>46123</v>
      </c>
      <c r="M5" s="66" t="inlineStr">
        <is>
          <t>Studio Team</t>
        </is>
      </c>
      <c r="N5" s="67" t="inlineStr">
        <is>
          <t>Installed</t>
        </is>
      </c>
      <c r="O5" s="66" t="inlineStr"/>
    </row>
    <row r="6">
      <c r="A6" s="66" t="inlineStr">
        <is>
          <t>Accent Lounge Chairs</t>
        </is>
      </c>
      <c r="B6" s="66" t="inlineStr">
        <is>
          <t>Living Room</t>
        </is>
      </c>
      <c r="C6" s="66" t="inlineStr">
        <is>
          <t>West Elm</t>
        </is>
      </c>
      <c r="D6" s="66" t="inlineStr">
        <is>
          <t>482 Maple Lane, Portland, OR</t>
        </is>
      </c>
      <c r="E6" s="73" t="n">
        <v>46147</v>
      </c>
      <c r="F6" s="73" t="n"/>
      <c r="G6" s="67" t="inlineStr">
        <is>
          <t>Shipped</t>
        </is>
      </c>
      <c r="H6" s="66" t="inlineStr"/>
      <c r="I6" s="67" t="inlineStr">
        <is>
          <t>Not Checked</t>
        </is>
      </c>
      <c r="J6" s="66" t="inlineStr"/>
      <c r="K6" s="66" t="inlineStr">
        <is>
          <t>TBD</t>
        </is>
      </c>
      <c r="L6" s="73" t="n">
        <v>46154</v>
      </c>
      <c r="M6" s="66" t="inlineStr">
        <is>
          <t>Studio Team</t>
        </is>
      </c>
      <c r="N6" s="67" t="inlineStr">
        <is>
          <t>Scheduled</t>
        </is>
      </c>
      <c r="O6" s="66" t="inlineStr"/>
    </row>
    <row r="7">
      <c r="A7" s="66" t="inlineStr">
        <is>
          <t>Performance Sofa</t>
        </is>
      </c>
      <c r="B7" s="66" t="inlineStr">
        <is>
          <t>Living Room</t>
        </is>
      </c>
      <c r="C7" s="66" t="inlineStr">
        <is>
          <t>Article</t>
        </is>
      </c>
      <c r="D7" s="66" t="inlineStr">
        <is>
          <t>482 Maple Lane, Portland, OR</t>
        </is>
      </c>
      <c r="E7" s="73" t="n">
        <v>46164</v>
      </c>
      <c r="F7" s="73" t="n"/>
      <c r="G7" s="67" t="inlineStr">
        <is>
          <t>Ordered</t>
        </is>
      </c>
      <c r="H7" s="66" t="inlineStr"/>
      <c r="I7" s="67" t="inlineStr">
        <is>
          <t>Not Checked</t>
        </is>
      </c>
      <c r="J7" s="66" t="inlineStr"/>
      <c r="K7" s="66" t="inlineStr">
        <is>
          <t>TBD</t>
        </is>
      </c>
      <c r="L7" s="73" t="n">
        <v>46167</v>
      </c>
      <c r="M7" s="66" t="inlineStr">
        <is>
          <t>Article White Glove</t>
        </is>
      </c>
      <c r="N7" s="67" t="inlineStr">
        <is>
          <t>Not Scheduled</t>
        </is>
      </c>
      <c r="O7" s="66" t="inlineStr">
        <is>
          <t>Need elevator reservation</t>
        </is>
      </c>
    </row>
    <row r="8">
      <c r="A8" s="66" t="inlineStr">
        <is>
          <t>Vessel Sink</t>
        </is>
      </c>
      <c r="B8" s="66" t="inlineStr">
        <is>
          <t>Powder Room</t>
        </is>
      </c>
      <c r="C8" s="66" t="inlineStr">
        <is>
          <t>Signature Hardware</t>
        </is>
      </c>
      <c r="D8" s="66" t="inlineStr">
        <is>
          <t>482 Maple Lane, Portland, OR</t>
        </is>
      </c>
      <c r="E8" s="73" t="n">
        <v>46127</v>
      </c>
      <c r="F8" s="73" t="n">
        <v>46126</v>
      </c>
      <c r="G8" s="67" t="inlineStr">
        <is>
          <t>Delivered</t>
        </is>
      </c>
      <c r="H8" s="66" t="inlineStr">
        <is>
          <t>GC Lead</t>
        </is>
      </c>
      <c r="I8" s="67" t="inlineStr">
        <is>
          <t>Good Condition</t>
        </is>
      </c>
      <c r="J8" s="66" t="inlineStr"/>
      <c r="K8" s="66" t="inlineStr">
        <is>
          <t>GC locked storage</t>
        </is>
      </c>
      <c r="L8" s="73" t="n">
        <v>46143</v>
      </c>
      <c r="M8" s="66" t="inlineStr">
        <is>
          <t>Plumber</t>
        </is>
      </c>
      <c r="N8" s="67" t="inlineStr">
        <is>
          <t>Scheduled</t>
        </is>
      </c>
      <c r="O8" s="66" t="inlineStr"/>
    </row>
    <row r="9">
      <c r="A9" s="66" t="inlineStr">
        <is>
          <t>Range 36"</t>
        </is>
      </c>
      <c r="B9" s="66" t="inlineStr">
        <is>
          <t>Kitchen</t>
        </is>
      </c>
      <c r="C9" s="66" t="inlineStr">
        <is>
          <t>Wolf / Sub-Zero</t>
        </is>
      </c>
      <c r="D9" s="66" t="inlineStr">
        <is>
          <t>482 Maple Lane, Portland, OR</t>
        </is>
      </c>
      <c r="E9" s="73" t="n">
        <v>46183</v>
      </c>
      <c r="F9" s="73" t="n"/>
      <c r="G9" s="67" t="inlineStr">
        <is>
          <t>Ordered</t>
        </is>
      </c>
      <c r="H9" s="66" t="inlineStr"/>
      <c r="I9" s="67" t="inlineStr">
        <is>
          <t>Not Checked</t>
        </is>
      </c>
      <c r="J9" s="66" t="inlineStr"/>
      <c r="K9" s="66" t="inlineStr">
        <is>
          <t>Dealer warehouse</t>
        </is>
      </c>
      <c r="L9" s="73" t="n">
        <v>46188</v>
      </c>
      <c r="M9" s="66" t="inlineStr">
        <is>
          <t>Appliance Installer</t>
        </is>
      </c>
      <c r="N9" s="67" t="inlineStr">
        <is>
          <t>Not Scheduled</t>
        </is>
      </c>
      <c r="O9" s="66" t="inlineStr">
        <is>
          <t>Confirm gas rough-in</t>
        </is>
      </c>
    </row>
    <row r="10">
      <c r="A10" s="66" t="inlineStr">
        <is>
          <t>Floor Lamp</t>
        </is>
      </c>
      <c r="B10" s="66" t="inlineStr">
        <is>
          <t>Living Room</t>
        </is>
      </c>
      <c r="C10" s="66" t="inlineStr">
        <is>
          <t>Rejuvenation</t>
        </is>
      </c>
      <c r="D10" s="66" t="inlineStr">
        <is>
          <t>482 Maple Lane, Portland, OR</t>
        </is>
      </c>
      <c r="E10" s="73" t="n">
        <v>46113</v>
      </c>
      <c r="F10" s="73" t="n">
        <v>46111</v>
      </c>
      <c r="G10" s="67" t="inlineStr">
        <is>
          <t>Delivered</t>
        </is>
      </c>
      <c r="H10" s="66" t="inlineStr">
        <is>
          <t>J. Blake</t>
        </is>
      </c>
      <c r="I10" s="67" t="inlineStr">
        <is>
          <t>Good Condition</t>
        </is>
      </c>
      <c r="J10" s="66" t="inlineStr"/>
      <c r="K10" s="66" t="inlineStr">
        <is>
          <t>On site</t>
        </is>
      </c>
      <c r="L10" s="73" t="n">
        <v>46114</v>
      </c>
      <c r="M10" s="66" t="inlineStr">
        <is>
          <t>Studio Team</t>
        </is>
      </c>
      <c r="N10" s="67" t="inlineStr">
        <is>
          <t>Installed</t>
        </is>
      </c>
      <c r="O10" s="66" t="inlineStr"/>
    </row>
    <row r="11">
      <c r="A11" s="66" t="n"/>
      <c r="B11" s="66" t="n"/>
      <c r="C11" s="66" t="n"/>
      <c r="D11" s="66" t="n"/>
      <c r="E11" s="73" t="n"/>
      <c r="F11" s="73" t="n"/>
      <c r="G11" s="66" t="n"/>
      <c r="H11" s="66" t="n"/>
      <c r="I11" s="66" t="n"/>
      <c r="J11" s="66" t="n"/>
      <c r="K11" s="66" t="n"/>
      <c r="L11" s="73" t="n"/>
      <c r="M11" s="66" t="n"/>
      <c r="N11" s="66" t="n"/>
      <c r="O11" s="66" t="n"/>
    </row>
    <row r="12">
      <c r="A12" s="66" t="n"/>
      <c r="B12" s="66" t="n"/>
      <c r="C12" s="66" t="n"/>
      <c r="D12" s="66" t="n"/>
      <c r="E12" s="73" t="n"/>
      <c r="F12" s="73" t="n"/>
      <c r="G12" s="66" t="n"/>
      <c r="H12" s="66" t="n"/>
      <c r="I12" s="66" t="n"/>
      <c r="J12" s="66" t="n"/>
      <c r="K12" s="66" t="n"/>
      <c r="L12" s="73" t="n"/>
      <c r="M12" s="66" t="n"/>
      <c r="N12" s="66" t="n"/>
      <c r="O12" s="66" t="n"/>
    </row>
    <row r="13">
      <c r="A13" s="66" t="n"/>
      <c r="B13" s="66" t="n"/>
      <c r="C13" s="66" t="n"/>
      <c r="D13" s="66" t="n"/>
      <c r="E13" s="73" t="n"/>
      <c r="F13" s="73" t="n"/>
      <c r="G13" s="66" t="n"/>
      <c r="H13" s="66" t="n"/>
      <c r="I13" s="66" t="n"/>
      <c r="J13" s="66" t="n"/>
      <c r="K13" s="66" t="n"/>
      <c r="L13" s="73" t="n"/>
      <c r="M13" s="66" t="n"/>
      <c r="N13" s="66" t="n"/>
      <c r="O13" s="66" t="n"/>
    </row>
    <row r="14">
      <c r="A14" s="66" t="n"/>
      <c r="B14" s="66" t="n"/>
      <c r="C14" s="66" t="n"/>
      <c r="D14" s="66" t="n"/>
      <c r="E14" s="73" t="n"/>
      <c r="F14" s="73" t="n"/>
      <c r="G14" s="66" t="n"/>
      <c r="H14" s="66" t="n"/>
      <c r="I14" s="66" t="n"/>
      <c r="J14" s="66" t="n"/>
      <c r="K14" s="66" t="n"/>
      <c r="L14" s="73" t="n"/>
      <c r="M14" s="66" t="n"/>
      <c r="N14" s="66" t="n"/>
      <c r="O14" s="66" t="n"/>
    </row>
    <row r="15">
      <c r="A15" s="66" t="n"/>
      <c r="B15" s="66" t="n"/>
      <c r="C15" s="66" t="n"/>
      <c r="D15" s="66" t="n"/>
      <c r="E15" s="73" t="n"/>
      <c r="F15" s="73" t="n"/>
      <c r="G15" s="66" t="n"/>
      <c r="H15" s="66" t="n"/>
      <c r="I15" s="66" t="n"/>
      <c r="J15" s="66" t="n"/>
      <c r="K15" s="66" t="n"/>
      <c r="L15" s="73" t="n"/>
      <c r="M15" s="66" t="n"/>
      <c r="N15" s="66" t="n"/>
      <c r="O15" s="66" t="n"/>
    </row>
    <row r="16">
      <c r="A16" s="66" t="n"/>
      <c r="B16" s="66" t="n"/>
      <c r="C16" s="66" t="n"/>
      <c r="D16" s="66" t="n"/>
      <c r="E16" s="73" t="n"/>
      <c r="F16" s="73" t="n"/>
      <c r="G16" s="66" t="n"/>
      <c r="H16" s="66" t="n"/>
      <c r="I16" s="66" t="n"/>
      <c r="J16" s="66" t="n"/>
      <c r="K16" s="66" t="n"/>
      <c r="L16" s="73" t="n"/>
      <c r="M16" s="66" t="n"/>
      <c r="N16" s="66" t="n"/>
      <c r="O16" s="66" t="n"/>
    </row>
    <row r="17">
      <c r="A17" s="66" t="n"/>
      <c r="B17" s="66" t="n"/>
      <c r="C17" s="66" t="n"/>
      <c r="D17" s="66" t="n"/>
      <c r="E17" s="73" t="n"/>
      <c r="F17" s="73" t="n"/>
      <c r="G17" s="66" t="n"/>
      <c r="H17" s="66" t="n"/>
      <c r="I17" s="66" t="n"/>
      <c r="J17" s="66" t="n"/>
      <c r="K17" s="66" t="n"/>
      <c r="L17" s="73" t="n"/>
      <c r="M17" s="66" t="n"/>
      <c r="N17" s="66" t="n"/>
      <c r="O17" s="66" t="n"/>
    </row>
    <row r="18">
      <c r="A18" s="66" t="n"/>
      <c r="B18" s="66" t="n"/>
      <c r="C18" s="66" t="n"/>
      <c r="D18" s="66" t="n"/>
      <c r="E18" s="73" t="n"/>
      <c r="F18" s="73" t="n"/>
      <c r="G18" s="66" t="n"/>
      <c r="H18" s="66" t="n"/>
      <c r="I18" s="66" t="n"/>
      <c r="J18" s="66" t="n"/>
      <c r="K18" s="66" t="n"/>
      <c r="L18" s="73" t="n"/>
      <c r="M18" s="66" t="n"/>
      <c r="N18" s="66" t="n"/>
      <c r="O18" s="66" t="n"/>
    </row>
    <row r="19">
      <c r="A19" s="66" t="n"/>
      <c r="B19" s="66" t="n"/>
      <c r="C19" s="66" t="n"/>
      <c r="D19" s="66" t="n"/>
      <c r="E19" s="73" t="n"/>
      <c r="F19" s="73" t="n"/>
      <c r="G19" s="66" t="n"/>
      <c r="H19" s="66" t="n"/>
      <c r="I19" s="66" t="n"/>
      <c r="J19" s="66" t="n"/>
      <c r="K19" s="66" t="n"/>
      <c r="L19" s="73" t="n"/>
      <c r="M19" s="66" t="n"/>
      <c r="N19" s="66" t="n"/>
      <c r="O19" s="66" t="n"/>
    </row>
    <row r="20">
      <c r="A20" s="66" t="n"/>
      <c r="B20" s="66" t="n"/>
      <c r="C20" s="66" t="n"/>
      <c r="D20" s="66" t="n"/>
      <c r="E20" s="73" t="n"/>
      <c r="F20" s="73" t="n"/>
      <c r="G20" s="66" t="n"/>
      <c r="H20" s="66" t="n"/>
      <c r="I20" s="66" t="n"/>
      <c r="J20" s="66" t="n"/>
      <c r="K20" s="66" t="n"/>
      <c r="L20" s="73" t="n"/>
      <c r="M20" s="66" t="n"/>
      <c r="N20" s="66" t="n"/>
      <c r="O20" s="66" t="n"/>
    </row>
    <row r="21">
      <c r="A21" s="66" t="n"/>
      <c r="B21" s="66" t="n"/>
      <c r="C21" s="66" t="n"/>
      <c r="D21" s="66" t="n"/>
      <c r="E21" s="73" t="n"/>
      <c r="F21" s="73" t="n"/>
      <c r="G21" s="66" t="n"/>
      <c r="H21" s="66" t="n"/>
      <c r="I21" s="66" t="n"/>
      <c r="J21" s="66" t="n"/>
      <c r="K21" s="66" t="n"/>
      <c r="L21" s="73" t="n"/>
      <c r="M21" s="66" t="n"/>
      <c r="N21" s="66" t="n"/>
      <c r="O21" s="66" t="n"/>
    </row>
    <row r="22">
      <c r="A22" s="66" t="n"/>
      <c r="B22" s="66" t="n"/>
      <c r="C22" s="66" t="n"/>
      <c r="D22" s="66" t="n"/>
      <c r="E22" s="73" t="n"/>
      <c r="F22" s="73" t="n"/>
      <c r="G22" s="66" t="n"/>
      <c r="H22" s="66" t="n"/>
      <c r="I22" s="66" t="n"/>
      <c r="J22" s="66" t="n"/>
      <c r="K22" s="66" t="n"/>
      <c r="L22" s="73" t="n"/>
      <c r="M22" s="66" t="n"/>
      <c r="N22" s="66" t="n"/>
      <c r="O22" s="66" t="n"/>
    </row>
    <row r="23">
      <c r="A23" s="66" t="n"/>
      <c r="B23" s="66" t="n"/>
      <c r="C23" s="66" t="n"/>
      <c r="D23" s="66" t="n"/>
      <c r="E23" s="73" t="n"/>
      <c r="F23" s="73" t="n"/>
      <c r="G23" s="66" t="n"/>
      <c r="H23" s="66" t="n"/>
      <c r="I23" s="66" t="n"/>
      <c r="J23" s="66" t="n"/>
      <c r="K23" s="66" t="n"/>
      <c r="L23" s="73" t="n"/>
      <c r="M23" s="66" t="n"/>
      <c r="N23" s="66" t="n"/>
      <c r="O23" s="66" t="n"/>
    </row>
    <row r="24">
      <c r="A24" s="66" t="n"/>
      <c r="B24" s="66" t="n"/>
      <c r="C24" s="66" t="n"/>
      <c r="D24" s="66" t="n"/>
      <c r="E24" s="73" t="n"/>
      <c r="F24" s="73" t="n"/>
      <c r="G24" s="66" t="n"/>
      <c r="H24" s="66" t="n"/>
      <c r="I24" s="66" t="n"/>
      <c r="J24" s="66" t="n"/>
      <c r="K24" s="66" t="n"/>
      <c r="L24" s="73" t="n"/>
      <c r="M24" s="66" t="n"/>
      <c r="N24" s="66" t="n"/>
      <c r="O24" s="66" t="n"/>
    </row>
    <row r="25">
      <c r="A25" s="66" t="n"/>
      <c r="B25" s="66" t="n"/>
      <c r="C25" s="66" t="n"/>
      <c r="D25" s="66" t="n"/>
      <c r="E25" s="73" t="n"/>
      <c r="F25" s="73" t="n"/>
      <c r="G25" s="66" t="n"/>
      <c r="H25" s="66" t="n"/>
      <c r="I25" s="66" t="n"/>
      <c r="J25" s="66" t="n"/>
      <c r="K25" s="66" t="n"/>
      <c r="L25" s="73" t="n"/>
      <c r="M25" s="66" t="n"/>
      <c r="N25" s="66" t="n"/>
      <c r="O25" s="66" t="n"/>
    </row>
    <row r="26">
      <c r="A26" s="66" t="n"/>
      <c r="B26" s="66" t="n"/>
      <c r="C26" s="66" t="n"/>
      <c r="D26" s="66" t="n"/>
      <c r="E26" s="73" t="n"/>
      <c r="F26" s="73" t="n"/>
      <c r="G26" s="66" t="n"/>
      <c r="H26" s="66" t="n"/>
      <c r="I26" s="66" t="n"/>
      <c r="J26" s="66" t="n"/>
      <c r="K26" s="66" t="n"/>
      <c r="L26" s="73" t="n"/>
      <c r="M26" s="66" t="n"/>
      <c r="N26" s="66" t="n"/>
      <c r="O26" s="66" t="n"/>
    </row>
    <row r="27">
      <c r="A27" s="66" t="n"/>
      <c r="B27" s="66" t="n"/>
      <c r="C27" s="66" t="n"/>
      <c r="D27" s="66" t="n"/>
      <c r="E27" s="73" t="n"/>
      <c r="F27" s="73" t="n"/>
      <c r="G27" s="66" t="n"/>
      <c r="H27" s="66" t="n"/>
      <c r="I27" s="66" t="n"/>
      <c r="J27" s="66" t="n"/>
      <c r="K27" s="66" t="n"/>
      <c r="L27" s="73" t="n"/>
      <c r="M27" s="66" t="n"/>
      <c r="N27" s="66" t="n"/>
      <c r="O27" s="66" t="n"/>
    </row>
    <row r="28">
      <c r="A28" s="66" t="n"/>
      <c r="B28" s="66" t="n"/>
      <c r="C28" s="66" t="n"/>
      <c r="D28" s="66" t="n"/>
      <c r="E28" s="73" t="n"/>
      <c r="F28" s="73" t="n"/>
      <c r="G28" s="66" t="n"/>
      <c r="H28" s="66" t="n"/>
      <c r="I28" s="66" t="n"/>
      <c r="J28" s="66" t="n"/>
      <c r="K28" s="66" t="n"/>
      <c r="L28" s="73" t="n"/>
      <c r="M28" s="66" t="n"/>
      <c r="N28" s="66" t="n"/>
      <c r="O28" s="66" t="n"/>
    </row>
    <row r="29">
      <c r="A29" s="66" t="n"/>
      <c r="B29" s="66" t="n"/>
      <c r="C29" s="66" t="n"/>
      <c r="D29" s="66" t="n"/>
      <c r="E29" s="73" t="n"/>
      <c r="F29" s="73" t="n"/>
      <c r="G29" s="66" t="n"/>
      <c r="H29" s="66" t="n"/>
      <c r="I29" s="66" t="n"/>
      <c r="J29" s="66" t="n"/>
      <c r="K29" s="66" t="n"/>
      <c r="L29" s="73" t="n"/>
      <c r="M29" s="66" t="n"/>
      <c r="N29" s="66" t="n"/>
      <c r="O29" s="66" t="n"/>
    </row>
    <row r="30">
      <c r="A30" s="66" t="n"/>
      <c r="B30" s="66" t="n"/>
      <c r="C30" s="66" t="n"/>
      <c r="D30" s="66" t="n"/>
      <c r="E30" s="73" t="n"/>
      <c r="F30" s="73" t="n"/>
      <c r="G30" s="66" t="n"/>
      <c r="H30" s="66" t="n"/>
      <c r="I30" s="66" t="n"/>
      <c r="J30" s="66" t="n"/>
      <c r="K30" s="66" t="n"/>
      <c r="L30" s="73" t="n"/>
      <c r="M30" s="66" t="n"/>
      <c r="N30" s="66" t="n"/>
      <c r="O30" s="66" t="n"/>
    </row>
    <row r="31">
      <c r="A31" s="66" t="n"/>
      <c r="B31" s="66" t="n"/>
      <c r="C31" s="66" t="n"/>
      <c r="D31" s="66" t="n"/>
      <c r="E31" s="73" t="n"/>
      <c r="F31" s="73" t="n"/>
      <c r="G31" s="66" t="n"/>
      <c r="H31" s="66" t="n"/>
      <c r="I31" s="66" t="n"/>
      <c r="J31" s="66" t="n"/>
      <c r="K31" s="66" t="n"/>
      <c r="L31" s="73" t="n"/>
      <c r="M31" s="66" t="n"/>
      <c r="N31" s="66" t="n"/>
      <c r="O31" s="66" t="n"/>
    </row>
    <row r="32">
      <c r="A32" s="66" t="n"/>
      <c r="B32" s="66" t="n"/>
      <c r="C32" s="66" t="n"/>
      <c r="D32" s="66" t="n"/>
      <c r="E32" s="73" t="n"/>
      <c r="F32" s="73" t="n"/>
      <c r="G32" s="66" t="n"/>
      <c r="H32" s="66" t="n"/>
      <c r="I32" s="66" t="n"/>
      <c r="J32" s="66" t="n"/>
      <c r="K32" s="66" t="n"/>
      <c r="L32" s="73" t="n"/>
      <c r="M32" s="66" t="n"/>
      <c r="N32" s="66" t="n"/>
      <c r="O32" s="66" t="n"/>
    </row>
    <row r="33">
      <c r="A33" s="66" t="n"/>
      <c r="B33" s="66" t="n"/>
      <c r="C33" s="66" t="n"/>
      <c r="D33" s="66" t="n"/>
      <c r="E33" s="73" t="n"/>
      <c r="F33" s="73" t="n"/>
      <c r="G33" s="66" t="n"/>
      <c r="H33" s="66" t="n"/>
      <c r="I33" s="66" t="n"/>
      <c r="J33" s="66" t="n"/>
      <c r="K33" s="66" t="n"/>
      <c r="L33" s="73" t="n"/>
      <c r="M33" s="66" t="n"/>
      <c r="N33" s="66" t="n"/>
      <c r="O33" s="66" t="n"/>
    </row>
    <row r="34">
      <c r="A34" s="66" t="n"/>
      <c r="B34" s="66" t="n"/>
      <c r="C34" s="66" t="n"/>
      <c r="D34" s="66" t="n"/>
      <c r="E34" s="73" t="n"/>
      <c r="F34" s="73" t="n"/>
      <c r="G34" s="66" t="n"/>
      <c r="H34" s="66" t="n"/>
      <c r="I34" s="66" t="n"/>
      <c r="J34" s="66" t="n"/>
      <c r="K34" s="66" t="n"/>
      <c r="L34" s="73" t="n"/>
      <c r="M34" s="66" t="n"/>
      <c r="N34" s="66" t="n"/>
      <c r="O34" s="66" t="n"/>
    </row>
    <row r="35">
      <c r="A35" s="66" t="n"/>
      <c r="B35" s="66" t="n"/>
      <c r="C35" s="66" t="n"/>
      <c r="D35" s="66" t="n"/>
      <c r="E35" s="73" t="n"/>
      <c r="F35" s="73" t="n"/>
      <c r="G35" s="66" t="n"/>
      <c r="H35" s="66" t="n"/>
      <c r="I35" s="66" t="n"/>
      <c r="J35" s="66" t="n"/>
      <c r="K35" s="66" t="n"/>
      <c r="L35" s="73" t="n"/>
      <c r="M35" s="66" t="n"/>
      <c r="N35" s="66" t="n"/>
      <c r="O35" s="66" t="n"/>
    </row>
    <row r="36">
      <c r="A36" s="66" t="n"/>
      <c r="B36" s="66" t="n"/>
      <c r="C36" s="66" t="n"/>
      <c r="D36" s="66" t="n"/>
      <c r="E36" s="73" t="n"/>
      <c r="F36" s="73" t="n"/>
      <c r="G36" s="66" t="n"/>
      <c r="H36" s="66" t="n"/>
      <c r="I36" s="66" t="n"/>
      <c r="J36" s="66" t="n"/>
      <c r="K36" s="66" t="n"/>
      <c r="L36" s="73" t="n"/>
      <c r="M36" s="66" t="n"/>
      <c r="N36" s="66" t="n"/>
      <c r="O36" s="66" t="n"/>
    </row>
    <row r="37">
      <c r="A37" s="66" t="n"/>
      <c r="B37" s="66" t="n"/>
      <c r="C37" s="66" t="n"/>
      <c r="D37" s="66" t="n"/>
      <c r="E37" s="73" t="n"/>
      <c r="F37" s="73" t="n"/>
      <c r="G37" s="66" t="n"/>
      <c r="H37" s="66" t="n"/>
      <c r="I37" s="66" t="n"/>
      <c r="J37" s="66" t="n"/>
      <c r="K37" s="66" t="n"/>
      <c r="L37" s="73" t="n"/>
      <c r="M37" s="66" t="n"/>
      <c r="N37" s="66" t="n"/>
      <c r="O37" s="66" t="n"/>
    </row>
    <row r="38">
      <c r="A38" s="66" t="n"/>
      <c r="B38" s="66" t="n"/>
      <c r="C38" s="66" t="n"/>
      <c r="D38" s="66" t="n"/>
      <c r="E38" s="73" t="n"/>
      <c r="F38" s="73" t="n"/>
      <c r="G38" s="66" t="n"/>
      <c r="H38" s="66" t="n"/>
      <c r="I38" s="66" t="n"/>
      <c r="J38" s="66" t="n"/>
      <c r="K38" s="66" t="n"/>
      <c r="L38" s="73" t="n"/>
      <c r="M38" s="66" t="n"/>
      <c r="N38" s="66" t="n"/>
      <c r="O38" s="66" t="n"/>
    </row>
    <row r="39">
      <c r="A39" s="66" t="n"/>
      <c r="B39" s="66" t="n"/>
      <c r="C39" s="66" t="n"/>
      <c r="D39" s="66" t="n"/>
      <c r="E39" s="73" t="n"/>
      <c r="F39" s="73" t="n"/>
      <c r="G39" s="66" t="n"/>
      <c r="H39" s="66" t="n"/>
      <c r="I39" s="66" t="n"/>
      <c r="J39" s="66" t="n"/>
      <c r="K39" s="66" t="n"/>
      <c r="L39" s="73" t="n"/>
      <c r="M39" s="66" t="n"/>
      <c r="N39" s="66" t="n"/>
      <c r="O39" s="66" t="n"/>
    </row>
    <row r="40">
      <c r="A40" s="56" t="n"/>
      <c r="B40" s="56" t="n"/>
      <c r="C40" s="56" t="n"/>
      <c r="D40" s="56" t="n"/>
      <c r="E40" s="56" t="n"/>
      <c r="F40" s="56" t="n"/>
      <c r="G40" s="56" t="n"/>
      <c r="H40" s="56" t="n"/>
      <c r="I40" s="56" t="n"/>
      <c r="J40" s="56" t="n"/>
      <c r="K40" s="56" t="n"/>
      <c r="L40" s="56" t="n"/>
      <c r="M40" s="56" t="n"/>
      <c r="N40" s="56" t="n"/>
      <c r="O40" s="56" t="n"/>
    </row>
    <row r="41">
      <c r="A41" s="56" t="n"/>
      <c r="B41" s="56" t="n"/>
      <c r="C41" s="56" t="n"/>
      <c r="D41" s="56" t="n"/>
      <c r="E41" s="56" t="n"/>
      <c r="F41" s="56" t="n"/>
      <c r="G41" s="56" t="n"/>
      <c r="H41" s="56" t="n"/>
      <c r="I41" s="56" t="n"/>
      <c r="J41" s="56" t="n"/>
      <c r="K41" s="56" t="n"/>
      <c r="L41" s="56" t="n"/>
      <c r="M41" s="56" t="n"/>
      <c r="N41" s="56" t="n"/>
      <c r="O41" s="56" t="n"/>
    </row>
    <row r="42">
      <c r="A42" s="56" t="n"/>
      <c r="B42" s="56" t="n"/>
      <c r="C42" s="56" t="n"/>
      <c r="D42" s="56" t="n"/>
      <c r="E42" s="56" t="n"/>
      <c r="F42" s="56" t="n"/>
      <c r="G42" s="56" t="n"/>
      <c r="H42" s="56" t="n"/>
      <c r="I42" s="56" t="n"/>
      <c r="J42" s="56" t="n"/>
      <c r="K42" s="56" t="n"/>
      <c r="L42" s="56" t="n"/>
      <c r="M42" s="56" t="n"/>
      <c r="N42" s="56" t="n"/>
      <c r="O42" s="56" t="n"/>
    </row>
    <row r="43">
      <c r="A43" s="56" t="n"/>
      <c r="B43" s="56" t="n"/>
      <c r="C43" s="56" t="n"/>
      <c r="D43" s="56" t="n"/>
      <c r="E43" s="56" t="n"/>
      <c r="F43" s="56" t="n"/>
      <c r="G43" s="56" t="n"/>
      <c r="H43" s="56" t="n"/>
      <c r="I43" s="56" t="n"/>
      <c r="J43" s="56" t="n"/>
      <c r="K43" s="56" t="n"/>
      <c r="L43" s="56" t="n"/>
      <c r="M43" s="56" t="n"/>
      <c r="N43" s="56" t="n"/>
      <c r="O43" s="56" t="n"/>
    </row>
    <row r="44">
      <c r="A44" s="56" t="n"/>
      <c r="B44" s="56" t="n"/>
      <c r="C44" s="56" t="n"/>
      <c r="D44" s="56" t="n"/>
      <c r="E44" s="56" t="n"/>
      <c r="F44" s="56" t="n"/>
      <c r="G44" s="56" t="n"/>
      <c r="H44" s="56" t="n"/>
      <c r="I44" s="56" t="n"/>
      <c r="J44" s="56" t="n"/>
      <c r="K44" s="56" t="n"/>
      <c r="L44" s="56" t="n"/>
      <c r="M44" s="56" t="n"/>
      <c r="N44" s="56" t="n"/>
      <c r="O44" s="56" t="n"/>
    </row>
  </sheetData>
  <sheetProtection selectLockedCells="0" selectUnlockedCells="0" sheet="1" objects="0" insertRows="0" insertHyperlinks="0" autoFilter="0" scenarios="1" formatColumns="0" deleteColumns="1" insertColumns="1" pivotTables="1" deleteRows="0" formatCells="0" formatRows="0" sort="0" password="EC7C"/>
  <autoFilter ref="A4:O39"/>
  <mergeCells count="2">
    <mergeCell ref="A1:O1"/>
    <mergeCell ref="A2:O2"/>
  </mergeCells>
  <conditionalFormatting sqref="G5:G39">
    <cfRule type="expression" priority="1" dxfId="0">
      <formula>ISNUMBER(SEARCH("Approved",G5))</formula>
    </cfRule>
    <cfRule type="expression" priority="2" dxfId="0">
      <formula>ISNUMBER(SEARCH("Installed",G5))</formula>
    </cfRule>
    <cfRule type="expression" priority="3" dxfId="0">
      <formula>ISNUMBER(SEARCH("Delivered",G5))</formula>
    </cfRule>
    <cfRule type="expression" priority="4" dxfId="0">
      <formula>ISNUMBER(SEARCH("Complete",G5))</formula>
    </cfRule>
    <cfRule type="expression" priority="5" dxfId="0">
      <formula>ISNUMBER(SEARCH("Completed",G5))</formula>
    </cfRule>
    <cfRule type="expression" priority="6" dxfId="0">
      <formula>ISNUMBER(SEARCH("Paid",G5))</formula>
    </cfRule>
    <cfRule type="expression" priority="7" dxfId="0">
      <formula>ISNUMBER(SEARCH("Good Condition",G5))</formula>
    </cfRule>
    <cfRule type="expression" priority="8" dxfId="0">
      <formula>ISNUMBER(SEARCH("Yes",G5))</formula>
    </cfRule>
    <cfRule type="expression" priority="9" dxfId="1">
      <formula>ISNUMBER(SEARCH("Pending",G5))</formula>
    </cfRule>
    <cfRule type="expression" priority="10" dxfId="1">
      <formula>ISNUMBER(SEARCH("In Progress",G5))</formula>
    </cfRule>
    <cfRule type="expression" priority="11" dxfId="1">
      <formula>ISNUMBER(SEARCH("Sent",G5))</formula>
    </cfRule>
    <cfRule type="expression" priority="12" dxfId="1">
      <formula>ISNUMBER(SEARCH("Client Review",G5))</formula>
    </cfRule>
    <cfRule type="expression" priority="13" dxfId="1">
      <formula>ISNUMBER(SEARCH("Ordered",G5))</formula>
    </cfRule>
    <cfRule type="expression" priority="14" dxfId="1">
      <formula>ISNUMBER(SEARCH("Shipped",G5))</formula>
    </cfRule>
    <cfRule type="expression" priority="15" dxfId="1">
      <formula>ISNUMBER(SEARCH("Scheduled",G5))</formula>
    </cfRule>
    <cfRule type="expression" priority="16" dxfId="1">
      <formula>ISNUMBER(SEARCH("Partially Paid",G5))</formula>
    </cfRule>
    <cfRule type="expression" priority="17" dxfId="1">
      <formula>ISNUMBER(SEARCH("Waiting on Client",G5))</formula>
    </cfRule>
    <cfRule type="expression" priority="18" dxfId="1">
      <formula>ISNUMBER(SEARCH("Waiting on Vendor",G5))</formula>
    </cfRule>
    <cfRule type="expression" priority="19" dxfId="1">
      <formula>ISNUMBER(SEARCH("Sourcing",G5))</formula>
    </cfRule>
    <cfRule type="expression" priority="20" dxfId="1">
      <formula>ISNUMBER(SEARCH("Option Selected",G5))</formula>
    </cfRule>
    <cfRule type="expression" priority="21" dxfId="1">
      <formula>ISNUMBER(SEARCH("Confirmed",G5))</formula>
    </cfRule>
    <cfRule type="expression" priority="22" dxfId="1">
      <formula>ISNUMBER(SEARCH("In Production",G5))</formula>
    </cfRule>
    <cfRule type="expression" priority="23" dxfId="1">
      <formula>ISNUMBER(SEARCH("In Transit",G5))</formula>
    </cfRule>
    <cfRule type="expression" priority="24" dxfId="1">
      <formula>ISNUMBER(SEARCH("Not Checked",G5))</formula>
    </cfRule>
    <cfRule type="expression" priority="25" dxfId="2">
      <formula>ISNUMBER(SEARCH("Overdue",G5))</formula>
    </cfRule>
    <cfRule type="expression" priority="26" dxfId="2">
      <formula>ISNUMBER(SEARCH("Delayed",G5))</formula>
    </cfRule>
    <cfRule type="expression" priority="27" dxfId="2">
      <formula>ISNUMBER(SEARCH("Rejected",G5))</formula>
    </cfRule>
    <cfRule type="expression" priority="28" dxfId="2">
      <formula>ISNUMBER(SEARCH("Damaged",G5))</formula>
    </cfRule>
    <cfRule type="expression" priority="29" dxfId="2">
      <formula>ISNUMBER(SEARCH("Missing Item",G5))</formula>
    </cfRule>
    <cfRule type="expression" priority="30" dxfId="2">
      <formula>ISNUMBER(SEARCH("Wrong Item",G5))</formula>
    </cfRule>
    <cfRule type="expression" priority="31" dxfId="2">
      <formula>ISNUMBER(SEARCH("Backordered",G5))</formula>
    </cfRule>
    <cfRule type="expression" priority="32" dxfId="2">
      <formula>ISNUMBER(SEARCH("Urgent",G5))</formula>
    </cfRule>
    <cfRule type="expression" priority="33" dxfId="3">
      <formula>ISNUMBER(SEARCH("Cancelled",G5))</formula>
    </cfRule>
    <cfRule type="expression" priority="34" dxfId="3">
      <formula>ISNUMBER(SEARCH("On Hold",G5))</formula>
    </cfRule>
    <cfRule type="expression" priority="35" dxfId="3">
      <formula>ISNUMBER(SEARCH("Not Started",G5))</formula>
    </cfRule>
    <cfRule type="expression" priority="36" dxfId="3">
      <formula>ISNUMBER(SEARCH("Not Sent",G5))</formula>
    </cfRule>
    <cfRule type="expression" priority="37" dxfId="3">
      <formula>ISNUMBER(SEARCH("Draft",G5))</formula>
    </cfRule>
    <cfRule type="expression" priority="38" dxfId="3">
      <formula>ISNUMBER(SEARCH("Not Ordered",G5))</formula>
    </cfRule>
  </conditionalFormatting>
  <conditionalFormatting sqref="I5:I39">
    <cfRule type="expression" priority="39" dxfId="0">
      <formula>ISNUMBER(SEARCH("Approved",I5))</formula>
    </cfRule>
    <cfRule type="expression" priority="40" dxfId="0">
      <formula>ISNUMBER(SEARCH("Installed",I5))</formula>
    </cfRule>
    <cfRule type="expression" priority="41" dxfId="0">
      <formula>ISNUMBER(SEARCH("Delivered",I5))</formula>
    </cfRule>
    <cfRule type="expression" priority="42" dxfId="0">
      <formula>ISNUMBER(SEARCH("Complete",I5))</formula>
    </cfRule>
    <cfRule type="expression" priority="43" dxfId="0">
      <formula>ISNUMBER(SEARCH("Completed",I5))</formula>
    </cfRule>
    <cfRule type="expression" priority="44" dxfId="0">
      <formula>ISNUMBER(SEARCH("Paid",I5))</formula>
    </cfRule>
    <cfRule type="expression" priority="45" dxfId="0">
      <formula>ISNUMBER(SEARCH("Good Condition",I5))</formula>
    </cfRule>
    <cfRule type="expression" priority="46" dxfId="0">
      <formula>ISNUMBER(SEARCH("Yes",I5))</formula>
    </cfRule>
    <cfRule type="expression" priority="47" dxfId="1">
      <formula>ISNUMBER(SEARCH("Pending",I5))</formula>
    </cfRule>
    <cfRule type="expression" priority="48" dxfId="1">
      <formula>ISNUMBER(SEARCH("In Progress",I5))</formula>
    </cfRule>
    <cfRule type="expression" priority="49" dxfId="1">
      <formula>ISNUMBER(SEARCH("Sent",I5))</formula>
    </cfRule>
    <cfRule type="expression" priority="50" dxfId="1">
      <formula>ISNUMBER(SEARCH("Client Review",I5))</formula>
    </cfRule>
    <cfRule type="expression" priority="51" dxfId="1">
      <formula>ISNUMBER(SEARCH("Ordered",I5))</formula>
    </cfRule>
    <cfRule type="expression" priority="52" dxfId="1">
      <formula>ISNUMBER(SEARCH("Shipped",I5))</formula>
    </cfRule>
    <cfRule type="expression" priority="53" dxfId="1">
      <formula>ISNUMBER(SEARCH("Scheduled",I5))</formula>
    </cfRule>
    <cfRule type="expression" priority="54" dxfId="1">
      <formula>ISNUMBER(SEARCH("Partially Paid",I5))</formula>
    </cfRule>
    <cfRule type="expression" priority="55" dxfId="1">
      <formula>ISNUMBER(SEARCH("Waiting on Client",I5))</formula>
    </cfRule>
    <cfRule type="expression" priority="56" dxfId="1">
      <formula>ISNUMBER(SEARCH("Waiting on Vendor",I5))</formula>
    </cfRule>
    <cfRule type="expression" priority="57" dxfId="1">
      <formula>ISNUMBER(SEARCH("Sourcing",I5))</formula>
    </cfRule>
    <cfRule type="expression" priority="58" dxfId="1">
      <formula>ISNUMBER(SEARCH("Option Selected",I5))</formula>
    </cfRule>
    <cfRule type="expression" priority="59" dxfId="1">
      <formula>ISNUMBER(SEARCH("Confirmed",I5))</formula>
    </cfRule>
    <cfRule type="expression" priority="60" dxfId="1">
      <formula>ISNUMBER(SEARCH("In Production",I5))</formula>
    </cfRule>
    <cfRule type="expression" priority="61" dxfId="1">
      <formula>ISNUMBER(SEARCH("In Transit",I5))</formula>
    </cfRule>
    <cfRule type="expression" priority="62" dxfId="1">
      <formula>ISNUMBER(SEARCH("Not Checked",I5))</formula>
    </cfRule>
    <cfRule type="expression" priority="63" dxfId="2">
      <formula>ISNUMBER(SEARCH("Overdue",I5))</formula>
    </cfRule>
    <cfRule type="expression" priority="64" dxfId="2">
      <formula>ISNUMBER(SEARCH("Delayed",I5))</formula>
    </cfRule>
    <cfRule type="expression" priority="65" dxfId="2">
      <formula>ISNUMBER(SEARCH("Rejected",I5))</formula>
    </cfRule>
    <cfRule type="expression" priority="66" dxfId="2">
      <formula>ISNUMBER(SEARCH("Damaged",I5))</formula>
    </cfRule>
    <cfRule type="expression" priority="67" dxfId="2">
      <formula>ISNUMBER(SEARCH("Missing Item",I5))</formula>
    </cfRule>
    <cfRule type="expression" priority="68" dxfId="2">
      <formula>ISNUMBER(SEARCH("Wrong Item",I5))</formula>
    </cfRule>
    <cfRule type="expression" priority="69" dxfId="2">
      <formula>ISNUMBER(SEARCH("Backordered",I5))</formula>
    </cfRule>
    <cfRule type="expression" priority="70" dxfId="2">
      <formula>ISNUMBER(SEARCH("Urgent",I5))</formula>
    </cfRule>
    <cfRule type="expression" priority="71" dxfId="3">
      <formula>ISNUMBER(SEARCH("Cancelled",I5))</formula>
    </cfRule>
    <cfRule type="expression" priority="72" dxfId="3">
      <formula>ISNUMBER(SEARCH("On Hold",I5))</formula>
    </cfRule>
    <cfRule type="expression" priority="73" dxfId="3">
      <formula>ISNUMBER(SEARCH("Not Started",I5))</formula>
    </cfRule>
    <cfRule type="expression" priority="74" dxfId="3">
      <formula>ISNUMBER(SEARCH("Not Sent",I5))</formula>
    </cfRule>
    <cfRule type="expression" priority="75" dxfId="3">
      <formula>ISNUMBER(SEARCH("Draft",I5))</formula>
    </cfRule>
    <cfRule type="expression" priority="76" dxfId="3">
      <formula>ISNUMBER(SEARCH("Not Ordered",I5))</formula>
    </cfRule>
  </conditionalFormatting>
  <conditionalFormatting sqref="N5:N39">
    <cfRule type="expression" priority="77" dxfId="0">
      <formula>ISNUMBER(SEARCH("Approved",N5))</formula>
    </cfRule>
    <cfRule type="expression" priority="78" dxfId="0">
      <formula>ISNUMBER(SEARCH("Installed",N5))</formula>
    </cfRule>
    <cfRule type="expression" priority="79" dxfId="0">
      <formula>ISNUMBER(SEARCH("Delivered",N5))</formula>
    </cfRule>
    <cfRule type="expression" priority="80" dxfId="0">
      <formula>ISNUMBER(SEARCH("Complete",N5))</formula>
    </cfRule>
    <cfRule type="expression" priority="81" dxfId="0">
      <formula>ISNUMBER(SEARCH("Completed",N5))</formula>
    </cfRule>
    <cfRule type="expression" priority="82" dxfId="0">
      <formula>ISNUMBER(SEARCH("Paid",N5))</formula>
    </cfRule>
    <cfRule type="expression" priority="83" dxfId="0">
      <formula>ISNUMBER(SEARCH("Good Condition",N5))</formula>
    </cfRule>
    <cfRule type="expression" priority="84" dxfId="0">
      <formula>ISNUMBER(SEARCH("Yes",N5))</formula>
    </cfRule>
    <cfRule type="expression" priority="85" dxfId="1">
      <formula>ISNUMBER(SEARCH("Pending",N5))</formula>
    </cfRule>
    <cfRule type="expression" priority="86" dxfId="1">
      <formula>ISNUMBER(SEARCH("In Progress",N5))</formula>
    </cfRule>
    <cfRule type="expression" priority="87" dxfId="1">
      <formula>ISNUMBER(SEARCH("Sent",N5))</formula>
    </cfRule>
    <cfRule type="expression" priority="88" dxfId="1">
      <formula>ISNUMBER(SEARCH("Client Review",N5))</formula>
    </cfRule>
    <cfRule type="expression" priority="89" dxfId="1">
      <formula>ISNUMBER(SEARCH("Ordered",N5))</formula>
    </cfRule>
    <cfRule type="expression" priority="90" dxfId="1">
      <formula>ISNUMBER(SEARCH("Shipped",N5))</formula>
    </cfRule>
    <cfRule type="expression" priority="91" dxfId="1">
      <formula>ISNUMBER(SEARCH("Scheduled",N5))</formula>
    </cfRule>
    <cfRule type="expression" priority="92" dxfId="1">
      <formula>ISNUMBER(SEARCH("Partially Paid",N5))</formula>
    </cfRule>
    <cfRule type="expression" priority="93" dxfId="1">
      <formula>ISNUMBER(SEARCH("Waiting on Client",N5))</formula>
    </cfRule>
    <cfRule type="expression" priority="94" dxfId="1">
      <formula>ISNUMBER(SEARCH("Waiting on Vendor",N5))</formula>
    </cfRule>
    <cfRule type="expression" priority="95" dxfId="1">
      <formula>ISNUMBER(SEARCH("Sourcing",N5))</formula>
    </cfRule>
    <cfRule type="expression" priority="96" dxfId="1">
      <formula>ISNUMBER(SEARCH("Option Selected",N5))</formula>
    </cfRule>
    <cfRule type="expression" priority="97" dxfId="1">
      <formula>ISNUMBER(SEARCH("Confirmed",N5))</formula>
    </cfRule>
    <cfRule type="expression" priority="98" dxfId="1">
      <formula>ISNUMBER(SEARCH("In Production",N5))</formula>
    </cfRule>
    <cfRule type="expression" priority="99" dxfId="1">
      <formula>ISNUMBER(SEARCH("In Transit",N5))</formula>
    </cfRule>
    <cfRule type="expression" priority="100" dxfId="1">
      <formula>ISNUMBER(SEARCH("Not Checked",N5))</formula>
    </cfRule>
    <cfRule type="expression" priority="101" dxfId="2">
      <formula>ISNUMBER(SEARCH("Overdue",N5))</formula>
    </cfRule>
    <cfRule type="expression" priority="102" dxfId="2">
      <formula>ISNUMBER(SEARCH("Delayed",N5))</formula>
    </cfRule>
    <cfRule type="expression" priority="103" dxfId="2">
      <formula>ISNUMBER(SEARCH("Rejected",N5))</formula>
    </cfRule>
    <cfRule type="expression" priority="104" dxfId="2">
      <formula>ISNUMBER(SEARCH("Damaged",N5))</formula>
    </cfRule>
    <cfRule type="expression" priority="105" dxfId="2">
      <formula>ISNUMBER(SEARCH("Missing Item",N5))</formula>
    </cfRule>
    <cfRule type="expression" priority="106" dxfId="2">
      <formula>ISNUMBER(SEARCH("Wrong Item",N5))</formula>
    </cfRule>
    <cfRule type="expression" priority="107" dxfId="2">
      <formula>ISNUMBER(SEARCH("Backordered",N5))</formula>
    </cfRule>
    <cfRule type="expression" priority="108" dxfId="2">
      <formula>ISNUMBER(SEARCH("Urgent",N5))</formula>
    </cfRule>
    <cfRule type="expression" priority="109" dxfId="3">
      <formula>ISNUMBER(SEARCH("Cancelled",N5))</formula>
    </cfRule>
    <cfRule type="expression" priority="110" dxfId="3">
      <formula>ISNUMBER(SEARCH("On Hold",N5))</formula>
    </cfRule>
    <cfRule type="expression" priority="111" dxfId="3">
      <formula>ISNUMBER(SEARCH("Not Started",N5))</formula>
    </cfRule>
    <cfRule type="expression" priority="112" dxfId="3">
      <formula>ISNUMBER(SEARCH("Not Sent",N5))</formula>
    </cfRule>
    <cfRule type="expression" priority="113" dxfId="3">
      <formula>ISNUMBER(SEARCH("Draft",N5))</formula>
    </cfRule>
    <cfRule type="expression" priority="114" dxfId="3">
      <formula>ISNUMBER(SEARCH("Not Ordered",N5))</formula>
    </cfRule>
  </conditionalFormatting>
  <dataValidations count="5">
    <dataValidation sqref="B5:B39" showDropDown="0" showInputMessage="1" showErrorMessage="1" allowBlank="1" errorTitle="Invalid Entry" error="Please select a value from the dropdown list." promptTitle="Select" prompt="Choose from the list" type="list">
      <formula1>"Living Room,Master Bedroom,Kitchen,Dining Room,Home Office,Powder Room"</formula1>
    </dataValidation>
    <dataValidation sqref="C5:C39" showDropDown="0" showInputMessage="1" showErrorMessage="1" allowBlank="1" errorTitle="Invalid Entry" error="Please select a value from the dropdown list." promptTitle="Select" prompt="Choose from the list" type="list">
      <formula1>"Article,West Elm,CB2,Visual Comfort,Schoolhouse,Loloi,Wolf / Sub-Zero,Rejuvenation,Four Hands,Signature Hardware"</formula1>
    </dataValidation>
    <dataValidation sqref="G5:G39" showDropDown="0" showInputMessage="1" showErrorMessage="1" allowBlank="1" errorTitle="Invalid Entry" error="Please select a value from the dropdown list." promptTitle="Select" prompt="Choose from the list" type="list">
      <formula1>"Not Ordered,Ordered,Shipped,In Transit,Delivered,Delayed,Partial,Cancelled"</formula1>
    </dataValidation>
    <dataValidation sqref="I5:I39" showDropDown="0" showInputMessage="1" showErrorMessage="1" allowBlank="1" errorTitle="Invalid Entry" error="Please select a value from the dropdown list." promptTitle="Select" prompt="Choose from the list" type="list">
      <formula1>"Not Checked,Good Condition,Damaged,Missing Item,Wrong Item"</formula1>
    </dataValidation>
    <dataValidation sqref="N5:N39" showDropDown="0" showInputMessage="1" showErrorMessage="1" allowBlank="1" errorTitle="Invalid Entry" error="Please select a value from the dropdown list." promptTitle="Select" prompt="Choose from the list" type="list">
      <formula1>"Not Scheduled,Scheduled,In Progress,Installed,Punch List,Complete,On Hold"</formula1>
    </dataValidation>
  </dataValidations>
  <pageMargins left="0.5" right="0.5" top="0.6" bottom="0.6" header="0.5" footer="0.5"/>
  <headerFooter>
    <oddHeader/>
    <oddFooter>&amp;C&amp;"Calibri"&amp;8 &amp;"Calibri"&amp;8Novality store  ·  Interior Design FF&amp;E Tracker  ·  Page &amp;P of &amp;N</oddFooter>
    <evenHeader/>
    <evenFooter/>
    <firstHeader/>
    <firstFooter/>
  </headerFooter>
</worksheet>
</file>

<file path=xl/worksheets/sheet15.xml><?xml version="1.0" encoding="utf-8"?>
<worksheet xmlns="http://schemas.openxmlformats.org/spreadsheetml/2006/main">
  <sheetPr>
    <tabColor rgb="006B4C9A"/>
    <outlinePr summaryBelow="1" summaryRight="1"/>
    <pageSetUpPr/>
  </sheetPr>
  <dimension ref="A1:J4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4" customWidth="1" min="5" max="5"/>
    <col width="16" customWidth="1" min="6" max="6"/>
    <col width="20" customWidth="1" min="7" max="7"/>
    <col width="28" customWidth="1" min="8" max="8"/>
    <col width="14" customWidth="1" min="9" max="9"/>
    <col width="14" customWidth="1" min="10" max="10"/>
  </cols>
  <sheetData>
    <row r="1" ht="38" customHeight="1">
      <c r="A1" s="51" t="inlineStr">
        <is>
          <t>CLIENT APPROVAL TRACKER</t>
        </is>
      </c>
      <c r="B1" s="52" t="n"/>
      <c r="C1" s="52" t="n"/>
      <c r="D1" s="52" t="n"/>
      <c r="E1" s="52" t="n"/>
      <c r="F1" s="52" t="n"/>
      <c r="G1" s="52" t="n"/>
      <c r="H1" s="52" t="n"/>
      <c r="I1" s="52" t="n"/>
      <c r="J1" s="52" t="n"/>
    </row>
    <row r="2" ht="18" customHeight="1">
      <c r="A2" s="53" t="inlineStr">
        <is>
          <t>Every design decision and purchase sign-off in one place  ·  Novality store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</row>
    <row r="3"/>
    <row r="4" ht="34" customHeight="1">
      <c r="A4" s="65" t="inlineStr">
        <is>
          <t>Item/Design Decision</t>
        </is>
      </c>
      <c r="B4" s="65" t="inlineStr">
        <is>
          <t>Room</t>
        </is>
      </c>
      <c r="C4" s="65" t="inlineStr">
        <is>
          <t>Approval Type</t>
        </is>
      </c>
      <c r="D4" s="65" t="inlineStr">
        <is>
          <t>Sent to Client Date</t>
        </is>
      </c>
      <c r="E4" s="65" t="inlineStr">
        <is>
          <t>Client Response Date</t>
        </is>
      </c>
      <c r="F4" s="65" t="inlineStr">
        <is>
          <t>Status</t>
        </is>
      </c>
      <c r="G4" s="65" t="inlineStr">
        <is>
          <t>Approved Option</t>
        </is>
      </c>
      <c r="H4" s="65" t="inlineStr">
        <is>
          <t>Client Comments</t>
        </is>
      </c>
      <c r="I4" s="65" t="inlineStr">
        <is>
          <t>Revision Needed</t>
        </is>
      </c>
      <c r="J4" s="65" t="inlineStr">
        <is>
          <t>Final Approval Date</t>
        </is>
      </c>
    </row>
    <row r="5">
      <c r="A5" s="66" t="inlineStr">
        <is>
          <t>Living room seating package</t>
        </is>
      </c>
      <c r="B5" s="66" t="inlineStr">
        <is>
          <t>Living Room</t>
        </is>
      </c>
      <c r="C5" s="67" t="inlineStr">
        <is>
          <t>Furniture</t>
        </is>
      </c>
      <c r="D5" s="73" t="n">
        <v>46099</v>
      </c>
      <c r="E5" s="73" t="n">
        <v>46103</v>
      </c>
      <c r="F5" s="67" t="inlineStr">
        <is>
          <t>Approved</t>
        </is>
      </c>
      <c r="G5" s="66" t="inlineStr">
        <is>
          <t>Article sofa + WE chairs</t>
        </is>
      </c>
      <c r="H5" s="66" t="inlineStr">
        <is>
          <t>Love the stone fabric</t>
        </is>
      </c>
      <c r="I5" s="67" t="inlineStr">
        <is>
          <t>No</t>
        </is>
      </c>
      <c r="J5" s="73" t="n">
        <v>46103</v>
      </c>
    </row>
    <row r="6">
      <c r="A6" s="66" t="inlineStr">
        <is>
          <t>Living room rug</t>
        </is>
      </c>
      <c r="B6" s="66" t="inlineStr">
        <is>
          <t>Living Room</t>
        </is>
      </c>
      <c r="C6" s="67" t="inlineStr">
        <is>
          <t>Furniture</t>
        </is>
      </c>
      <c r="D6" s="73" t="n">
        <v>46091</v>
      </c>
      <c r="E6" s="73" t="n">
        <v>46093</v>
      </c>
      <c r="F6" s="67" t="inlineStr">
        <is>
          <t>Approved</t>
        </is>
      </c>
      <c r="G6" s="66" t="inlineStr">
        <is>
          <t>Loloi Magnolia 9x12</t>
        </is>
      </c>
      <c r="H6" s="66" t="inlineStr"/>
      <c r="I6" s="67" t="inlineStr">
        <is>
          <t>No</t>
        </is>
      </c>
      <c r="J6" s="73" t="n">
        <v>46093</v>
      </c>
    </row>
    <row r="7">
      <c r="A7" s="66" t="inlineStr">
        <is>
          <t>Kitchen range selection</t>
        </is>
      </c>
      <c r="B7" s="66" t="inlineStr">
        <is>
          <t>Kitchen</t>
        </is>
      </c>
      <c r="C7" s="67" t="inlineStr">
        <is>
          <t>Purchase</t>
        </is>
      </c>
      <c r="D7" s="73" t="n">
        <v>46086</v>
      </c>
      <c r="E7" s="73" t="n">
        <v>46089</v>
      </c>
      <c r="F7" s="67" t="inlineStr">
        <is>
          <t>Approved</t>
        </is>
      </c>
      <c r="G7" s="66" t="inlineStr">
        <is>
          <t>Wolf DF36450</t>
        </is>
      </c>
      <c r="H7" s="66" t="inlineStr">
        <is>
          <t>Proceed with stainless</t>
        </is>
      </c>
      <c r="I7" s="67" t="inlineStr">
        <is>
          <t>No</t>
        </is>
      </c>
      <c r="J7" s="73" t="n">
        <v>46089</v>
      </c>
    </row>
    <row r="8">
      <c r="A8" s="66" t="inlineStr">
        <is>
          <t>Primary bedroom bed</t>
        </is>
      </c>
      <c r="B8" s="66" t="inlineStr">
        <is>
          <t>Master Bedroom</t>
        </is>
      </c>
      <c r="C8" s="67" t="inlineStr">
        <is>
          <t>Furniture</t>
        </is>
      </c>
      <c r="D8" s="73" t="n">
        <v>46113</v>
      </c>
      <c r="E8" s="73" t="n"/>
      <c r="F8" s="67" t="inlineStr">
        <is>
          <t>Sent</t>
        </is>
      </c>
      <c r="G8" s="66" t="inlineStr"/>
      <c r="H8" s="66" t="inlineStr">
        <is>
          <t>Waiting on fabric sample photos</t>
        </is>
      </c>
      <c r="I8" s="67" t="inlineStr">
        <is>
          <t>Yes</t>
        </is>
      </c>
      <c r="J8" s="73" t="n"/>
    </row>
    <row r="9">
      <c r="A9" s="66" t="inlineStr">
        <is>
          <t>Dining table options</t>
        </is>
      </c>
      <c r="B9" s="66" t="inlineStr">
        <is>
          <t>Dining Room</t>
        </is>
      </c>
      <c r="C9" s="67" t="inlineStr">
        <is>
          <t>Furniture</t>
        </is>
      </c>
      <c r="D9" s="73" t="n">
        <v>46117</v>
      </c>
      <c r="E9" s="73" t="n"/>
      <c r="F9" s="67" t="inlineStr">
        <is>
          <t>Sent</t>
        </is>
      </c>
      <c r="G9" s="66" t="inlineStr"/>
      <c r="H9" s="66" t="inlineStr">
        <is>
          <t>Comparing 3 options in Sourcing tab</t>
        </is>
      </c>
      <c r="I9" s="67" t="inlineStr">
        <is>
          <t>Yes</t>
        </is>
      </c>
      <c r="J9" s="73" t="n"/>
    </row>
    <row r="10">
      <c r="A10" s="66" t="inlineStr">
        <is>
          <t>Overall color palette</t>
        </is>
      </c>
      <c r="B10" s="66" t="inlineStr">
        <is>
          <t>Living Room</t>
        </is>
      </c>
      <c r="C10" s="67" t="inlineStr">
        <is>
          <t>Color Palette</t>
        </is>
      </c>
      <c r="D10" s="73" t="n">
        <v>46073</v>
      </c>
      <c r="E10" s="73" t="n">
        <v>46078</v>
      </c>
      <c r="F10" s="67" t="inlineStr">
        <is>
          <t>Approved</t>
        </is>
      </c>
      <c r="G10" s="66" t="inlineStr">
        <is>
          <t>Warm neutrals + brass</t>
        </is>
      </c>
      <c r="H10" s="66" t="inlineStr">
        <is>
          <t>Approved board v2</t>
        </is>
      </c>
      <c r="I10" s="67" t="inlineStr">
        <is>
          <t>No</t>
        </is>
      </c>
      <c r="J10" s="73" t="n">
        <v>46078</v>
      </c>
    </row>
    <row r="11">
      <c r="A11" s="66" t="inlineStr">
        <is>
          <t>Powder room wallpaper</t>
        </is>
      </c>
      <c r="B11" s="66" t="inlineStr">
        <is>
          <t>Powder Room</t>
        </is>
      </c>
      <c r="C11" s="67" t="inlineStr">
        <is>
          <t>Finish</t>
        </is>
      </c>
      <c r="D11" s="73" t="n">
        <v>46109</v>
      </c>
      <c r="E11" s="73" t="n">
        <v>46114</v>
      </c>
      <c r="F11" s="67" t="inlineStr">
        <is>
          <t>Approved</t>
        </is>
      </c>
      <c r="G11" s="66" t="inlineStr">
        <is>
          <t>Phillip Jeffries grasscloth</t>
        </is>
      </c>
      <c r="H11" s="66" t="inlineStr"/>
      <c r="I11" s="67" t="inlineStr">
        <is>
          <t>No</t>
        </is>
      </c>
      <c r="J11" s="73" t="n">
        <v>46114</v>
      </c>
    </row>
    <row r="12">
      <c r="A12" s="66" t="inlineStr">
        <is>
          <t>Project budget confirmation</t>
        </is>
      </c>
      <c r="B12" s="66" t="inlineStr">
        <is>
          <t>—</t>
        </is>
      </c>
      <c r="C12" s="67" t="inlineStr">
        <is>
          <t>Budget</t>
        </is>
      </c>
      <c r="D12" s="73" t="n">
        <v>46068</v>
      </c>
      <c r="E12" s="73" t="n">
        <v>46071</v>
      </c>
      <c r="F12" s="67" t="inlineStr">
        <is>
          <t>Approved</t>
        </is>
      </c>
      <c r="G12" s="66" t="inlineStr">
        <is>
          <t>$85,000 total</t>
        </is>
      </c>
      <c r="H12" s="66" t="inlineStr">
        <is>
          <t>OK with contingency</t>
        </is>
      </c>
      <c r="I12" s="67" t="inlineStr">
        <is>
          <t>No</t>
        </is>
      </c>
      <c r="J12" s="73" t="n">
        <v>46071</v>
      </c>
    </row>
    <row r="13">
      <c r="A13" s="66" t="inlineStr">
        <is>
          <t>Concept presentation</t>
        </is>
      </c>
      <c r="B13" s="66" t="inlineStr">
        <is>
          <t>—</t>
        </is>
      </c>
      <c r="C13" s="67" t="inlineStr">
        <is>
          <t>Design Concept</t>
        </is>
      </c>
      <c r="D13" s="73" t="n">
        <v>46063</v>
      </c>
      <c r="E13" s="73" t="n">
        <v>46067</v>
      </c>
      <c r="F13" s="67" t="inlineStr">
        <is>
          <t>Approved</t>
        </is>
      </c>
      <c r="G13" s="66" t="inlineStr">
        <is>
          <t>Modern Organic concept</t>
        </is>
      </c>
      <c r="H13" s="66" t="inlineStr">
        <is>
          <t>Minor layout tweaks only</t>
        </is>
      </c>
      <c r="I13" s="67" t="inlineStr">
        <is>
          <t>No</t>
        </is>
      </c>
      <c r="J13" s="73" t="n">
        <v>46067</v>
      </c>
    </row>
    <row r="14">
      <c r="A14" s="66" t="n"/>
      <c r="B14" s="66" t="n"/>
      <c r="C14" s="66" t="n"/>
      <c r="D14" s="73" t="n"/>
      <c r="E14" s="73" t="n"/>
      <c r="F14" s="66" t="n"/>
      <c r="G14" s="66" t="n"/>
      <c r="H14" s="66" t="n"/>
      <c r="I14" s="66" t="n"/>
      <c r="J14" s="73" t="n"/>
    </row>
    <row r="15">
      <c r="A15" s="66" t="n"/>
      <c r="B15" s="66" t="n"/>
      <c r="C15" s="66" t="n"/>
      <c r="D15" s="73" t="n"/>
      <c r="E15" s="73" t="n"/>
      <c r="F15" s="66" t="n"/>
      <c r="G15" s="66" t="n"/>
      <c r="H15" s="66" t="n"/>
      <c r="I15" s="66" t="n"/>
      <c r="J15" s="73" t="n"/>
    </row>
    <row r="16">
      <c r="A16" s="66" t="n"/>
      <c r="B16" s="66" t="n"/>
      <c r="C16" s="66" t="n"/>
      <c r="D16" s="73" t="n"/>
      <c r="E16" s="73" t="n"/>
      <c r="F16" s="66" t="n"/>
      <c r="G16" s="66" t="n"/>
      <c r="H16" s="66" t="n"/>
      <c r="I16" s="66" t="n"/>
      <c r="J16" s="73" t="n"/>
    </row>
    <row r="17">
      <c r="A17" s="66" t="n"/>
      <c r="B17" s="66" t="n"/>
      <c r="C17" s="66" t="n"/>
      <c r="D17" s="73" t="n"/>
      <c r="E17" s="73" t="n"/>
      <c r="F17" s="66" t="n"/>
      <c r="G17" s="66" t="n"/>
      <c r="H17" s="66" t="n"/>
      <c r="I17" s="66" t="n"/>
      <c r="J17" s="73" t="n"/>
    </row>
    <row r="18">
      <c r="A18" s="66" t="n"/>
      <c r="B18" s="66" t="n"/>
      <c r="C18" s="66" t="n"/>
      <c r="D18" s="73" t="n"/>
      <c r="E18" s="73" t="n"/>
      <c r="F18" s="66" t="n"/>
      <c r="G18" s="66" t="n"/>
      <c r="H18" s="66" t="n"/>
      <c r="I18" s="66" t="n"/>
      <c r="J18" s="73" t="n"/>
    </row>
    <row r="19">
      <c r="A19" s="66" t="n"/>
      <c r="B19" s="66" t="n"/>
      <c r="C19" s="66" t="n"/>
      <c r="D19" s="73" t="n"/>
      <c r="E19" s="73" t="n"/>
      <c r="F19" s="66" t="n"/>
      <c r="G19" s="66" t="n"/>
      <c r="H19" s="66" t="n"/>
      <c r="I19" s="66" t="n"/>
      <c r="J19" s="73" t="n"/>
    </row>
    <row r="20">
      <c r="A20" s="66" t="n"/>
      <c r="B20" s="66" t="n"/>
      <c r="C20" s="66" t="n"/>
      <c r="D20" s="73" t="n"/>
      <c r="E20" s="73" t="n"/>
      <c r="F20" s="66" t="n"/>
      <c r="G20" s="66" t="n"/>
      <c r="H20" s="66" t="n"/>
      <c r="I20" s="66" t="n"/>
      <c r="J20" s="73" t="n"/>
    </row>
    <row r="21">
      <c r="A21" s="66" t="n"/>
      <c r="B21" s="66" t="n"/>
      <c r="C21" s="66" t="n"/>
      <c r="D21" s="73" t="n"/>
      <c r="E21" s="73" t="n"/>
      <c r="F21" s="66" t="n"/>
      <c r="G21" s="66" t="n"/>
      <c r="H21" s="66" t="n"/>
      <c r="I21" s="66" t="n"/>
      <c r="J21" s="73" t="n"/>
    </row>
    <row r="22">
      <c r="A22" s="66" t="n"/>
      <c r="B22" s="66" t="n"/>
      <c r="C22" s="66" t="n"/>
      <c r="D22" s="73" t="n"/>
      <c r="E22" s="73" t="n"/>
      <c r="F22" s="66" t="n"/>
      <c r="G22" s="66" t="n"/>
      <c r="H22" s="66" t="n"/>
      <c r="I22" s="66" t="n"/>
      <c r="J22" s="73" t="n"/>
    </row>
    <row r="23">
      <c r="A23" s="66" t="n"/>
      <c r="B23" s="66" t="n"/>
      <c r="C23" s="66" t="n"/>
      <c r="D23" s="73" t="n"/>
      <c r="E23" s="73" t="n"/>
      <c r="F23" s="66" t="n"/>
      <c r="G23" s="66" t="n"/>
      <c r="H23" s="66" t="n"/>
      <c r="I23" s="66" t="n"/>
      <c r="J23" s="73" t="n"/>
    </row>
    <row r="24">
      <c r="A24" s="66" t="n"/>
      <c r="B24" s="66" t="n"/>
      <c r="C24" s="66" t="n"/>
      <c r="D24" s="73" t="n"/>
      <c r="E24" s="73" t="n"/>
      <c r="F24" s="66" t="n"/>
      <c r="G24" s="66" t="n"/>
      <c r="H24" s="66" t="n"/>
      <c r="I24" s="66" t="n"/>
      <c r="J24" s="73" t="n"/>
    </row>
    <row r="25">
      <c r="A25" s="66" t="n"/>
      <c r="B25" s="66" t="n"/>
      <c r="C25" s="66" t="n"/>
      <c r="D25" s="73" t="n"/>
      <c r="E25" s="73" t="n"/>
      <c r="F25" s="66" t="n"/>
      <c r="G25" s="66" t="n"/>
      <c r="H25" s="66" t="n"/>
      <c r="I25" s="66" t="n"/>
      <c r="J25" s="73" t="n"/>
    </row>
    <row r="26">
      <c r="A26" s="66" t="n"/>
      <c r="B26" s="66" t="n"/>
      <c r="C26" s="66" t="n"/>
      <c r="D26" s="73" t="n"/>
      <c r="E26" s="73" t="n"/>
      <c r="F26" s="66" t="n"/>
      <c r="G26" s="66" t="n"/>
      <c r="H26" s="66" t="n"/>
      <c r="I26" s="66" t="n"/>
      <c r="J26" s="73" t="n"/>
    </row>
    <row r="27">
      <c r="A27" s="66" t="n"/>
      <c r="B27" s="66" t="n"/>
      <c r="C27" s="66" t="n"/>
      <c r="D27" s="73" t="n"/>
      <c r="E27" s="73" t="n"/>
      <c r="F27" s="66" t="n"/>
      <c r="G27" s="66" t="n"/>
      <c r="H27" s="66" t="n"/>
      <c r="I27" s="66" t="n"/>
      <c r="J27" s="73" t="n"/>
    </row>
    <row r="28">
      <c r="A28" s="66" t="n"/>
      <c r="B28" s="66" t="n"/>
      <c r="C28" s="66" t="n"/>
      <c r="D28" s="73" t="n"/>
      <c r="E28" s="73" t="n"/>
      <c r="F28" s="66" t="n"/>
      <c r="G28" s="66" t="n"/>
      <c r="H28" s="66" t="n"/>
      <c r="I28" s="66" t="n"/>
      <c r="J28" s="73" t="n"/>
    </row>
    <row r="29">
      <c r="A29" s="66" t="n"/>
      <c r="B29" s="66" t="n"/>
      <c r="C29" s="66" t="n"/>
      <c r="D29" s="73" t="n"/>
      <c r="E29" s="73" t="n"/>
      <c r="F29" s="66" t="n"/>
      <c r="G29" s="66" t="n"/>
      <c r="H29" s="66" t="n"/>
      <c r="I29" s="66" t="n"/>
      <c r="J29" s="73" t="n"/>
    </row>
    <row r="30">
      <c r="A30" s="66" t="n"/>
      <c r="B30" s="66" t="n"/>
      <c r="C30" s="66" t="n"/>
      <c r="D30" s="73" t="n"/>
      <c r="E30" s="73" t="n"/>
      <c r="F30" s="66" t="n"/>
      <c r="G30" s="66" t="n"/>
      <c r="H30" s="66" t="n"/>
      <c r="I30" s="66" t="n"/>
      <c r="J30" s="73" t="n"/>
    </row>
    <row r="31">
      <c r="A31" s="66" t="n"/>
      <c r="B31" s="66" t="n"/>
      <c r="C31" s="66" t="n"/>
      <c r="D31" s="73" t="n"/>
      <c r="E31" s="73" t="n"/>
      <c r="F31" s="66" t="n"/>
      <c r="G31" s="66" t="n"/>
      <c r="H31" s="66" t="n"/>
      <c r="I31" s="66" t="n"/>
      <c r="J31" s="73" t="n"/>
    </row>
    <row r="32">
      <c r="A32" s="66" t="n"/>
      <c r="B32" s="66" t="n"/>
      <c r="C32" s="66" t="n"/>
      <c r="D32" s="73" t="n"/>
      <c r="E32" s="73" t="n"/>
      <c r="F32" s="66" t="n"/>
      <c r="G32" s="66" t="n"/>
      <c r="H32" s="66" t="n"/>
      <c r="I32" s="66" t="n"/>
      <c r="J32" s="73" t="n"/>
    </row>
    <row r="33">
      <c r="A33" s="66" t="n"/>
      <c r="B33" s="66" t="n"/>
      <c r="C33" s="66" t="n"/>
      <c r="D33" s="73" t="n"/>
      <c r="E33" s="73" t="n"/>
      <c r="F33" s="66" t="n"/>
      <c r="G33" s="66" t="n"/>
      <c r="H33" s="66" t="n"/>
      <c r="I33" s="66" t="n"/>
      <c r="J33" s="73" t="n"/>
    </row>
    <row r="34">
      <c r="A34" s="66" t="n"/>
      <c r="B34" s="66" t="n"/>
      <c r="C34" s="66" t="n"/>
      <c r="D34" s="73" t="n"/>
      <c r="E34" s="73" t="n"/>
      <c r="F34" s="66" t="n"/>
      <c r="G34" s="66" t="n"/>
      <c r="H34" s="66" t="n"/>
      <c r="I34" s="66" t="n"/>
      <c r="J34" s="73" t="n"/>
    </row>
    <row r="35">
      <c r="A35" s="66" t="n"/>
      <c r="B35" s="66" t="n"/>
      <c r="C35" s="66" t="n"/>
      <c r="D35" s="73" t="n"/>
      <c r="E35" s="73" t="n"/>
      <c r="F35" s="66" t="n"/>
      <c r="G35" s="66" t="n"/>
      <c r="H35" s="66" t="n"/>
      <c r="I35" s="66" t="n"/>
      <c r="J35" s="73" t="n"/>
    </row>
    <row r="36">
      <c r="A36" s="66" t="n"/>
      <c r="B36" s="66" t="n"/>
      <c r="C36" s="66" t="n"/>
      <c r="D36" s="73" t="n"/>
      <c r="E36" s="73" t="n"/>
      <c r="F36" s="66" t="n"/>
      <c r="G36" s="66" t="n"/>
      <c r="H36" s="66" t="n"/>
      <c r="I36" s="66" t="n"/>
      <c r="J36" s="73" t="n"/>
    </row>
    <row r="37">
      <c r="A37" s="66" t="n"/>
      <c r="B37" s="66" t="n"/>
      <c r="C37" s="66" t="n"/>
      <c r="D37" s="73" t="n"/>
      <c r="E37" s="73" t="n"/>
      <c r="F37" s="66" t="n"/>
      <c r="G37" s="66" t="n"/>
      <c r="H37" s="66" t="n"/>
      <c r="I37" s="66" t="n"/>
      <c r="J37" s="73" t="n"/>
    </row>
    <row r="38">
      <c r="A38" s="66" t="n"/>
      <c r="B38" s="66" t="n"/>
      <c r="C38" s="66" t="n"/>
      <c r="D38" s="73" t="n"/>
      <c r="E38" s="73" t="n"/>
      <c r="F38" s="66" t="n"/>
      <c r="G38" s="66" t="n"/>
      <c r="H38" s="66" t="n"/>
      <c r="I38" s="66" t="n"/>
      <c r="J38" s="73" t="n"/>
    </row>
    <row r="39">
      <c r="A39" s="66" t="n"/>
      <c r="B39" s="66" t="n"/>
      <c r="C39" s="66" t="n"/>
      <c r="D39" s="73" t="n"/>
      <c r="E39" s="73" t="n"/>
      <c r="F39" s="66" t="n"/>
      <c r="G39" s="66" t="n"/>
      <c r="H39" s="66" t="n"/>
      <c r="I39" s="66" t="n"/>
      <c r="J39" s="73" t="n"/>
    </row>
    <row r="40">
      <c r="A40" s="56" t="n"/>
      <c r="B40" s="56" t="n"/>
      <c r="C40" s="56" t="n"/>
      <c r="D40" s="56" t="n"/>
      <c r="E40" s="56" t="n"/>
      <c r="F40" s="56" t="n"/>
      <c r="G40" s="56" t="n"/>
      <c r="H40" s="56" t="n"/>
      <c r="I40" s="56" t="n"/>
      <c r="J40" s="56" t="n"/>
    </row>
    <row r="41">
      <c r="A41" s="56" t="n"/>
      <c r="B41" s="56" t="n"/>
      <c r="C41" s="56" t="n"/>
      <c r="D41" s="56" t="n"/>
      <c r="E41" s="56" t="n"/>
      <c r="F41" s="56" t="n"/>
      <c r="G41" s="56" t="n"/>
      <c r="H41" s="56" t="n"/>
      <c r="I41" s="56" t="n"/>
      <c r="J41" s="56" t="n"/>
    </row>
    <row r="42">
      <c r="A42" s="56" t="n"/>
      <c r="B42" s="56" t="n"/>
      <c r="C42" s="56" t="n"/>
      <c r="D42" s="56" t="n"/>
      <c r="E42" s="56" t="n"/>
      <c r="F42" s="56" t="n"/>
      <c r="G42" s="56" t="n"/>
      <c r="H42" s="56" t="n"/>
      <c r="I42" s="56" t="n"/>
      <c r="J42" s="56" t="n"/>
    </row>
    <row r="43">
      <c r="A43" s="56" t="n"/>
      <c r="B43" s="56" t="n"/>
      <c r="C43" s="56" t="n"/>
      <c r="D43" s="56" t="n"/>
      <c r="E43" s="56" t="n"/>
      <c r="F43" s="56" t="n"/>
      <c r="G43" s="56" t="n"/>
      <c r="H43" s="56" t="n"/>
      <c r="I43" s="56" t="n"/>
      <c r="J43" s="56" t="n"/>
    </row>
    <row r="44">
      <c r="A44" s="56" t="n"/>
      <c r="B44" s="56" t="n"/>
      <c r="C44" s="56" t="n"/>
      <c r="D44" s="56" t="n"/>
      <c r="E44" s="56" t="n"/>
      <c r="F44" s="56" t="n"/>
      <c r="G44" s="56" t="n"/>
      <c r="H44" s="56" t="n"/>
      <c r="I44" s="56" t="n"/>
      <c r="J44" s="56" t="n"/>
    </row>
  </sheetData>
  <sheetProtection selectLockedCells="0" selectUnlockedCells="0" sheet="1" objects="0" insertRows="0" insertHyperlinks="0" autoFilter="0" scenarios="1" formatColumns="0" deleteColumns="1" insertColumns="1" pivotTables="1" deleteRows="0" formatCells="0" formatRows="0" sort="0" password="EC7C"/>
  <autoFilter ref="A4:J39"/>
  <mergeCells count="2">
    <mergeCell ref="A1:J1"/>
    <mergeCell ref="A2:J2"/>
  </mergeCells>
  <conditionalFormatting sqref="F5:F39">
    <cfRule type="expression" priority="1" dxfId="0">
      <formula>ISNUMBER(SEARCH("Approved",F5))</formula>
    </cfRule>
    <cfRule type="expression" priority="2" dxfId="0">
      <formula>ISNUMBER(SEARCH("Installed",F5))</formula>
    </cfRule>
    <cfRule type="expression" priority="3" dxfId="0">
      <formula>ISNUMBER(SEARCH("Delivered",F5))</formula>
    </cfRule>
    <cfRule type="expression" priority="4" dxfId="0">
      <formula>ISNUMBER(SEARCH("Complete",F5))</formula>
    </cfRule>
    <cfRule type="expression" priority="5" dxfId="0">
      <formula>ISNUMBER(SEARCH("Completed",F5))</formula>
    </cfRule>
    <cfRule type="expression" priority="6" dxfId="0">
      <formula>ISNUMBER(SEARCH("Paid",F5))</formula>
    </cfRule>
    <cfRule type="expression" priority="7" dxfId="0">
      <formula>ISNUMBER(SEARCH("Good Condition",F5))</formula>
    </cfRule>
    <cfRule type="expression" priority="8" dxfId="0">
      <formula>ISNUMBER(SEARCH("Yes",F5))</formula>
    </cfRule>
    <cfRule type="expression" priority="9" dxfId="1">
      <formula>ISNUMBER(SEARCH("Pending",F5))</formula>
    </cfRule>
    <cfRule type="expression" priority="10" dxfId="1">
      <formula>ISNUMBER(SEARCH("In Progress",F5))</formula>
    </cfRule>
    <cfRule type="expression" priority="11" dxfId="1">
      <formula>ISNUMBER(SEARCH("Sent",F5))</formula>
    </cfRule>
    <cfRule type="expression" priority="12" dxfId="1">
      <formula>ISNUMBER(SEARCH("Client Review",F5))</formula>
    </cfRule>
    <cfRule type="expression" priority="13" dxfId="1">
      <formula>ISNUMBER(SEARCH("Ordered",F5))</formula>
    </cfRule>
    <cfRule type="expression" priority="14" dxfId="1">
      <formula>ISNUMBER(SEARCH("Shipped",F5))</formula>
    </cfRule>
    <cfRule type="expression" priority="15" dxfId="1">
      <formula>ISNUMBER(SEARCH("Scheduled",F5))</formula>
    </cfRule>
    <cfRule type="expression" priority="16" dxfId="1">
      <formula>ISNUMBER(SEARCH("Partially Paid",F5))</formula>
    </cfRule>
    <cfRule type="expression" priority="17" dxfId="1">
      <formula>ISNUMBER(SEARCH("Waiting on Client",F5))</formula>
    </cfRule>
    <cfRule type="expression" priority="18" dxfId="1">
      <formula>ISNUMBER(SEARCH("Waiting on Vendor",F5))</formula>
    </cfRule>
    <cfRule type="expression" priority="19" dxfId="1">
      <formula>ISNUMBER(SEARCH("Sourcing",F5))</formula>
    </cfRule>
    <cfRule type="expression" priority="20" dxfId="1">
      <formula>ISNUMBER(SEARCH("Option Selected",F5))</formula>
    </cfRule>
    <cfRule type="expression" priority="21" dxfId="1">
      <formula>ISNUMBER(SEARCH("Confirmed",F5))</formula>
    </cfRule>
    <cfRule type="expression" priority="22" dxfId="1">
      <formula>ISNUMBER(SEARCH("In Production",F5))</formula>
    </cfRule>
    <cfRule type="expression" priority="23" dxfId="1">
      <formula>ISNUMBER(SEARCH("In Transit",F5))</formula>
    </cfRule>
    <cfRule type="expression" priority="24" dxfId="1">
      <formula>ISNUMBER(SEARCH("Not Checked",F5))</formula>
    </cfRule>
    <cfRule type="expression" priority="25" dxfId="2">
      <formula>ISNUMBER(SEARCH("Overdue",F5))</formula>
    </cfRule>
    <cfRule type="expression" priority="26" dxfId="2">
      <formula>ISNUMBER(SEARCH("Delayed",F5))</formula>
    </cfRule>
    <cfRule type="expression" priority="27" dxfId="2">
      <formula>ISNUMBER(SEARCH("Rejected",F5))</formula>
    </cfRule>
    <cfRule type="expression" priority="28" dxfId="2">
      <formula>ISNUMBER(SEARCH("Damaged",F5))</formula>
    </cfRule>
    <cfRule type="expression" priority="29" dxfId="2">
      <formula>ISNUMBER(SEARCH("Missing Item",F5))</formula>
    </cfRule>
    <cfRule type="expression" priority="30" dxfId="2">
      <formula>ISNUMBER(SEARCH("Wrong Item",F5))</formula>
    </cfRule>
    <cfRule type="expression" priority="31" dxfId="2">
      <formula>ISNUMBER(SEARCH("Backordered",F5))</formula>
    </cfRule>
    <cfRule type="expression" priority="32" dxfId="2">
      <formula>ISNUMBER(SEARCH("Urgent",F5))</formula>
    </cfRule>
    <cfRule type="expression" priority="33" dxfId="3">
      <formula>ISNUMBER(SEARCH("Cancelled",F5))</formula>
    </cfRule>
    <cfRule type="expression" priority="34" dxfId="3">
      <formula>ISNUMBER(SEARCH("On Hold",F5))</formula>
    </cfRule>
    <cfRule type="expression" priority="35" dxfId="3">
      <formula>ISNUMBER(SEARCH("Not Started",F5))</formula>
    </cfRule>
    <cfRule type="expression" priority="36" dxfId="3">
      <formula>ISNUMBER(SEARCH("Not Sent",F5))</formula>
    </cfRule>
    <cfRule type="expression" priority="37" dxfId="3">
      <formula>ISNUMBER(SEARCH("Draft",F5))</formula>
    </cfRule>
    <cfRule type="expression" priority="38" dxfId="3">
      <formula>ISNUMBER(SEARCH("Not Ordered",F5))</formula>
    </cfRule>
  </conditionalFormatting>
  <dataValidations count="4">
    <dataValidation sqref="B5:B39" showDropDown="0" showInputMessage="1" showErrorMessage="1" allowBlank="1" errorTitle="Invalid Entry" error="Please select a value from the dropdown list." promptTitle="Select" prompt="Choose from the list" type="list">
      <formula1>"Living Room,Master Bedroom,Kitchen,Dining Room,Home Office,Powder Room,—"</formula1>
    </dataValidation>
    <dataValidation sqref="C5:C39" showDropDown="0" showInputMessage="1" showErrorMessage="1" allowBlank="1" errorTitle="Invalid Entry" error="Please select a value from the dropdown list." promptTitle="Select" prompt="Choose from the list" type="list">
      <formula1>"Furniture,Finish,Layout,Color Palette,Budget,Purchase,Vendor,Design Concept"</formula1>
    </dataValidation>
    <dataValidation sqref="F5:F39" showDropDown="0" showInputMessage="1" showErrorMessage="1" allowBlank="1" errorTitle="Invalid Entry" error="Please select a value from the dropdown list." promptTitle="Select" prompt="Choose from the list" type="list">
      <formula1>"Not Sent,Sent,Approved,Revisions Requested,Rejected,On Hold"</formula1>
    </dataValidation>
    <dataValidation sqref="I5:I39" showDropDown="0" showInputMessage="1" showErrorMessage="1" allowBlank="1" errorTitle="Invalid Entry" error="Please select a value from the dropdown list." promptTitle="Select" prompt="Choose from the list" type="list">
      <formula1>"Yes,No"</formula1>
    </dataValidation>
  </dataValidations>
  <pageMargins left="0.5" right="0.5" top="0.6" bottom="0.6" header="0.5" footer="0.5"/>
  <headerFooter>
    <oddHeader/>
    <oddFooter>&amp;C&amp;"Calibri"&amp;8 &amp;"Calibri"&amp;8Novality store  ·  Interior Design FF&amp;E Tracker  ·  Page &amp;P of &amp;N</oddFooter>
    <evenHeader/>
    <evenFooter/>
    <firstHeader/>
    <firstFooter/>
  </headerFooter>
</worksheet>
</file>

<file path=xl/worksheets/sheet16.xml><?xml version="1.0" encoding="utf-8"?>
<worksheet xmlns="http://schemas.openxmlformats.org/spreadsheetml/2006/main">
  <sheetPr>
    <tabColor rgb="003D5A80"/>
    <outlinePr summaryBelow="1" summaryRight="1"/>
    <pageSetUpPr/>
  </sheetPr>
  <dimension ref="A1:V4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14" customWidth="1" min="3" max="3"/>
    <col width="12" customWidth="1" min="4" max="4"/>
    <col width="12" customWidth="1" min="5" max="5"/>
    <col width="14" customWidth="1" min="6" max="6"/>
    <col width="14" customWidth="1" min="7" max="7"/>
    <col width="10" customWidth="1" min="8" max="8"/>
    <col width="16" customWidth="1" min="9" max="9"/>
    <col width="24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4" customWidth="1" min="18" max="18"/>
    <col width="4" customWidth="1" min="19" max="19"/>
    <col width="4" customWidth="1" min="20" max="20"/>
    <col width="4" customWidth="1" min="21" max="21"/>
    <col width="4" customWidth="1" min="22" max="22"/>
  </cols>
  <sheetData>
    <row r="1" ht="38" customHeight="1">
      <c r="A1" s="51" t="inlineStr">
        <is>
          <t>PROJECT TIMELINE / GANTT TRACKER</t>
        </is>
      </c>
      <c r="B1" s="52" t="n"/>
      <c r="C1" s="52" t="n"/>
      <c r="D1" s="52" t="n"/>
      <c r="E1" s="52" t="n"/>
      <c r="F1" s="52" t="n"/>
      <c r="G1" s="52" t="n"/>
      <c r="H1" s="52" t="n"/>
      <c r="I1" s="52" t="n"/>
      <c r="J1" s="52" t="n"/>
      <c r="K1" s="52" t="n"/>
      <c r="L1" s="52" t="n"/>
    </row>
    <row r="2" ht="18" customHeight="1">
      <c r="A2" s="53" t="inlineStr">
        <is>
          <t>Phased plan with a simple week-by-week Gantt view (mark cells with X)  ·  Novality store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</row>
    <row r="3"/>
    <row r="4" ht="34" customHeight="1">
      <c r="A4" s="65" t="inlineStr">
        <is>
          <t>Phase</t>
        </is>
      </c>
      <c r="B4" s="65" t="inlineStr">
        <is>
          <t>Task</t>
        </is>
      </c>
      <c r="C4" s="65" t="inlineStr">
        <is>
          <t>Assigned To</t>
        </is>
      </c>
      <c r="D4" s="65" t="inlineStr">
        <is>
          <t>Start Date</t>
        </is>
      </c>
      <c r="E4" s="65" t="inlineStr">
        <is>
          <t>Due Date</t>
        </is>
      </c>
      <c r="F4" s="65" t="inlineStr">
        <is>
          <t>Completion Date</t>
        </is>
      </c>
      <c r="G4" s="65" t="inlineStr">
        <is>
          <t>Status</t>
        </is>
      </c>
      <c r="H4" s="65" t="inlineStr">
        <is>
          <t>Priority</t>
        </is>
      </c>
      <c r="I4" s="65" t="inlineStr">
        <is>
          <t>Dependencies</t>
        </is>
      </c>
      <c r="J4" s="65" t="inlineStr">
        <is>
          <t>Notes</t>
        </is>
      </c>
      <c r="K4" s="65" t="inlineStr">
        <is>
          <t>W1</t>
        </is>
      </c>
      <c r="L4" s="65" t="inlineStr">
        <is>
          <t>W2</t>
        </is>
      </c>
      <c r="M4" s="65" t="inlineStr">
        <is>
          <t>W3</t>
        </is>
      </c>
      <c r="N4" s="65" t="inlineStr">
        <is>
          <t>W4</t>
        </is>
      </c>
      <c r="O4" s="65" t="inlineStr">
        <is>
          <t>W5</t>
        </is>
      </c>
      <c r="P4" s="65" t="inlineStr">
        <is>
          <t>W6</t>
        </is>
      </c>
      <c r="Q4" s="65" t="inlineStr">
        <is>
          <t>W7</t>
        </is>
      </c>
      <c r="R4" s="65" t="inlineStr">
        <is>
          <t>W8</t>
        </is>
      </c>
      <c r="S4" s="65" t="inlineStr">
        <is>
          <t>W9</t>
        </is>
      </c>
      <c r="T4" s="65" t="inlineStr">
        <is>
          <t>W10</t>
        </is>
      </c>
      <c r="U4" s="65" t="inlineStr">
        <is>
          <t>W11</t>
        </is>
      </c>
      <c r="V4" s="65" t="inlineStr">
        <is>
          <t>W12</t>
        </is>
      </c>
    </row>
    <row r="5">
      <c r="A5" s="66" t="inlineStr">
        <is>
          <t>Consultation</t>
        </is>
      </c>
      <c r="B5" s="66" t="inlineStr">
        <is>
          <t>Kickoff meeting &amp; questionnaire</t>
        </is>
      </c>
      <c r="C5" s="66" t="inlineStr">
        <is>
          <t>Jordan Blake</t>
        </is>
      </c>
      <c r="D5" s="73" t="n">
        <v>46082</v>
      </c>
      <c r="E5" s="73" t="n">
        <v>46084</v>
      </c>
      <c r="F5" s="73" t="n">
        <v>46084</v>
      </c>
      <c r="G5" s="67" t="inlineStr">
        <is>
          <t>Complete</t>
        </is>
      </c>
      <c r="H5" s="67" t="inlineStr">
        <is>
          <t>High</t>
        </is>
      </c>
      <c r="I5" s="66" t="inlineStr"/>
      <c r="J5" s="66" t="inlineStr"/>
      <c r="K5" s="83" t="inlineStr">
        <is>
          <t>█</t>
        </is>
      </c>
      <c r="L5" s="83" t="inlineStr">
        <is>
          <t>█</t>
        </is>
      </c>
      <c r="M5" s="67" t="inlineStr"/>
      <c r="N5" s="67" t="inlineStr"/>
      <c r="O5" s="67" t="inlineStr"/>
      <c r="P5" s="67" t="inlineStr"/>
      <c r="Q5" s="67" t="inlineStr"/>
      <c r="R5" s="67" t="inlineStr"/>
      <c r="S5" s="67" t="inlineStr"/>
      <c r="T5" s="67" t="inlineStr"/>
      <c r="U5" s="67" t="inlineStr"/>
      <c r="V5" s="67" t="inlineStr"/>
    </row>
    <row r="6">
      <c r="A6" s="66" t="inlineStr">
        <is>
          <t>Measurements</t>
        </is>
      </c>
      <c r="B6" s="66" t="inlineStr">
        <is>
          <t>Site measure all rooms</t>
        </is>
      </c>
      <c r="C6" s="66" t="inlineStr">
        <is>
          <t>Studio Team</t>
        </is>
      </c>
      <c r="D6" s="73" t="n">
        <v>46086</v>
      </c>
      <c r="E6" s="73" t="n">
        <v>46088</v>
      </c>
      <c r="F6" s="73" t="n">
        <v>46088</v>
      </c>
      <c r="G6" s="67" t="inlineStr">
        <is>
          <t>Complete</t>
        </is>
      </c>
      <c r="H6" s="67" t="inlineStr">
        <is>
          <t>High</t>
        </is>
      </c>
      <c r="I6" s="66" t="inlineStr">
        <is>
          <t>Kickoff</t>
        </is>
      </c>
      <c r="J6" s="66" t="inlineStr"/>
      <c r="K6" s="67" t="inlineStr"/>
      <c r="L6" s="83" t="inlineStr">
        <is>
          <t>█</t>
        </is>
      </c>
      <c r="M6" s="67" t="inlineStr"/>
      <c r="N6" s="67" t="inlineStr"/>
      <c r="O6" s="67" t="inlineStr"/>
      <c r="P6" s="67" t="inlineStr"/>
      <c r="Q6" s="67" t="inlineStr"/>
      <c r="R6" s="67" t="inlineStr"/>
      <c r="S6" s="67" t="inlineStr"/>
      <c r="T6" s="67" t="inlineStr"/>
      <c r="U6" s="67" t="inlineStr"/>
      <c r="V6" s="67" t="inlineStr"/>
    </row>
    <row r="7">
      <c r="A7" s="66" t="inlineStr">
        <is>
          <t>Concept Design</t>
        </is>
      </c>
      <c r="B7" s="66" t="inlineStr">
        <is>
          <t>Mood boards &amp; space plans</t>
        </is>
      </c>
      <c r="C7" s="66" t="inlineStr">
        <is>
          <t>Jordan Blake</t>
        </is>
      </c>
      <c r="D7" s="73" t="n">
        <v>46089</v>
      </c>
      <c r="E7" s="73" t="n">
        <v>46101</v>
      </c>
      <c r="F7" s="73" t="n">
        <v>46099</v>
      </c>
      <c r="G7" s="67" t="inlineStr">
        <is>
          <t>Complete</t>
        </is>
      </c>
      <c r="H7" s="67" t="inlineStr">
        <is>
          <t>High</t>
        </is>
      </c>
      <c r="I7" s="66" t="inlineStr">
        <is>
          <t>Measurements</t>
        </is>
      </c>
      <c r="J7" s="66" t="inlineStr"/>
      <c r="K7" s="67" t="inlineStr"/>
      <c r="L7" s="83" t="inlineStr">
        <is>
          <t>█</t>
        </is>
      </c>
      <c r="M7" s="83" t="inlineStr">
        <is>
          <t>█</t>
        </is>
      </c>
      <c r="N7" s="83" t="inlineStr">
        <is>
          <t>█</t>
        </is>
      </c>
      <c r="O7" s="67" t="inlineStr"/>
      <c r="P7" s="67" t="inlineStr"/>
      <c r="Q7" s="67" t="inlineStr"/>
      <c r="R7" s="67" t="inlineStr"/>
      <c r="S7" s="67" t="inlineStr"/>
      <c r="T7" s="67" t="inlineStr"/>
      <c r="U7" s="67" t="inlineStr"/>
      <c r="V7" s="67" t="inlineStr"/>
    </row>
    <row r="8">
      <c r="A8" s="66" t="inlineStr">
        <is>
          <t>Client Approval</t>
        </is>
      </c>
      <c r="B8" s="66" t="inlineStr">
        <is>
          <t>Concept presentation</t>
        </is>
      </c>
      <c r="C8" s="66" t="inlineStr">
        <is>
          <t>Jordan Blake</t>
        </is>
      </c>
      <c r="D8" s="73" t="n">
        <v>46101</v>
      </c>
      <c r="E8" s="73" t="n">
        <v>46106</v>
      </c>
      <c r="F8" s="73" t="n">
        <v>46103</v>
      </c>
      <c r="G8" s="67" t="inlineStr">
        <is>
          <t>Complete</t>
        </is>
      </c>
      <c r="H8" s="67" t="inlineStr">
        <is>
          <t>Urgent</t>
        </is>
      </c>
      <c r="I8" s="66" t="inlineStr">
        <is>
          <t>Concept Design</t>
        </is>
      </c>
      <c r="J8" s="66" t="inlineStr"/>
      <c r="K8" s="67" t="inlineStr"/>
      <c r="L8" s="67" t="inlineStr"/>
      <c r="M8" s="67" t="inlineStr"/>
      <c r="N8" s="83" t="inlineStr">
        <is>
          <t>█</t>
        </is>
      </c>
      <c r="O8" s="67" t="inlineStr"/>
      <c r="P8" s="67" t="inlineStr"/>
      <c r="Q8" s="67" t="inlineStr"/>
      <c r="R8" s="67" t="inlineStr"/>
      <c r="S8" s="67" t="inlineStr"/>
      <c r="T8" s="67" t="inlineStr"/>
      <c r="U8" s="67" t="inlineStr"/>
      <c r="V8" s="67" t="inlineStr"/>
    </row>
    <row r="9">
      <c r="A9" s="66" t="inlineStr">
        <is>
          <t>Sourcing</t>
        </is>
      </c>
      <c r="B9" s="66" t="inlineStr">
        <is>
          <t>Source living room package</t>
        </is>
      </c>
      <c r="C9" s="66" t="inlineStr">
        <is>
          <t>Studio Team</t>
        </is>
      </c>
      <c r="D9" s="73" t="n">
        <v>46106</v>
      </c>
      <c r="E9" s="73" t="n">
        <v>46127</v>
      </c>
      <c r="F9" s="73" t="n"/>
      <c r="G9" s="67" t="inlineStr">
        <is>
          <t>In Progress</t>
        </is>
      </c>
      <c r="H9" s="67" t="inlineStr">
        <is>
          <t>High</t>
        </is>
      </c>
      <c r="I9" s="66" t="inlineStr">
        <is>
          <t>Concept approval</t>
        </is>
      </c>
      <c r="J9" s="66" t="inlineStr"/>
      <c r="K9" s="67" t="inlineStr"/>
      <c r="L9" s="67" t="inlineStr"/>
      <c r="M9" s="67" t="inlineStr"/>
      <c r="N9" s="83" t="inlineStr">
        <is>
          <t>█</t>
        </is>
      </c>
      <c r="O9" s="83" t="inlineStr">
        <is>
          <t>█</t>
        </is>
      </c>
      <c r="P9" s="83" t="inlineStr">
        <is>
          <t>█</t>
        </is>
      </c>
      <c r="Q9" s="67" t="inlineStr"/>
      <c r="R9" s="67" t="inlineStr"/>
      <c r="S9" s="67" t="inlineStr"/>
      <c r="T9" s="67" t="inlineStr"/>
      <c r="U9" s="67" t="inlineStr"/>
      <c r="V9" s="67" t="inlineStr"/>
    </row>
    <row r="10">
      <c r="A10" s="66" t="inlineStr">
        <is>
          <t>Sourcing</t>
        </is>
      </c>
      <c r="B10" s="66" t="inlineStr">
        <is>
          <t>Source kitchen fixtures &amp; appliances</t>
        </is>
      </c>
      <c r="C10" s="66" t="inlineStr">
        <is>
          <t>Studio Team</t>
        </is>
      </c>
      <c r="D10" s="73" t="n">
        <v>46101</v>
      </c>
      <c r="E10" s="73" t="n">
        <v>46122</v>
      </c>
      <c r="F10" s="73" t="n">
        <v>46120</v>
      </c>
      <c r="G10" s="67" t="inlineStr">
        <is>
          <t>Complete</t>
        </is>
      </c>
      <c r="H10" s="67" t="inlineStr">
        <is>
          <t>Urgent</t>
        </is>
      </c>
      <c r="I10" s="66" t="inlineStr"/>
      <c r="J10" s="66" t="inlineStr">
        <is>
          <t>Range ordered</t>
        </is>
      </c>
      <c r="K10" s="67" t="inlineStr"/>
      <c r="L10" s="67" t="inlineStr"/>
      <c r="M10" s="67" t="inlineStr"/>
      <c r="N10" s="83" t="inlineStr">
        <is>
          <t>█</t>
        </is>
      </c>
      <c r="O10" s="83" t="inlineStr">
        <is>
          <t>█</t>
        </is>
      </c>
      <c r="P10" s="67" t="inlineStr"/>
      <c r="Q10" s="67" t="inlineStr"/>
      <c r="R10" s="67" t="inlineStr"/>
      <c r="S10" s="67" t="inlineStr"/>
      <c r="T10" s="67" t="inlineStr"/>
      <c r="U10" s="67" t="inlineStr"/>
      <c r="V10" s="67" t="inlineStr"/>
    </row>
    <row r="11">
      <c r="A11" s="66" t="inlineStr">
        <is>
          <t>Client Approval</t>
        </is>
      </c>
      <c r="B11" s="66" t="inlineStr">
        <is>
          <t>Approve primary suite furniture</t>
        </is>
      </c>
      <c r="C11" s="66" t="inlineStr">
        <is>
          <t>Client</t>
        </is>
      </c>
      <c r="D11" s="73" t="n">
        <v>46113</v>
      </c>
      <c r="E11" s="73" t="n">
        <v>46127</v>
      </c>
      <c r="F11" s="73" t="n"/>
      <c r="G11" s="67" t="inlineStr">
        <is>
          <t>Waiting on Client</t>
        </is>
      </c>
      <c r="H11" s="67" t="inlineStr">
        <is>
          <t>High</t>
        </is>
      </c>
      <c r="I11" s="66" t="inlineStr">
        <is>
          <t>Sourcing</t>
        </is>
      </c>
      <c r="J11" s="66" t="inlineStr"/>
      <c r="K11" s="67" t="inlineStr"/>
      <c r="L11" s="67" t="inlineStr"/>
      <c r="M11" s="67" t="inlineStr"/>
      <c r="N11" s="67" t="inlineStr"/>
      <c r="O11" s="83" t="inlineStr">
        <is>
          <t>█</t>
        </is>
      </c>
      <c r="P11" s="83" t="inlineStr">
        <is>
          <t>█</t>
        </is>
      </c>
      <c r="Q11" s="67" t="inlineStr"/>
      <c r="R11" s="67" t="inlineStr"/>
      <c r="S11" s="67" t="inlineStr"/>
      <c r="T11" s="67" t="inlineStr"/>
      <c r="U11" s="67" t="inlineStr"/>
      <c r="V11" s="67" t="inlineStr"/>
    </row>
    <row r="12">
      <c r="A12" s="66" t="inlineStr">
        <is>
          <t>Purchasing</t>
        </is>
      </c>
      <c r="B12" s="66" t="inlineStr">
        <is>
          <t>Place living room POs</t>
        </is>
      </c>
      <c r="C12" s="66" t="inlineStr">
        <is>
          <t>Jordan Blake</t>
        </is>
      </c>
      <c r="D12" s="73" t="n">
        <v>46113</v>
      </c>
      <c r="E12" s="73" t="n">
        <v>46124</v>
      </c>
      <c r="F12" s="73" t="n">
        <v>46122</v>
      </c>
      <c r="G12" s="67" t="inlineStr">
        <is>
          <t>Complete</t>
        </is>
      </c>
      <c r="H12" s="67" t="inlineStr">
        <is>
          <t>High</t>
        </is>
      </c>
      <c r="I12" s="66" t="inlineStr">
        <is>
          <t>Approvals</t>
        </is>
      </c>
      <c r="J12" s="66" t="inlineStr"/>
      <c r="K12" s="67" t="inlineStr"/>
      <c r="L12" s="67" t="inlineStr"/>
      <c r="M12" s="67" t="inlineStr"/>
      <c r="N12" s="67" t="inlineStr"/>
      <c r="O12" s="83" t="inlineStr">
        <is>
          <t>█</t>
        </is>
      </c>
      <c r="P12" s="83" t="inlineStr">
        <is>
          <t>█</t>
        </is>
      </c>
      <c r="Q12" s="67" t="inlineStr"/>
      <c r="R12" s="67" t="inlineStr"/>
      <c r="S12" s="67" t="inlineStr"/>
      <c r="T12" s="67" t="inlineStr"/>
      <c r="U12" s="67" t="inlineStr"/>
      <c r="V12" s="67" t="inlineStr"/>
    </row>
    <row r="13">
      <c r="A13" s="66" t="inlineStr">
        <is>
          <t>Construction</t>
        </is>
      </c>
      <c r="B13" s="66" t="inlineStr">
        <is>
          <t>Kitchen rough-in coordination</t>
        </is>
      </c>
      <c r="C13" s="66" t="inlineStr">
        <is>
          <t>GC</t>
        </is>
      </c>
      <c r="D13" s="73" t="n">
        <v>46143</v>
      </c>
      <c r="E13" s="73" t="n">
        <v>46162</v>
      </c>
      <c r="F13" s="73" t="n"/>
      <c r="G13" s="67" t="inlineStr">
        <is>
          <t>Not Started</t>
        </is>
      </c>
      <c r="H13" s="67" t="inlineStr">
        <is>
          <t>High</t>
        </is>
      </c>
      <c r="I13" s="66" t="inlineStr">
        <is>
          <t>Appliance order</t>
        </is>
      </c>
      <c r="J13" s="66" t="inlineStr"/>
      <c r="K13" s="67" t="inlineStr"/>
      <c r="L13" s="67" t="inlineStr"/>
      <c r="M13" s="67" t="inlineStr"/>
      <c r="N13" s="67" t="inlineStr"/>
      <c r="O13" s="67" t="inlineStr"/>
      <c r="P13" s="67" t="inlineStr"/>
      <c r="Q13" s="67" t="inlineStr"/>
      <c r="R13" s="83" t="inlineStr">
        <is>
          <t>█</t>
        </is>
      </c>
      <c r="S13" s="83" t="inlineStr">
        <is>
          <t>█</t>
        </is>
      </c>
      <c r="T13" s="67" t="inlineStr"/>
      <c r="U13" s="67" t="inlineStr"/>
      <c r="V13" s="67" t="inlineStr"/>
    </row>
    <row r="14">
      <c r="A14" s="66" t="inlineStr">
        <is>
          <t>Delivery</t>
        </is>
      </c>
      <c r="B14" s="66" t="inlineStr">
        <is>
          <t>Living room furniture delivery</t>
        </is>
      </c>
      <c r="C14" s="66" t="inlineStr">
        <is>
          <t>Vendors</t>
        </is>
      </c>
      <c r="D14" s="73" t="n">
        <v>46157</v>
      </c>
      <c r="E14" s="73" t="n">
        <v>46167</v>
      </c>
      <c r="F14" s="73" t="n"/>
      <c r="G14" s="67" t="inlineStr">
        <is>
          <t>Not Started</t>
        </is>
      </c>
      <c r="H14" s="67" t="inlineStr">
        <is>
          <t>High</t>
        </is>
      </c>
      <c r="I14" s="66" t="inlineStr">
        <is>
          <t>POs</t>
        </is>
      </c>
      <c r="J14" s="66" t="inlineStr"/>
      <c r="K14" s="67" t="inlineStr"/>
      <c r="L14" s="67" t="inlineStr"/>
      <c r="M14" s="67" t="inlineStr"/>
      <c r="N14" s="67" t="inlineStr"/>
      <c r="O14" s="67" t="inlineStr"/>
      <c r="P14" s="67" t="inlineStr"/>
      <c r="Q14" s="67" t="inlineStr"/>
      <c r="R14" s="67" t="inlineStr"/>
      <c r="S14" s="83" t="inlineStr">
        <is>
          <t>█</t>
        </is>
      </c>
      <c r="T14" s="83" t="inlineStr">
        <is>
          <t>█</t>
        </is>
      </c>
      <c r="U14" s="67" t="inlineStr"/>
      <c r="V14" s="67" t="inlineStr"/>
    </row>
    <row r="15">
      <c r="A15" s="66" t="inlineStr">
        <is>
          <t>Installation</t>
        </is>
      </c>
      <c r="B15" s="66" t="inlineStr">
        <is>
          <t>Install living + powder</t>
        </is>
      </c>
      <c r="C15" s="66" t="inlineStr">
        <is>
          <t>Installers</t>
        </is>
      </c>
      <c r="D15" s="73" t="n">
        <v>46162</v>
      </c>
      <c r="E15" s="73" t="n">
        <v>46178</v>
      </c>
      <c r="F15" s="73" t="n"/>
      <c r="G15" s="67" t="inlineStr">
        <is>
          <t>Not Started</t>
        </is>
      </c>
      <c r="H15" s="67" t="inlineStr">
        <is>
          <t>High</t>
        </is>
      </c>
      <c r="I15" s="66" t="inlineStr">
        <is>
          <t>Deliveries</t>
        </is>
      </c>
      <c r="J15" s="66" t="inlineStr"/>
      <c r="K15" s="67" t="inlineStr"/>
      <c r="L15" s="67" t="inlineStr"/>
      <c r="M15" s="67" t="inlineStr"/>
      <c r="N15" s="67" t="inlineStr"/>
      <c r="O15" s="67" t="inlineStr"/>
      <c r="P15" s="67" t="inlineStr"/>
      <c r="Q15" s="67" t="inlineStr"/>
      <c r="R15" s="67" t="inlineStr"/>
      <c r="S15" s="83" t="inlineStr">
        <is>
          <t>█</t>
        </is>
      </c>
      <c r="T15" s="83" t="inlineStr">
        <is>
          <t>█</t>
        </is>
      </c>
      <c r="U15" s="83" t="inlineStr">
        <is>
          <t>█</t>
        </is>
      </c>
      <c r="V15" s="67" t="inlineStr"/>
    </row>
    <row r="16">
      <c r="A16" s="66" t="inlineStr">
        <is>
          <t>Styling</t>
        </is>
      </c>
      <c r="B16" s="66" t="inlineStr">
        <is>
          <t>Final styling pass</t>
        </is>
      </c>
      <c r="C16" s="66" t="inlineStr">
        <is>
          <t>Jordan Blake</t>
        </is>
      </c>
      <c r="D16" s="73" t="n">
        <v>46183</v>
      </c>
      <c r="E16" s="73" t="n">
        <v>46188</v>
      </c>
      <c r="F16" s="73" t="n"/>
      <c r="G16" s="67" t="inlineStr">
        <is>
          <t>Not Started</t>
        </is>
      </c>
      <c r="H16" s="67" t="inlineStr">
        <is>
          <t>Medium</t>
        </is>
      </c>
      <c r="I16" s="66" t="inlineStr">
        <is>
          <t>Installation</t>
        </is>
      </c>
      <c r="J16" s="66" t="inlineStr"/>
      <c r="K16" s="67" t="inlineStr"/>
      <c r="L16" s="67" t="inlineStr"/>
      <c r="M16" s="67" t="inlineStr"/>
      <c r="N16" s="67" t="inlineStr"/>
      <c r="O16" s="67" t="inlineStr"/>
      <c r="P16" s="67" t="inlineStr"/>
      <c r="Q16" s="67" t="inlineStr"/>
      <c r="R16" s="67" t="inlineStr"/>
      <c r="S16" s="67" t="inlineStr"/>
      <c r="T16" s="67" t="inlineStr"/>
      <c r="U16" s="83" t="inlineStr">
        <is>
          <t>█</t>
        </is>
      </c>
      <c r="V16" s="83" t="inlineStr">
        <is>
          <t>█</t>
        </is>
      </c>
    </row>
    <row r="17">
      <c r="A17" s="66" t="inlineStr">
        <is>
          <t>Final Reveal</t>
        </is>
      </c>
      <c r="B17" s="66" t="inlineStr">
        <is>
          <t>Client walkthrough</t>
        </is>
      </c>
      <c r="C17" s="66" t="inlineStr">
        <is>
          <t>Jordan Blake</t>
        </is>
      </c>
      <c r="D17" s="73" t="n">
        <v>46191</v>
      </c>
      <c r="E17" s="73" t="n">
        <v>46191</v>
      </c>
      <c r="F17" s="73" t="n"/>
      <c r="G17" s="67" t="inlineStr">
        <is>
          <t>Not Started</t>
        </is>
      </c>
      <c r="H17" s="67" t="inlineStr">
        <is>
          <t>Urgent</t>
        </is>
      </c>
      <c r="I17" s="66" t="inlineStr">
        <is>
          <t>Styling</t>
        </is>
      </c>
      <c r="J17" s="66" t="inlineStr"/>
      <c r="K17" s="67" t="inlineStr"/>
      <c r="L17" s="67" t="inlineStr"/>
      <c r="M17" s="67" t="inlineStr"/>
      <c r="N17" s="67" t="inlineStr"/>
      <c r="O17" s="67" t="inlineStr"/>
      <c r="P17" s="67" t="inlineStr"/>
      <c r="Q17" s="67" t="inlineStr"/>
      <c r="R17" s="67" t="inlineStr"/>
      <c r="S17" s="67" t="inlineStr"/>
      <c r="T17" s="67" t="inlineStr"/>
      <c r="U17" s="67" t="inlineStr"/>
      <c r="V17" s="83" t="inlineStr">
        <is>
          <t>█</t>
        </is>
      </c>
    </row>
    <row r="18">
      <c r="A18" s="66" t="inlineStr">
        <is>
          <t>Punch List</t>
        </is>
      </c>
      <c r="B18" s="66" t="inlineStr">
        <is>
          <t>Complete punch items</t>
        </is>
      </c>
      <c r="C18" s="66" t="inlineStr">
        <is>
          <t>Studio + GC</t>
        </is>
      </c>
      <c r="D18" s="73" t="n">
        <v>46191</v>
      </c>
      <c r="E18" s="73" t="n">
        <v>46203</v>
      </c>
      <c r="F18" s="73" t="n"/>
      <c r="G18" s="67" t="inlineStr">
        <is>
          <t>Not Started</t>
        </is>
      </c>
      <c r="H18" s="67" t="inlineStr">
        <is>
          <t>High</t>
        </is>
      </c>
      <c r="I18" s="66" t="inlineStr">
        <is>
          <t>Reveal</t>
        </is>
      </c>
      <c r="J18" s="66" t="inlineStr"/>
      <c r="K18" s="67" t="inlineStr"/>
      <c r="L18" s="67" t="inlineStr"/>
      <c r="M18" s="67" t="inlineStr"/>
      <c r="N18" s="67" t="inlineStr"/>
      <c r="O18" s="67" t="inlineStr"/>
      <c r="P18" s="67" t="inlineStr"/>
      <c r="Q18" s="67" t="inlineStr"/>
      <c r="R18" s="67" t="inlineStr"/>
      <c r="S18" s="67" t="inlineStr"/>
      <c r="T18" s="67" t="inlineStr"/>
      <c r="U18" s="67" t="inlineStr"/>
      <c r="V18" s="83" t="inlineStr">
        <is>
          <t>█</t>
        </is>
      </c>
    </row>
    <row r="19">
      <c r="A19" s="66" t="n"/>
      <c r="B19" s="66" t="n"/>
      <c r="C19" s="66" t="n"/>
      <c r="D19" s="73" t="n"/>
      <c r="E19" s="73" t="n"/>
      <c r="F19" s="73" t="n"/>
      <c r="G19" s="66" t="n"/>
      <c r="H19" s="66" t="n"/>
      <c r="I19" s="66" t="n"/>
      <c r="J19" s="66" t="n"/>
      <c r="K19" s="66" t="n"/>
      <c r="L19" s="66" t="n"/>
      <c r="M19" s="66" t="n"/>
      <c r="N19" s="66" t="n"/>
      <c r="O19" s="66" t="n"/>
      <c r="P19" s="66" t="n"/>
      <c r="Q19" s="66" t="n"/>
      <c r="R19" s="66" t="n"/>
      <c r="S19" s="66" t="n"/>
      <c r="T19" s="66" t="n"/>
      <c r="U19" s="66" t="n"/>
      <c r="V19" s="66" t="n"/>
    </row>
    <row r="20">
      <c r="A20" s="66" t="n"/>
      <c r="B20" s="66" t="n"/>
      <c r="C20" s="66" t="n"/>
      <c r="D20" s="73" t="n"/>
      <c r="E20" s="73" t="n"/>
      <c r="F20" s="73" t="n"/>
      <c r="G20" s="66" t="n"/>
      <c r="H20" s="66" t="n"/>
      <c r="I20" s="66" t="n"/>
      <c r="J20" s="66" t="n"/>
      <c r="K20" s="66" t="n"/>
      <c r="L20" s="66" t="n"/>
      <c r="M20" s="66" t="n"/>
      <c r="N20" s="66" t="n"/>
      <c r="O20" s="66" t="n"/>
      <c r="P20" s="66" t="n"/>
      <c r="Q20" s="66" t="n"/>
      <c r="R20" s="66" t="n"/>
      <c r="S20" s="66" t="n"/>
      <c r="T20" s="66" t="n"/>
      <c r="U20" s="66" t="n"/>
      <c r="V20" s="66" t="n"/>
    </row>
    <row r="21">
      <c r="A21" s="66" t="n"/>
      <c r="B21" s="66" t="n"/>
      <c r="C21" s="66" t="n"/>
      <c r="D21" s="73" t="n"/>
      <c r="E21" s="73" t="n"/>
      <c r="F21" s="73" t="n"/>
      <c r="G21" s="66" t="n"/>
      <c r="H21" s="66" t="n"/>
      <c r="I21" s="66" t="n"/>
      <c r="J21" s="66" t="n"/>
      <c r="K21" s="66" t="n"/>
      <c r="L21" s="66" t="n"/>
      <c r="M21" s="66" t="n"/>
      <c r="N21" s="66" t="n"/>
      <c r="O21" s="66" t="n"/>
      <c r="P21" s="66" t="n"/>
      <c r="Q21" s="66" t="n"/>
      <c r="R21" s="66" t="n"/>
      <c r="S21" s="66" t="n"/>
      <c r="T21" s="66" t="n"/>
      <c r="U21" s="66" t="n"/>
      <c r="V21" s="66" t="n"/>
    </row>
    <row r="22">
      <c r="A22" s="66" t="n"/>
      <c r="B22" s="66" t="n"/>
      <c r="C22" s="66" t="n"/>
      <c r="D22" s="73" t="n"/>
      <c r="E22" s="73" t="n"/>
      <c r="F22" s="73" t="n"/>
      <c r="G22" s="66" t="n"/>
      <c r="H22" s="66" t="n"/>
      <c r="I22" s="66" t="n"/>
      <c r="J22" s="66" t="n"/>
      <c r="K22" s="66" t="n"/>
      <c r="L22" s="66" t="n"/>
      <c r="M22" s="66" t="n"/>
      <c r="N22" s="66" t="n"/>
      <c r="O22" s="66" t="n"/>
      <c r="P22" s="66" t="n"/>
      <c r="Q22" s="66" t="n"/>
      <c r="R22" s="66" t="n"/>
      <c r="S22" s="66" t="n"/>
      <c r="T22" s="66" t="n"/>
      <c r="U22" s="66" t="n"/>
      <c r="V22" s="66" t="n"/>
    </row>
    <row r="23">
      <c r="A23" s="66" t="n"/>
      <c r="B23" s="66" t="n"/>
      <c r="C23" s="66" t="n"/>
      <c r="D23" s="73" t="n"/>
      <c r="E23" s="73" t="n"/>
      <c r="F23" s="73" t="n"/>
      <c r="G23" s="66" t="n"/>
      <c r="H23" s="66" t="n"/>
      <c r="I23" s="66" t="n"/>
      <c r="J23" s="66" t="n"/>
      <c r="K23" s="66" t="n"/>
      <c r="L23" s="66" t="n"/>
      <c r="M23" s="66" t="n"/>
      <c r="N23" s="66" t="n"/>
      <c r="O23" s="66" t="n"/>
      <c r="P23" s="66" t="n"/>
      <c r="Q23" s="66" t="n"/>
      <c r="R23" s="66" t="n"/>
      <c r="S23" s="66" t="n"/>
      <c r="T23" s="66" t="n"/>
      <c r="U23" s="66" t="n"/>
      <c r="V23" s="66" t="n"/>
    </row>
    <row r="24">
      <c r="A24" s="66" t="n"/>
      <c r="B24" s="66" t="n"/>
      <c r="C24" s="66" t="n"/>
      <c r="D24" s="73" t="n"/>
      <c r="E24" s="73" t="n"/>
      <c r="F24" s="73" t="n"/>
      <c r="G24" s="66" t="n"/>
      <c r="H24" s="66" t="n"/>
      <c r="I24" s="66" t="n"/>
      <c r="J24" s="66" t="n"/>
      <c r="K24" s="66" t="n"/>
      <c r="L24" s="66" t="n"/>
      <c r="M24" s="66" t="n"/>
      <c r="N24" s="66" t="n"/>
      <c r="O24" s="66" t="n"/>
      <c r="P24" s="66" t="n"/>
      <c r="Q24" s="66" t="n"/>
      <c r="R24" s="66" t="n"/>
      <c r="S24" s="66" t="n"/>
      <c r="T24" s="66" t="n"/>
      <c r="U24" s="66" t="n"/>
      <c r="V24" s="66" t="n"/>
    </row>
    <row r="25">
      <c r="A25" s="66" t="n"/>
      <c r="B25" s="66" t="n"/>
      <c r="C25" s="66" t="n"/>
      <c r="D25" s="73" t="n"/>
      <c r="E25" s="73" t="n"/>
      <c r="F25" s="73" t="n"/>
      <c r="G25" s="66" t="n"/>
      <c r="H25" s="66" t="n"/>
      <c r="I25" s="66" t="n"/>
      <c r="J25" s="66" t="n"/>
      <c r="K25" s="66" t="n"/>
      <c r="L25" s="66" t="n"/>
      <c r="M25" s="66" t="n"/>
      <c r="N25" s="66" t="n"/>
      <c r="O25" s="66" t="n"/>
      <c r="P25" s="66" t="n"/>
      <c r="Q25" s="66" t="n"/>
      <c r="R25" s="66" t="n"/>
      <c r="S25" s="66" t="n"/>
      <c r="T25" s="66" t="n"/>
      <c r="U25" s="66" t="n"/>
      <c r="V25" s="66" t="n"/>
    </row>
    <row r="26">
      <c r="A26" s="66" t="n"/>
      <c r="B26" s="66" t="n"/>
      <c r="C26" s="66" t="n"/>
      <c r="D26" s="73" t="n"/>
      <c r="E26" s="73" t="n"/>
      <c r="F26" s="73" t="n"/>
      <c r="G26" s="66" t="n"/>
      <c r="H26" s="66" t="n"/>
      <c r="I26" s="66" t="n"/>
      <c r="J26" s="66" t="n"/>
      <c r="K26" s="66" t="n"/>
      <c r="L26" s="66" t="n"/>
      <c r="M26" s="66" t="n"/>
      <c r="N26" s="66" t="n"/>
      <c r="O26" s="66" t="n"/>
      <c r="P26" s="66" t="n"/>
      <c r="Q26" s="66" t="n"/>
      <c r="R26" s="66" t="n"/>
      <c r="S26" s="66" t="n"/>
      <c r="T26" s="66" t="n"/>
      <c r="U26" s="66" t="n"/>
      <c r="V26" s="66" t="n"/>
    </row>
    <row r="27">
      <c r="A27" s="66" t="n"/>
      <c r="B27" s="66" t="n"/>
      <c r="C27" s="66" t="n"/>
      <c r="D27" s="73" t="n"/>
      <c r="E27" s="73" t="n"/>
      <c r="F27" s="73" t="n"/>
      <c r="G27" s="66" t="n"/>
      <c r="H27" s="66" t="n"/>
      <c r="I27" s="66" t="n"/>
      <c r="J27" s="66" t="n"/>
      <c r="K27" s="66" t="n"/>
      <c r="L27" s="66" t="n"/>
      <c r="M27" s="66" t="n"/>
      <c r="N27" s="66" t="n"/>
      <c r="O27" s="66" t="n"/>
      <c r="P27" s="66" t="n"/>
      <c r="Q27" s="66" t="n"/>
      <c r="R27" s="66" t="n"/>
      <c r="S27" s="66" t="n"/>
      <c r="T27" s="66" t="n"/>
      <c r="U27" s="66" t="n"/>
      <c r="V27" s="66" t="n"/>
    </row>
    <row r="28">
      <c r="A28" s="66" t="n"/>
      <c r="B28" s="66" t="n"/>
      <c r="C28" s="66" t="n"/>
      <c r="D28" s="73" t="n"/>
      <c r="E28" s="73" t="n"/>
      <c r="F28" s="73" t="n"/>
      <c r="G28" s="66" t="n"/>
      <c r="H28" s="66" t="n"/>
      <c r="I28" s="66" t="n"/>
      <c r="J28" s="66" t="n"/>
      <c r="K28" s="66" t="n"/>
      <c r="L28" s="66" t="n"/>
      <c r="M28" s="66" t="n"/>
      <c r="N28" s="66" t="n"/>
      <c r="O28" s="66" t="n"/>
      <c r="P28" s="66" t="n"/>
      <c r="Q28" s="66" t="n"/>
      <c r="R28" s="66" t="n"/>
      <c r="S28" s="66" t="n"/>
      <c r="T28" s="66" t="n"/>
      <c r="U28" s="66" t="n"/>
      <c r="V28" s="66" t="n"/>
    </row>
    <row r="29">
      <c r="A29" s="66" t="n"/>
      <c r="B29" s="66" t="n"/>
      <c r="C29" s="66" t="n"/>
      <c r="D29" s="73" t="n"/>
      <c r="E29" s="73" t="n"/>
      <c r="F29" s="73" t="n"/>
      <c r="G29" s="66" t="n"/>
      <c r="H29" s="66" t="n"/>
      <c r="I29" s="66" t="n"/>
      <c r="J29" s="66" t="n"/>
      <c r="K29" s="66" t="n"/>
      <c r="L29" s="66" t="n"/>
      <c r="M29" s="66" t="n"/>
      <c r="N29" s="66" t="n"/>
      <c r="O29" s="66" t="n"/>
      <c r="P29" s="66" t="n"/>
      <c r="Q29" s="66" t="n"/>
      <c r="R29" s="66" t="n"/>
      <c r="S29" s="66" t="n"/>
      <c r="T29" s="66" t="n"/>
      <c r="U29" s="66" t="n"/>
      <c r="V29" s="66" t="n"/>
    </row>
    <row r="30">
      <c r="A30" s="66" t="n"/>
      <c r="B30" s="66" t="n"/>
      <c r="C30" s="66" t="n"/>
      <c r="D30" s="73" t="n"/>
      <c r="E30" s="73" t="n"/>
      <c r="F30" s="73" t="n"/>
      <c r="G30" s="66" t="n"/>
      <c r="H30" s="66" t="n"/>
      <c r="I30" s="66" t="n"/>
      <c r="J30" s="66" t="n"/>
      <c r="K30" s="66" t="n"/>
      <c r="L30" s="66" t="n"/>
      <c r="M30" s="66" t="n"/>
      <c r="N30" s="66" t="n"/>
      <c r="O30" s="66" t="n"/>
      <c r="P30" s="66" t="n"/>
      <c r="Q30" s="66" t="n"/>
      <c r="R30" s="66" t="n"/>
      <c r="S30" s="66" t="n"/>
      <c r="T30" s="66" t="n"/>
      <c r="U30" s="66" t="n"/>
      <c r="V30" s="66" t="n"/>
    </row>
    <row r="31">
      <c r="A31" s="66" t="n"/>
      <c r="B31" s="66" t="n"/>
      <c r="C31" s="66" t="n"/>
      <c r="D31" s="73" t="n"/>
      <c r="E31" s="73" t="n"/>
      <c r="F31" s="73" t="n"/>
      <c r="G31" s="66" t="n"/>
      <c r="H31" s="66" t="n"/>
      <c r="I31" s="66" t="n"/>
      <c r="J31" s="66" t="n"/>
      <c r="K31" s="66" t="n"/>
      <c r="L31" s="66" t="n"/>
      <c r="M31" s="66" t="n"/>
      <c r="N31" s="66" t="n"/>
      <c r="O31" s="66" t="n"/>
      <c r="P31" s="66" t="n"/>
      <c r="Q31" s="66" t="n"/>
      <c r="R31" s="66" t="n"/>
      <c r="S31" s="66" t="n"/>
      <c r="T31" s="66" t="n"/>
      <c r="U31" s="66" t="n"/>
      <c r="V31" s="66" t="n"/>
    </row>
    <row r="32">
      <c r="A32" s="66" t="n"/>
      <c r="B32" s="66" t="n"/>
      <c r="C32" s="66" t="n"/>
      <c r="D32" s="73" t="n"/>
      <c r="E32" s="73" t="n"/>
      <c r="F32" s="73" t="n"/>
      <c r="G32" s="66" t="n"/>
      <c r="H32" s="66" t="n"/>
      <c r="I32" s="66" t="n"/>
      <c r="J32" s="66" t="n"/>
      <c r="K32" s="66" t="n"/>
      <c r="L32" s="66" t="n"/>
      <c r="M32" s="66" t="n"/>
      <c r="N32" s="66" t="n"/>
      <c r="O32" s="66" t="n"/>
      <c r="P32" s="66" t="n"/>
      <c r="Q32" s="66" t="n"/>
      <c r="R32" s="66" t="n"/>
      <c r="S32" s="66" t="n"/>
      <c r="T32" s="66" t="n"/>
      <c r="U32" s="66" t="n"/>
      <c r="V32" s="66" t="n"/>
    </row>
    <row r="33">
      <c r="A33" s="66" t="n"/>
      <c r="B33" s="66" t="n"/>
      <c r="C33" s="66" t="n"/>
      <c r="D33" s="73" t="n"/>
      <c r="E33" s="73" t="n"/>
      <c r="F33" s="73" t="n"/>
      <c r="G33" s="66" t="n"/>
      <c r="H33" s="66" t="n"/>
      <c r="I33" s="66" t="n"/>
      <c r="J33" s="66" t="n"/>
      <c r="K33" s="66" t="n"/>
      <c r="L33" s="66" t="n"/>
      <c r="M33" s="66" t="n"/>
      <c r="N33" s="66" t="n"/>
      <c r="O33" s="66" t="n"/>
      <c r="P33" s="66" t="n"/>
      <c r="Q33" s="66" t="n"/>
      <c r="R33" s="66" t="n"/>
      <c r="S33" s="66" t="n"/>
      <c r="T33" s="66" t="n"/>
      <c r="U33" s="66" t="n"/>
      <c r="V33" s="66" t="n"/>
    </row>
    <row r="34">
      <c r="A34" s="66" t="n"/>
      <c r="B34" s="66" t="n"/>
      <c r="C34" s="66" t="n"/>
      <c r="D34" s="73" t="n"/>
      <c r="E34" s="73" t="n"/>
      <c r="F34" s="73" t="n"/>
      <c r="G34" s="66" t="n"/>
      <c r="H34" s="66" t="n"/>
      <c r="I34" s="66" t="n"/>
      <c r="J34" s="66" t="n"/>
      <c r="K34" s="66" t="n"/>
      <c r="L34" s="66" t="n"/>
      <c r="M34" s="66" t="n"/>
      <c r="N34" s="66" t="n"/>
      <c r="O34" s="66" t="n"/>
      <c r="P34" s="66" t="n"/>
      <c r="Q34" s="66" t="n"/>
      <c r="R34" s="66" t="n"/>
      <c r="S34" s="66" t="n"/>
      <c r="T34" s="66" t="n"/>
      <c r="U34" s="66" t="n"/>
      <c r="V34" s="66" t="n"/>
    </row>
    <row r="35">
      <c r="A35" s="66" t="n"/>
      <c r="B35" s="66" t="n"/>
      <c r="C35" s="66" t="n"/>
      <c r="D35" s="73" t="n"/>
      <c r="E35" s="73" t="n"/>
      <c r="F35" s="73" t="n"/>
      <c r="G35" s="66" t="n"/>
      <c r="H35" s="66" t="n"/>
      <c r="I35" s="66" t="n"/>
      <c r="J35" s="66" t="n"/>
      <c r="K35" s="66" t="n"/>
      <c r="L35" s="66" t="n"/>
      <c r="M35" s="66" t="n"/>
      <c r="N35" s="66" t="n"/>
      <c r="O35" s="66" t="n"/>
      <c r="P35" s="66" t="n"/>
      <c r="Q35" s="66" t="n"/>
      <c r="R35" s="66" t="n"/>
      <c r="S35" s="66" t="n"/>
      <c r="T35" s="66" t="n"/>
      <c r="U35" s="66" t="n"/>
      <c r="V35" s="66" t="n"/>
    </row>
    <row r="36">
      <c r="A36" s="66" t="n"/>
      <c r="B36" s="66" t="n"/>
      <c r="C36" s="66" t="n"/>
      <c r="D36" s="73" t="n"/>
      <c r="E36" s="73" t="n"/>
      <c r="F36" s="73" t="n"/>
      <c r="G36" s="66" t="n"/>
      <c r="H36" s="66" t="n"/>
      <c r="I36" s="66" t="n"/>
      <c r="J36" s="66" t="n"/>
      <c r="K36" s="66" t="n"/>
      <c r="L36" s="66" t="n"/>
      <c r="M36" s="66" t="n"/>
      <c r="N36" s="66" t="n"/>
      <c r="O36" s="66" t="n"/>
      <c r="P36" s="66" t="n"/>
      <c r="Q36" s="66" t="n"/>
      <c r="R36" s="66" t="n"/>
      <c r="S36" s="66" t="n"/>
      <c r="T36" s="66" t="n"/>
      <c r="U36" s="66" t="n"/>
      <c r="V36" s="66" t="n"/>
    </row>
    <row r="37">
      <c r="A37" s="66" t="n"/>
      <c r="B37" s="66" t="n"/>
      <c r="C37" s="66" t="n"/>
      <c r="D37" s="73" t="n"/>
      <c r="E37" s="73" t="n"/>
      <c r="F37" s="73" t="n"/>
      <c r="G37" s="66" t="n"/>
      <c r="H37" s="66" t="n"/>
      <c r="I37" s="66" t="n"/>
      <c r="J37" s="66" t="n"/>
      <c r="K37" s="66" t="n"/>
      <c r="L37" s="66" t="n"/>
      <c r="M37" s="66" t="n"/>
      <c r="N37" s="66" t="n"/>
      <c r="O37" s="66" t="n"/>
      <c r="P37" s="66" t="n"/>
      <c r="Q37" s="66" t="n"/>
      <c r="R37" s="66" t="n"/>
      <c r="S37" s="66" t="n"/>
      <c r="T37" s="66" t="n"/>
      <c r="U37" s="66" t="n"/>
      <c r="V37" s="66" t="n"/>
    </row>
    <row r="38">
      <c r="A38" s="66" t="n"/>
      <c r="B38" s="66" t="n"/>
      <c r="C38" s="66" t="n"/>
      <c r="D38" s="73" t="n"/>
      <c r="E38" s="73" t="n"/>
      <c r="F38" s="73" t="n"/>
      <c r="G38" s="66" t="n"/>
      <c r="H38" s="66" t="n"/>
      <c r="I38" s="66" t="n"/>
      <c r="J38" s="66" t="n"/>
      <c r="K38" s="66" t="n"/>
      <c r="L38" s="66" t="n"/>
      <c r="M38" s="66" t="n"/>
      <c r="N38" s="66" t="n"/>
      <c r="O38" s="66" t="n"/>
      <c r="P38" s="66" t="n"/>
      <c r="Q38" s="66" t="n"/>
      <c r="R38" s="66" t="n"/>
      <c r="S38" s="66" t="n"/>
      <c r="T38" s="66" t="n"/>
      <c r="U38" s="66" t="n"/>
      <c r="V38" s="66" t="n"/>
    </row>
    <row r="39">
      <c r="A39" s="66" t="n"/>
      <c r="B39" s="66" t="n"/>
      <c r="C39" s="66" t="n"/>
      <c r="D39" s="73" t="n"/>
      <c r="E39" s="73" t="n"/>
      <c r="F39" s="73" t="n"/>
      <c r="G39" s="66" t="n"/>
      <c r="H39" s="66" t="n"/>
      <c r="I39" s="66" t="n"/>
      <c r="J39" s="66" t="n"/>
      <c r="K39" s="66" t="n"/>
      <c r="L39" s="66" t="n"/>
      <c r="M39" s="66" t="n"/>
      <c r="N39" s="66" t="n"/>
      <c r="O39" s="66" t="n"/>
      <c r="P39" s="66" t="n"/>
      <c r="Q39" s="66" t="n"/>
      <c r="R39" s="66" t="n"/>
      <c r="S39" s="66" t="n"/>
      <c r="T39" s="66" t="n"/>
      <c r="U39" s="66" t="n"/>
      <c r="V39" s="66" t="n"/>
    </row>
    <row r="40">
      <c r="A40" s="56" t="n"/>
      <c r="B40" s="56" t="n"/>
      <c r="C40" s="56" t="n"/>
      <c r="D40" s="56" t="n"/>
      <c r="E40" s="56" t="n"/>
      <c r="F40" s="56" t="n"/>
      <c r="G40" s="56" t="n"/>
      <c r="H40" s="56" t="n"/>
      <c r="I40" s="56" t="n"/>
      <c r="J40" s="56" t="n"/>
      <c r="K40" s="56" t="n"/>
      <c r="L40" s="56" t="n"/>
      <c r="M40" s="56" t="n"/>
      <c r="N40" s="56" t="n"/>
      <c r="O40" s="56" t="n"/>
      <c r="P40" s="56" t="n"/>
      <c r="Q40" s="56" t="n"/>
      <c r="R40" s="56" t="n"/>
      <c r="S40" s="56" t="n"/>
      <c r="T40" s="56" t="n"/>
      <c r="U40" s="56" t="n"/>
      <c r="V40" s="56" t="n"/>
    </row>
    <row r="41">
      <c r="A41" s="56" t="n"/>
      <c r="B41" s="56" t="n"/>
      <c r="C41" s="56" t="n"/>
      <c r="D41" s="56" t="n"/>
      <c r="E41" s="56" t="n"/>
      <c r="F41" s="56" t="n"/>
      <c r="G41" s="56" t="n"/>
      <c r="H41" s="56" t="n"/>
      <c r="I41" s="56" t="n"/>
      <c r="J41" s="56" t="n"/>
      <c r="K41" s="56" t="n"/>
      <c r="L41" s="56" t="n"/>
      <c r="M41" s="56" t="n"/>
      <c r="N41" s="56" t="n"/>
      <c r="O41" s="56" t="n"/>
      <c r="P41" s="56" t="n"/>
      <c r="Q41" s="56" t="n"/>
      <c r="R41" s="56" t="n"/>
      <c r="S41" s="56" t="n"/>
      <c r="T41" s="56" t="n"/>
      <c r="U41" s="56" t="n"/>
      <c r="V41" s="56" t="n"/>
    </row>
    <row r="42">
      <c r="A42" s="56" t="n"/>
      <c r="B42" s="56" t="n"/>
      <c r="C42" s="56" t="n"/>
      <c r="D42" s="56" t="n"/>
      <c r="E42" s="56" t="n"/>
      <c r="F42" s="56" t="n"/>
      <c r="G42" s="56" t="n"/>
      <c r="H42" s="56" t="n"/>
      <c r="I42" s="56" t="n"/>
      <c r="J42" s="56" t="n"/>
      <c r="K42" s="56" t="n"/>
      <c r="L42" s="56" t="n"/>
      <c r="M42" s="56" t="n"/>
      <c r="N42" s="56" t="n"/>
      <c r="O42" s="56" t="n"/>
      <c r="P42" s="56" t="n"/>
      <c r="Q42" s="56" t="n"/>
      <c r="R42" s="56" t="n"/>
      <c r="S42" s="56" t="n"/>
      <c r="T42" s="56" t="n"/>
      <c r="U42" s="56" t="n"/>
      <c r="V42" s="56" t="n"/>
    </row>
    <row r="43">
      <c r="A43" s="56" t="n"/>
      <c r="B43" s="56" t="n"/>
      <c r="C43" s="56" t="n"/>
      <c r="D43" s="56" t="n"/>
      <c r="E43" s="56" t="n"/>
      <c r="F43" s="56" t="n"/>
      <c r="G43" s="56" t="n"/>
      <c r="H43" s="56" t="n"/>
      <c r="I43" s="56" t="n"/>
      <c r="J43" s="56" t="n"/>
      <c r="K43" s="56" t="n"/>
      <c r="L43" s="56" t="n"/>
      <c r="M43" s="56" t="n"/>
      <c r="N43" s="56" t="n"/>
      <c r="O43" s="56" t="n"/>
      <c r="P43" s="56" t="n"/>
      <c r="Q43" s="56" t="n"/>
      <c r="R43" s="56" t="n"/>
      <c r="S43" s="56" t="n"/>
      <c r="T43" s="56" t="n"/>
      <c r="U43" s="56" t="n"/>
      <c r="V43" s="56" t="n"/>
    </row>
    <row r="44">
      <c r="A44" s="56" t="n"/>
      <c r="B44" s="56" t="n"/>
      <c r="C44" s="56" t="n"/>
      <c r="D44" s="56" t="n"/>
      <c r="E44" s="56" t="n"/>
      <c r="F44" s="56" t="n"/>
      <c r="G44" s="56" t="n"/>
      <c r="H44" s="56" t="n"/>
      <c r="I44" s="56" t="n"/>
      <c r="J44" s="56" t="n"/>
      <c r="K44" s="56" t="n"/>
      <c r="L44" s="56" t="n"/>
      <c r="M44" s="56" t="n"/>
      <c r="N44" s="56" t="n"/>
      <c r="O44" s="56" t="n"/>
      <c r="P44" s="56" t="n"/>
      <c r="Q44" s="56" t="n"/>
      <c r="R44" s="56" t="n"/>
      <c r="S44" s="56" t="n"/>
      <c r="T44" s="56" t="n"/>
      <c r="U44" s="56" t="n"/>
      <c r="V44" s="56" t="n"/>
    </row>
  </sheetData>
  <sheetProtection selectLockedCells="0" selectUnlockedCells="0" sheet="1" objects="0" insertRows="0" insertHyperlinks="0" autoFilter="0" scenarios="1" formatColumns="0" deleteColumns="1" insertColumns="1" pivotTables="1" deleteRows="0" formatCells="0" formatRows="0" sort="0" password="EC7C"/>
  <autoFilter ref="A4:J39"/>
  <mergeCells count="2">
    <mergeCell ref="A2:L2"/>
    <mergeCell ref="A1:L1"/>
  </mergeCells>
  <conditionalFormatting sqref="G5:G39">
    <cfRule type="expression" priority="1" dxfId="0">
      <formula>ISNUMBER(SEARCH("Approved",G5))</formula>
    </cfRule>
    <cfRule type="expression" priority="2" dxfId="0">
      <formula>ISNUMBER(SEARCH("Installed",G5))</formula>
    </cfRule>
    <cfRule type="expression" priority="3" dxfId="0">
      <formula>ISNUMBER(SEARCH("Delivered",G5))</formula>
    </cfRule>
    <cfRule type="expression" priority="4" dxfId="0">
      <formula>ISNUMBER(SEARCH("Complete",G5))</formula>
    </cfRule>
    <cfRule type="expression" priority="5" dxfId="0">
      <formula>ISNUMBER(SEARCH("Completed",G5))</formula>
    </cfRule>
    <cfRule type="expression" priority="6" dxfId="0">
      <formula>ISNUMBER(SEARCH("Paid",G5))</formula>
    </cfRule>
    <cfRule type="expression" priority="7" dxfId="0">
      <formula>ISNUMBER(SEARCH("Good Condition",G5))</formula>
    </cfRule>
    <cfRule type="expression" priority="8" dxfId="0">
      <formula>ISNUMBER(SEARCH("Yes",G5))</formula>
    </cfRule>
    <cfRule type="expression" priority="9" dxfId="1">
      <formula>ISNUMBER(SEARCH("Pending",G5))</formula>
    </cfRule>
    <cfRule type="expression" priority="10" dxfId="1">
      <formula>ISNUMBER(SEARCH("In Progress",G5))</formula>
    </cfRule>
    <cfRule type="expression" priority="11" dxfId="1">
      <formula>ISNUMBER(SEARCH("Sent",G5))</formula>
    </cfRule>
    <cfRule type="expression" priority="12" dxfId="1">
      <formula>ISNUMBER(SEARCH("Client Review",G5))</formula>
    </cfRule>
    <cfRule type="expression" priority="13" dxfId="1">
      <formula>ISNUMBER(SEARCH("Ordered",G5))</formula>
    </cfRule>
    <cfRule type="expression" priority="14" dxfId="1">
      <formula>ISNUMBER(SEARCH("Shipped",G5))</formula>
    </cfRule>
    <cfRule type="expression" priority="15" dxfId="1">
      <formula>ISNUMBER(SEARCH("Scheduled",G5))</formula>
    </cfRule>
    <cfRule type="expression" priority="16" dxfId="1">
      <formula>ISNUMBER(SEARCH("Partially Paid",G5))</formula>
    </cfRule>
    <cfRule type="expression" priority="17" dxfId="1">
      <formula>ISNUMBER(SEARCH("Waiting on Client",G5))</formula>
    </cfRule>
    <cfRule type="expression" priority="18" dxfId="1">
      <formula>ISNUMBER(SEARCH("Waiting on Vendor",G5))</formula>
    </cfRule>
    <cfRule type="expression" priority="19" dxfId="1">
      <formula>ISNUMBER(SEARCH("Sourcing",G5))</formula>
    </cfRule>
    <cfRule type="expression" priority="20" dxfId="1">
      <formula>ISNUMBER(SEARCH("Option Selected",G5))</formula>
    </cfRule>
    <cfRule type="expression" priority="21" dxfId="1">
      <formula>ISNUMBER(SEARCH("Confirmed",G5))</formula>
    </cfRule>
    <cfRule type="expression" priority="22" dxfId="1">
      <formula>ISNUMBER(SEARCH("In Production",G5))</formula>
    </cfRule>
    <cfRule type="expression" priority="23" dxfId="1">
      <formula>ISNUMBER(SEARCH("In Transit",G5))</formula>
    </cfRule>
    <cfRule type="expression" priority="24" dxfId="1">
      <formula>ISNUMBER(SEARCH("Not Checked",G5))</formula>
    </cfRule>
    <cfRule type="expression" priority="25" dxfId="2">
      <formula>ISNUMBER(SEARCH("Overdue",G5))</formula>
    </cfRule>
    <cfRule type="expression" priority="26" dxfId="2">
      <formula>ISNUMBER(SEARCH("Delayed",G5))</formula>
    </cfRule>
    <cfRule type="expression" priority="27" dxfId="2">
      <formula>ISNUMBER(SEARCH("Rejected",G5))</formula>
    </cfRule>
    <cfRule type="expression" priority="28" dxfId="2">
      <formula>ISNUMBER(SEARCH("Damaged",G5))</formula>
    </cfRule>
    <cfRule type="expression" priority="29" dxfId="2">
      <formula>ISNUMBER(SEARCH("Missing Item",G5))</formula>
    </cfRule>
    <cfRule type="expression" priority="30" dxfId="2">
      <formula>ISNUMBER(SEARCH("Wrong Item",G5))</formula>
    </cfRule>
    <cfRule type="expression" priority="31" dxfId="2">
      <formula>ISNUMBER(SEARCH("Backordered",G5))</formula>
    </cfRule>
    <cfRule type="expression" priority="32" dxfId="2">
      <formula>ISNUMBER(SEARCH("Urgent",G5))</formula>
    </cfRule>
    <cfRule type="expression" priority="33" dxfId="3">
      <formula>ISNUMBER(SEARCH("Cancelled",G5))</formula>
    </cfRule>
    <cfRule type="expression" priority="34" dxfId="3">
      <formula>ISNUMBER(SEARCH("On Hold",G5))</formula>
    </cfRule>
    <cfRule type="expression" priority="35" dxfId="3">
      <formula>ISNUMBER(SEARCH("Not Started",G5))</formula>
    </cfRule>
    <cfRule type="expression" priority="36" dxfId="3">
      <formula>ISNUMBER(SEARCH("Not Sent",G5))</formula>
    </cfRule>
    <cfRule type="expression" priority="37" dxfId="3">
      <formula>ISNUMBER(SEARCH("Draft",G5))</formula>
    </cfRule>
    <cfRule type="expression" priority="38" dxfId="3">
      <formula>ISNUMBER(SEARCH("Not Ordered",G5))</formula>
    </cfRule>
  </conditionalFormatting>
  <conditionalFormatting sqref="H5:H39">
    <cfRule type="expression" priority="39" dxfId="0">
      <formula>ISNUMBER(SEARCH("Approved",H5))</formula>
    </cfRule>
    <cfRule type="expression" priority="40" dxfId="0">
      <formula>ISNUMBER(SEARCH("Installed",H5))</formula>
    </cfRule>
    <cfRule type="expression" priority="41" dxfId="0">
      <formula>ISNUMBER(SEARCH("Delivered",H5))</formula>
    </cfRule>
    <cfRule type="expression" priority="42" dxfId="0">
      <formula>ISNUMBER(SEARCH("Complete",H5))</formula>
    </cfRule>
    <cfRule type="expression" priority="43" dxfId="0">
      <formula>ISNUMBER(SEARCH("Completed",H5))</formula>
    </cfRule>
    <cfRule type="expression" priority="44" dxfId="0">
      <formula>ISNUMBER(SEARCH("Paid",H5))</formula>
    </cfRule>
    <cfRule type="expression" priority="45" dxfId="0">
      <formula>ISNUMBER(SEARCH("Good Condition",H5))</formula>
    </cfRule>
    <cfRule type="expression" priority="46" dxfId="0">
      <formula>ISNUMBER(SEARCH("Yes",H5))</formula>
    </cfRule>
    <cfRule type="expression" priority="47" dxfId="1">
      <formula>ISNUMBER(SEARCH("Pending",H5))</formula>
    </cfRule>
    <cfRule type="expression" priority="48" dxfId="1">
      <formula>ISNUMBER(SEARCH("In Progress",H5))</formula>
    </cfRule>
    <cfRule type="expression" priority="49" dxfId="1">
      <formula>ISNUMBER(SEARCH("Sent",H5))</formula>
    </cfRule>
    <cfRule type="expression" priority="50" dxfId="1">
      <formula>ISNUMBER(SEARCH("Client Review",H5))</formula>
    </cfRule>
    <cfRule type="expression" priority="51" dxfId="1">
      <formula>ISNUMBER(SEARCH("Ordered",H5))</formula>
    </cfRule>
    <cfRule type="expression" priority="52" dxfId="1">
      <formula>ISNUMBER(SEARCH("Shipped",H5))</formula>
    </cfRule>
    <cfRule type="expression" priority="53" dxfId="1">
      <formula>ISNUMBER(SEARCH("Scheduled",H5))</formula>
    </cfRule>
    <cfRule type="expression" priority="54" dxfId="1">
      <formula>ISNUMBER(SEARCH("Partially Paid",H5))</formula>
    </cfRule>
    <cfRule type="expression" priority="55" dxfId="1">
      <formula>ISNUMBER(SEARCH("Waiting on Client",H5))</formula>
    </cfRule>
    <cfRule type="expression" priority="56" dxfId="1">
      <formula>ISNUMBER(SEARCH("Waiting on Vendor",H5))</formula>
    </cfRule>
    <cfRule type="expression" priority="57" dxfId="1">
      <formula>ISNUMBER(SEARCH("Sourcing",H5))</formula>
    </cfRule>
    <cfRule type="expression" priority="58" dxfId="1">
      <formula>ISNUMBER(SEARCH("Option Selected",H5))</formula>
    </cfRule>
    <cfRule type="expression" priority="59" dxfId="1">
      <formula>ISNUMBER(SEARCH("Confirmed",H5))</formula>
    </cfRule>
    <cfRule type="expression" priority="60" dxfId="1">
      <formula>ISNUMBER(SEARCH("In Production",H5))</formula>
    </cfRule>
    <cfRule type="expression" priority="61" dxfId="1">
      <formula>ISNUMBER(SEARCH("In Transit",H5))</formula>
    </cfRule>
    <cfRule type="expression" priority="62" dxfId="1">
      <formula>ISNUMBER(SEARCH("Not Checked",H5))</formula>
    </cfRule>
    <cfRule type="expression" priority="63" dxfId="2">
      <formula>ISNUMBER(SEARCH("Overdue",H5))</formula>
    </cfRule>
    <cfRule type="expression" priority="64" dxfId="2">
      <formula>ISNUMBER(SEARCH("Delayed",H5))</formula>
    </cfRule>
    <cfRule type="expression" priority="65" dxfId="2">
      <formula>ISNUMBER(SEARCH("Rejected",H5))</formula>
    </cfRule>
    <cfRule type="expression" priority="66" dxfId="2">
      <formula>ISNUMBER(SEARCH("Damaged",H5))</formula>
    </cfRule>
    <cfRule type="expression" priority="67" dxfId="2">
      <formula>ISNUMBER(SEARCH("Missing Item",H5))</formula>
    </cfRule>
    <cfRule type="expression" priority="68" dxfId="2">
      <formula>ISNUMBER(SEARCH("Wrong Item",H5))</formula>
    </cfRule>
    <cfRule type="expression" priority="69" dxfId="2">
      <formula>ISNUMBER(SEARCH("Backordered",H5))</formula>
    </cfRule>
    <cfRule type="expression" priority="70" dxfId="2">
      <formula>ISNUMBER(SEARCH("Urgent",H5))</formula>
    </cfRule>
    <cfRule type="expression" priority="71" dxfId="3">
      <formula>ISNUMBER(SEARCH("Cancelled",H5))</formula>
    </cfRule>
    <cfRule type="expression" priority="72" dxfId="3">
      <formula>ISNUMBER(SEARCH("On Hold",H5))</formula>
    </cfRule>
    <cfRule type="expression" priority="73" dxfId="3">
      <formula>ISNUMBER(SEARCH("Not Started",H5))</formula>
    </cfRule>
    <cfRule type="expression" priority="74" dxfId="3">
      <formula>ISNUMBER(SEARCH("Not Sent",H5))</formula>
    </cfRule>
    <cfRule type="expression" priority="75" dxfId="3">
      <formula>ISNUMBER(SEARCH("Draft",H5))</formula>
    </cfRule>
    <cfRule type="expression" priority="76" dxfId="3">
      <formula>ISNUMBER(SEARCH("Not Ordered",H5))</formula>
    </cfRule>
  </conditionalFormatting>
  <dataValidations count="3">
    <dataValidation sqref="A5:A39" showDropDown="0" showInputMessage="1" showErrorMessage="1" allowBlank="1" errorTitle="Invalid Entry" error="Please select a value from the dropdown list." promptTitle="Select" prompt="Choose from the list" type="list">
      <formula1>"Consultation,Measurements,Concept Design,Sourcing,Client Approval,Purchasing,Construction,Delivery,Installation,Styling,Final Reveal,Punch List"</formula1>
    </dataValidation>
    <dataValidation sqref="G5:G39" showDropDown="0" showInputMessage="1" showErrorMessage="1" allowBlank="1" errorTitle="Invalid Entry" error="Please select a value from the dropdown list." promptTitle="Select" prompt="Choose from the list" type="list">
      <formula1>"Not Started,In Progress,Waiting on Client,Waiting on Vendor,Complete,Delayed"</formula1>
    </dataValidation>
    <dataValidation sqref="H5:H39" showDropDown="0" showInputMessage="1" showErrorMessage="1" allowBlank="1" errorTitle="Invalid Entry" error="Please select a value from the dropdown list." promptTitle="Select" prompt="Choose from the list" type="list">
      <formula1>"Low,Medium,High,Urgent"</formula1>
    </dataValidation>
  </dataValidations>
  <pageMargins left="0.5" right="0.5" top="0.6" bottom="0.6" header="0.5" footer="0.5"/>
  <headerFooter>
    <oddHeader/>
    <oddFooter>&amp;C&amp;"Calibri"&amp;8 &amp;"Calibri"&amp;8Novality store  ·  Interior Design FF&amp;E Tracker  ·  Page &amp;P of &amp;N</oddFooter>
    <evenHeader/>
    <evenFooter/>
    <firstHeader/>
    <firstFooter/>
  </headerFooter>
</worksheet>
</file>

<file path=xl/worksheets/sheet17.xml><?xml version="1.0" encoding="utf-8"?>
<worksheet xmlns="http://schemas.openxmlformats.org/spreadsheetml/2006/main">
  <sheetPr>
    <tabColor rgb="00B84A6A"/>
    <outlinePr summaryBelow="1" summaryRight="1"/>
    <pageSetUpPr/>
  </sheetPr>
  <dimension ref="A1:H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6" customWidth="1" min="1" max="1"/>
    <col width="16" customWidth="1" min="2" max="2"/>
    <col width="14" customWidth="1" min="3" max="3"/>
    <col width="14" customWidth="1" min="4" max="4"/>
    <col width="12" customWidth="1" min="5" max="5"/>
    <col width="12" customWidth="1" min="6" max="6"/>
    <col width="16" customWidth="1" min="7" max="7"/>
    <col width="32" customWidth="1" min="8" max="8"/>
  </cols>
  <sheetData>
    <row r="1" ht="38" customHeight="1">
      <c r="A1" s="51" t="inlineStr">
        <is>
          <t>TASK &amp; TO-DO LIST</t>
        </is>
      </c>
      <c r="B1" s="52" t="n"/>
      <c r="C1" s="52" t="n"/>
      <c r="D1" s="52" t="n"/>
      <c r="E1" s="52" t="n"/>
      <c r="F1" s="52" t="n"/>
      <c r="G1" s="52" t="n"/>
      <c r="H1" s="52" t="n"/>
    </row>
    <row r="2" ht="18" customHeight="1">
      <c r="A2" s="53" t="inlineStr">
        <is>
          <t>Daily working list for the design team  ·  Novality store</t>
        </is>
      </c>
      <c r="B2" s="5" t="n"/>
      <c r="C2" s="5" t="n"/>
      <c r="D2" s="5" t="n"/>
      <c r="E2" s="5" t="n"/>
      <c r="F2" s="5" t="n"/>
      <c r="G2" s="5" t="n"/>
      <c r="H2" s="5" t="n"/>
    </row>
    <row r="3"/>
    <row r="4" ht="34" customHeight="1">
      <c r="A4" s="65" t="inlineStr">
        <is>
          <t>Task</t>
        </is>
      </c>
      <c r="B4" s="65" t="inlineStr">
        <is>
          <t>Room</t>
        </is>
      </c>
      <c r="C4" s="65" t="inlineStr">
        <is>
          <t>Category</t>
        </is>
      </c>
      <c r="D4" s="65" t="inlineStr">
        <is>
          <t>Assigned To</t>
        </is>
      </c>
      <c r="E4" s="65" t="inlineStr">
        <is>
          <t>Priority</t>
        </is>
      </c>
      <c r="F4" s="65" t="inlineStr">
        <is>
          <t>Due Date</t>
        </is>
      </c>
      <c r="G4" s="65" t="inlineStr">
        <is>
          <t>Status</t>
        </is>
      </c>
      <c r="H4" s="65" t="inlineStr">
        <is>
          <t>Notes</t>
        </is>
      </c>
    </row>
    <row r="5">
      <c r="A5" s="66" t="inlineStr">
        <is>
          <t>Email client fabric photos for primary bed</t>
        </is>
      </c>
      <c r="B5" s="66" t="inlineStr">
        <is>
          <t>Master Bedroom</t>
        </is>
      </c>
      <c r="C5" s="66" t="inlineStr">
        <is>
          <t>Client</t>
        </is>
      </c>
      <c r="D5" s="66" t="inlineStr">
        <is>
          <t>Jordan Blake</t>
        </is>
      </c>
      <c r="E5" s="67" t="inlineStr">
        <is>
          <t>High</t>
        </is>
      </c>
      <c r="F5" s="73" t="n">
        <v>46124</v>
      </c>
      <c r="G5" s="67" t="inlineStr">
        <is>
          <t>In Progress</t>
        </is>
      </c>
      <c r="H5" s="66" t="inlineStr"/>
    </row>
    <row r="6">
      <c r="A6" s="66" t="inlineStr">
        <is>
          <t>Confirm Wolf range rough-in dimensions with GC</t>
        </is>
      </c>
      <c r="B6" s="66" t="inlineStr">
        <is>
          <t>Kitchen</t>
        </is>
      </c>
      <c r="C6" s="66" t="inlineStr">
        <is>
          <t>Site</t>
        </is>
      </c>
      <c r="D6" s="66" t="inlineStr">
        <is>
          <t>Studio Team</t>
        </is>
      </c>
      <c r="E6" s="67" t="inlineStr">
        <is>
          <t>Urgent</t>
        </is>
      </c>
      <c r="F6" s="73" t="n">
        <v>46122</v>
      </c>
      <c r="G6" s="67" t="inlineStr">
        <is>
          <t>Waiting on Vendor</t>
        </is>
      </c>
      <c r="H6" s="66" t="inlineStr">
        <is>
          <t>Need GC response</t>
        </is>
      </c>
    </row>
    <row r="7">
      <c r="A7" s="66" t="inlineStr">
        <is>
          <t>Order rug pad for living room</t>
        </is>
      </c>
      <c r="B7" s="66" t="inlineStr">
        <is>
          <t>Living Room</t>
        </is>
      </c>
      <c r="C7" s="66" t="inlineStr">
        <is>
          <t>Purchasing</t>
        </is>
      </c>
      <c r="D7" s="66" t="inlineStr">
        <is>
          <t>Studio Team</t>
        </is>
      </c>
      <c r="E7" s="67" t="inlineStr">
        <is>
          <t>Medium</t>
        </is>
      </c>
      <c r="F7" s="73" t="n">
        <v>46127</v>
      </c>
      <c r="G7" s="67" t="inlineStr">
        <is>
          <t>Not Started</t>
        </is>
      </c>
      <c r="H7" s="66" t="inlineStr"/>
    </row>
    <row r="8">
      <c r="A8" s="66" t="inlineStr">
        <is>
          <t>Schedule elevator for sofa delivery</t>
        </is>
      </c>
      <c r="B8" s="66" t="inlineStr">
        <is>
          <t>Living Room</t>
        </is>
      </c>
      <c r="C8" s="66" t="inlineStr">
        <is>
          <t>Installation</t>
        </is>
      </c>
      <c r="D8" s="66" t="inlineStr">
        <is>
          <t>Jordan Blake</t>
        </is>
      </c>
      <c r="E8" s="67" t="inlineStr">
        <is>
          <t>High</t>
        </is>
      </c>
      <c r="F8" s="73" t="n">
        <v>46152</v>
      </c>
      <c r="G8" s="67" t="inlineStr">
        <is>
          <t>Not Started</t>
        </is>
      </c>
      <c r="H8" s="66" t="inlineStr">
        <is>
          <t>Building mgmt 48h notice</t>
        </is>
      </c>
    </row>
    <row r="9">
      <c r="A9" s="66" t="inlineStr">
        <is>
          <t>Update budget actuals after West Elm invoice</t>
        </is>
      </c>
      <c r="B9" s="66" t="inlineStr">
        <is>
          <t>—</t>
        </is>
      </c>
      <c r="C9" s="66" t="inlineStr">
        <is>
          <t>Admin</t>
        </is>
      </c>
      <c r="D9" s="66" t="inlineStr">
        <is>
          <t>Studio Team</t>
        </is>
      </c>
      <c r="E9" s="67" t="inlineStr">
        <is>
          <t>Medium</t>
        </is>
      </c>
      <c r="F9" s="73" t="n">
        <v>46120</v>
      </c>
      <c r="G9" s="67" t="inlineStr">
        <is>
          <t>Complete</t>
        </is>
      </c>
      <c r="H9" s="66" t="inlineStr"/>
    </row>
    <row r="10">
      <c r="A10" s="66" t="inlineStr">
        <is>
          <t>Request trade quote Four Hands dining chairs</t>
        </is>
      </c>
      <c r="B10" s="66" t="inlineStr">
        <is>
          <t>Dining Room</t>
        </is>
      </c>
      <c r="C10" s="66" t="inlineStr">
        <is>
          <t>Sourcing</t>
        </is>
      </c>
      <c r="D10" s="66" t="inlineStr">
        <is>
          <t>Studio Team</t>
        </is>
      </c>
      <c r="E10" s="67" t="inlineStr">
        <is>
          <t>High</t>
        </is>
      </c>
      <c r="F10" s="73" t="n">
        <v>46126</v>
      </c>
      <c r="G10" s="67" t="inlineStr">
        <is>
          <t>In Progress</t>
        </is>
      </c>
      <c r="H10" s="66" t="inlineStr"/>
    </row>
    <row r="11">
      <c r="A11" s="66" t="inlineStr">
        <is>
          <t>Send dining table options board to client</t>
        </is>
      </c>
      <c r="B11" s="66" t="inlineStr">
        <is>
          <t>Dining Room</t>
        </is>
      </c>
      <c r="C11" s="66" t="inlineStr">
        <is>
          <t>Client</t>
        </is>
      </c>
      <c r="D11" s="66" t="inlineStr">
        <is>
          <t>Jordan Blake</t>
        </is>
      </c>
      <c r="E11" s="67" t="inlineStr">
        <is>
          <t>High</t>
        </is>
      </c>
      <c r="F11" s="73" t="n">
        <v>46123</v>
      </c>
      <c r="G11" s="67" t="inlineStr">
        <is>
          <t>Waiting on Client</t>
        </is>
      </c>
      <c r="H11" s="66" t="inlineStr">
        <is>
          <t>Board sent 4/5</t>
        </is>
      </c>
    </row>
    <row r="12">
      <c r="A12" s="66" t="inlineStr">
        <is>
          <t>Book site visit for powder install</t>
        </is>
      </c>
      <c r="B12" s="66" t="inlineStr">
        <is>
          <t>Powder Room</t>
        </is>
      </c>
      <c r="C12" s="66" t="inlineStr">
        <is>
          <t>Installation</t>
        </is>
      </c>
      <c r="D12" s="66" t="inlineStr">
        <is>
          <t>Studio Team</t>
        </is>
      </c>
      <c r="E12" s="67" t="inlineStr">
        <is>
          <t>Medium</t>
        </is>
      </c>
      <c r="F12" s="73" t="n">
        <v>46132</v>
      </c>
      <c r="G12" s="67" t="inlineStr">
        <is>
          <t>Not Started</t>
        </is>
      </c>
      <c r="H12" s="66" t="inlineStr"/>
    </row>
    <row r="13">
      <c r="A13" s="66" t="inlineStr">
        <is>
          <t>Collect paint touch-up kit from BM</t>
        </is>
      </c>
      <c r="B13" s="66" t="inlineStr">
        <is>
          <t>Living Room</t>
        </is>
      </c>
      <c r="C13" s="66" t="inlineStr">
        <is>
          <t>Vendor</t>
        </is>
      </c>
      <c r="D13" s="66" t="inlineStr">
        <is>
          <t>Studio Team</t>
        </is>
      </c>
      <c r="E13" s="67" t="inlineStr">
        <is>
          <t>Low</t>
        </is>
      </c>
      <c r="F13" s="73" t="n">
        <v>46142</v>
      </c>
      <c r="G13" s="67" t="inlineStr">
        <is>
          <t>Not Started</t>
        </is>
      </c>
      <c r="H13" s="66" t="inlineStr"/>
    </row>
    <row r="14">
      <c r="A14" s="66" t="inlineStr">
        <is>
          <t>Review overdue open POs</t>
        </is>
      </c>
      <c r="B14" s="66" t="inlineStr">
        <is>
          <t>—</t>
        </is>
      </c>
      <c r="C14" s="66" t="inlineStr">
        <is>
          <t>Purchasing</t>
        </is>
      </c>
      <c r="D14" s="66" t="inlineStr">
        <is>
          <t>Jordan Blake</t>
        </is>
      </c>
      <c r="E14" s="67" t="inlineStr">
        <is>
          <t>Urgent</t>
        </is>
      </c>
      <c r="F14" s="73" t="n">
        <v>46121</v>
      </c>
      <c r="G14" s="67" t="inlineStr">
        <is>
          <t>Delayed</t>
        </is>
      </c>
      <c r="H14" s="66" t="inlineStr">
        <is>
          <t>Check Visual Comfort</t>
        </is>
      </c>
    </row>
    <row r="15">
      <c r="A15" s="66" t="n"/>
      <c r="B15" s="66" t="n"/>
      <c r="C15" s="66" t="n"/>
      <c r="D15" s="66" t="n"/>
      <c r="E15" s="66" t="n"/>
      <c r="F15" s="73" t="n"/>
      <c r="G15" s="66" t="n"/>
      <c r="H15" s="66" t="n"/>
    </row>
    <row r="16">
      <c r="A16" s="66" t="n"/>
      <c r="B16" s="66" t="n"/>
      <c r="C16" s="66" t="n"/>
      <c r="D16" s="66" t="n"/>
      <c r="E16" s="66" t="n"/>
      <c r="F16" s="73" t="n"/>
      <c r="G16" s="66" t="n"/>
      <c r="H16" s="66" t="n"/>
    </row>
    <row r="17">
      <c r="A17" s="66" t="n"/>
      <c r="B17" s="66" t="n"/>
      <c r="C17" s="66" t="n"/>
      <c r="D17" s="66" t="n"/>
      <c r="E17" s="66" t="n"/>
      <c r="F17" s="73" t="n"/>
      <c r="G17" s="66" t="n"/>
      <c r="H17" s="66" t="n"/>
    </row>
    <row r="18">
      <c r="A18" s="66" t="n"/>
      <c r="B18" s="66" t="n"/>
      <c r="C18" s="66" t="n"/>
      <c r="D18" s="66" t="n"/>
      <c r="E18" s="66" t="n"/>
      <c r="F18" s="73" t="n"/>
      <c r="G18" s="66" t="n"/>
      <c r="H18" s="66" t="n"/>
    </row>
    <row r="19">
      <c r="A19" s="66" t="n"/>
      <c r="B19" s="66" t="n"/>
      <c r="C19" s="66" t="n"/>
      <c r="D19" s="66" t="n"/>
      <c r="E19" s="66" t="n"/>
      <c r="F19" s="73" t="n"/>
      <c r="G19" s="66" t="n"/>
      <c r="H19" s="66" t="n"/>
    </row>
    <row r="20">
      <c r="A20" s="66" t="n"/>
      <c r="B20" s="66" t="n"/>
      <c r="C20" s="66" t="n"/>
      <c r="D20" s="66" t="n"/>
      <c r="E20" s="66" t="n"/>
      <c r="F20" s="73" t="n"/>
      <c r="G20" s="66" t="n"/>
      <c r="H20" s="66" t="n"/>
    </row>
    <row r="21">
      <c r="A21" s="66" t="n"/>
      <c r="B21" s="66" t="n"/>
      <c r="C21" s="66" t="n"/>
      <c r="D21" s="66" t="n"/>
      <c r="E21" s="66" t="n"/>
      <c r="F21" s="73" t="n"/>
      <c r="G21" s="66" t="n"/>
      <c r="H21" s="66" t="n"/>
    </row>
    <row r="22">
      <c r="A22" s="66" t="n"/>
      <c r="B22" s="66" t="n"/>
      <c r="C22" s="66" t="n"/>
      <c r="D22" s="66" t="n"/>
      <c r="E22" s="66" t="n"/>
      <c r="F22" s="73" t="n"/>
      <c r="G22" s="66" t="n"/>
      <c r="H22" s="66" t="n"/>
    </row>
    <row r="23">
      <c r="A23" s="66" t="n"/>
      <c r="B23" s="66" t="n"/>
      <c r="C23" s="66" t="n"/>
      <c r="D23" s="66" t="n"/>
      <c r="E23" s="66" t="n"/>
      <c r="F23" s="73" t="n"/>
      <c r="G23" s="66" t="n"/>
      <c r="H23" s="66" t="n"/>
    </row>
    <row r="24">
      <c r="A24" s="66" t="n"/>
      <c r="B24" s="66" t="n"/>
      <c r="C24" s="66" t="n"/>
      <c r="D24" s="66" t="n"/>
      <c r="E24" s="66" t="n"/>
      <c r="F24" s="73" t="n"/>
      <c r="G24" s="66" t="n"/>
      <c r="H24" s="66" t="n"/>
    </row>
    <row r="25">
      <c r="A25" s="66" t="n"/>
      <c r="B25" s="66" t="n"/>
      <c r="C25" s="66" t="n"/>
      <c r="D25" s="66" t="n"/>
      <c r="E25" s="66" t="n"/>
      <c r="F25" s="73" t="n"/>
      <c r="G25" s="66" t="n"/>
      <c r="H25" s="66" t="n"/>
    </row>
    <row r="26">
      <c r="A26" s="66" t="n"/>
      <c r="B26" s="66" t="n"/>
      <c r="C26" s="66" t="n"/>
      <c r="D26" s="66" t="n"/>
      <c r="E26" s="66" t="n"/>
      <c r="F26" s="73" t="n"/>
      <c r="G26" s="66" t="n"/>
      <c r="H26" s="66" t="n"/>
    </row>
    <row r="27">
      <c r="A27" s="66" t="n"/>
      <c r="B27" s="66" t="n"/>
      <c r="C27" s="66" t="n"/>
      <c r="D27" s="66" t="n"/>
      <c r="E27" s="66" t="n"/>
      <c r="F27" s="73" t="n"/>
      <c r="G27" s="66" t="n"/>
      <c r="H27" s="66" t="n"/>
    </row>
    <row r="28">
      <c r="A28" s="66" t="n"/>
      <c r="B28" s="66" t="n"/>
      <c r="C28" s="66" t="n"/>
      <c r="D28" s="66" t="n"/>
      <c r="E28" s="66" t="n"/>
      <c r="F28" s="73" t="n"/>
      <c r="G28" s="66" t="n"/>
      <c r="H28" s="66" t="n"/>
    </row>
    <row r="29">
      <c r="A29" s="66" t="n"/>
      <c r="B29" s="66" t="n"/>
      <c r="C29" s="66" t="n"/>
      <c r="D29" s="66" t="n"/>
      <c r="E29" s="66" t="n"/>
      <c r="F29" s="73" t="n"/>
      <c r="G29" s="66" t="n"/>
      <c r="H29" s="66" t="n"/>
    </row>
    <row r="30">
      <c r="A30" s="66" t="n"/>
      <c r="B30" s="66" t="n"/>
      <c r="C30" s="66" t="n"/>
      <c r="D30" s="66" t="n"/>
      <c r="E30" s="66" t="n"/>
      <c r="F30" s="73" t="n"/>
      <c r="G30" s="66" t="n"/>
      <c r="H30" s="66" t="n"/>
    </row>
    <row r="31">
      <c r="A31" s="66" t="n"/>
      <c r="B31" s="66" t="n"/>
      <c r="C31" s="66" t="n"/>
      <c r="D31" s="66" t="n"/>
      <c r="E31" s="66" t="n"/>
      <c r="F31" s="73" t="n"/>
      <c r="G31" s="66" t="n"/>
      <c r="H31" s="66" t="n"/>
    </row>
    <row r="32">
      <c r="A32" s="66" t="n"/>
      <c r="B32" s="66" t="n"/>
      <c r="C32" s="66" t="n"/>
      <c r="D32" s="66" t="n"/>
      <c r="E32" s="66" t="n"/>
      <c r="F32" s="73" t="n"/>
      <c r="G32" s="66" t="n"/>
      <c r="H32" s="66" t="n"/>
    </row>
    <row r="33">
      <c r="A33" s="66" t="n"/>
      <c r="B33" s="66" t="n"/>
      <c r="C33" s="66" t="n"/>
      <c r="D33" s="66" t="n"/>
      <c r="E33" s="66" t="n"/>
      <c r="F33" s="73" t="n"/>
      <c r="G33" s="66" t="n"/>
      <c r="H33" s="66" t="n"/>
    </row>
    <row r="34">
      <c r="A34" s="66" t="n"/>
      <c r="B34" s="66" t="n"/>
      <c r="C34" s="66" t="n"/>
      <c r="D34" s="66" t="n"/>
      <c r="E34" s="66" t="n"/>
      <c r="F34" s="73" t="n"/>
      <c r="G34" s="66" t="n"/>
      <c r="H34" s="66" t="n"/>
    </row>
    <row r="35">
      <c r="A35" s="66" t="n"/>
      <c r="B35" s="66" t="n"/>
      <c r="C35" s="66" t="n"/>
      <c r="D35" s="66" t="n"/>
      <c r="E35" s="66" t="n"/>
      <c r="F35" s="73" t="n"/>
      <c r="G35" s="66" t="n"/>
      <c r="H35" s="66" t="n"/>
    </row>
    <row r="36">
      <c r="A36" s="66" t="n"/>
      <c r="B36" s="66" t="n"/>
      <c r="C36" s="66" t="n"/>
      <c r="D36" s="66" t="n"/>
      <c r="E36" s="66" t="n"/>
      <c r="F36" s="73" t="n"/>
      <c r="G36" s="66" t="n"/>
      <c r="H36" s="66" t="n"/>
    </row>
    <row r="37">
      <c r="A37" s="66" t="n"/>
      <c r="B37" s="66" t="n"/>
      <c r="C37" s="66" t="n"/>
      <c r="D37" s="66" t="n"/>
      <c r="E37" s="66" t="n"/>
      <c r="F37" s="73" t="n"/>
      <c r="G37" s="66" t="n"/>
      <c r="H37" s="66" t="n"/>
    </row>
    <row r="38">
      <c r="A38" s="66" t="n"/>
      <c r="B38" s="66" t="n"/>
      <c r="C38" s="66" t="n"/>
      <c r="D38" s="66" t="n"/>
      <c r="E38" s="66" t="n"/>
      <c r="F38" s="73" t="n"/>
      <c r="G38" s="66" t="n"/>
      <c r="H38" s="66" t="n"/>
    </row>
    <row r="39">
      <c r="A39" s="66" t="n"/>
      <c r="B39" s="66" t="n"/>
      <c r="C39" s="66" t="n"/>
      <c r="D39" s="66" t="n"/>
      <c r="E39" s="66" t="n"/>
      <c r="F39" s="73" t="n"/>
      <c r="G39" s="66" t="n"/>
      <c r="H39" s="66" t="n"/>
    </row>
    <row r="40">
      <c r="A40" s="66" t="n"/>
      <c r="B40" s="66" t="n"/>
      <c r="C40" s="66" t="n"/>
      <c r="D40" s="66" t="n"/>
      <c r="E40" s="66" t="n"/>
      <c r="F40" s="73" t="n"/>
      <c r="G40" s="66" t="n"/>
      <c r="H40" s="66" t="n"/>
    </row>
    <row r="41">
      <c r="A41" s="66" t="n"/>
      <c r="B41" s="66" t="n"/>
      <c r="C41" s="66" t="n"/>
      <c r="D41" s="66" t="n"/>
      <c r="E41" s="66" t="n"/>
      <c r="F41" s="73" t="n"/>
      <c r="G41" s="66" t="n"/>
      <c r="H41" s="66" t="n"/>
    </row>
    <row r="42">
      <c r="A42" s="66" t="n"/>
      <c r="B42" s="66" t="n"/>
      <c r="C42" s="66" t="n"/>
      <c r="D42" s="66" t="n"/>
      <c r="E42" s="66" t="n"/>
      <c r="F42" s="73" t="n"/>
      <c r="G42" s="66" t="n"/>
      <c r="H42" s="66" t="n"/>
    </row>
    <row r="43">
      <c r="A43" s="66" t="n"/>
      <c r="B43" s="66" t="n"/>
      <c r="C43" s="66" t="n"/>
      <c r="D43" s="66" t="n"/>
      <c r="E43" s="66" t="n"/>
      <c r="F43" s="73" t="n"/>
      <c r="G43" s="66" t="n"/>
      <c r="H43" s="66" t="n"/>
    </row>
    <row r="44">
      <c r="A44" s="66" t="n"/>
      <c r="B44" s="66" t="n"/>
      <c r="C44" s="66" t="n"/>
      <c r="D44" s="66" t="n"/>
      <c r="E44" s="66" t="n"/>
      <c r="F44" s="73" t="n"/>
      <c r="G44" s="66" t="n"/>
      <c r="H44" s="66" t="n"/>
    </row>
    <row r="45">
      <c r="A45" s="66" t="n"/>
      <c r="B45" s="66" t="n"/>
      <c r="C45" s="66" t="n"/>
      <c r="D45" s="66" t="n"/>
      <c r="E45" s="66" t="n"/>
      <c r="F45" s="73" t="n"/>
      <c r="G45" s="66" t="n"/>
      <c r="H45" s="66" t="n"/>
    </row>
    <row r="46">
      <c r="A46" s="66" t="n"/>
      <c r="B46" s="66" t="n"/>
      <c r="C46" s="66" t="n"/>
      <c r="D46" s="66" t="n"/>
      <c r="E46" s="66" t="n"/>
      <c r="F46" s="73" t="n"/>
      <c r="G46" s="66" t="n"/>
      <c r="H46" s="66" t="n"/>
    </row>
    <row r="47">
      <c r="A47" s="66" t="n"/>
      <c r="B47" s="66" t="n"/>
      <c r="C47" s="66" t="n"/>
      <c r="D47" s="66" t="n"/>
      <c r="E47" s="66" t="n"/>
      <c r="F47" s="73" t="n"/>
      <c r="G47" s="66" t="n"/>
      <c r="H47" s="66" t="n"/>
    </row>
    <row r="48">
      <c r="A48" s="66" t="n"/>
      <c r="B48" s="66" t="n"/>
      <c r="C48" s="66" t="n"/>
      <c r="D48" s="66" t="n"/>
      <c r="E48" s="66" t="n"/>
      <c r="F48" s="73" t="n"/>
      <c r="G48" s="66" t="n"/>
      <c r="H48" s="66" t="n"/>
    </row>
    <row r="49">
      <c r="A49" s="66" t="n"/>
      <c r="B49" s="66" t="n"/>
      <c r="C49" s="66" t="n"/>
      <c r="D49" s="66" t="n"/>
      <c r="E49" s="66" t="n"/>
      <c r="F49" s="73" t="n"/>
      <c r="G49" s="66" t="n"/>
      <c r="H49" s="66" t="n"/>
    </row>
    <row r="50">
      <c r="A50" s="56" t="n"/>
      <c r="B50" s="56" t="n"/>
      <c r="C50" s="56" t="n"/>
      <c r="D50" s="56" t="n"/>
      <c r="E50" s="56" t="n"/>
      <c r="F50" s="56" t="n"/>
      <c r="G50" s="56" t="n"/>
      <c r="H50" s="56" t="n"/>
    </row>
    <row r="51">
      <c r="A51" s="56" t="n"/>
      <c r="B51" s="56" t="n"/>
      <c r="C51" s="56" t="n"/>
      <c r="D51" s="56" t="n"/>
      <c r="E51" s="56" t="n"/>
      <c r="F51" s="56" t="n"/>
      <c r="G51" s="56" t="n"/>
      <c r="H51" s="56" t="n"/>
    </row>
    <row r="52">
      <c r="A52" s="56" t="n"/>
      <c r="B52" s="56" t="n"/>
      <c r="C52" s="56" t="n"/>
      <c r="D52" s="56" t="n"/>
      <c r="E52" s="56" t="n"/>
      <c r="F52" s="56" t="n"/>
      <c r="G52" s="56" t="n"/>
      <c r="H52" s="56" t="n"/>
    </row>
    <row r="53">
      <c r="A53" s="56" t="n"/>
      <c r="B53" s="56" t="n"/>
      <c r="C53" s="56" t="n"/>
      <c r="D53" s="56" t="n"/>
      <c r="E53" s="56" t="n"/>
      <c r="F53" s="56" t="n"/>
      <c r="G53" s="56" t="n"/>
      <c r="H53" s="56" t="n"/>
    </row>
    <row r="54">
      <c r="A54" s="56" t="n"/>
      <c r="B54" s="56" t="n"/>
      <c r="C54" s="56" t="n"/>
      <c r="D54" s="56" t="n"/>
      <c r="E54" s="56" t="n"/>
      <c r="F54" s="56" t="n"/>
      <c r="G54" s="56" t="n"/>
      <c r="H54" s="56" t="n"/>
    </row>
  </sheetData>
  <sheetProtection selectLockedCells="0" selectUnlockedCells="0" sheet="1" objects="0" insertRows="0" insertHyperlinks="0" autoFilter="0" scenarios="1" formatColumns="0" deleteColumns="1" insertColumns="1" pivotTables="1" deleteRows="0" formatCells="0" formatRows="0" sort="0" password="EC7C"/>
  <autoFilter ref="A4:H49"/>
  <mergeCells count="2">
    <mergeCell ref="A2:H2"/>
    <mergeCell ref="A1:H1"/>
  </mergeCells>
  <conditionalFormatting sqref="E5:E49">
    <cfRule type="expression" priority="1" dxfId="0">
      <formula>ISNUMBER(SEARCH("Approved",E5))</formula>
    </cfRule>
    <cfRule type="expression" priority="2" dxfId="0">
      <formula>ISNUMBER(SEARCH("Installed",E5))</formula>
    </cfRule>
    <cfRule type="expression" priority="3" dxfId="0">
      <formula>ISNUMBER(SEARCH("Delivered",E5))</formula>
    </cfRule>
    <cfRule type="expression" priority="4" dxfId="0">
      <formula>ISNUMBER(SEARCH("Complete",E5))</formula>
    </cfRule>
    <cfRule type="expression" priority="5" dxfId="0">
      <formula>ISNUMBER(SEARCH("Completed",E5))</formula>
    </cfRule>
    <cfRule type="expression" priority="6" dxfId="0">
      <formula>ISNUMBER(SEARCH("Paid",E5))</formula>
    </cfRule>
    <cfRule type="expression" priority="7" dxfId="0">
      <formula>ISNUMBER(SEARCH("Good Condition",E5))</formula>
    </cfRule>
    <cfRule type="expression" priority="8" dxfId="0">
      <formula>ISNUMBER(SEARCH("Yes",E5))</formula>
    </cfRule>
    <cfRule type="expression" priority="9" dxfId="1">
      <formula>ISNUMBER(SEARCH("Pending",E5))</formula>
    </cfRule>
    <cfRule type="expression" priority="10" dxfId="1">
      <formula>ISNUMBER(SEARCH("In Progress",E5))</formula>
    </cfRule>
    <cfRule type="expression" priority="11" dxfId="1">
      <formula>ISNUMBER(SEARCH("Sent",E5))</formula>
    </cfRule>
    <cfRule type="expression" priority="12" dxfId="1">
      <formula>ISNUMBER(SEARCH("Client Review",E5))</formula>
    </cfRule>
    <cfRule type="expression" priority="13" dxfId="1">
      <formula>ISNUMBER(SEARCH("Ordered",E5))</formula>
    </cfRule>
    <cfRule type="expression" priority="14" dxfId="1">
      <formula>ISNUMBER(SEARCH("Shipped",E5))</formula>
    </cfRule>
    <cfRule type="expression" priority="15" dxfId="1">
      <formula>ISNUMBER(SEARCH("Scheduled",E5))</formula>
    </cfRule>
    <cfRule type="expression" priority="16" dxfId="1">
      <formula>ISNUMBER(SEARCH("Partially Paid",E5))</formula>
    </cfRule>
    <cfRule type="expression" priority="17" dxfId="1">
      <formula>ISNUMBER(SEARCH("Waiting on Client",E5))</formula>
    </cfRule>
    <cfRule type="expression" priority="18" dxfId="1">
      <formula>ISNUMBER(SEARCH("Waiting on Vendor",E5))</formula>
    </cfRule>
    <cfRule type="expression" priority="19" dxfId="1">
      <formula>ISNUMBER(SEARCH("Sourcing",E5))</formula>
    </cfRule>
    <cfRule type="expression" priority="20" dxfId="1">
      <formula>ISNUMBER(SEARCH("Option Selected",E5))</formula>
    </cfRule>
    <cfRule type="expression" priority="21" dxfId="1">
      <formula>ISNUMBER(SEARCH("Confirmed",E5))</formula>
    </cfRule>
    <cfRule type="expression" priority="22" dxfId="1">
      <formula>ISNUMBER(SEARCH("In Production",E5))</formula>
    </cfRule>
    <cfRule type="expression" priority="23" dxfId="1">
      <formula>ISNUMBER(SEARCH("In Transit",E5))</formula>
    </cfRule>
    <cfRule type="expression" priority="24" dxfId="1">
      <formula>ISNUMBER(SEARCH("Not Checked",E5))</formula>
    </cfRule>
    <cfRule type="expression" priority="25" dxfId="2">
      <formula>ISNUMBER(SEARCH("Overdue",E5))</formula>
    </cfRule>
    <cfRule type="expression" priority="26" dxfId="2">
      <formula>ISNUMBER(SEARCH("Delayed",E5))</formula>
    </cfRule>
    <cfRule type="expression" priority="27" dxfId="2">
      <formula>ISNUMBER(SEARCH("Rejected",E5))</formula>
    </cfRule>
    <cfRule type="expression" priority="28" dxfId="2">
      <formula>ISNUMBER(SEARCH("Damaged",E5))</formula>
    </cfRule>
    <cfRule type="expression" priority="29" dxfId="2">
      <formula>ISNUMBER(SEARCH("Missing Item",E5))</formula>
    </cfRule>
    <cfRule type="expression" priority="30" dxfId="2">
      <formula>ISNUMBER(SEARCH("Wrong Item",E5))</formula>
    </cfRule>
    <cfRule type="expression" priority="31" dxfId="2">
      <formula>ISNUMBER(SEARCH("Backordered",E5))</formula>
    </cfRule>
    <cfRule type="expression" priority="32" dxfId="2">
      <formula>ISNUMBER(SEARCH("Urgent",E5))</formula>
    </cfRule>
    <cfRule type="expression" priority="33" dxfId="3">
      <formula>ISNUMBER(SEARCH("Cancelled",E5))</formula>
    </cfRule>
    <cfRule type="expression" priority="34" dxfId="3">
      <formula>ISNUMBER(SEARCH("On Hold",E5))</formula>
    </cfRule>
    <cfRule type="expression" priority="35" dxfId="3">
      <formula>ISNUMBER(SEARCH("Not Started",E5))</formula>
    </cfRule>
    <cfRule type="expression" priority="36" dxfId="3">
      <formula>ISNUMBER(SEARCH("Not Sent",E5))</formula>
    </cfRule>
    <cfRule type="expression" priority="37" dxfId="3">
      <formula>ISNUMBER(SEARCH("Draft",E5))</formula>
    </cfRule>
    <cfRule type="expression" priority="38" dxfId="3">
      <formula>ISNUMBER(SEARCH("Not Ordered",E5))</formula>
    </cfRule>
  </conditionalFormatting>
  <conditionalFormatting sqref="G5:G49">
    <cfRule type="expression" priority="39" dxfId="0">
      <formula>ISNUMBER(SEARCH("Approved",G5))</formula>
    </cfRule>
    <cfRule type="expression" priority="40" dxfId="0">
      <formula>ISNUMBER(SEARCH("Installed",G5))</formula>
    </cfRule>
    <cfRule type="expression" priority="41" dxfId="0">
      <formula>ISNUMBER(SEARCH("Delivered",G5))</formula>
    </cfRule>
    <cfRule type="expression" priority="42" dxfId="0">
      <formula>ISNUMBER(SEARCH("Complete",G5))</formula>
    </cfRule>
    <cfRule type="expression" priority="43" dxfId="0">
      <formula>ISNUMBER(SEARCH("Completed",G5))</formula>
    </cfRule>
    <cfRule type="expression" priority="44" dxfId="0">
      <formula>ISNUMBER(SEARCH("Paid",G5))</formula>
    </cfRule>
    <cfRule type="expression" priority="45" dxfId="0">
      <formula>ISNUMBER(SEARCH("Good Condition",G5))</formula>
    </cfRule>
    <cfRule type="expression" priority="46" dxfId="0">
      <formula>ISNUMBER(SEARCH("Yes",G5))</formula>
    </cfRule>
    <cfRule type="expression" priority="47" dxfId="1">
      <formula>ISNUMBER(SEARCH("Pending",G5))</formula>
    </cfRule>
    <cfRule type="expression" priority="48" dxfId="1">
      <formula>ISNUMBER(SEARCH("In Progress",G5))</formula>
    </cfRule>
    <cfRule type="expression" priority="49" dxfId="1">
      <formula>ISNUMBER(SEARCH("Sent",G5))</formula>
    </cfRule>
    <cfRule type="expression" priority="50" dxfId="1">
      <formula>ISNUMBER(SEARCH("Client Review",G5))</formula>
    </cfRule>
    <cfRule type="expression" priority="51" dxfId="1">
      <formula>ISNUMBER(SEARCH("Ordered",G5))</formula>
    </cfRule>
    <cfRule type="expression" priority="52" dxfId="1">
      <formula>ISNUMBER(SEARCH("Shipped",G5))</formula>
    </cfRule>
    <cfRule type="expression" priority="53" dxfId="1">
      <formula>ISNUMBER(SEARCH("Scheduled",G5))</formula>
    </cfRule>
    <cfRule type="expression" priority="54" dxfId="1">
      <formula>ISNUMBER(SEARCH("Partially Paid",G5))</formula>
    </cfRule>
    <cfRule type="expression" priority="55" dxfId="1">
      <formula>ISNUMBER(SEARCH("Waiting on Client",G5))</formula>
    </cfRule>
    <cfRule type="expression" priority="56" dxfId="1">
      <formula>ISNUMBER(SEARCH("Waiting on Vendor",G5))</formula>
    </cfRule>
    <cfRule type="expression" priority="57" dxfId="1">
      <formula>ISNUMBER(SEARCH("Sourcing",G5))</formula>
    </cfRule>
    <cfRule type="expression" priority="58" dxfId="1">
      <formula>ISNUMBER(SEARCH("Option Selected",G5))</formula>
    </cfRule>
    <cfRule type="expression" priority="59" dxfId="1">
      <formula>ISNUMBER(SEARCH("Confirmed",G5))</formula>
    </cfRule>
    <cfRule type="expression" priority="60" dxfId="1">
      <formula>ISNUMBER(SEARCH("In Production",G5))</formula>
    </cfRule>
    <cfRule type="expression" priority="61" dxfId="1">
      <formula>ISNUMBER(SEARCH("In Transit",G5))</formula>
    </cfRule>
    <cfRule type="expression" priority="62" dxfId="1">
      <formula>ISNUMBER(SEARCH("Not Checked",G5))</formula>
    </cfRule>
    <cfRule type="expression" priority="63" dxfId="2">
      <formula>ISNUMBER(SEARCH("Overdue",G5))</formula>
    </cfRule>
    <cfRule type="expression" priority="64" dxfId="2">
      <formula>ISNUMBER(SEARCH("Delayed",G5))</formula>
    </cfRule>
    <cfRule type="expression" priority="65" dxfId="2">
      <formula>ISNUMBER(SEARCH("Rejected",G5))</formula>
    </cfRule>
    <cfRule type="expression" priority="66" dxfId="2">
      <formula>ISNUMBER(SEARCH("Damaged",G5))</formula>
    </cfRule>
    <cfRule type="expression" priority="67" dxfId="2">
      <formula>ISNUMBER(SEARCH("Missing Item",G5))</formula>
    </cfRule>
    <cfRule type="expression" priority="68" dxfId="2">
      <formula>ISNUMBER(SEARCH("Wrong Item",G5))</formula>
    </cfRule>
    <cfRule type="expression" priority="69" dxfId="2">
      <formula>ISNUMBER(SEARCH("Backordered",G5))</formula>
    </cfRule>
    <cfRule type="expression" priority="70" dxfId="2">
      <formula>ISNUMBER(SEARCH("Urgent",G5))</formula>
    </cfRule>
    <cfRule type="expression" priority="71" dxfId="3">
      <formula>ISNUMBER(SEARCH("Cancelled",G5))</formula>
    </cfRule>
    <cfRule type="expression" priority="72" dxfId="3">
      <formula>ISNUMBER(SEARCH("On Hold",G5))</formula>
    </cfRule>
    <cfRule type="expression" priority="73" dxfId="3">
      <formula>ISNUMBER(SEARCH("Not Started",G5))</formula>
    </cfRule>
    <cfRule type="expression" priority="74" dxfId="3">
      <formula>ISNUMBER(SEARCH("Not Sent",G5))</formula>
    </cfRule>
    <cfRule type="expression" priority="75" dxfId="3">
      <formula>ISNUMBER(SEARCH("Draft",G5))</formula>
    </cfRule>
    <cfRule type="expression" priority="76" dxfId="3">
      <formula>ISNUMBER(SEARCH("Not Ordered",G5))</formula>
    </cfRule>
  </conditionalFormatting>
  <conditionalFormatting sqref="F5:F49">
    <cfRule type="expression" priority="77" dxfId="4">
      <formula>AND(F5&lt;&gt;"",F5&lt;TODAY(),G5&lt;&gt;"Complete")</formula>
    </cfRule>
  </conditionalFormatting>
  <dataValidations count="4">
    <dataValidation sqref="B5:B49" showDropDown="0" showInputMessage="1" showErrorMessage="1" allowBlank="1" errorTitle="Invalid Entry" error="Please select a value from the dropdown list." promptTitle="Select" prompt="Choose from the list" type="list">
      <formula1>"Living Room,Master Bedroom,Kitchen,Dining Room,Home Office,Powder Room,—"</formula1>
    </dataValidation>
    <dataValidation sqref="C5:C49" showDropDown="0" showInputMessage="1" showErrorMessage="1" allowBlank="1" errorTitle="Invalid Entry" error="Please select a value from the dropdown list." promptTitle="Select" prompt="Choose from the list" type="list">
      <formula1>"Design,Sourcing,Purchasing,Client,Vendor,Site,Installation,Admin,Other"</formula1>
    </dataValidation>
    <dataValidation sqref="E5:E49" showDropDown="0" showInputMessage="1" showErrorMessage="1" allowBlank="1" errorTitle="Invalid Entry" error="Please select a value from the dropdown list." promptTitle="Select" prompt="Choose from the list" type="list">
      <formula1>"Low,Medium,High,Urgent"</formula1>
    </dataValidation>
    <dataValidation sqref="G5:G49" showDropDown="0" showInputMessage="1" showErrorMessage="1" allowBlank="1" errorTitle="Invalid Entry" error="Please select a value from the dropdown list." promptTitle="Select" prompt="Choose from the list" type="list">
      <formula1>"Not Started,In Progress,Waiting on Client,Waiting on Vendor,Complete,Delayed"</formula1>
    </dataValidation>
  </dataValidations>
  <pageMargins left="0.5" right="0.5" top="0.6" bottom="0.6" header="0.5" footer="0.5"/>
  <headerFooter>
    <oddHeader/>
    <oddFooter>&amp;C&amp;"Calibri"&amp;8 &amp;"Calibri"&amp;8Novality store  ·  Interior Design FF&amp;E Tracker  ·  Page &amp;P of &amp;N</oddFooter>
    <evenHeader/>
    <evenFooter/>
    <firstHeader/>
    <firstFooter/>
  </headerFooter>
</worksheet>
</file>

<file path=xl/worksheets/sheet18.xml><?xml version="1.0" encoding="utf-8"?>
<worksheet xmlns="http://schemas.openxmlformats.org/spreadsheetml/2006/main">
  <sheetPr>
    <tabColor rgb="005C6B73"/>
    <outlinePr summaryBelow="1" summaryRight="1"/>
    <pageSetUpPr/>
  </sheetPr>
  <dimension ref="A1:K4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14" customWidth="1" min="8" max="8"/>
    <col width="12" customWidth="1" min="9" max="9"/>
    <col width="12" customWidth="1" min="10" max="10"/>
    <col width="32" customWidth="1" min="11" max="11"/>
  </cols>
  <sheetData>
    <row r="1" ht="38" customHeight="1">
      <c r="A1" s="51" t="inlineStr">
        <is>
          <t>MEASUREMENT LOG</t>
        </is>
      </c>
      <c r="B1" s="52" t="n"/>
      <c r="C1" s="52" t="n"/>
      <c r="D1" s="52" t="n"/>
      <c r="E1" s="52" t="n"/>
      <c r="F1" s="52" t="n"/>
      <c r="G1" s="52" t="n"/>
      <c r="H1" s="52" t="n"/>
      <c r="I1" s="52" t="n"/>
      <c r="J1" s="52" t="n"/>
      <c r="K1" s="52" t="n"/>
    </row>
    <row r="2" ht="18" customHeight="1">
      <c r="A2" s="53" t="inlineStr">
        <is>
          <t>Field measurements for designers and installers  ·  Novality store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</row>
    <row r="3"/>
    <row r="4" ht="34" customHeight="1">
      <c r="A4" s="65" t="inlineStr">
        <is>
          <t>Room</t>
        </is>
      </c>
      <c r="B4" s="65" t="inlineStr">
        <is>
          <t>Measurement Type</t>
        </is>
      </c>
      <c r="C4" s="65" t="inlineStr">
        <is>
          <t>Width</t>
        </is>
      </c>
      <c r="D4" s="65" t="inlineStr">
        <is>
          <t>Height</t>
        </is>
      </c>
      <c r="E4" s="65" t="inlineStr">
        <is>
          <t>Depth</t>
        </is>
      </c>
      <c r="F4" s="65" t="inlineStr">
        <is>
          <t>Length</t>
        </is>
      </c>
      <c r="G4" s="65" t="inlineStr">
        <is>
          <t>Ceiling Height</t>
        </is>
      </c>
      <c r="H4" s="65" t="inlineStr">
        <is>
          <t>Window Size</t>
        </is>
      </c>
      <c r="I4" s="65" t="inlineStr">
        <is>
          <t>Door Size</t>
        </is>
      </c>
      <c r="J4" s="65" t="inlineStr">
        <is>
          <t>Wall Length</t>
        </is>
      </c>
      <c r="K4" s="65" t="inlineStr">
        <is>
          <t>Notes</t>
        </is>
      </c>
    </row>
    <row r="5">
      <c r="A5" s="66" t="inlineStr">
        <is>
          <t>Living Room</t>
        </is>
      </c>
      <c r="B5" s="66" t="inlineStr">
        <is>
          <t>Room</t>
        </is>
      </c>
      <c r="C5" s="67" t="inlineStr">
        <is>
          <t>18'</t>
        </is>
      </c>
      <c r="D5" s="67" t="inlineStr">
        <is>
          <t>9'</t>
        </is>
      </c>
      <c r="E5" s="67" t="inlineStr">
        <is>
          <t>—</t>
        </is>
      </c>
      <c r="F5" s="67" t="inlineStr">
        <is>
          <t>16'</t>
        </is>
      </c>
      <c r="G5" s="67" t="inlineStr">
        <is>
          <t>9'</t>
        </is>
      </c>
      <c r="H5" s="67" t="inlineStr">
        <is>
          <t>—</t>
        </is>
      </c>
      <c r="I5" s="67" t="inlineStr">
        <is>
          <t>—</t>
        </is>
      </c>
      <c r="J5" s="67" t="inlineStr">
        <is>
          <t>—</t>
        </is>
      </c>
      <c r="K5" s="66" t="inlineStr">
        <is>
          <t>Open to dining</t>
        </is>
      </c>
    </row>
    <row r="6">
      <c r="A6" s="66" t="inlineStr">
        <is>
          <t>Living Room</t>
        </is>
      </c>
      <c r="B6" s="66" t="inlineStr">
        <is>
          <t>Window</t>
        </is>
      </c>
      <c r="C6" s="67" t="inlineStr">
        <is>
          <t>6'</t>
        </is>
      </c>
      <c r="D6" s="67" t="inlineStr">
        <is>
          <t>5'</t>
        </is>
      </c>
      <c r="E6" s="67" t="inlineStr">
        <is>
          <t>—</t>
        </is>
      </c>
      <c r="F6" s="67" t="inlineStr">
        <is>
          <t>—</t>
        </is>
      </c>
      <c r="G6" s="67" t="inlineStr">
        <is>
          <t>—</t>
        </is>
      </c>
      <c r="H6" s="67" t="inlineStr">
        <is>
          <t>6' x 5'</t>
        </is>
      </c>
      <c r="I6" s="67" t="inlineStr">
        <is>
          <t>—</t>
        </is>
      </c>
      <c r="J6" s="67" t="inlineStr">
        <is>
          <t>—</t>
        </is>
      </c>
      <c r="K6" s="66" t="inlineStr">
        <is>
          <t>South facing, 2 panels</t>
        </is>
      </c>
    </row>
    <row r="7">
      <c r="A7" s="66" t="inlineStr">
        <is>
          <t>Living Room</t>
        </is>
      </c>
      <c r="B7" s="66" t="inlineStr">
        <is>
          <t>Rug Area</t>
        </is>
      </c>
      <c r="C7" s="67" t="inlineStr">
        <is>
          <t>11'</t>
        </is>
      </c>
      <c r="D7" s="67" t="inlineStr">
        <is>
          <t>—</t>
        </is>
      </c>
      <c r="E7" s="67" t="inlineStr">
        <is>
          <t>—</t>
        </is>
      </c>
      <c r="F7" s="67" t="inlineStr">
        <is>
          <t>14'</t>
        </is>
      </c>
      <c r="G7" s="67" t="inlineStr">
        <is>
          <t>—</t>
        </is>
      </c>
      <c r="H7" s="67" t="inlineStr">
        <is>
          <t>—</t>
        </is>
      </c>
      <c r="I7" s="67" t="inlineStr">
        <is>
          <t>—</t>
        </is>
      </c>
      <c r="J7" s="67" t="inlineStr">
        <is>
          <t>—</t>
        </is>
      </c>
      <c r="K7" s="66" t="inlineStr">
        <is>
          <t>Allow 12–18" border</t>
        </is>
      </c>
    </row>
    <row r="8">
      <c r="A8" s="66" t="inlineStr">
        <is>
          <t>Master Bedroom</t>
        </is>
      </c>
      <c r="B8" s="66" t="inlineStr">
        <is>
          <t>Room</t>
        </is>
      </c>
      <c r="C8" s="67" t="inlineStr">
        <is>
          <t>14'</t>
        </is>
      </c>
      <c r="D8" s="67" t="inlineStr">
        <is>
          <t>9'</t>
        </is>
      </c>
      <c r="E8" s="67" t="inlineStr">
        <is>
          <t>—</t>
        </is>
      </c>
      <c r="F8" s="67" t="inlineStr">
        <is>
          <t>16'</t>
        </is>
      </c>
      <c r="G8" s="67" t="inlineStr">
        <is>
          <t>9'</t>
        </is>
      </c>
      <c r="H8" s="67" t="inlineStr">
        <is>
          <t>—</t>
        </is>
      </c>
      <c r="I8" s="67" t="inlineStr">
        <is>
          <t>—</t>
        </is>
      </c>
      <c r="J8" s="67" t="inlineStr">
        <is>
          <t>—</t>
        </is>
      </c>
      <c r="K8" s="66" t="inlineStr"/>
    </row>
    <row r="9">
      <c r="A9" s="66" t="inlineStr">
        <is>
          <t>Master Bedroom</t>
        </is>
      </c>
      <c r="B9" s="66" t="inlineStr">
        <is>
          <t>Furniture Space</t>
        </is>
      </c>
      <c r="C9" s="67" t="inlineStr">
        <is>
          <t>80"</t>
        </is>
      </c>
      <c r="D9" s="67" t="inlineStr">
        <is>
          <t>—</t>
        </is>
      </c>
      <c r="E9" s="67" t="inlineStr">
        <is>
          <t>84"</t>
        </is>
      </c>
      <c r="F9" s="67" t="inlineStr">
        <is>
          <t>—</t>
        </is>
      </c>
      <c r="G9" s="67" t="inlineStr">
        <is>
          <t>—</t>
        </is>
      </c>
      <c r="H9" s="67" t="inlineStr">
        <is>
          <t>—</t>
        </is>
      </c>
      <c r="I9" s="67" t="inlineStr">
        <is>
          <t>—</t>
        </is>
      </c>
      <c r="J9" s="67" t="inlineStr">
        <is>
          <t>—</t>
        </is>
      </c>
      <c r="K9" s="66" t="inlineStr">
        <is>
          <t>King bed wall</t>
        </is>
      </c>
    </row>
    <row r="10">
      <c r="A10" s="66" t="inlineStr">
        <is>
          <t>Kitchen</t>
        </is>
      </c>
      <c r="B10" s="66" t="inlineStr">
        <is>
          <t>Room</t>
        </is>
      </c>
      <c r="C10" s="67" t="inlineStr">
        <is>
          <t>12'</t>
        </is>
      </c>
      <c r="D10" s="67" t="inlineStr">
        <is>
          <t>9'</t>
        </is>
      </c>
      <c r="E10" s="67" t="inlineStr">
        <is>
          <t>—</t>
        </is>
      </c>
      <c r="F10" s="67" t="inlineStr">
        <is>
          <t>16'</t>
        </is>
      </c>
      <c r="G10" s="67" t="inlineStr">
        <is>
          <t>9'</t>
        </is>
      </c>
      <c r="H10" s="67" t="inlineStr">
        <is>
          <t>—</t>
        </is>
      </c>
      <c r="I10" s="67" t="inlineStr">
        <is>
          <t>—</t>
        </is>
      </c>
      <c r="J10" s="67" t="inlineStr">
        <is>
          <t>—</t>
        </is>
      </c>
      <c r="K10" s="66" t="inlineStr">
        <is>
          <t>Island 8' x 3.5'</t>
        </is>
      </c>
    </row>
    <row r="11">
      <c r="A11" s="66" t="inlineStr">
        <is>
          <t>Kitchen</t>
        </is>
      </c>
      <c r="B11" s="66" t="inlineStr">
        <is>
          <t>Cabinet</t>
        </is>
      </c>
      <c r="C11" s="67" t="inlineStr">
        <is>
          <t>36"</t>
        </is>
      </c>
      <c r="D11" s="67" t="inlineStr">
        <is>
          <t>36"</t>
        </is>
      </c>
      <c r="E11" s="67" t="inlineStr">
        <is>
          <t>24"</t>
        </is>
      </c>
      <c r="F11" s="67" t="inlineStr">
        <is>
          <t>—</t>
        </is>
      </c>
      <c r="G11" s="67" t="inlineStr">
        <is>
          <t>—</t>
        </is>
      </c>
      <c r="H11" s="67" t="inlineStr">
        <is>
          <t>—</t>
        </is>
      </c>
      <c r="I11" s="67" t="inlineStr">
        <is>
          <t>—</t>
        </is>
      </c>
      <c r="J11" s="67" t="inlineStr">
        <is>
          <t>—</t>
        </is>
      </c>
      <c r="K11" s="66" t="inlineStr">
        <is>
          <t>Base run east wall</t>
        </is>
      </c>
    </row>
    <row r="12">
      <c r="A12" s="66" t="inlineStr">
        <is>
          <t>Powder Room</t>
        </is>
      </c>
      <c r="B12" s="66" t="inlineStr">
        <is>
          <t>Room</t>
        </is>
      </c>
      <c r="C12" s="67" t="inlineStr">
        <is>
          <t>5'</t>
        </is>
      </c>
      <c r="D12" s="67" t="inlineStr">
        <is>
          <t>9'</t>
        </is>
      </c>
      <c r="E12" s="67" t="inlineStr">
        <is>
          <t>—</t>
        </is>
      </c>
      <c r="F12" s="67" t="inlineStr">
        <is>
          <t>8'</t>
        </is>
      </c>
      <c r="G12" s="67" t="inlineStr">
        <is>
          <t>9'</t>
        </is>
      </c>
      <c r="H12" s="67" t="inlineStr">
        <is>
          <t>—</t>
        </is>
      </c>
      <c r="I12" s="67" t="inlineStr">
        <is>
          <t>28" door</t>
        </is>
      </c>
      <c r="J12" s="67" t="inlineStr">
        <is>
          <t>—</t>
        </is>
      </c>
      <c r="K12" s="66" t="inlineStr">
        <is>
          <t>Tight clearances</t>
        </is>
      </c>
    </row>
    <row r="13">
      <c r="A13" s="66" t="inlineStr">
        <is>
          <t>Home Office</t>
        </is>
      </c>
      <c r="B13" s="66" t="inlineStr">
        <is>
          <t>Window</t>
        </is>
      </c>
      <c r="C13" s="67" t="inlineStr">
        <is>
          <t>4'</t>
        </is>
      </c>
      <c r="D13" s="67" t="inlineStr">
        <is>
          <t>5'</t>
        </is>
      </c>
      <c r="E13" s="67" t="inlineStr">
        <is>
          <t>—</t>
        </is>
      </c>
      <c r="F13" s="67" t="inlineStr">
        <is>
          <t>—</t>
        </is>
      </c>
      <c r="G13" s="67" t="inlineStr">
        <is>
          <t>—</t>
        </is>
      </c>
      <c r="H13" s="67" t="inlineStr">
        <is>
          <t>4' x 5'</t>
        </is>
      </c>
      <c r="I13" s="67" t="inlineStr">
        <is>
          <t>—</t>
        </is>
      </c>
      <c r="J13" s="67" t="inlineStr">
        <is>
          <t>—</t>
        </is>
      </c>
      <c r="K13" s="66" t="inlineStr">
        <is>
          <t>Needs treatment</t>
        </is>
      </c>
    </row>
    <row r="14">
      <c r="A14" s="66" t="inlineStr">
        <is>
          <t>Dining Room</t>
        </is>
      </c>
      <c r="B14" s="66" t="inlineStr">
        <is>
          <t>Room</t>
        </is>
      </c>
      <c r="C14" s="67" t="inlineStr">
        <is>
          <t>12'</t>
        </is>
      </c>
      <c r="D14" s="67" t="inlineStr">
        <is>
          <t>9'</t>
        </is>
      </c>
      <c r="E14" s="67" t="inlineStr">
        <is>
          <t>—</t>
        </is>
      </c>
      <c r="F14" s="67" t="inlineStr">
        <is>
          <t>14'</t>
        </is>
      </c>
      <c r="G14" s="67" t="inlineStr">
        <is>
          <t>9'</t>
        </is>
      </c>
      <c r="H14" s="67" t="inlineStr">
        <is>
          <t>—</t>
        </is>
      </c>
      <c r="I14" s="67" t="inlineStr">
        <is>
          <t>—</t>
        </is>
      </c>
      <c r="J14" s="67" t="inlineStr">
        <is>
          <t>—</t>
        </is>
      </c>
      <c r="K14" s="66" t="inlineStr">
        <is>
          <t>Chandelier center 6' from window wall</t>
        </is>
      </c>
    </row>
    <row r="15">
      <c r="A15" s="66" t="n"/>
      <c r="B15" s="66" t="n"/>
      <c r="C15" s="66" t="n"/>
      <c r="D15" s="66" t="n"/>
      <c r="E15" s="66" t="n"/>
      <c r="F15" s="66" t="n"/>
      <c r="G15" s="66" t="n"/>
      <c r="H15" s="66" t="n"/>
      <c r="I15" s="66" t="n"/>
      <c r="J15" s="66" t="n"/>
      <c r="K15" s="66" t="n"/>
    </row>
    <row r="16">
      <c r="A16" s="66" t="n"/>
      <c r="B16" s="66" t="n"/>
      <c r="C16" s="66" t="n"/>
      <c r="D16" s="66" t="n"/>
      <c r="E16" s="66" t="n"/>
      <c r="F16" s="66" t="n"/>
      <c r="G16" s="66" t="n"/>
      <c r="H16" s="66" t="n"/>
      <c r="I16" s="66" t="n"/>
      <c r="J16" s="66" t="n"/>
      <c r="K16" s="66" t="n"/>
    </row>
    <row r="17">
      <c r="A17" s="66" t="n"/>
      <c r="B17" s="66" t="n"/>
      <c r="C17" s="66" t="n"/>
      <c r="D17" s="66" t="n"/>
      <c r="E17" s="66" t="n"/>
      <c r="F17" s="66" t="n"/>
      <c r="G17" s="66" t="n"/>
      <c r="H17" s="66" t="n"/>
      <c r="I17" s="66" t="n"/>
      <c r="J17" s="66" t="n"/>
      <c r="K17" s="66" t="n"/>
    </row>
    <row r="18">
      <c r="A18" s="66" t="n"/>
      <c r="B18" s="66" t="n"/>
      <c r="C18" s="66" t="n"/>
      <c r="D18" s="66" t="n"/>
      <c r="E18" s="66" t="n"/>
      <c r="F18" s="66" t="n"/>
      <c r="G18" s="66" t="n"/>
      <c r="H18" s="66" t="n"/>
      <c r="I18" s="66" t="n"/>
      <c r="J18" s="66" t="n"/>
      <c r="K18" s="66" t="n"/>
    </row>
    <row r="19">
      <c r="A19" s="66" t="n"/>
      <c r="B19" s="66" t="n"/>
      <c r="C19" s="66" t="n"/>
      <c r="D19" s="66" t="n"/>
      <c r="E19" s="66" t="n"/>
      <c r="F19" s="66" t="n"/>
      <c r="G19" s="66" t="n"/>
      <c r="H19" s="66" t="n"/>
      <c r="I19" s="66" t="n"/>
      <c r="J19" s="66" t="n"/>
      <c r="K19" s="66" t="n"/>
    </row>
    <row r="20">
      <c r="A20" s="66" t="n"/>
      <c r="B20" s="66" t="n"/>
      <c r="C20" s="66" t="n"/>
      <c r="D20" s="66" t="n"/>
      <c r="E20" s="66" t="n"/>
      <c r="F20" s="66" t="n"/>
      <c r="G20" s="66" t="n"/>
      <c r="H20" s="66" t="n"/>
      <c r="I20" s="66" t="n"/>
      <c r="J20" s="66" t="n"/>
      <c r="K20" s="66" t="n"/>
    </row>
    <row r="21">
      <c r="A21" s="66" t="n"/>
      <c r="B21" s="66" t="n"/>
      <c r="C21" s="66" t="n"/>
      <c r="D21" s="66" t="n"/>
      <c r="E21" s="66" t="n"/>
      <c r="F21" s="66" t="n"/>
      <c r="G21" s="66" t="n"/>
      <c r="H21" s="66" t="n"/>
      <c r="I21" s="66" t="n"/>
      <c r="J21" s="66" t="n"/>
      <c r="K21" s="66" t="n"/>
    </row>
    <row r="22">
      <c r="A22" s="66" t="n"/>
      <c r="B22" s="66" t="n"/>
      <c r="C22" s="66" t="n"/>
      <c r="D22" s="66" t="n"/>
      <c r="E22" s="66" t="n"/>
      <c r="F22" s="66" t="n"/>
      <c r="G22" s="66" t="n"/>
      <c r="H22" s="66" t="n"/>
      <c r="I22" s="66" t="n"/>
      <c r="J22" s="66" t="n"/>
      <c r="K22" s="66" t="n"/>
    </row>
    <row r="23">
      <c r="A23" s="66" t="n"/>
      <c r="B23" s="66" t="n"/>
      <c r="C23" s="66" t="n"/>
      <c r="D23" s="66" t="n"/>
      <c r="E23" s="66" t="n"/>
      <c r="F23" s="66" t="n"/>
      <c r="G23" s="66" t="n"/>
      <c r="H23" s="66" t="n"/>
      <c r="I23" s="66" t="n"/>
      <c r="J23" s="66" t="n"/>
      <c r="K23" s="66" t="n"/>
    </row>
    <row r="24">
      <c r="A24" s="66" t="n"/>
      <c r="B24" s="66" t="n"/>
      <c r="C24" s="66" t="n"/>
      <c r="D24" s="66" t="n"/>
      <c r="E24" s="66" t="n"/>
      <c r="F24" s="66" t="n"/>
      <c r="G24" s="66" t="n"/>
      <c r="H24" s="66" t="n"/>
      <c r="I24" s="66" t="n"/>
      <c r="J24" s="66" t="n"/>
      <c r="K24" s="66" t="n"/>
    </row>
    <row r="25">
      <c r="A25" s="66" t="n"/>
      <c r="B25" s="66" t="n"/>
      <c r="C25" s="66" t="n"/>
      <c r="D25" s="66" t="n"/>
      <c r="E25" s="66" t="n"/>
      <c r="F25" s="66" t="n"/>
      <c r="G25" s="66" t="n"/>
      <c r="H25" s="66" t="n"/>
      <c r="I25" s="66" t="n"/>
      <c r="J25" s="66" t="n"/>
      <c r="K25" s="66" t="n"/>
    </row>
    <row r="26">
      <c r="A26" s="66" t="n"/>
      <c r="B26" s="66" t="n"/>
      <c r="C26" s="66" t="n"/>
      <c r="D26" s="66" t="n"/>
      <c r="E26" s="66" t="n"/>
      <c r="F26" s="66" t="n"/>
      <c r="G26" s="66" t="n"/>
      <c r="H26" s="66" t="n"/>
      <c r="I26" s="66" t="n"/>
      <c r="J26" s="66" t="n"/>
      <c r="K26" s="66" t="n"/>
    </row>
    <row r="27">
      <c r="A27" s="66" t="n"/>
      <c r="B27" s="66" t="n"/>
      <c r="C27" s="66" t="n"/>
      <c r="D27" s="66" t="n"/>
      <c r="E27" s="66" t="n"/>
      <c r="F27" s="66" t="n"/>
      <c r="G27" s="66" t="n"/>
      <c r="H27" s="66" t="n"/>
      <c r="I27" s="66" t="n"/>
      <c r="J27" s="66" t="n"/>
      <c r="K27" s="66" t="n"/>
    </row>
    <row r="28">
      <c r="A28" s="66" t="n"/>
      <c r="B28" s="66" t="n"/>
      <c r="C28" s="66" t="n"/>
      <c r="D28" s="66" t="n"/>
      <c r="E28" s="66" t="n"/>
      <c r="F28" s="66" t="n"/>
      <c r="G28" s="66" t="n"/>
      <c r="H28" s="66" t="n"/>
      <c r="I28" s="66" t="n"/>
      <c r="J28" s="66" t="n"/>
      <c r="K28" s="66" t="n"/>
    </row>
    <row r="29">
      <c r="A29" s="66" t="n"/>
      <c r="B29" s="66" t="n"/>
      <c r="C29" s="66" t="n"/>
      <c r="D29" s="66" t="n"/>
      <c r="E29" s="66" t="n"/>
      <c r="F29" s="66" t="n"/>
      <c r="G29" s="66" t="n"/>
      <c r="H29" s="66" t="n"/>
      <c r="I29" s="66" t="n"/>
      <c r="J29" s="66" t="n"/>
      <c r="K29" s="66" t="n"/>
    </row>
    <row r="30">
      <c r="A30" s="66" t="n"/>
      <c r="B30" s="66" t="n"/>
      <c r="C30" s="66" t="n"/>
      <c r="D30" s="66" t="n"/>
      <c r="E30" s="66" t="n"/>
      <c r="F30" s="66" t="n"/>
      <c r="G30" s="66" t="n"/>
      <c r="H30" s="66" t="n"/>
      <c r="I30" s="66" t="n"/>
      <c r="J30" s="66" t="n"/>
      <c r="K30" s="66" t="n"/>
    </row>
    <row r="31">
      <c r="A31" s="66" t="n"/>
      <c r="B31" s="66" t="n"/>
      <c r="C31" s="66" t="n"/>
      <c r="D31" s="66" t="n"/>
      <c r="E31" s="66" t="n"/>
      <c r="F31" s="66" t="n"/>
      <c r="G31" s="66" t="n"/>
      <c r="H31" s="66" t="n"/>
      <c r="I31" s="66" t="n"/>
      <c r="J31" s="66" t="n"/>
      <c r="K31" s="66" t="n"/>
    </row>
    <row r="32">
      <c r="A32" s="66" t="n"/>
      <c r="B32" s="66" t="n"/>
      <c r="C32" s="66" t="n"/>
      <c r="D32" s="66" t="n"/>
      <c r="E32" s="66" t="n"/>
      <c r="F32" s="66" t="n"/>
      <c r="G32" s="66" t="n"/>
      <c r="H32" s="66" t="n"/>
      <c r="I32" s="66" t="n"/>
      <c r="J32" s="66" t="n"/>
      <c r="K32" s="66" t="n"/>
    </row>
    <row r="33">
      <c r="A33" s="66" t="n"/>
      <c r="B33" s="66" t="n"/>
      <c r="C33" s="66" t="n"/>
      <c r="D33" s="66" t="n"/>
      <c r="E33" s="66" t="n"/>
      <c r="F33" s="66" t="n"/>
      <c r="G33" s="66" t="n"/>
      <c r="H33" s="66" t="n"/>
      <c r="I33" s="66" t="n"/>
      <c r="J33" s="66" t="n"/>
      <c r="K33" s="66" t="n"/>
    </row>
    <row r="34">
      <c r="A34" s="66" t="n"/>
      <c r="B34" s="66" t="n"/>
      <c r="C34" s="66" t="n"/>
      <c r="D34" s="66" t="n"/>
      <c r="E34" s="66" t="n"/>
      <c r="F34" s="66" t="n"/>
      <c r="G34" s="66" t="n"/>
      <c r="H34" s="66" t="n"/>
      <c r="I34" s="66" t="n"/>
      <c r="J34" s="66" t="n"/>
      <c r="K34" s="66" t="n"/>
    </row>
    <row r="35">
      <c r="A35" s="66" t="n"/>
      <c r="B35" s="66" t="n"/>
      <c r="C35" s="66" t="n"/>
      <c r="D35" s="66" t="n"/>
      <c r="E35" s="66" t="n"/>
      <c r="F35" s="66" t="n"/>
      <c r="G35" s="66" t="n"/>
      <c r="H35" s="66" t="n"/>
      <c r="I35" s="66" t="n"/>
      <c r="J35" s="66" t="n"/>
      <c r="K35" s="66" t="n"/>
    </row>
    <row r="36">
      <c r="A36" s="66" t="n"/>
      <c r="B36" s="66" t="n"/>
      <c r="C36" s="66" t="n"/>
      <c r="D36" s="66" t="n"/>
      <c r="E36" s="66" t="n"/>
      <c r="F36" s="66" t="n"/>
      <c r="G36" s="66" t="n"/>
      <c r="H36" s="66" t="n"/>
      <c r="I36" s="66" t="n"/>
      <c r="J36" s="66" t="n"/>
      <c r="K36" s="66" t="n"/>
    </row>
    <row r="37">
      <c r="A37" s="66" t="n"/>
      <c r="B37" s="66" t="n"/>
      <c r="C37" s="66" t="n"/>
      <c r="D37" s="66" t="n"/>
      <c r="E37" s="66" t="n"/>
      <c r="F37" s="66" t="n"/>
      <c r="G37" s="66" t="n"/>
      <c r="H37" s="66" t="n"/>
      <c r="I37" s="66" t="n"/>
      <c r="J37" s="66" t="n"/>
      <c r="K37" s="66" t="n"/>
    </row>
    <row r="38">
      <c r="A38" s="66" t="n"/>
      <c r="B38" s="66" t="n"/>
      <c r="C38" s="66" t="n"/>
      <c r="D38" s="66" t="n"/>
      <c r="E38" s="66" t="n"/>
      <c r="F38" s="66" t="n"/>
      <c r="G38" s="66" t="n"/>
      <c r="H38" s="66" t="n"/>
      <c r="I38" s="66" t="n"/>
      <c r="J38" s="66" t="n"/>
      <c r="K38" s="66" t="n"/>
    </row>
    <row r="39">
      <c r="A39" s="66" t="n"/>
      <c r="B39" s="66" t="n"/>
      <c r="C39" s="66" t="n"/>
      <c r="D39" s="66" t="n"/>
      <c r="E39" s="66" t="n"/>
      <c r="F39" s="66" t="n"/>
      <c r="G39" s="66" t="n"/>
      <c r="H39" s="66" t="n"/>
      <c r="I39" s="66" t="n"/>
      <c r="J39" s="66" t="n"/>
      <c r="K39" s="66" t="n"/>
    </row>
    <row r="40">
      <c r="A40" s="56" t="n"/>
      <c r="B40" s="56" t="n"/>
      <c r="C40" s="56" t="n"/>
      <c r="D40" s="56" t="n"/>
      <c r="E40" s="56" t="n"/>
      <c r="F40" s="56" t="n"/>
      <c r="G40" s="56" t="n"/>
      <c r="H40" s="56" t="n"/>
      <c r="I40" s="56" t="n"/>
      <c r="J40" s="56" t="n"/>
      <c r="K40" s="56" t="n"/>
    </row>
    <row r="41">
      <c r="A41" s="56" t="n"/>
      <c r="B41" s="56" t="n"/>
      <c r="C41" s="56" t="n"/>
      <c r="D41" s="56" t="n"/>
      <c r="E41" s="56" t="n"/>
      <c r="F41" s="56" t="n"/>
      <c r="G41" s="56" t="n"/>
      <c r="H41" s="56" t="n"/>
      <c r="I41" s="56" t="n"/>
      <c r="J41" s="56" t="n"/>
      <c r="K41" s="56" t="n"/>
    </row>
    <row r="42">
      <c r="A42" s="56" t="n"/>
      <c r="B42" s="56" t="n"/>
      <c r="C42" s="56" t="n"/>
      <c r="D42" s="56" t="n"/>
      <c r="E42" s="56" t="n"/>
      <c r="F42" s="56" t="n"/>
      <c r="G42" s="56" t="n"/>
      <c r="H42" s="56" t="n"/>
      <c r="I42" s="56" t="n"/>
      <c r="J42" s="56" t="n"/>
      <c r="K42" s="56" t="n"/>
    </row>
    <row r="43">
      <c r="A43" s="56" t="n"/>
      <c r="B43" s="56" t="n"/>
      <c r="C43" s="56" t="n"/>
      <c r="D43" s="56" t="n"/>
      <c r="E43" s="56" t="n"/>
      <c r="F43" s="56" t="n"/>
      <c r="G43" s="56" t="n"/>
      <c r="H43" s="56" t="n"/>
      <c r="I43" s="56" t="n"/>
      <c r="J43" s="56" t="n"/>
      <c r="K43" s="56" t="n"/>
    </row>
    <row r="44">
      <c r="A44" s="56" t="n"/>
      <c r="B44" s="56" t="n"/>
      <c r="C44" s="56" t="n"/>
      <c r="D44" s="56" t="n"/>
      <c r="E44" s="56" t="n"/>
      <c r="F44" s="56" t="n"/>
      <c r="G44" s="56" t="n"/>
      <c r="H44" s="56" t="n"/>
      <c r="I44" s="56" t="n"/>
      <c r="J44" s="56" t="n"/>
      <c r="K44" s="56" t="n"/>
    </row>
  </sheetData>
  <sheetProtection selectLockedCells="0" selectUnlockedCells="0" sheet="1" objects="0" insertRows="0" insertHyperlinks="0" autoFilter="0" scenarios="1" formatColumns="0" deleteColumns="1" insertColumns="1" pivotTables="1" deleteRows="0" formatCells="0" formatRows="0" sort="0" password="EC7C"/>
  <autoFilter ref="A4:K39"/>
  <mergeCells count="2">
    <mergeCell ref="A2:K2"/>
    <mergeCell ref="A1:K1"/>
  </mergeCells>
  <dataValidations count="2">
    <dataValidation sqref="A5:A39" showDropDown="0" showInputMessage="1" showErrorMessage="1" allowBlank="1" errorTitle="Invalid Entry" error="Please select a value from the dropdown list." promptTitle="Select" prompt="Choose from the list" type="list">
      <formula1>"Living Room,Master Bedroom,Kitchen,Dining Room,Home Office,Powder Room"</formula1>
    </dataValidation>
    <dataValidation sqref="B5:B39" showDropDown="0" showInputMessage="1" showErrorMessage="1" allowBlank="1" errorTitle="Invalid Entry" error="Please select a value from the dropdown list." promptTitle="Select" prompt="Choose from the list" type="list">
      <formula1>"Room,Wall,Window,Door,Cabinet,Furniture Space,Rug Area,Lighting Location"</formula1>
    </dataValidation>
  </dataValidations>
  <pageMargins left="0.5" right="0.5" top="0.6" bottom="0.6" header="0.5" footer="0.5"/>
  <headerFooter>
    <oddHeader/>
    <oddFooter>&amp;C&amp;"Calibri"&amp;8 &amp;"Calibri"&amp;8Novality store  ·  Interior Design FF&amp;E Tracker  ·  Page &amp;P of &amp;N</oddFooter>
    <evenHeader/>
    <evenFooter/>
    <firstHeader/>
    <firstFooter/>
  </headerFooter>
</worksheet>
</file>

<file path=xl/worksheets/sheet19.xml><?xml version="1.0" encoding="utf-8"?>
<worksheet xmlns="http://schemas.openxmlformats.org/spreadsheetml/2006/main">
  <sheetPr>
    <tabColor rgb="006D4C41"/>
    <outlinePr summaryBelow="1" summaryRight="1"/>
    <pageSetUpPr/>
  </sheetPr>
  <dimension ref="A1:K3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20" customWidth="1" min="3" max="3"/>
    <col width="28" customWidth="1" min="4" max="4"/>
    <col width="12" customWidth="1" min="5" max="5"/>
    <col width="12" customWidth="1" min="6" max="6"/>
    <col width="12" customWidth="1" min="7" max="7"/>
    <col width="14" customWidth="1" min="8" max="8"/>
    <col width="14" customWidth="1" min="9" max="9"/>
    <col width="14" customWidth="1" min="10" max="10"/>
    <col width="28" customWidth="1" min="11" max="11"/>
  </cols>
  <sheetData>
    <row r="1" ht="38" customHeight="1">
      <c r="A1" s="51" t="inlineStr">
        <is>
          <t>CONTRACTOR / INSTALLER TRACKER</t>
        </is>
      </c>
      <c r="B1" s="52" t="n"/>
      <c r="C1" s="52" t="n"/>
      <c r="D1" s="52" t="n"/>
      <c r="E1" s="52" t="n"/>
      <c r="F1" s="52" t="n"/>
      <c r="G1" s="52" t="n"/>
      <c r="H1" s="52" t="n"/>
      <c r="I1" s="52" t="n"/>
      <c r="J1" s="52" t="n"/>
      <c r="K1" s="52" t="n"/>
    </row>
    <row r="2" ht="18" customHeight="1">
      <c r="A2" s="53" t="inlineStr">
        <is>
          <t>Coordinate trades, quotes, insurance, and schedules  ·  Novality store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</row>
    <row r="3"/>
    <row r="4" ht="34" customHeight="1">
      <c r="A4" s="65" t="inlineStr">
        <is>
          <t>Contractor/Vendor Name</t>
        </is>
      </c>
      <c r="B4" s="65" t="inlineStr">
        <is>
          <t>Trade</t>
        </is>
      </c>
      <c r="C4" s="65" t="inlineStr">
        <is>
          <t>Contact</t>
        </is>
      </c>
      <c r="D4" s="65" t="inlineStr">
        <is>
          <t>Scope</t>
        </is>
      </c>
      <c r="E4" s="65" t="inlineStr">
        <is>
          <t>Quote Amount</t>
        </is>
      </c>
      <c r="F4" s="65" t="inlineStr">
        <is>
          <t>Start Date</t>
        </is>
      </c>
      <c r="G4" s="65" t="inlineStr">
        <is>
          <t>End Date</t>
        </is>
      </c>
      <c r="H4" s="65" t="inlineStr">
        <is>
          <t>Payment Status</t>
        </is>
      </c>
      <c r="I4" s="65" t="inlineStr">
        <is>
          <t>Insurance Received</t>
        </is>
      </c>
      <c r="J4" s="65" t="inlineStr">
        <is>
          <t>Contract Signed</t>
        </is>
      </c>
      <c r="K4" s="65" t="inlineStr">
        <is>
          <t>Notes</t>
        </is>
      </c>
    </row>
    <row r="5">
      <c r="A5" s="66" t="inlineStr">
        <is>
          <t>Summit Build Co.</t>
        </is>
      </c>
      <c r="B5" s="66" t="inlineStr">
        <is>
          <t>General Contractor</t>
        </is>
      </c>
      <c r="C5" s="66" t="inlineStr">
        <is>
          <t>Mike Torres · 555-2001</t>
        </is>
      </c>
      <c r="D5" s="66" t="inlineStr">
        <is>
          <t>Kitchen rough-in &amp; coordination</t>
        </is>
      </c>
      <c r="E5" s="68" t="n">
        <v>8500</v>
      </c>
      <c r="F5" s="73" t="n">
        <v>46143</v>
      </c>
      <c r="G5" s="73" t="n">
        <v>46188</v>
      </c>
      <c r="H5" s="67" t="inlineStr">
        <is>
          <t>Partially Paid</t>
        </is>
      </c>
      <c r="I5" s="67" t="inlineStr">
        <is>
          <t>Yes</t>
        </is>
      </c>
      <c r="J5" s="67" t="inlineStr">
        <is>
          <t>Yes</t>
        </is>
      </c>
      <c r="K5" s="66" t="inlineStr">
        <is>
          <t>COI on file</t>
        </is>
      </c>
    </row>
    <row r="6">
      <c r="A6" s="66" t="inlineStr">
        <is>
          <t>Lumen Electric</t>
        </is>
      </c>
      <c r="B6" s="66" t="inlineStr">
        <is>
          <t>Electrician</t>
        </is>
      </c>
      <c r="C6" s="66" t="inlineStr">
        <is>
          <t>Priya Nair · 555-2002</t>
        </is>
      </c>
      <c r="D6" s="66" t="inlineStr">
        <is>
          <t>Island pendants + recessed</t>
        </is>
      </c>
      <c r="E6" s="68" t="n">
        <v>2200</v>
      </c>
      <c r="F6" s="73" t="n">
        <v>46152</v>
      </c>
      <c r="G6" s="73" t="n">
        <v>46160</v>
      </c>
      <c r="H6" s="67" t="inlineStr">
        <is>
          <t>Unpaid</t>
        </is>
      </c>
      <c r="I6" s="67" t="inlineStr">
        <is>
          <t>Yes</t>
        </is>
      </c>
      <c r="J6" s="67" t="inlineStr">
        <is>
          <t>Yes</t>
        </is>
      </c>
      <c r="K6" s="66" t="inlineStr"/>
    </row>
    <row r="7">
      <c r="A7" s="66" t="inlineStr">
        <is>
          <t>Cascade Plumbing</t>
        </is>
      </c>
      <c r="B7" s="66" t="inlineStr">
        <is>
          <t>Plumber</t>
        </is>
      </c>
      <c r="C7" s="66" t="inlineStr">
        <is>
          <t>Ed Walsh · 555-2003</t>
        </is>
      </c>
      <c r="D7" s="66" t="inlineStr">
        <is>
          <t>Powder vessel sink install</t>
        </is>
      </c>
      <c r="E7" s="68" t="n">
        <v>980</v>
      </c>
      <c r="F7" s="73" t="n">
        <v>46143</v>
      </c>
      <c r="G7" s="73" t="n">
        <v>46145</v>
      </c>
      <c r="H7" s="67" t="inlineStr">
        <is>
          <t>Unpaid</t>
        </is>
      </c>
      <c r="I7" s="67" t="inlineStr">
        <is>
          <t>Yes</t>
        </is>
      </c>
      <c r="J7" s="67" t="inlineStr">
        <is>
          <t>Yes</t>
        </is>
      </c>
      <c r="K7" s="66" t="inlineStr"/>
    </row>
    <row r="8">
      <c r="A8" s="66" t="inlineStr">
        <is>
          <t>Oak &amp; Stone Floors</t>
        </is>
      </c>
      <c r="B8" s="66" t="inlineStr">
        <is>
          <t>Flooring Installer</t>
        </is>
      </c>
      <c r="C8" s="66" t="inlineStr">
        <is>
          <t>Lee Cho · 555-2004</t>
        </is>
      </c>
      <c r="D8" s="66" t="inlineStr">
        <is>
          <t>Living white oak install</t>
        </is>
      </c>
      <c r="E8" s="68" t="n">
        <v>4200</v>
      </c>
      <c r="F8" s="73" t="n">
        <v>46132</v>
      </c>
      <c r="G8" s="73" t="n">
        <v>46140</v>
      </c>
      <c r="H8" s="67" t="inlineStr">
        <is>
          <t>Paid</t>
        </is>
      </c>
      <c r="I8" s="67" t="inlineStr">
        <is>
          <t>Yes</t>
        </is>
      </c>
      <c r="J8" s="67" t="inlineStr">
        <is>
          <t>Yes</t>
        </is>
      </c>
      <c r="K8" s="66" t="inlineStr">
        <is>
          <t>Completed</t>
        </is>
      </c>
    </row>
    <row r="9">
      <c r="A9" s="66" t="inlineStr">
        <is>
          <t>Paper &amp; Paste</t>
        </is>
      </c>
      <c r="B9" s="66" t="inlineStr">
        <is>
          <t>Wallpaper Installer</t>
        </is>
      </c>
      <c r="C9" s="66" t="inlineStr">
        <is>
          <t>Nina Sol · 555-2005</t>
        </is>
      </c>
      <c r="D9" s="66" t="inlineStr">
        <is>
          <t>Powder grasscloth</t>
        </is>
      </c>
      <c r="E9" s="68" t="n">
        <v>750</v>
      </c>
      <c r="F9" s="73" t="n">
        <v>46147</v>
      </c>
      <c r="G9" s="73" t="n">
        <v>46148</v>
      </c>
      <c r="H9" s="67" t="inlineStr">
        <is>
          <t>Unpaid</t>
        </is>
      </c>
      <c r="I9" s="67" t="inlineStr">
        <is>
          <t>Yes</t>
        </is>
      </c>
      <c r="J9" s="67" t="inlineStr">
        <is>
          <t>No</t>
        </is>
      </c>
      <c r="K9" s="66" t="inlineStr">
        <is>
          <t>Send contract</t>
        </is>
      </c>
    </row>
    <row r="10">
      <c r="A10" s="66" t="inlineStr">
        <is>
          <t>White Glove Crew</t>
        </is>
      </c>
      <c r="B10" s="66" t="inlineStr">
        <is>
          <t>Furniture Installer</t>
        </is>
      </c>
      <c r="C10" s="66" t="inlineStr">
        <is>
          <t>Dispatch · 555-2006</t>
        </is>
      </c>
      <c r="D10" s="66" t="inlineStr">
        <is>
          <t>Living room furniture set</t>
        </is>
      </c>
      <c r="E10" s="68" t="n">
        <v>450</v>
      </c>
      <c r="F10" s="73" t="n">
        <v>46167</v>
      </c>
      <c r="G10" s="73" t="n">
        <v>46167</v>
      </c>
      <c r="H10" s="67" t="inlineStr">
        <is>
          <t>Unpaid</t>
        </is>
      </c>
      <c r="I10" s="67" t="inlineStr">
        <is>
          <t>Yes</t>
        </is>
      </c>
      <c r="J10" s="67" t="inlineStr">
        <is>
          <t>Yes</t>
        </is>
      </c>
      <c r="K10" s="66" t="inlineStr">
        <is>
          <t>Article partner</t>
        </is>
      </c>
    </row>
    <row r="11">
      <c r="A11" s="66" t="inlineStr">
        <is>
          <t>Fresh Coat Pros</t>
        </is>
      </c>
      <c r="B11" s="66" t="inlineStr">
        <is>
          <t>Painter</t>
        </is>
      </c>
      <c r="C11" s="66" t="inlineStr">
        <is>
          <t>Tom Rivera · 555-2007</t>
        </is>
      </c>
      <c r="D11" s="66" t="inlineStr">
        <is>
          <t>Touch-ups post install</t>
        </is>
      </c>
      <c r="E11" s="68" t="n">
        <v>600</v>
      </c>
      <c r="F11" s="73" t="n">
        <v>46183</v>
      </c>
      <c r="G11" s="73" t="n">
        <v>46185</v>
      </c>
      <c r="H11" s="67" t="inlineStr">
        <is>
          <t>Unpaid</t>
        </is>
      </c>
      <c r="I11" s="67" t="inlineStr">
        <is>
          <t>No</t>
        </is>
      </c>
      <c r="J11" s="67" t="inlineStr">
        <is>
          <t>No</t>
        </is>
      </c>
      <c r="K11" s="66" t="inlineStr">
        <is>
          <t>Need COI</t>
        </is>
      </c>
    </row>
    <row r="12">
      <c r="A12" s="66" t="n"/>
      <c r="B12" s="66" t="n"/>
      <c r="C12" s="66" t="n"/>
      <c r="D12" s="66" t="n"/>
      <c r="E12" s="68" t="n"/>
      <c r="F12" s="73" t="n"/>
      <c r="G12" s="73" t="n"/>
      <c r="H12" s="66" t="n"/>
      <c r="I12" s="66" t="n"/>
      <c r="J12" s="66" t="n"/>
      <c r="K12" s="66" t="n"/>
    </row>
    <row r="13">
      <c r="A13" s="66" t="n"/>
      <c r="B13" s="66" t="n"/>
      <c r="C13" s="66" t="n"/>
      <c r="D13" s="66" t="n"/>
      <c r="E13" s="68" t="n"/>
      <c r="F13" s="73" t="n"/>
      <c r="G13" s="73" t="n"/>
      <c r="H13" s="66" t="n"/>
      <c r="I13" s="66" t="n"/>
      <c r="J13" s="66" t="n"/>
      <c r="K13" s="66" t="n"/>
    </row>
    <row r="14">
      <c r="A14" s="66" t="n"/>
      <c r="B14" s="66" t="n"/>
      <c r="C14" s="66" t="n"/>
      <c r="D14" s="66" t="n"/>
      <c r="E14" s="68" t="n"/>
      <c r="F14" s="73" t="n"/>
      <c r="G14" s="73" t="n"/>
      <c r="H14" s="66" t="n"/>
      <c r="I14" s="66" t="n"/>
      <c r="J14" s="66" t="n"/>
      <c r="K14" s="66" t="n"/>
    </row>
    <row r="15">
      <c r="A15" s="66" t="n"/>
      <c r="B15" s="66" t="n"/>
      <c r="C15" s="66" t="n"/>
      <c r="D15" s="66" t="n"/>
      <c r="E15" s="68" t="n"/>
      <c r="F15" s="73" t="n"/>
      <c r="G15" s="73" t="n"/>
      <c r="H15" s="66" t="n"/>
      <c r="I15" s="66" t="n"/>
      <c r="J15" s="66" t="n"/>
      <c r="K15" s="66" t="n"/>
    </row>
    <row r="16">
      <c r="A16" s="66" t="n"/>
      <c r="B16" s="66" t="n"/>
      <c r="C16" s="66" t="n"/>
      <c r="D16" s="66" t="n"/>
      <c r="E16" s="68" t="n"/>
      <c r="F16" s="73" t="n"/>
      <c r="G16" s="73" t="n"/>
      <c r="H16" s="66" t="n"/>
      <c r="I16" s="66" t="n"/>
      <c r="J16" s="66" t="n"/>
      <c r="K16" s="66" t="n"/>
    </row>
    <row r="17">
      <c r="A17" s="66" t="n"/>
      <c r="B17" s="66" t="n"/>
      <c r="C17" s="66" t="n"/>
      <c r="D17" s="66" t="n"/>
      <c r="E17" s="68" t="n"/>
      <c r="F17" s="73" t="n"/>
      <c r="G17" s="73" t="n"/>
      <c r="H17" s="66" t="n"/>
      <c r="I17" s="66" t="n"/>
      <c r="J17" s="66" t="n"/>
      <c r="K17" s="66" t="n"/>
    </row>
    <row r="18">
      <c r="A18" s="66" t="n"/>
      <c r="B18" s="66" t="n"/>
      <c r="C18" s="66" t="n"/>
      <c r="D18" s="66" t="n"/>
      <c r="E18" s="68" t="n"/>
      <c r="F18" s="73" t="n"/>
      <c r="G18" s="73" t="n"/>
      <c r="H18" s="66" t="n"/>
      <c r="I18" s="66" t="n"/>
      <c r="J18" s="66" t="n"/>
      <c r="K18" s="66" t="n"/>
    </row>
    <row r="19">
      <c r="A19" s="66" t="n"/>
      <c r="B19" s="66" t="n"/>
      <c r="C19" s="66" t="n"/>
      <c r="D19" s="66" t="n"/>
      <c r="E19" s="68" t="n"/>
      <c r="F19" s="73" t="n"/>
      <c r="G19" s="73" t="n"/>
      <c r="H19" s="66" t="n"/>
      <c r="I19" s="66" t="n"/>
      <c r="J19" s="66" t="n"/>
      <c r="K19" s="66" t="n"/>
    </row>
    <row r="20">
      <c r="A20" s="66" t="n"/>
      <c r="B20" s="66" t="n"/>
      <c r="C20" s="66" t="n"/>
      <c r="D20" s="66" t="n"/>
      <c r="E20" s="68" t="n"/>
      <c r="F20" s="73" t="n"/>
      <c r="G20" s="73" t="n"/>
      <c r="H20" s="66" t="n"/>
      <c r="I20" s="66" t="n"/>
      <c r="J20" s="66" t="n"/>
      <c r="K20" s="66" t="n"/>
    </row>
    <row r="21">
      <c r="A21" s="66" t="n"/>
      <c r="B21" s="66" t="n"/>
      <c r="C21" s="66" t="n"/>
      <c r="D21" s="66" t="n"/>
      <c r="E21" s="68" t="n"/>
      <c r="F21" s="73" t="n"/>
      <c r="G21" s="73" t="n"/>
      <c r="H21" s="66" t="n"/>
      <c r="I21" s="66" t="n"/>
      <c r="J21" s="66" t="n"/>
      <c r="K21" s="66" t="n"/>
    </row>
    <row r="22">
      <c r="A22" s="66" t="n"/>
      <c r="B22" s="66" t="n"/>
      <c r="C22" s="66" t="n"/>
      <c r="D22" s="66" t="n"/>
      <c r="E22" s="68" t="n"/>
      <c r="F22" s="73" t="n"/>
      <c r="G22" s="73" t="n"/>
      <c r="H22" s="66" t="n"/>
      <c r="I22" s="66" t="n"/>
      <c r="J22" s="66" t="n"/>
      <c r="K22" s="66" t="n"/>
    </row>
    <row r="23">
      <c r="A23" s="66" t="n"/>
      <c r="B23" s="66" t="n"/>
      <c r="C23" s="66" t="n"/>
      <c r="D23" s="66" t="n"/>
      <c r="E23" s="68" t="n"/>
      <c r="F23" s="73" t="n"/>
      <c r="G23" s="73" t="n"/>
      <c r="H23" s="66" t="n"/>
      <c r="I23" s="66" t="n"/>
      <c r="J23" s="66" t="n"/>
      <c r="K23" s="66" t="n"/>
    </row>
    <row r="24">
      <c r="A24" s="66" t="n"/>
      <c r="B24" s="66" t="n"/>
      <c r="C24" s="66" t="n"/>
      <c r="D24" s="66" t="n"/>
      <c r="E24" s="68" t="n"/>
      <c r="F24" s="73" t="n"/>
      <c r="G24" s="73" t="n"/>
      <c r="H24" s="66" t="n"/>
      <c r="I24" s="66" t="n"/>
      <c r="J24" s="66" t="n"/>
      <c r="K24" s="66" t="n"/>
    </row>
    <row r="25">
      <c r="A25" s="66" t="n"/>
      <c r="B25" s="66" t="n"/>
      <c r="C25" s="66" t="n"/>
      <c r="D25" s="66" t="n"/>
      <c r="E25" s="68" t="n"/>
      <c r="F25" s="73" t="n"/>
      <c r="G25" s="73" t="n"/>
      <c r="H25" s="66" t="n"/>
      <c r="I25" s="66" t="n"/>
      <c r="J25" s="66" t="n"/>
      <c r="K25" s="66" t="n"/>
    </row>
    <row r="26">
      <c r="A26" s="66" t="n"/>
      <c r="B26" s="66" t="n"/>
      <c r="C26" s="66" t="n"/>
      <c r="D26" s="66" t="n"/>
      <c r="E26" s="68" t="n"/>
      <c r="F26" s="73" t="n"/>
      <c r="G26" s="73" t="n"/>
      <c r="H26" s="66" t="n"/>
      <c r="I26" s="66" t="n"/>
      <c r="J26" s="66" t="n"/>
      <c r="K26" s="66" t="n"/>
    </row>
    <row r="27">
      <c r="A27" s="66" t="n"/>
      <c r="B27" s="66" t="n"/>
      <c r="C27" s="66" t="n"/>
      <c r="D27" s="66" t="n"/>
      <c r="E27" s="68" t="n"/>
      <c r="F27" s="73" t="n"/>
      <c r="G27" s="73" t="n"/>
      <c r="H27" s="66" t="n"/>
      <c r="I27" s="66" t="n"/>
      <c r="J27" s="66" t="n"/>
      <c r="K27" s="66" t="n"/>
    </row>
    <row r="28">
      <c r="A28" s="66" t="n"/>
      <c r="B28" s="66" t="n"/>
      <c r="C28" s="66" t="n"/>
      <c r="D28" s="66" t="n"/>
      <c r="E28" s="68" t="n"/>
      <c r="F28" s="73" t="n"/>
      <c r="G28" s="73" t="n"/>
      <c r="H28" s="66" t="n"/>
      <c r="I28" s="66" t="n"/>
      <c r="J28" s="66" t="n"/>
      <c r="K28" s="66" t="n"/>
    </row>
    <row r="29">
      <c r="A29" s="66" t="n"/>
      <c r="B29" s="66" t="n"/>
      <c r="C29" s="66" t="n"/>
      <c r="D29" s="66" t="n"/>
      <c r="E29" s="68" t="n"/>
      <c r="F29" s="73" t="n"/>
      <c r="G29" s="73" t="n"/>
      <c r="H29" s="66" t="n"/>
      <c r="I29" s="66" t="n"/>
      <c r="J29" s="66" t="n"/>
      <c r="K29" s="66" t="n"/>
    </row>
    <row r="30">
      <c r="A30" s="66" t="n"/>
      <c r="B30" s="66" t="n"/>
      <c r="C30" s="66" t="n"/>
      <c r="D30" s="66" t="n"/>
      <c r="E30" s="68" t="n"/>
      <c r="F30" s="73" t="n"/>
      <c r="G30" s="73" t="n"/>
      <c r="H30" s="66" t="n"/>
      <c r="I30" s="66" t="n"/>
      <c r="J30" s="66" t="n"/>
      <c r="K30" s="66" t="n"/>
    </row>
    <row r="31">
      <c r="A31" s="66" t="n"/>
      <c r="B31" s="66" t="n"/>
      <c r="C31" s="66" t="n"/>
      <c r="D31" s="66" t="n"/>
      <c r="E31" s="68" t="n"/>
      <c r="F31" s="73" t="n"/>
      <c r="G31" s="73" t="n"/>
      <c r="H31" s="66" t="n"/>
      <c r="I31" s="66" t="n"/>
      <c r="J31" s="66" t="n"/>
      <c r="K31" s="66" t="n"/>
    </row>
    <row r="32">
      <c r="A32" s="66" t="n"/>
      <c r="B32" s="66" t="n"/>
      <c r="C32" s="66" t="n"/>
      <c r="D32" s="66" t="n"/>
      <c r="E32" s="68" t="n"/>
      <c r="F32" s="73" t="n"/>
      <c r="G32" s="73" t="n"/>
      <c r="H32" s="66" t="n"/>
      <c r="I32" s="66" t="n"/>
      <c r="J32" s="66" t="n"/>
      <c r="K32" s="66" t="n"/>
    </row>
    <row r="33">
      <c r="A33" s="66" t="n"/>
      <c r="B33" s="66" t="n"/>
      <c r="C33" s="66" t="n"/>
      <c r="D33" s="66" t="n"/>
      <c r="E33" s="68" t="n"/>
      <c r="F33" s="73" t="n"/>
      <c r="G33" s="73" t="n"/>
      <c r="H33" s="66" t="n"/>
      <c r="I33" s="66" t="n"/>
      <c r="J33" s="66" t="n"/>
      <c r="K33" s="66" t="n"/>
    </row>
    <row r="34">
      <c r="A34" s="66" t="n"/>
      <c r="B34" s="66" t="n"/>
      <c r="C34" s="66" t="n"/>
      <c r="D34" s="66" t="n"/>
      <c r="E34" s="68" t="n"/>
      <c r="F34" s="73" t="n"/>
      <c r="G34" s="73" t="n"/>
      <c r="H34" s="66" t="n"/>
      <c r="I34" s="66" t="n"/>
      <c r="J34" s="66" t="n"/>
      <c r="K34" s="66" t="n"/>
    </row>
    <row r="35">
      <c r="A35" s="56" t="n"/>
      <c r="B35" s="56" t="n"/>
      <c r="C35" s="56" t="n"/>
      <c r="D35" s="56" t="n"/>
      <c r="E35" s="56" t="n"/>
      <c r="F35" s="56" t="n"/>
      <c r="G35" s="56" t="n"/>
      <c r="H35" s="56" t="n"/>
      <c r="I35" s="56" t="n"/>
      <c r="J35" s="56" t="n"/>
      <c r="K35" s="56" t="n"/>
    </row>
    <row r="36">
      <c r="A36" s="56" t="n"/>
      <c r="B36" s="56" t="n"/>
      <c r="C36" s="56" t="n"/>
      <c r="D36" s="56" t="n"/>
      <c r="E36" s="56" t="n"/>
      <c r="F36" s="56" t="n"/>
      <c r="G36" s="56" t="n"/>
      <c r="H36" s="56" t="n"/>
      <c r="I36" s="56" t="n"/>
      <c r="J36" s="56" t="n"/>
      <c r="K36" s="56" t="n"/>
    </row>
    <row r="37">
      <c r="A37" s="56" t="n"/>
      <c r="B37" s="56" t="n"/>
      <c r="C37" s="56" t="n"/>
      <c r="D37" s="56" t="n"/>
      <c r="E37" s="56" t="n"/>
      <c r="F37" s="56" t="n"/>
      <c r="G37" s="56" t="n"/>
      <c r="H37" s="56" t="n"/>
      <c r="I37" s="56" t="n"/>
      <c r="J37" s="56" t="n"/>
      <c r="K37" s="56" t="n"/>
    </row>
    <row r="38">
      <c r="A38" s="56" t="n"/>
      <c r="B38" s="56" t="n"/>
      <c r="C38" s="56" t="n"/>
      <c r="D38" s="56" t="n"/>
      <c r="E38" s="56" t="n"/>
      <c r="F38" s="56" t="n"/>
      <c r="G38" s="56" t="n"/>
      <c r="H38" s="56" t="n"/>
      <c r="I38" s="56" t="n"/>
      <c r="J38" s="56" t="n"/>
      <c r="K38" s="56" t="n"/>
    </row>
    <row r="39">
      <c r="A39" s="56" t="n"/>
      <c r="B39" s="56" t="n"/>
      <c r="C39" s="56" t="n"/>
      <c r="D39" s="56" t="n"/>
      <c r="E39" s="56" t="n"/>
      <c r="F39" s="56" t="n"/>
      <c r="G39" s="56" t="n"/>
      <c r="H39" s="56" t="n"/>
      <c r="I39" s="56" t="n"/>
      <c r="J39" s="56" t="n"/>
      <c r="K39" s="56" t="n"/>
    </row>
  </sheetData>
  <sheetProtection selectLockedCells="0" selectUnlockedCells="0" sheet="1" objects="0" insertRows="0" insertHyperlinks="0" autoFilter="0" scenarios="1" formatColumns="0" deleteColumns="1" insertColumns="1" pivotTables="1" deleteRows="0" formatCells="0" formatRows="0" sort="0" password="EC7C"/>
  <autoFilter ref="A4:K34"/>
  <mergeCells count="2">
    <mergeCell ref="A2:K2"/>
    <mergeCell ref="A1:K1"/>
  </mergeCells>
  <conditionalFormatting sqref="H5:H34">
    <cfRule type="expression" priority="1" dxfId="0">
      <formula>ISNUMBER(SEARCH("Approved",H5))</formula>
    </cfRule>
    <cfRule type="expression" priority="2" dxfId="0">
      <formula>ISNUMBER(SEARCH("Installed",H5))</formula>
    </cfRule>
    <cfRule type="expression" priority="3" dxfId="0">
      <formula>ISNUMBER(SEARCH("Delivered",H5))</formula>
    </cfRule>
    <cfRule type="expression" priority="4" dxfId="0">
      <formula>ISNUMBER(SEARCH("Complete",H5))</formula>
    </cfRule>
    <cfRule type="expression" priority="5" dxfId="0">
      <formula>ISNUMBER(SEARCH("Completed",H5))</formula>
    </cfRule>
    <cfRule type="expression" priority="6" dxfId="0">
      <formula>ISNUMBER(SEARCH("Paid",H5))</formula>
    </cfRule>
    <cfRule type="expression" priority="7" dxfId="0">
      <formula>ISNUMBER(SEARCH("Good Condition",H5))</formula>
    </cfRule>
    <cfRule type="expression" priority="8" dxfId="0">
      <formula>ISNUMBER(SEARCH("Yes",H5))</formula>
    </cfRule>
    <cfRule type="expression" priority="9" dxfId="1">
      <formula>ISNUMBER(SEARCH("Pending",H5))</formula>
    </cfRule>
    <cfRule type="expression" priority="10" dxfId="1">
      <formula>ISNUMBER(SEARCH("In Progress",H5))</formula>
    </cfRule>
    <cfRule type="expression" priority="11" dxfId="1">
      <formula>ISNUMBER(SEARCH("Sent",H5))</formula>
    </cfRule>
    <cfRule type="expression" priority="12" dxfId="1">
      <formula>ISNUMBER(SEARCH("Client Review",H5))</formula>
    </cfRule>
    <cfRule type="expression" priority="13" dxfId="1">
      <formula>ISNUMBER(SEARCH("Ordered",H5))</formula>
    </cfRule>
    <cfRule type="expression" priority="14" dxfId="1">
      <formula>ISNUMBER(SEARCH("Shipped",H5))</formula>
    </cfRule>
    <cfRule type="expression" priority="15" dxfId="1">
      <formula>ISNUMBER(SEARCH("Scheduled",H5))</formula>
    </cfRule>
    <cfRule type="expression" priority="16" dxfId="1">
      <formula>ISNUMBER(SEARCH("Partially Paid",H5))</formula>
    </cfRule>
    <cfRule type="expression" priority="17" dxfId="1">
      <formula>ISNUMBER(SEARCH("Waiting on Client",H5))</formula>
    </cfRule>
    <cfRule type="expression" priority="18" dxfId="1">
      <formula>ISNUMBER(SEARCH("Waiting on Vendor",H5))</formula>
    </cfRule>
    <cfRule type="expression" priority="19" dxfId="1">
      <formula>ISNUMBER(SEARCH("Sourcing",H5))</formula>
    </cfRule>
    <cfRule type="expression" priority="20" dxfId="1">
      <formula>ISNUMBER(SEARCH("Option Selected",H5))</formula>
    </cfRule>
    <cfRule type="expression" priority="21" dxfId="1">
      <formula>ISNUMBER(SEARCH("Confirmed",H5))</formula>
    </cfRule>
    <cfRule type="expression" priority="22" dxfId="1">
      <formula>ISNUMBER(SEARCH("In Production",H5))</formula>
    </cfRule>
    <cfRule type="expression" priority="23" dxfId="1">
      <formula>ISNUMBER(SEARCH("In Transit",H5))</formula>
    </cfRule>
    <cfRule type="expression" priority="24" dxfId="1">
      <formula>ISNUMBER(SEARCH("Not Checked",H5))</formula>
    </cfRule>
    <cfRule type="expression" priority="25" dxfId="2">
      <formula>ISNUMBER(SEARCH("Overdue",H5))</formula>
    </cfRule>
    <cfRule type="expression" priority="26" dxfId="2">
      <formula>ISNUMBER(SEARCH("Delayed",H5))</formula>
    </cfRule>
    <cfRule type="expression" priority="27" dxfId="2">
      <formula>ISNUMBER(SEARCH("Rejected",H5))</formula>
    </cfRule>
    <cfRule type="expression" priority="28" dxfId="2">
      <formula>ISNUMBER(SEARCH("Damaged",H5))</formula>
    </cfRule>
    <cfRule type="expression" priority="29" dxfId="2">
      <formula>ISNUMBER(SEARCH("Missing Item",H5))</formula>
    </cfRule>
    <cfRule type="expression" priority="30" dxfId="2">
      <formula>ISNUMBER(SEARCH("Wrong Item",H5))</formula>
    </cfRule>
    <cfRule type="expression" priority="31" dxfId="2">
      <formula>ISNUMBER(SEARCH("Backordered",H5))</formula>
    </cfRule>
    <cfRule type="expression" priority="32" dxfId="2">
      <formula>ISNUMBER(SEARCH("Urgent",H5))</formula>
    </cfRule>
    <cfRule type="expression" priority="33" dxfId="3">
      <formula>ISNUMBER(SEARCH("Cancelled",H5))</formula>
    </cfRule>
    <cfRule type="expression" priority="34" dxfId="3">
      <formula>ISNUMBER(SEARCH("On Hold",H5))</formula>
    </cfRule>
    <cfRule type="expression" priority="35" dxfId="3">
      <formula>ISNUMBER(SEARCH("Not Started",H5))</formula>
    </cfRule>
    <cfRule type="expression" priority="36" dxfId="3">
      <formula>ISNUMBER(SEARCH("Not Sent",H5))</formula>
    </cfRule>
    <cfRule type="expression" priority="37" dxfId="3">
      <formula>ISNUMBER(SEARCH("Draft",H5))</formula>
    </cfRule>
    <cfRule type="expression" priority="38" dxfId="3">
      <formula>ISNUMBER(SEARCH("Not Ordered",H5))</formula>
    </cfRule>
  </conditionalFormatting>
  <dataValidations count="4">
    <dataValidation sqref="B5:B34" showDropDown="0" showInputMessage="1" showErrorMessage="1" allowBlank="1" errorTitle="Invalid Entry" error="Please select a value from the dropdown list." promptTitle="Select" prompt="Choose from the list" type="list">
      <formula1>"General Contractor,Painter,Electrician,Plumber,Flooring Installer,Tile Installer,Wallpaper Installer,Carpenter,Window Treatment Installer,Furniture Installer,Cleaner,Other"</formula1>
    </dataValidation>
    <dataValidation sqref="H5:H34" showDropDown="0" showInputMessage="1" showErrorMessage="1" allowBlank="1" errorTitle="Invalid Entry" error="Please select a value from the dropdown list." promptTitle="Select" prompt="Choose from the list" type="list">
      <formula1>"Draft,Sent,Paid,Partially Paid,Overdue,Cancelled,Unpaid"</formula1>
    </dataValidation>
    <dataValidation sqref="I5:I34" showDropDown="0" showInputMessage="1" showErrorMessage="1" allowBlank="1" errorTitle="Invalid Entry" error="Please select a value from the dropdown list." promptTitle="Select" prompt="Choose from the list" type="list">
      <formula1>"Yes,No"</formula1>
    </dataValidation>
    <dataValidation sqref="J5:J34" showDropDown="0" showInputMessage="1" showErrorMessage="1" allowBlank="1" errorTitle="Invalid Entry" error="Please select a value from the dropdown list." promptTitle="Select" prompt="Choose from the list" type="list">
      <formula1>"Yes,No"</formula1>
    </dataValidation>
  </dataValidations>
  <pageMargins left="0.5" right="0.5" top="0.6" bottom="0.6" header="0.5" footer="0.5"/>
  <headerFooter>
    <oddHeader/>
    <oddFooter>&amp;C&amp;"Calibri"&amp;8 &amp;"Calibri"&amp;8Novality store  ·  Interior Design FF&amp;E Tracker  ·  Page &amp;P of &amp;N</oddFooter>
    <evenHeader/>
    <evenFooter/>
    <firstHeader/>
    <firstFooter/>
  </headerFooter>
</worksheet>
</file>

<file path=xl/worksheets/sheet20.xml><?xml version="1.0" encoding="utf-8"?>
<worksheet xmlns="http://schemas.openxmlformats.org/spreadsheetml/2006/main">
  <sheetPr>
    <tabColor rgb="002F6B4F"/>
    <outlinePr summaryBelow="1" summaryRight="1"/>
    <pageSetUpPr/>
  </sheetPr>
  <dimension ref="A1:J4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  <col width="36" customWidth="1" min="4" max="4"/>
    <col width="12" customWidth="1" min="5" max="5"/>
    <col width="12" customWidth="1" min="6" max="6"/>
    <col width="12" customWidth="1" min="7" max="7"/>
    <col width="14" customWidth="1" min="8" max="8"/>
    <col width="14" customWidth="1" min="9" max="9"/>
    <col width="28" customWidth="1" min="10" max="10"/>
  </cols>
  <sheetData>
    <row r="1" ht="38" customHeight="1">
      <c r="A1" s="51" t="inlineStr">
        <is>
          <t>INVOICE &amp; PAYMENT TRACKER</t>
        </is>
      </c>
      <c r="B1" s="52" t="n"/>
      <c r="C1" s="52" t="n"/>
      <c r="D1" s="52" t="n"/>
      <c r="E1" s="52" t="n"/>
      <c r="F1" s="52" t="n"/>
      <c r="G1" s="52" t="n"/>
      <c r="H1" s="52" t="n"/>
      <c r="I1" s="52" t="n"/>
      <c r="J1" s="52" t="n"/>
    </row>
    <row r="2" ht="18" customHeight="1">
      <c r="A2" s="53" t="inlineStr">
        <is>
          <t>Client billing for design fees and reimbursable items  ·  Novality store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</row>
    <row r="3"/>
    <row r="4" ht="34" customHeight="1">
      <c r="A4" s="65" t="inlineStr">
        <is>
          <t>Invoice Number</t>
        </is>
      </c>
      <c r="B4" s="65" t="inlineStr">
        <is>
          <t>Invoice Date</t>
        </is>
      </c>
      <c r="C4" s="65" t="inlineStr">
        <is>
          <t>Client</t>
        </is>
      </c>
      <c r="D4" s="65" t="inlineStr">
        <is>
          <t>Description</t>
        </is>
      </c>
      <c r="E4" s="65" t="inlineStr">
        <is>
          <t>Amount</t>
        </is>
      </c>
      <c r="F4" s="65" t="inlineStr">
        <is>
          <t>Due Date</t>
        </is>
      </c>
      <c r="G4" s="65" t="inlineStr">
        <is>
          <t>Paid Date</t>
        </is>
      </c>
      <c r="H4" s="65" t="inlineStr">
        <is>
          <t>Payment Status</t>
        </is>
      </c>
      <c r="I4" s="65" t="inlineStr">
        <is>
          <t>Payment Method</t>
        </is>
      </c>
      <c r="J4" s="65" t="inlineStr">
        <is>
          <t>Notes</t>
        </is>
      </c>
    </row>
    <row r="5">
      <c r="A5" s="66" t="inlineStr">
        <is>
          <t>INV-2026-01</t>
        </is>
      </c>
      <c r="B5" s="73" t="n">
        <v>46082</v>
      </c>
      <c r="C5" s="66" t="inlineStr">
        <is>
          <t>Alexandra Chen</t>
        </is>
      </c>
      <c r="D5" s="66" t="inlineStr">
        <is>
          <t>Design retainer / deposit</t>
        </is>
      </c>
      <c r="E5" s="68" t="n">
        <v>4000</v>
      </c>
      <c r="F5" s="73" t="n">
        <v>46096</v>
      </c>
      <c r="G5" s="73" t="n">
        <v>46091</v>
      </c>
      <c r="H5" s="67" t="inlineStr">
        <is>
          <t>Paid</t>
        </is>
      </c>
      <c r="I5" s="66" t="inlineStr">
        <is>
          <t>ACH</t>
        </is>
      </c>
      <c r="J5" s="66" t="inlineStr"/>
    </row>
    <row r="6">
      <c r="A6" s="66" t="inlineStr">
        <is>
          <t>INV-2026-02</t>
        </is>
      </c>
      <c r="B6" s="73" t="n">
        <v>46113</v>
      </c>
      <c r="C6" s="66" t="inlineStr">
        <is>
          <t>Alexandra Chen</t>
        </is>
      </c>
      <c r="D6" s="66" t="inlineStr">
        <is>
          <t>Concept design milestone</t>
        </is>
      </c>
      <c r="E6" s="68" t="n">
        <v>4000</v>
      </c>
      <c r="F6" s="73" t="n">
        <v>46127</v>
      </c>
      <c r="G6" s="73" t="n">
        <v>46124</v>
      </c>
      <c r="H6" s="67" t="inlineStr">
        <is>
          <t>Paid</t>
        </is>
      </c>
      <c r="I6" s="66" t="inlineStr">
        <is>
          <t>ACH</t>
        </is>
      </c>
      <c r="J6" s="66" t="inlineStr"/>
    </row>
    <row r="7">
      <c r="A7" s="66" t="inlineStr">
        <is>
          <t>INV-2026-03</t>
        </is>
      </c>
      <c r="B7" s="73" t="n">
        <v>46143</v>
      </c>
      <c r="C7" s="66" t="inlineStr">
        <is>
          <t>Alexandra Chen</t>
        </is>
      </c>
      <c r="D7" s="66" t="inlineStr">
        <is>
          <t>Procurement milestone</t>
        </is>
      </c>
      <c r="E7" s="68" t="n">
        <v>4000</v>
      </c>
      <c r="F7" s="73" t="n">
        <v>46157</v>
      </c>
      <c r="G7" s="73" t="n"/>
      <c r="H7" s="67" t="inlineStr">
        <is>
          <t>Sent</t>
        </is>
      </c>
      <c r="I7" s="66" t="inlineStr"/>
      <c r="J7" s="66" t="inlineStr">
        <is>
          <t>Due mid-month</t>
        </is>
      </c>
    </row>
    <row r="8">
      <c r="A8" s="66" t="inlineStr">
        <is>
          <t>INV-2026-04</t>
        </is>
      </c>
      <c r="B8" s="73" t="n">
        <v>46106</v>
      </c>
      <c r="C8" s="66" t="inlineStr">
        <is>
          <t>Alexandra Chen</t>
        </is>
      </c>
      <c r="D8" s="66" t="inlineStr">
        <is>
          <t>Reimbursable: rug + pad</t>
        </is>
      </c>
      <c r="E8" s="68" t="n">
        <v>1378</v>
      </c>
      <c r="F8" s="73" t="n">
        <v>46120</v>
      </c>
      <c r="G8" s="73" t="n">
        <v>46117</v>
      </c>
      <c r="H8" s="67" t="inlineStr">
        <is>
          <t>Paid</t>
        </is>
      </c>
      <c r="I8" s="66" t="inlineStr">
        <is>
          <t>Credit Card</t>
        </is>
      </c>
      <c r="J8" s="66" t="inlineStr"/>
    </row>
    <row r="9">
      <c r="A9" s="66" t="inlineStr">
        <is>
          <t>INV-2026-05</t>
        </is>
      </c>
      <c r="B9" s="73" t="n">
        <v>46127</v>
      </c>
      <c r="C9" s="66" t="inlineStr">
        <is>
          <t>Alexandra Chen</t>
        </is>
      </c>
      <c r="D9" s="66" t="inlineStr">
        <is>
          <t>Reimbursable: West Elm chairs</t>
        </is>
      </c>
      <c r="E9" s="68" t="n">
        <v>1460</v>
      </c>
      <c r="F9" s="73" t="n">
        <v>46142</v>
      </c>
      <c r="G9" s="73" t="n"/>
      <c r="H9" s="67" t="inlineStr">
        <is>
          <t>Sent</t>
        </is>
      </c>
      <c r="I9" s="66" t="inlineStr"/>
      <c r="J9" s="66" t="inlineStr"/>
    </row>
    <row r="10">
      <c r="A10" s="66" t="inlineStr">
        <is>
          <t>INV-2026-06</t>
        </is>
      </c>
      <c r="B10" s="73" t="n">
        <v>46174</v>
      </c>
      <c r="C10" s="66" t="inlineStr">
        <is>
          <t>Alexandra Chen</t>
        </is>
      </c>
      <c r="D10" s="66" t="inlineStr">
        <is>
          <t>Final design fee balance</t>
        </is>
      </c>
      <c r="E10" s="68" t="n">
        <v>0</v>
      </c>
      <c r="F10" s="73" t="n">
        <v>46188</v>
      </c>
      <c r="G10" s="73" t="n"/>
      <c r="H10" s="67" t="inlineStr">
        <is>
          <t>Draft</t>
        </is>
      </c>
      <c r="I10" s="66" t="inlineStr"/>
      <c r="J10" s="66" t="inlineStr">
        <is>
          <t>Calculate at install</t>
        </is>
      </c>
    </row>
    <row r="11">
      <c r="A11" s="66" t="n"/>
      <c r="B11" s="73" t="n"/>
      <c r="C11" s="66" t="n"/>
      <c r="D11" s="66" t="n"/>
      <c r="E11" s="68" t="n"/>
      <c r="F11" s="73" t="n"/>
      <c r="G11" s="73" t="n"/>
      <c r="H11" s="66" t="n"/>
      <c r="I11" s="66" t="n"/>
      <c r="J11" s="66" t="n"/>
    </row>
    <row r="12">
      <c r="A12" s="66" t="n"/>
      <c r="B12" s="73" t="n"/>
      <c r="C12" s="66" t="n"/>
      <c r="D12" s="66" t="n"/>
      <c r="E12" s="68" t="n"/>
      <c r="F12" s="73" t="n"/>
      <c r="G12" s="73" t="n"/>
      <c r="H12" s="66" t="n"/>
      <c r="I12" s="66" t="n"/>
      <c r="J12" s="66" t="n"/>
    </row>
    <row r="13">
      <c r="A13" s="66" t="n"/>
      <c r="B13" s="73" t="n"/>
      <c r="C13" s="66" t="n"/>
      <c r="D13" s="66" t="n"/>
      <c r="E13" s="68" t="n"/>
      <c r="F13" s="73" t="n"/>
      <c r="G13" s="73" t="n"/>
      <c r="H13" s="66" t="n"/>
      <c r="I13" s="66" t="n"/>
      <c r="J13" s="66" t="n"/>
    </row>
    <row r="14">
      <c r="A14" s="66" t="n"/>
      <c r="B14" s="73" t="n"/>
      <c r="C14" s="66" t="n"/>
      <c r="D14" s="66" t="n"/>
      <c r="E14" s="68" t="n"/>
      <c r="F14" s="73" t="n"/>
      <c r="G14" s="73" t="n"/>
      <c r="H14" s="66" t="n"/>
      <c r="I14" s="66" t="n"/>
      <c r="J14" s="66" t="n"/>
    </row>
    <row r="15">
      <c r="A15" s="66" t="n"/>
      <c r="B15" s="73" t="n"/>
      <c r="C15" s="66" t="n"/>
      <c r="D15" s="66" t="n"/>
      <c r="E15" s="68" t="n"/>
      <c r="F15" s="73" t="n"/>
      <c r="G15" s="73" t="n"/>
      <c r="H15" s="66" t="n"/>
      <c r="I15" s="66" t="n"/>
      <c r="J15" s="66" t="n"/>
    </row>
    <row r="16">
      <c r="A16" s="66" t="n"/>
      <c r="B16" s="73" t="n"/>
      <c r="C16" s="66" t="n"/>
      <c r="D16" s="66" t="n"/>
      <c r="E16" s="68" t="n"/>
      <c r="F16" s="73" t="n"/>
      <c r="G16" s="73" t="n"/>
      <c r="H16" s="66" t="n"/>
      <c r="I16" s="66" t="n"/>
      <c r="J16" s="66" t="n"/>
    </row>
    <row r="17">
      <c r="A17" s="66" t="n"/>
      <c r="B17" s="73" t="n"/>
      <c r="C17" s="66" t="n"/>
      <c r="D17" s="66" t="n"/>
      <c r="E17" s="68" t="n"/>
      <c r="F17" s="73" t="n"/>
      <c r="G17" s="73" t="n"/>
      <c r="H17" s="66" t="n"/>
      <c r="I17" s="66" t="n"/>
      <c r="J17" s="66" t="n"/>
    </row>
    <row r="18">
      <c r="A18" s="66" t="n"/>
      <c r="B18" s="73" t="n"/>
      <c r="C18" s="66" t="n"/>
      <c r="D18" s="66" t="n"/>
      <c r="E18" s="68" t="n"/>
      <c r="F18" s="73" t="n"/>
      <c r="G18" s="73" t="n"/>
      <c r="H18" s="66" t="n"/>
      <c r="I18" s="66" t="n"/>
      <c r="J18" s="66" t="n"/>
    </row>
    <row r="19">
      <c r="A19" s="66" t="n"/>
      <c r="B19" s="73" t="n"/>
      <c r="C19" s="66" t="n"/>
      <c r="D19" s="66" t="n"/>
      <c r="E19" s="68" t="n"/>
      <c r="F19" s="73" t="n"/>
      <c r="G19" s="73" t="n"/>
      <c r="H19" s="66" t="n"/>
      <c r="I19" s="66" t="n"/>
      <c r="J19" s="66" t="n"/>
    </row>
    <row r="20">
      <c r="A20" s="66" t="n"/>
      <c r="B20" s="73" t="n"/>
      <c r="C20" s="66" t="n"/>
      <c r="D20" s="66" t="n"/>
      <c r="E20" s="68" t="n"/>
      <c r="F20" s="73" t="n"/>
      <c r="G20" s="73" t="n"/>
      <c r="H20" s="66" t="n"/>
      <c r="I20" s="66" t="n"/>
      <c r="J20" s="66" t="n"/>
    </row>
    <row r="21">
      <c r="A21" s="66" t="n"/>
      <c r="B21" s="73" t="n"/>
      <c r="C21" s="66" t="n"/>
      <c r="D21" s="66" t="n"/>
      <c r="E21" s="68" t="n"/>
      <c r="F21" s="73" t="n"/>
      <c r="G21" s="73" t="n"/>
      <c r="H21" s="66" t="n"/>
      <c r="I21" s="66" t="n"/>
      <c r="J21" s="66" t="n"/>
    </row>
    <row r="22">
      <c r="A22" s="66" t="n"/>
      <c r="B22" s="73" t="n"/>
      <c r="C22" s="66" t="n"/>
      <c r="D22" s="66" t="n"/>
      <c r="E22" s="68" t="n"/>
      <c r="F22" s="73" t="n"/>
      <c r="G22" s="73" t="n"/>
      <c r="H22" s="66" t="n"/>
      <c r="I22" s="66" t="n"/>
      <c r="J22" s="66" t="n"/>
    </row>
    <row r="23">
      <c r="A23" s="66" t="n"/>
      <c r="B23" s="73" t="n"/>
      <c r="C23" s="66" t="n"/>
      <c r="D23" s="66" t="n"/>
      <c r="E23" s="68" t="n"/>
      <c r="F23" s="73" t="n"/>
      <c r="G23" s="73" t="n"/>
      <c r="H23" s="66" t="n"/>
      <c r="I23" s="66" t="n"/>
      <c r="J23" s="66" t="n"/>
    </row>
    <row r="24">
      <c r="A24" s="66" t="n"/>
      <c r="B24" s="73" t="n"/>
      <c r="C24" s="66" t="n"/>
      <c r="D24" s="66" t="n"/>
      <c r="E24" s="68" t="n"/>
      <c r="F24" s="73" t="n"/>
      <c r="G24" s="73" t="n"/>
      <c r="H24" s="66" t="n"/>
      <c r="I24" s="66" t="n"/>
      <c r="J24" s="66" t="n"/>
    </row>
    <row r="25">
      <c r="A25" s="66" t="n"/>
      <c r="B25" s="73" t="n"/>
      <c r="C25" s="66" t="n"/>
      <c r="D25" s="66" t="n"/>
      <c r="E25" s="68" t="n"/>
      <c r="F25" s="73" t="n"/>
      <c r="G25" s="73" t="n"/>
      <c r="H25" s="66" t="n"/>
      <c r="I25" s="66" t="n"/>
      <c r="J25" s="66" t="n"/>
    </row>
    <row r="26">
      <c r="A26" s="66" t="n"/>
      <c r="B26" s="73" t="n"/>
      <c r="C26" s="66" t="n"/>
      <c r="D26" s="66" t="n"/>
      <c r="E26" s="68" t="n"/>
      <c r="F26" s="73" t="n"/>
      <c r="G26" s="73" t="n"/>
      <c r="H26" s="66" t="n"/>
      <c r="I26" s="66" t="n"/>
      <c r="J26" s="66" t="n"/>
    </row>
    <row r="27">
      <c r="A27" s="66" t="n"/>
      <c r="B27" s="73" t="n"/>
      <c r="C27" s="66" t="n"/>
      <c r="D27" s="66" t="n"/>
      <c r="E27" s="68" t="n"/>
      <c r="F27" s="73" t="n"/>
      <c r="G27" s="73" t="n"/>
      <c r="H27" s="66" t="n"/>
      <c r="I27" s="66" t="n"/>
      <c r="J27" s="66" t="n"/>
    </row>
    <row r="28">
      <c r="A28" s="66" t="n"/>
      <c r="B28" s="73" t="n"/>
      <c r="C28" s="66" t="n"/>
      <c r="D28" s="66" t="n"/>
      <c r="E28" s="68" t="n"/>
      <c r="F28" s="73" t="n"/>
      <c r="G28" s="73" t="n"/>
      <c r="H28" s="66" t="n"/>
      <c r="I28" s="66" t="n"/>
      <c r="J28" s="66" t="n"/>
    </row>
    <row r="29">
      <c r="A29" s="66" t="n"/>
      <c r="B29" s="73" t="n"/>
      <c r="C29" s="66" t="n"/>
      <c r="D29" s="66" t="n"/>
      <c r="E29" s="68" t="n"/>
      <c r="F29" s="73" t="n"/>
      <c r="G29" s="73" t="n"/>
      <c r="H29" s="66" t="n"/>
      <c r="I29" s="66" t="n"/>
      <c r="J29" s="66" t="n"/>
    </row>
    <row r="30">
      <c r="A30" s="66" t="n"/>
      <c r="B30" s="73" t="n"/>
      <c r="C30" s="66" t="n"/>
      <c r="D30" s="66" t="n"/>
      <c r="E30" s="68" t="n"/>
      <c r="F30" s="73" t="n"/>
      <c r="G30" s="73" t="n"/>
      <c r="H30" s="66" t="n"/>
      <c r="I30" s="66" t="n"/>
      <c r="J30" s="66" t="n"/>
    </row>
    <row r="31">
      <c r="A31" s="66" t="n"/>
      <c r="B31" s="73" t="n"/>
      <c r="C31" s="66" t="n"/>
      <c r="D31" s="66" t="n"/>
      <c r="E31" s="68" t="n"/>
      <c r="F31" s="73" t="n"/>
      <c r="G31" s="73" t="n"/>
      <c r="H31" s="66" t="n"/>
      <c r="I31" s="66" t="n"/>
      <c r="J31" s="66" t="n"/>
    </row>
    <row r="32">
      <c r="A32" s="66" t="n"/>
      <c r="B32" s="73" t="n"/>
      <c r="C32" s="66" t="n"/>
      <c r="D32" s="66" t="n"/>
      <c r="E32" s="68" t="n"/>
      <c r="F32" s="73" t="n"/>
      <c r="G32" s="73" t="n"/>
      <c r="H32" s="66" t="n"/>
      <c r="I32" s="66" t="n"/>
      <c r="J32" s="66" t="n"/>
    </row>
    <row r="33">
      <c r="A33" s="66" t="n"/>
      <c r="B33" s="73" t="n"/>
      <c r="C33" s="66" t="n"/>
      <c r="D33" s="66" t="n"/>
      <c r="E33" s="68" t="n"/>
      <c r="F33" s="73" t="n"/>
      <c r="G33" s="73" t="n"/>
      <c r="H33" s="66" t="n"/>
      <c r="I33" s="66" t="n"/>
      <c r="J33" s="66" t="n"/>
    </row>
    <row r="34">
      <c r="A34" s="66" t="n"/>
      <c r="B34" s="73" t="n"/>
      <c r="C34" s="66" t="n"/>
      <c r="D34" s="66" t="n"/>
      <c r="E34" s="68" t="n"/>
      <c r="F34" s="73" t="n"/>
      <c r="G34" s="73" t="n"/>
      <c r="H34" s="66" t="n"/>
      <c r="I34" s="66" t="n"/>
      <c r="J34" s="66" t="n"/>
    </row>
    <row r="35">
      <c r="A35" s="56" t="n"/>
      <c r="B35" s="56" t="n"/>
      <c r="C35" s="56" t="n"/>
      <c r="D35" s="56" t="n"/>
      <c r="E35" s="56" t="n"/>
      <c r="F35" s="56" t="n"/>
      <c r="G35" s="56" t="n"/>
      <c r="H35" s="56" t="n"/>
      <c r="I35" s="56" t="n"/>
      <c r="J35" s="56" t="n"/>
    </row>
    <row r="36">
      <c r="A36" s="56" t="n"/>
      <c r="B36" s="56" t="n"/>
      <c r="C36" s="56" t="n"/>
      <c r="D36" s="70" t="inlineStr">
        <is>
          <t>TOTALS</t>
        </is>
      </c>
      <c r="E36" s="72">
        <f>SUM(E5:E34)</f>
        <v/>
      </c>
      <c r="F36" s="56" t="n"/>
      <c r="G36" s="56" t="n"/>
      <c r="H36" s="56" t="n"/>
      <c r="I36" s="56" t="n"/>
      <c r="J36" s="56" t="n"/>
    </row>
    <row r="37">
      <c r="A37" s="56" t="n"/>
      <c r="B37" s="56" t="n"/>
      <c r="C37" s="56" t="n"/>
      <c r="D37" s="56" t="inlineStr">
        <is>
          <t>Total Paid</t>
        </is>
      </c>
      <c r="E37" s="69">
        <f>SUMIF(H5:H34,"Paid",E5:E34)</f>
        <v/>
      </c>
      <c r="F37" s="56" t="n"/>
      <c r="G37" s="56" t="n"/>
      <c r="H37" s="56" t="n"/>
      <c r="I37" s="56" t="n"/>
      <c r="J37" s="56" t="n"/>
    </row>
    <row r="38">
      <c r="A38" s="56" t="n"/>
      <c r="B38" s="56" t="n"/>
      <c r="C38" s="56" t="n"/>
      <c r="D38" s="56" t="inlineStr">
        <is>
          <t>Outstanding</t>
        </is>
      </c>
      <c r="E38" s="69">
        <f>SUMIF(H5:H34,"Sent",E5:E34)+SUMIF(H5:H34,"Partially Paid",E5:E34)+SUMIF(H5:H34,"Overdue",E5:E34)</f>
        <v/>
      </c>
      <c r="F38" s="56" t="n"/>
      <c r="G38" s="56" t="n"/>
      <c r="H38" s="56" t="n"/>
      <c r="I38" s="56" t="n"/>
      <c r="J38" s="56" t="n"/>
    </row>
    <row r="39">
      <c r="A39" s="56" t="n"/>
      <c r="B39" s="56" t="n"/>
      <c r="C39" s="56" t="n"/>
      <c r="D39" s="56" t="n"/>
      <c r="E39" s="56" t="n"/>
      <c r="F39" s="56" t="n"/>
      <c r="G39" s="56" t="n"/>
      <c r="H39" s="56" t="n"/>
      <c r="I39" s="56" t="n"/>
      <c r="J39" s="56" t="n"/>
    </row>
    <row r="40">
      <c r="A40" s="56" t="n"/>
      <c r="B40" s="56" t="n"/>
      <c r="C40" s="56" t="n"/>
      <c r="D40" s="56" t="n"/>
      <c r="E40" s="56" t="n"/>
      <c r="F40" s="56" t="n"/>
      <c r="G40" s="56" t="n"/>
      <c r="H40" s="56" t="n"/>
      <c r="I40" s="56" t="n"/>
      <c r="J40" s="56" t="n"/>
    </row>
    <row r="41">
      <c r="A41" s="56" t="n"/>
      <c r="B41" s="56" t="n"/>
      <c r="C41" s="56" t="n"/>
      <c r="D41" s="56" t="n"/>
      <c r="E41" s="56" t="n"/>
      <c r="F41" s="56" t="n"/>
      <c r="G41" s="56" t="n"/>
      <c r="H41" s="56" t="n"/>
      <c r="I41" s="56" t="n"/>
      <c r="J41" s="56" t="n"/>
    </row>
    <row r="42">
      <c r="A42" s="56" t="n"/>
      <c r="B42" s="56" t="n"/>
      <c r="C42" s="56" t="n"/>
      <c r="D42" s="56" t="n"/>
      <c r="E42" s="56" t="n"/>
      <c r="F42" s="56" t="n"/>
      <c r="G42" s="56" t="n"/>
      <c r="H42" s="56" t="n"/>
      <c r="I42" s="56" t="n"/>
      <c r="J42" s="56" t="n"/>
    </row>
    <row r="43">
      <c r="A43" s="56" t="n"/>
      <c r="B43" s="56" t="n"/>
      <c r="C43" s="56" t="n"/>
      <c r="D43" s="56" t="n"/>
      <c r="E43" s="56" t="n"/>
      <c r="F43" s="56" t="n"/>
      <c r="G43" s="56" t="n"/>
      <c r="H43" s="56" t="n"/>
      <c r="I43" s="56" t="n"/>
      <c r="J43" s="56" t="n"/>
    </row>
  </sheetData>
  <sheetProtection selectLockedCells="0" selectUnlockedCells="0" sheet="1" objects="0" insertRows="0" insertHyperlinks="0" autoFilter="0" scenarios="1" formatColumns="0" deleteColumns="1" insertColumns="1" pivotTables="1" deleteRows="0" formatCells="0" formatRows="0" sort="0" password="EC7C"/>
  <autoFilter ref="A4:J34"/>
  <mergeCells count="2">
    <mergeCell ref="A1:J1"/>
    <mergeCell ref="A2:J2"/>
  </mergeCells>
  <conditionalFormatting sqref="H5:H34">
    <cfRule type="expression" priority="1" dxfId="0">
      <formula>ISNUMBER(SEARCH("Approved",H5))</formula>
    </cfRule>
    <cfRule type="expression" priority="2" dxfId="0">
      <formula>ISNUMBER(SEARCH("Installed",H5))</formula>
    </cfRule>
    <cfRule type="expression" priority="3" dxfId="0">
      <formula>ISNUMBER(SEARCH("Delivered",H5))</formula>
    </cfRule>
    <cfRule type="expression" priority="4" dxfId="0">
      <formula>ISNUMBER(SEARCH("Complete",H5))</formula>
    </cfRule>
    <cfRule type="expression" priority="5" dxfId="0">
      <formula>ISNUMBER(SEARCH("Completed",H5))</formula>
    </cfRule>
    <cfRule type="expression" priority="6" dxfId="0">
      <formula>ISNUMBER(SEARCH("Paid",H5))</formula>
    </cfRule>
    <cfRule type="expression" priority="7" dxfId="0">
      <formula>ISNUMBER(SEARCH("Good Condition",H5))</formula>
    </cfRule>
    <cfRule type="expression" priority="8" dxfId="0">
      <formula>ISNUMBER(SEARCH("Yes",H5))</formula>
    </cfRule>
    <cfRule type="expression" priority="9" dxfId="1">
      <formula>ISNUMBER(SEARCH("Pending",H5))</formula>
    </cfRule>
    <cfRule type="expression" priority="10" dxfId="1">
      <formula>ISNUMBER(SEARCH("In Progress",H5))</formula>
    </cfRule>
    <cfRule type="expression" priority="11" dxfId="1">
      <formula>ISNUMBER(SEARCH("Sent",H5))</formula>
    </cfRule>
    <cfRule type="expression" priority="12" dxfId="1">
      <formula>ISNUMBER(SEARCH("Client Review",H5))</formula>
    </cfRule>
    <cfRule type="expression" priority="13" dxfId="1">
      <formula>ISNUMBER(SEARCH("Ordered",H5))</formula>
    </cfRule>
    <cfRule type="expression" priority="14" dxfId="1">
      <formula>ISNUMBER(SEARCH("Shipped",H5))</formula>
    </cfRule>
    <cfRule type="expression" priority="15" dxfId="1">
      <formula>ISNUMBER(SEARCH("Scheduled",H5))</formula>
    </cfRule>
    <cfRule type="expression" priority="16" dxfId="1">
      <formula>ISNUMBER(SEARCH("Partially Paid",H5))</formula>
    </cfRule>
    <cfRule type="expression" priority="17" dxfId="1">
      <formula>ISNUMBER(SEARCH("Waiting on Client",H5))</formula>
    </cfRule>
    <cfRule type="expression" priority="18" dxfId="1">
      <formula>ISNUMBER(SEARCH("Waiting on Vendor",H5))</formula>
    </cfRule>
    <cfRule type="expression" priority="19" dxfId="1">
      <formula>ISNUMBER(SEARCH("Sourcing",H5))</formula>
    </cfRule>
    <cfRule type="expression" priority="20" dxfId="1">
      <formula>ISNUMBER(SEARCH("Option Selected",H5))</formula>
    </cfRule>
    <cfRule type="expression" priority="21" dxfId="1">
      <formula>ISNUMBER(SEARCH("Confirmed",H5))</formula>
    </cfRule>
    <cfRule type="expression" priority="22" dxfId="1">
      <formula>ISNUMBER(SEARCH("In Production",H5))</formula>
    </cfRule>
    <cfRule type="expression" priority="23" dxfId="1">
      <formula>ISNUMBER(SEARCH("In Transit",H5))</formula>
    </cfRule>
    <cfRule type="expression" priority="24" dxfId="1">
      <formula>ISNUMBER(SEARCH("Not Checked",H5))</formula>
    </cfRule>
    <cfRule type="expression" priority="25" dxfId="2">
      <formula>ISNUMBER(SEARCH("Overdue",H5))</formula>
    </cfRule>
    <cfRule type="expression" priority="26" dxfId="2">
      <formula>ISNUMBER(SEARCH("Delayed",H5))</formula>
    </cfRule>
    <cfRule type="expression" priority="27" dxfId="2">
      <formula>ISNUMBER(SEARCH("Rejected",H5))</formula>
    </cfRule>
    <cfRule type="expression" priority="28" dxfId="2">
      <formula>ISNUMBER(SEARCH("Damaged",H5))</formula>
    </cfRule>
    <cfRule type="expression" priority="29" dxfId="2">
      <formula>ISNUMBER(SEARCH("Missing Item",H5))</formula>
    </cfRule>
    <cfRule type="expression" priority="30" dxfId="2">
      <formula>ISNUMBER(SEARCH("Wrong Item",H5))</formula>
    </cfRule>
    <cfRule type="expression" priority="31" dxfId="2">
      <formula>ISNUMBER(SEARCH("Backordered",H5))</formula>
    </cfRule>
    <cfRule type="expression" priority="32" dxfId="2">
      <formula>ISNUMBER(SEARCH("Urgent",H5))</formula>
    </cfRule>
    <cfRule type="expression" priority="33" dxfId="3">
      <formula>ISNUMBER(SEARCH("Cancelled",H5))</formula>
    </cfRule>
    <cfRule type="expression" priority="34" dxfId="3">
      <formula>ISNUMBER(SEARCH("On Hold",H5))</formula>
    </cfRule>
    <cfRule type="expression" priority="35" dxfId="3">
      <formula>ISNUMBER(SEARCH("Not Started",H5))</formula>
    </cfRule>
    <cfRule type="expression" priority="36" dxfId="3">
      <formula>ISNUMBER(SEARCH("Not Sent",H5))</formula>
    </cfRule>
    <cfRule type="expression" priority="37" dxfId="3">
      <formula>ISNUMBER(SEARCH("Draft",H5))</formula>
    </cfRule>
    <cfRule type="expression" priority="38" dxfId="3">
      <formula>ISNUMBER(SEARCH("Not Ordered",H5))</formula>
    </cfRule>
  </conditionalFormatting>
  <dataValidations count="1">
    <dataValidation sqref="H5:H34" showDropDown="0" showInputMessage="1" showErrorMessage="1" allowBlank="1" errorTitle="Invalid Entry" error="Please select a value from the dropdown list." promptTitle="Select" prompt="Choose from the list" type="list">
      <formula1>"Draft,Sent,Paid,Partially Paid,Overdue,Cancelled,Unpaid"</formula1>
    </dataValidation>
  </dataValidations>
  <pageMargins left="0.5" right="0.5" top="0.6" bottom="0.6" header="0.5" footer="0.5"/>
  <headerFooter>
    <oddHeader/>
    <oddFooter>&amp;C&amp;"Calibri"&amp;8 &amp;"Calibri"&amp;8Novality store  ·  Interior Design FF&amp;E Tracker  ·  Page &amp;P of &amp;N</oddFooter>
    <evenHeader/>
    <evenFooter/>
    <firstHeader/>
    <firstFooter/>
  </headerFooter>
</worksheet>
</file>

<file path=xl/worksheets/sheet21.xml><?xml version="1.0" encoding="utf-8"?>
<worksheet xmlns="http://schemas.openxmlformats.org/spreadsheetml/2006/main">
  <sheetPr>
    <tabColor rgb="00546E7A"/>
    <outlinePr summaryBelow="1" summaryRight="1"/>
    <pageSetUpPr/>
  </sheetPr>
  <dimension ref="A1:H4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8" customWidth="1" min="3" max="3"/>
    <col width="36" customWidth="1" min="4" max="4"/>
    <col width="28" customWidth="1" min="5" max="5"/>
    <col width="28" customWidth="1" min="6" max="6"/>
    <col width="12" customWidth="1" min="7" max="7"/>
    <col width="28" customWidth="1" min="8" max="8"/>
  </cols>
  <sheetData>
    <row r="1" ht="38" customHeight="1">
      <c r="A1" s="51" t="inlineStr">
        <is>
          <t>PROJECT NOTES / MEETING NOTES</t>
        </is>
      </c>
      <c r="B1" s="52" t="n"/>
      <c r="C1" s="52" t="n"/>
      <c r="D1" s="52" t="n"/>
      <c r="E1" s="52" t="n"/>
      <c r="F1" s="52" t="n"/>
      <c r="G1" s="52" t="n"/>
      <c r="H1" s="52" t="n"/>
    </row>
    <row r="2" ht="18" customHeight="1">
      <c r="A2" s="53" t="inlineStr">
        <is>
          <t>Consultations, vendor meetings, site visits, and walkthroughs  ·  Novality store</t>
        </is>
      </c>
      <c r="B2" s="5" t="n"/>
      <c r="C2" s="5" t="n"/>
      <c r="D2" s="5" t="n"/>
      <c r="E2" s="5" t="n"/>
      <c r="F2" s="5" t="n"/>
      <c r="G2" s="5" t="n"/>
      <c r="H2" s="5" t="n"/>
    </row>
    <row r="3"/>
    <row r="4" ht="34" customHeight="1">
      <c r="A4" s="65" t="inlineStr">
        <is>
          <t>Date</t>
        </is>
      </c>
      <c r="B4" s="65" t="inlineStr">
        <is>
          <t>Meeting Type</t>
        </is>
      </c>
      <c r="C4" s="65" t="inlineStr">
        <is>
          <t>Attendees</t>
        </is>
      </c>
      <c r="D4" s="65" t="inlineStr">
        <is>
          <t>Discussion Points</t>
        </is>
      </c>
      <c r="E4" s="65" t="inlineStr">
        <is>
          <t>Decisions Made</t>
        </is>
      </c>
      <c r="F4" s="65" t="inlineStr">
        <is>
          <t>Action Items</t>
        </is>
      </c>
      <c r="G4" s="65" t="inlineStr">
        <is>
          <t>Follow-up Date</t>
        </is>
      </c>
      <c r="H4" s="65" t="inlineStr">
        <is>
          <t>Notes</t>
        </is>
      </c>
    </row>
    <row r="5">
      <c r="A5" s="73" t="n">
        <v>46082</v>
      </c>
      <c r="B5" s="66" t="inlineStr">
        <is>
          <t>Client Consultation</t>
        </is>
      </c>
      <c r="C5" s="66" t="inlineStr">
        <is>
          <t>Alexandra Chen, Jordan Blake</t>
        </is>
      </c>
      <c r="D5" s="66" t="inlineStr">
        <is>
          <t>Goals, lifestyle, dog-friendly materials, budget $85k</t>
        </is>
      </c>
      <c r="E5" s="66" t="inlineStr">
        <is>
          <t>Proceed with full-service FF&amp;E</t>
        </is>
      </c>
      <c r="F5" s="66" t="inlineStr">
        <is>
          <t>Send questionnaire; schedule measure</t>
        </is>
      </c>
      <c r="G5" s="73" t="n">
        <v>46084</v>
      </c>
      <c r="H5" s="66" t="inlineStr">
        <is>
          <t>Client loves warm minimalism</t>
        </is>
      </c>
    </row>
    <row r="6">
      <c r="A6" s="73" t="n">
        <v>46088</v>
      </c>
      <c r="B6" s="66" t="inlineStr">
        <is>
          <t>Site Visit</t>
        </is>
      </c>
      <c r="C6" s="66" t="inlineStr">
        <is>
          <t>Jordan Blake, Studio Team</t>
        </is>
      </c>
      <c r="D6" s="66" t="inlineStr">
        <is>
          <t>Measured all rooms; noted powder door swing</t>
        </is>
      </c>
      <c r="E6" s="66" t="inlineStr">
        <is>
          <t>Use existing oak floors in living</t>
        </is>
      </c>
      <c r="F6" s="66" t="inlineStr">
        <is>
          <t>Draft plans; photo log</t>
        </is>
      </c>
      <c r="G6" s="73" t="n">
        <v>46091</v>
      </c>
      <c r="H6" s="66" t="inlineStr">
        <is>
          <t>Good natural light south</t>
        </is>
      </c>
    </row>
    <row r="7">
      <c r="A7" s="73" t="n">
        <v>46103</v>
      </c>
      <c r="B7" s="66" t="inlineStr">
        <is>
          <t>Client Consultation</t>
        </is>
      </c>
      <c r="C7" s="66" t="inlineStr">
        <is>
          <t>Alexandra Chen, Jordan Blake</t>
        </is>
      </c>
      <c r="D7" s="66" t="inlineStr">
        <is>
          <t>Concept presentation — boards v2</t>
        </is>
      </c>
      <c r="E7" s="66" t="inlineStr">
        <is>
          <t>Approved palette and living package</t>
        </is>
      </c>
      <c r="F7" s="66" t="inlineStr">
        <is>
          <t>Source dining table options</t>
        </is>
      </c>
      <c r="G7" s="73" t="n">
        <v>46117</v>
      </c>
      <c r="H7" s="66" t="inlineStr">
        <is>
          <t>Travel blackout Aug 1–15</t>
        </is>
      </c>
    </row>
    <row r="8">
      <c r="A8" s="73" t="n">
        <v>46114</v>
      </c>
      <c r="B8" s="66" t="inlineStr">
        <is>
          <t>Vendor Meeting</t>
        </is>
      </c>
      <c r="C8" s="66" t="inlineStr">
        <is>
          <t>Jordan Blake, Article Trade</t>
        </is>
      </c>
      <c r="D8" s="66" t="inlineStr">
        <is>
          <t>Sofa lead times and white-glove</t>
        </is>
      </c>
      <c r="E8" s="66" t="inlineStr">
        <is>
          <t>Order Sven in Stone</t>
        </is>
      </c>
      <c r="F8" s="66" t="inlineStr">
        <is>
          <t>Send PO-1001</t>
        </is>
      </c>
      <c r="G8" s="73" t="n">
        <v>46115</v>
      </c>
      <c r="H8" s="66" t="inlineStr">
        <is>
          <t>Trade 15% applied</t>
        </is>
      </c>
    </row>
    <row r="9">
      <c r="A9" s="73" t="n">
        <v>46120</v>
      </c>
      <c r="B9" s="66" t="inlineStr">
        <is>
          <t>Contractor Meeting</t>
        </is>
      </c>
      <c r="C9" s="66" t="inlineStr">
        <is>
          <t>Mike Torres (GC), Jordan Blake</t>
        </is>
      </c>
      <c r="D9" s="66" t="inlineStr">
        <is>
          <t>Kitchen range rough-in &amp; schedule</t>
        </is>
      </c>
      <c r="E9" s="66" t="inlineStr">
        <is>
          <t>Rough-in week of May 1</t>
        </is>
      </c>
      <c r="F9" s="66" t="inlineStr">
        <is>
          <t>Confirm gas line size</t>
        </is>
      </c>
      <c r="G9" s="73" t="n">
        <v>46124</v>
      </c>
      <c r="H9" s="66" t="inlineStr">
        <is>
          <t>Need Wolf cut sheet</t>
        </is>
      </c>
    </row>
    <row r="10">
      <c r="A10" s="73" t="n"/>
      <c r="B10" s="66" t="n"/>
      <c r="C10" s="66" t="n"/>
      <c r="D10" s="66" t="n"/>
      <c r="E10" s="66" t="n"/>
      <c r="F10" s="66" t="n"/>
      <c r="G10" s="73" t="n"/>
      <c r="H10" s="66" t="n"/>
    </row>
    <row r="11">
      <c r="A11" s="73" t="n"/>
      <c r="B11" s="66" t="n"/>
      <c r="C11" s="66" t="n"/>
      <c r="D11" s="66" t="n"/>
      <c r="E11" s="66" t="n"/>
      <c r="F11" s="66" t="n"/>
      <c r="G11" s="73" t="n"/>
      <c r="H11" s="66" t="n"/>
    </row>
    <row r="12">
      <c r="A12" s="73" t="n"/>
      <c r="B12" s="66" t="n"/>
      <c r="C12" s="66" t="n"/>
      <c r="D12" s="66" t="n"/>
      <c r="E12" s="66" t="n"/>
      <c r="F12" s="66" t="n"/>
      <c r="G12" s="73" t="n"/>
      <c r="H12" s="66" t="n"/>
    </row>
    <row r="13">
      <c r="A13" s="73" t="n"/>
      <c r="B13" s="66" t="n"/>
      <c r="C13" s="66" t="n"/>
      <c r="D13" s="66" t="n"/>
      <c r="E13" s="66" t="n"/>
      <c r="F13" s="66" t="n"/>
      <c r="G13" s="73" t="n"/>
      <c r="H13" s="66" t="n"/>
    </row>
    <row r="14">
      <c r="A14" s="73" t="n"/>
      <c r="B14" s="66" t="n"/>
      <c r="C14" s="66" t="n"/>
      <c r="D14" s="66" t="n"/>
      <c r="E14" s="66" t="n"/>
      <c r="F14" s="66" t="n"/>
      <c r="G14" s="73" t="n"/>
      <c r="H14" s="66" t="n"/>
    </row>
    <row r="15">
      <c r="A15" s="73" t="n"/>
      <c r="B15" s="66" t="n"/>
      <c r="C15" s="66" t="n"/>
      <c r="D15" s="66" t="n"/>
      <c r="E15" s="66" t="n"/>
      <c r="F15" s="66" t="n"/>
      <c r="G15" s="73" t="n"/>
      <c r="H15" s="66" t="n"/>
    </row>
    <row r="16">
      <c r="A16" s="73" t="n"/>
      <c r="B16" s="66" t="n"/>
      <c r="C16" s="66" t="n"/>
      <c r="D16" s="66" t="n"/>
      <c r="E16" s="66" t="n"/>
      <c r="F16" s="66" t="n"/>
      <c r="G16" s="73" t="n"/>
      <c r="H16" s="66" t="n"/>
    </row>
    <row r="17">
      <c r="A17" s="73" t="n"/>
      <c r="B17" s="66" t="n"/>
      <c r="C17" s="66" t="n"/>
      <c r="D17" s="66" t="n"/>
      <c r="E17" s="66" t="n"/>
      <c r="F17" s="66" t="n"/>
      <c r="G17" s="73" t="n"/>
      <c r="H17" s="66" t="n"/>
    </row>
    <row r="18">
      <c r="A18" s="73" t="n"/>
      <c r="B18" s="66" t="n"/>
      <c r="C18" s="66" t="n"/>
      <c r="D18" s="66" t="n"/>
      <c r="E18" s="66" t="n"/>
      <c r="F18" s="66" t="n"/>
      <c r="G18" s="73" t="n"/>
      <c r="H18" s="66" t="n"/>
    </row>
    <row r="19">
      <c r="A19" s="73" t="n"/>
      <c r="B19" s="66" t="n"/>
      <c r="C19" s="66" t="n"/>
      <c r="D19" s="66" t="n"/>
      <c r="E19" s="66" t="n"/>
      <c r="F19" s="66" t="n"/>
      <c r="G19" s="73" t="n"/>
      <c r="H19" s="66" t="n"/>
    </row>
    <row r="20">
      <c r="A20" s="73" t="n"/>
      <c r="B20" s="66" t="n"/>
      <c r="C20" s="66" t="n"/>
      <c r="D20" s="66" t="n"/>
      <c r="E20" s="66" t="n"/>
      <c r="F20" s="66" t="n"/>
      <c r="G20" s="73" t="n"/>
      <c r="H20" s="66" t="n"/>
    </row>
    <row r="21">
      <c r="A21" s="73" t="n"/>
      <c r="B21" s="66" t="n"/>
      <c r="C21" s="66" t="n"/>
      <c r="D21" s="66" t="n"/>
      <c r="E21" s="66" t="n"/>
      <c r="F21" s="66" t="n"/>
      <c r="G21" s="73" t="n"/>
      <c r="H21" s="66" t="n"/>
    </row>
    <row r="22">
      <c r="A22" s="73" t="n"/>
      <c r="B22" s="66" t="n"/>
      <c r="C22" s="66" t="n"/>
      <c r="D22" s="66" t="n"/>
      <c r="E22" s="66" t="n"/>
      <c r="F22" s="66" t="n"/>
      <c r="G22" s="73" t="n"/>
      <c r="H22" s="66" t="n"/>
    </row>
    <row r="23">
      <c r="A23" s="73" t="n"/>
      <c r="B23" s="66" t="n"/>
      <c r="C23" s="66" t="n"/>
      <c r="D23" s="66" t="n"/>
      <c r="E23" s="66" t="n"/>
      <c r="F23" s="66" t="n"/>
      <c r="G23" s="73" t="n"/>
      <c r="H23" s="66" t="n"/>
    </row>
    <row r="24">
      <c r="A24" s="73" t="n"/>
      <c r="B24" s="66" t="n"/>
      <c r="C24" s="66" t="n"/>
      <c r="D24" s="66" t="n"/>
      <c r="E24" s="66" t="n"/>
      <c r="F24" s="66" t="n"/>
      <c r="G24" s="73" t="n"/>
      <c r="H24" s="66" t="n"/>
    </row>
    <row r="25">
      <c r="A25" s="73" t="n"/>
      <c r="B25" s="66" t="n"/>
      <c r="C25" s="66" t="n"/>
      <c r="D25" s="66" t="n"/>
      <c r="E25" s="66" t="n"/>
      <c r="F25" s="66" t="n"/>
      <c r="G25" s="73" t="n"/>
      <c r="H25" s="66" t="n"/>
    </row>
    <row r="26">
      <c r="A26" s="73" t="n"/>
      <c r="B26" s="66" t="n"/>
      <c r="C26" s="66" t="n"/>
      <c r="D26" s="66" t="n"/>
      <c r="E26" s="66" t="n"/>
      <c r="F26" s="66" t="n"/>
      <c r="G26" s="73" t="n"/>
      <c r="H26" s="66" t="n"/>
    </row>
    <row r="27">
      <c r="A27" s="73" t="n"/>
      <c r="B27" s="66" t="n"/>
      <c r="C27" s="66" t="n"/>
      <c r="D27" s="66" t="n"/>
      <c r="E27" s="66" t="n"/>
      <c r="F27" s="66" t="n"/>
      <c r="G27" s="73" t="n"/>
      <c r="H27" s="66" t="n"/>
    </row>
    <row r="28">
      <c r="A28" s="73" t="n"/>
      <c r="B28" s="66" t="n"/>
      <c r="C28" s="66" t="n"/>
      <c r="D28" s="66" t="n"/>
      <c r="E28" s="66" t="n"/>
      <c r="F28" s="66" t="n"/>
      <c r="G28" s="73" t="n"/>
      <c r="H28" s="66" t="n"/>
    </row>
    <row r="29">
      <c r="A29" s="73" t="n"/>
      <c r="B29" s="66" t="n"/>
      <c r="C29" s="66" t="n"/>
      <c r="D29" s="66" t="n"/>
      <c r="E29" s="66" t="n"/>
      <c r="F29" s="66" t="n"/>
      <c r="G29" s="73" t="n"/>
      <c r="H29" s="66" t="n"/>
    </row>
    <row r="30">
      <c r="A30" s="73" t="n"/>
      <c r="B30" s="66" t="n"/>
      <c r="C30" s="66" t="n"/>
      <c r="D30" s="66" t="n"/>
      <c r="E30" s="66" t="n"/>
      <c r="F30" s="66" t="n"/>
      <c r="G30" s="73" t="n"/>
      <c r="H30" s="66" t="n"/>
    </row>
    <row r="31">
      <c r="A31" s="73" t="n"/>
      <c r="B31" s="66" t="n"/>
      <c r="C31" s="66" t="n"/>
      <c r="D31" s="66" t="n"/>
      <c r="E31" s="66" t="n"/>
      <c r="F31" s="66" t="n"/>
      <c r="G31" s="73" t="n"/>
      <c r="H31" s="66" t="n"/>
    </row>
    <row r="32">
      <c r="A32" s="73" t="n"/>
      <c r="B32" s="66" t="n"/>
      <c r="C32" s="66" t="n"/>
      <c r="D32" s="66" t="n"/>
      <c r="E32" s="66" t="n"/>
      <c r="F32" s="66" t="n"/>
      <c r="G32" s="73" t="n"/>
      <c r="H32" s="66" t="n"/>
    </row>
    <row r="33">
      <c r="A33" s="73" t="n"/>
      <c r="B33" s="66" t="n"/>
      <c r="C33" s="66" t="n"/>
      <c r="D33" s="66" t="n"/>
      <c r="E33" s="66" t="n"/>
      <c r="F33" s="66" t="n"/>
      <c r="G33" s="73" t="n"/>
      <c r="H33" s="66" t="n"/>
    </row>
    <row r="34">
      <c r="A34" s="73" t="n"/>
      <c r="B34" s="66" t="n"/>
      <c r="C34" s="66" t="n"/>
      <c r="D34" s="66" t="n"/>
      <c r="E34" s="66" t="n"/>
      <c r="F34" s="66" t="n"/>
      <c r="G34" s="73" t="n"/>
      <c r="H34" s="66" t="n"/>
    </row>
    <row r="35">
      <c r="A35" s="73" t="n"/>
      <c r="B35" s="66" t="n"/>
      <c r="C35" s="66" t="n"/>
      <c r="D35" s="66" t="n"/>
      <c r="E35" s="66" t="n"/>
      <c r="F35" s="66" t="n"/>
      <c r="G35" s="73" t="n"/>
      <c r="H35" s="66" t="n"/>
    </row>
    <row r="36">
      <c r="A36" s="73" t="n"/>
      <c r="B36" s="66" t="n"/>
      <c r="C36" s="66" t="n"/>
      <c r="D36" s="66" t="n"/>
      <c r="E36" s="66" t="n"/>
      <c r="F36" s="66" t="n"/>
      <c r="G36" s="73" t="n"/>
      <c r="H36" s="66" t="n"/>
    </row>
    <row r="37">
      <c r="A37" s="73" t="n"/>
      <c r="B37" s="66" t="n"/>
      <c r="C37" s="66" t="n"/>
      <c r="D37" s="66" t="n"/>
      <c r="E37" s="66" t="n"/>
      <c r="F37" s="66" t="n"/>
      <c r="G37" s="73" t="n"/>
      <c r="H37" s="66" t="n"/>
    </row>
    <row r="38">
      <c r="A38" s="73" t="n"/>
      <c r="B38" s="66" t="n"/>
      <c r="C38" s="66" t="n"/>
      <c r="D38" s="66" t="n"/>
      <c r="E38" s="66" t="n"/>
      <c r="F38" s="66" t="n"/>
      <c r="G38" s="73" t="n"/>
      <c r="H38" s="66" t="n"/>
    </row>
    <row r="39">
      <c r="A39" s="73" t="n"/>
      <c r="B39" s="66" t="n"/>
      <c r="C39" s="66" t="n"/>
      <c r="D39" s="66" t="n"/>
      <c r="E39" s="66" t="n"/>
      <c r="F39" s="66" t="n"/>
      <c r="G39" s="73" t="n"/>
      <c r="H39" s="66" t="n"/>
    </row>
    <row r="40">
      <c r="A40" s="56" t="n"/>
      <c r="B40" s="56" t="n"/>
      <c r="C40" s="56" t="n"/>
      <c r="D40" s="56" t="n"/>
      <c r="E40" s="56" t="n"/>
      <c r="F40" s="56" t="n"/>
      <c r="G40" s="56" t="n"/>
      <c r="H40" s="56" t="n"/>
    </row>
    <row r="41">
      <c r="A41" s="56" t="n"/>
      <c r="B41" s="56" t="n"/>
      <c r="C41" s="56" t="n"/>
      <c r="D41" s="56" t="n"/>
      <c r="E41" s="56" t="n"/>
      <c r="F41" s="56" t="n"/>
      <c r="G41" s="56" t="n"/>
      <c r="H41" s="56" t="n"/>
    </row>
    <row r="42">
      <c r="A42" s="56" t="n"/>
      <c r="B42" s="56" t="n"/>
      <c r="C42" s="56" t="n"/>
      <c r="D42" s="56" t="n"/>
      <c r="E42" s="56" t="n"/>
      <c r="F42" s="56" t="n"/>
      <c r="G42" s="56" t="n"/>
      <c r="H42" s="56" t="n"/>
    </row>
    <row r="43">
      <c r="A43" s="56" t="n"/>
      <c r="B43" s="56" t="n"/>
      <c r="C43" s="56" t="n"/>
      <c r="D43" s="56" t="n"/>
      <c r="E43" s="56" t="n"/>
      <c r="F43" s="56" t="n"/>
      <c r="G43" s="56" t="n"/>
      <c r="H43" s="56" t="n"/>
    </row>
    <row r="44">
      <c r="A44" s="56" t="n"/>
      <c r="B44" s="56" t="n"/>
      <c r="C44" s="56" t="n"/>
      <c r="D44" s="56" t="n"/>
      <c r="E44" s="56" t="n"/>
      <c r="F44" s="56" t="n"/>
      <c r="G44" s="56" t="n"/>
      <c r="H44" s="56" t="n"/>
    </row>
  </sheetData>
  <sheetProtection selectLockedCells="0" selectUnlockedCells="0" sheet="1" objects="0" insertRows="0" insertHyperlinks="0" autoFilter="0" scenarios="1" formatColumns="0" deleteColumns="1" insertColumns="1" pivotTables="1" deleteRows="0" formatCells="0" formatRows="0" sort="0" password="EC7C"/>
  <autoFilter ref="A4:H39"/>
  <mergeCells count="2">
    <mergeCell ref="A2:H2"/>
    <mergeCell ref="A1:H1"/>
  </mergeCells>
  <dataValidations count="1">
    <dataValidation sqref="B5:B39" showDropDown="0" showInputMessage="1" showErrorMessage="1" allowBlank="1" errorTitle="Invalid Entry" error="Please select a value from the dropdown list." promptTitle="Select" prompt="Choose from the list" type="list">
      <formula1>"Client Consultation,Vendor Meeting,Site Visit,Installation Meeting,Contractor Meeting,Final Walkthrough"</formula1>
    </dataValidation>
  </dataValidations>
  <pageMargins left="0.5" right="0.5" top="0.6" bottom="0.6" header="0.5" footer="0.5"/>
  <headerFooter>
    <oddHeader/>
    <oddFooter>&amp;C&amp;"Calibri"&amp;8 &amp;"Calibri"&amp;8Novality store  ·  Interior Design FF&amp;E Tracker  ·  Page &amp;P of &amp;N</oddFooter>
    <evenHeader/>
    <evenFooter/>
    <firstHeader/>
    <firstFooter/>
  </headerFooter>
</worksheet>
</file>

<file path=xl/worksheets/sheet22.xml><?xml version="1.0" encoding="utf-8"?>
<worksheet xmlns="http://schemas.openxmlformats.org/spreadsheetml/2006/main">
  <sheetPr>
    <tabColor rgb="001F8A7E"/>
    <outlinePr summaryBelow="1" summaryRight="1"/>
    <pageSetUpPr fitToPage="1"/>
  </sheetPr>
  <dimension ref="A1:J4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4" customWidth="1" min="3" max="3"/>
    <col width="24" customWidth="1" min="4" max="4"/>
    <col width="10" customWidth="1" min="5" max="5"/>
    <col width="14" customWidth="1" min="6" max="6"/>
    <col width="16" customWidth="1" min="7" max="7"/>
    <col width="12" customWidth="1" min="8" max="8"/>
    <col width="12" customWidth="1" min="9" max="9"/>
    <col width="14" customWidth="1" min="10" max="10"/>
  </cols>
  <sheetData>
    <row r="1" ht="38" customHeight="1">
      <c r="A1" s="51" t="inlineStr">
        <is>
          <t>CLIENT-FACING FF&amp;E REPORT</t>
        </is>
      </c>
      <c r="B1" s="52" t="n"/>
      <c r="C1" s="52" t="n"/>
      <c r="D1" s="52" t="n"/>
      <c r="E1" s="52" t="n"/>
      <c r="F1" s="52" t="n"/>
      <c r="G1" s="52" t="n"/>
      <c r="H1" s="52" t="n"/>
      <c r="I1" s="52" t="n"/>
      <c r="J1" s="52" t="n"/>
    </row>
    <row r="2" ht="18" customHeight="1">
      <c r="A2" s="53" t="inlineStr">
        <is>
          <t>Print or PDF this sheet for client presentations  ·  Novality store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</row>
    <row r="3"/>
    <row r="4" ht="34" customHeight="1">
      <c r="A4" s="65" t="inlineStr">
        <is>
          <t>Item ID</t>
        </is>
      </c>
      <c r="B4" s="65" t="inlineStr">
        <is>
          <t>Room</t>
        </is>
      </c>
      <c r="C4" s="65" t="inlineStr">
        <is>
          <t>Category</t>
        </is>
      </c>
      <c r="D4" s="65" t="inlineStr">
        <is>
          <t>Item Name</t>
        </is>
      </c>
      <c r="E4" s="65" t="inlineStr">
        <is>
          <t>Quantity</t>
        </is>
      </c>
      <c r="F4" s="65" t="inlineStr">
        <is>
          <t>Vendor</t>
        </is>
      </c>
      <c r="G4" s="65" t="inlineStr">
        <is>
          <t>Finish/Color</t>
        </is>
      </c>
      <c r="H4" s="65" t="inlineStr">
        <is>
          <t>Unit Cost</t>
        </is>
      </c>
      <c r="I4" s="65" t="inlineStr">
        <is>
          <t>Total</t>
        </is>
      </c>
      <c r="J4" s="65" t="inlineStr">
        <is>
          <t>Status</t>
        </is>
      </c>
    </row>
    <row r="5">
      <c r="A5" s="84" t="inlineStr">
        <is>
          <t>FFE-001</t>
        </is>
      </c>
      <c r="B5" s="84" t="inlineStr">
        <is>
          <t>Living Room</t>
        </is>
      </c>
      <c r="C5" s="84" t="inlineStr">
        <is>
          <t>Sofa</t>
        </is>
      </c>
      <c r="D5" s="84" t="inlineStr">
        <is>
          <t>Performance Sofa</t>
        </is>
      </c>
      <c r="E5" s="85" t="n">
        <v>1</v>
      </c>
      <c r="F5" s="84" t="inlineStr">
        <is>
          <t>Article</t>
        </is>
      </c>
      <c r="G5" s="84" t="inlineStr">
        <is>
          <t>Natural oak legs / Stone</t>
        </is>
      </c>
      <c r="H5" s="86" t="n">
        <v>1899</v>
      </c>
      <c r="I5" s="86" t="n">
        <v>1899</v>
      </c>
      <c r="J5" s="85" t="inlineStr">
        <is>
          <t>Approved</t>
        </is>
      </c>
    </row>
    <row r="6">
      <c r="A6" s="84" t="inlineStr">
        <is>
          <t>FFE-002</t>
        </is>
      </c>
      <c r="B6" s="84" t="inlineStr">
        <is>
          <t>Living Room</t>
        </is>
      </c>
      <c r="C6" s="84" t="inlineStr">
        <is>
          <t>Chair</t>
        </is>
      </c>
      <c r="D6" s="84" t="inlineStr">
        <is>
          <t>Accent Lounge Chair</t>
        </is>
      </c>
      <c r="E6" s="85" t="n">
        <v>2</v>
      </c>
      <c r="F6" s="84" t="inlineStr">
        <is>
          <t>West Elm</t>
        </is>
      </c>
      <c r="G6" s="84" t="inlineStr">
        <is>
          <t>Black metal / Ivory</t>
        </is>
      </c>
      <c r="H6" s="86" t="n">
        <v>699</v>
      </c>
      <c r="I6" s="86" t="n">
        <v>1398</v>
      </c>
      <c r="J6" s="85" t="inlineStr">
        <is>
          <t>Approved</t>
        </is>
      </c>
    </row>
    <row r="7">
      <c r="A7" s="84" t="inlineStr">
        <is>
          <t>FFE-003</t>
        </is>
      </c>
      <c r="B7" s="84" t="inlineStr">
        <is>
          <t>Living Room</t>
        </is>
      </c>
      <c r="C7" s="84" t="inlineStr">
        <is>
          <t>Table</t>
        </is>
      </c>
      <c r="D7" s="84" t="inlineStr">
        <is>
          <t>Coffee Table</t>
        </is>
      </c>
      <c r="E7" s="85" t="n">
        <v>1</v>
      </c>
      <c r="F7" s="84" t="inlineStr">
        <is>
          <t>CB2</t>
        </is>
      </c>
      <c r="G7" s="84" t="inlineStr">
        <is>
          <t>Brushed brass / White marble</t>
        </is>
      </c>
      <c r="H7" s="86" t="n">
        <v>899</v>
      </c>
      <c r="I7" s="86" t="n">
        <v>899</v>
      </c>
      <c r="J7" s="85" t="inlineStr">
        <is>
          <t>Approved</t>
        </is>
      </c>
    </row>
    <row r="8">
      <c r="A8" s="84" t="inlineStr">
        <is>
          <t>FFE-004</t>
        </is>
      </c>
      <c r="B8" s="84" t="inlineStr">
        <is>
          <t>Living Room</t>
        </is>
      </c>
      <c r="C8" s="84" t="inlineStr">
        <is>
          <t>Rug</t>
        </is>
      </c>
      <c r="D8" s="84" t="inlineStr">
        <is>
          <t>Area Rug 9x12</t>
        </is>
      </c>
      <c r="E8" s="85" t="n">
        <v>1</v>
      </c>
      <c r="F8" s="84" t="inlineStr">
        <is>
          <t>Loloi</t>
        </is>
      </c>
      <c r="G8" s="84" t="inlineStr">
        <is>
          <t>Handwoven / Ivory/Taupe</t>
        </is>
      </c>
      <c r="H8" s="86" t="n">
        <v>1299</v>
      </c>
      <c r="I8" s="86" t="n">
        <v>1299</v>
      </c>
      <c r="J8" s="85" t="inlineStr">
        <is>
          <t>Approved</t>
        </is>
      </c>
    </row>
    <row r="9">
      <c r="A9" s="84" t="inlineStr">
        <is>
          <t>FFE-005</t>
        </is>
      </c>
      <c r="B9" s="84" t="inlineStr">
        <is>
          <t>Living Room</t>
        </is>
      </c>
      <c r="C9" s="84" t="inlineStr">
        <is>
          <t>Lighting</t>
        </is>
      </c>
      <c r="D9" s="84" t="inlineStr">
        <is>
          <t>Floor Lamp</t>
        </is>
      </c>
      <c r="E9" s="85" t="n">
        <v>1</v>
      </c>
      <c r="F9" s="84" t="inlineStr">
        <is>
          <t>Rejuvenation</t>
        </is>
      </c>
      <c r="G9" s="84" t="inlineStr">
        <is>
          <t>Antique brass / Brass</t>
        </is>
      </c>
      <c r="H9" s="86" t="n">
        <v>449</v>
      </c>
      <c r="I9" s="86" t="n">
        <v>449</v>
      </c>
      <c r="J9" s="85" t="inlineStr">
        <is>
          <t>Approved</t>
        </is>
      </c>
    </row>
    <row r="10">
      <c r="A10" s="84" t="inlineStr">
        <is>
          <t>FFE-006</t>
        </is>
      </c>
      <c r="B10" s="84" t="inlineStr">
        <is>
          <t>Master Bedroom</t>
        </is>
      </c>
      <c r="C10" s="84" t="inlineStr">
        <is>
          <t>Bed</t>
        </is>
      </c>
      <c r="D10" s="84" t="inlineStr">
        <is>
          <t>Platform Bed King</t>
        </is>
      </c>
      <c r="E10" s="85" t="n">
        <v>1</v>
      </c>
      <c r="F10" s="84" t="inlineStr">
        <is>
          <t>Article</t>
        </is>
      </c>
      <c r="G10" s="84" t="inlineStr">
        <is>
          <t>Natural / Oatmeal</t>
        </is>
      </c>
      <c r="H10" s="86" t="n">
        <v>1499</v>
      </c>
      <c r="I10" s="86" t="n">
        <v>1499</v>
      </c>
      <c r="J10" s="85" t="inlineStr">
        <is>
          <t>Sent</t>
        </is>
      </c>
    </row>
    <row r="11">
      <c r="A11" s="84" t="inlineStr">
        <is>
          <t>FFE-007</t>
        </is>
      </c>
      <c r="B11" s="84" t="inlineStr">
        <is>
          <t>Master Bedroom</t>
        </is>
      </c>
      <c r="C11" s="84" t="inlineStr">
        <is>
          <t>Lighting</t>
        </is>
      </c>
      <c r="D11" s="84" t="inlineStr">
        <is>
          <t>Pendant Pair</t>
        </is>
      </c>
      <c r="E11" s="85" t="n">
        <v>2</v>
      </c>
      <c r="F11" s="84" t="inlineStr">
        <is>
          <t>Schoolhouse</t>
        </is>
      </c>
      <c r="G11" s="84" t="inlineStr">
        <is>
          <t>Clear glass / Brass</t>
        </is>
      </c>
      <c r="H11" s="86" t="n">
        <v>279</v>
      </c>
      <c r="I11" s="86" t="n">
        <v>558</v>
      </c>
      <c r="J11" s="85" t="inlineStr">
        <is>
          <t>Approved</t>
        </is>
      </c>
    </row>
    <row r="12">
      <c r="A12" s="84" t="inlineStr">
        <is>
          <t>FFE-008</t>
        </is>
      </c>
      <c r="B12" s="84" t="inlineStr">
        <is>
          <t>Kitchen</t>
        </is>
      </c>
      <c r="C12" s="84" t="inlineStr">
        <is>
          <t>Appliance</t>
        </is>
      </c>
      <c r="D12" s="84" t="inlineStr">
        <is>
          <t>Range 36"</t>
        </is>
      </c>
      <c r="E12" s="85" t="n">
        <v>1</v>
      </c>
      <c r="F12" s="84" t="inlineStr">
        <is>
          <t>Wolf</t>
        </is>
      </c>
      <c r="G12" s="84" t="inlineStr">
        <is>
          <t>Professional / SS</t>
        </is>
      </c>
      <c r="H12" s="86" t="n">
        <v>8999</v>
      </c>
      <c r="I12" s="86" t="n">
        <v>8999</v>
      </c>
      <c r="J12" s="85" t="inlineStr">
        <is>
          <t>Approved</t>
        </is>
      </c>
    </row>
    <row r="13">
      <c r="A13" s="84" t="inlineStr">
        <is>
          <t>FFE-009</t>
        </is>
      </c>
      <c r="B13" s="84" t="inlineStr">
        <is>
          <t>Kitchen</t>
        </is>
      </c>
      <c r="C13" s="84" t="inlineStr">
        <is>
          <t>Lighting</t>
        </is>
      </c>
      <c r="D13" s="84" t="inlineStr">
        <is>
          <t>Island Pendants</t>
        </is>
      </c>
      <c r="E13" s="85" t="n">
        <v>3</v>
      </c>
      <c r="F13" s="84" t="inlineStr">
        <is>
          <t>Visual Comfort</t>
        </is>
      </c>
      <c r="G13" s="84" t="inlineStr">
        <is>
          <t>Aged brass / Brass</t>
        </is>
      </c>
      <c r="H13" s="86" t="n">
        <v>520</v>
      </c>
      <c r="I13" s="86" t="n">
        <v>1560</v>
      </c>
      <c r="J13" s="85" t="inlineStr">
        <is>
          <t>Approved</t>
        </is>
      </c>
    </row>
    <row r="14">
      <c r="A14" s="84" t="inlineStr">
        <is>
          <t>FFE-010</t>
        </is>
      </c>
      <c r="B14" s="84" t="inlineStr">
        <is>
          <t>Dining Room</t>
        </is>
      </c>
      <c r="C14" s="84" t="inlineStr">
        <is>
          <t>Table</t>
        </is>
      </c>
      <c r="D14" s="84" t="inlineStr">
        <is>
          <t>Dining Table</t>
        </is>
      </c>
      <c r="E14" s="85" t="n">
        <v>1</v>
      </c>
      <c r="F14" s="84" t="inlineStr">
        <is>
          <t>Ethnicraft</t>
        </is>
      </c>
      <c r="G14" s="84" t="inlineStr">
        <is>
          <t>White oak / Natural</t>
        </is>
      </c>
      <c r="H14" s="86" t="n">
        <v>2499</v>
      </c>
      <c r="I14" s="86" t="n">
        <v>2499</v>
      </c>
      <c r="J14" s="85" t="inlineStr">
        <is>
          <t>Not Sent</t>
        </is>
      </c>
    </row>
    <row r="15">
      <c r="A15" s="84" t="inlineStr">
        <is>
          <t>FFE-011</t>
        </is>
      </c>
      <c r="B15" s="84" t="inlineStr">
        <is>
          <t>Dining Room</t>
        </is>
      </c>
      <c r="C15" s="84" t="inlineStr">
        <is>
          <t>Chair</t>
        </is>
      </c>
      <c r="D15" s="84" t="inlineStr">
        <is>
          <t>Dining Chairs</t>
        </is>
      </c>
      <c r="E15" s="85" t="n">
        <v>6</v>
      </c>
      <c r="F15" s="84" t="inlineStr">
        <is>
          <t>Four Hands</t>
        </is>
      </c>
      <c r="G15" s="84" t="inlineStr">
        <is>
          <t>Oak legs / Sand</t>
        </is>
      </c>
      <c r="H15" s="86" t="n">
        <v>349</v>
      </c>
      <c r="I15" s="86" t="n">
        <v>2094</v>
      </c>
      <c r="J15" s="85" t="inlineStr">
        <is>
          <t>Not Sent</t>
        </is>
      </c>
    </row>
    <row r="16">
      <c r="A16" s="84" t="inlineStr">
        <is>
          <t>FFE-012</t>
        </is>
      </c>
      <c r="B16" s="84" t="inlineStr">
        <is>
          <t>Powder Room</t>
        </is>
      </c>
      <c r="C16" s="84" t="inlineStr">
        <is>
          <t>Plumbing Fixture</t>
        </is>
      </c>
      <c r="D16" s="84" t="inlineStr">
        <is>
          <t>Vessel Sink</t>
        </is>
      </c>
      <c r="E16" s="85" t="n">
        <v>1</v>
      </c>
      <c r="F16" s="84" t="inlineStr">
        <is>
          <t>Signature Hardware</t>
        </is>
      </c>
      <c r="G16" s="84" t="inlineStr">
        <is>
          <t>Honed / Carrara</t>
        </is>
      </c>
      <c r="H16" s="86" t="n">
        <v>389</v>
      </c>
      <c r="I16" s="86" t="n">
        <v>389</v>
      </c>
      <c r="J16" s="85" t="inlineStr">
        <is>
          <t>Approved</t>
        </is>
      </c>
    </row>
    <row r="17">
      <c r="A17" s="84" t="inlineStr">
        <is>
          <t>FFE-013</t>
        </is>
      </c>
      <c r="B17" s="84" t="inlineStr">
        <is>
          <t>Home Office</t>
        </is>
      </c>
      <c r="C17" s="84" t="inlineStr">
        <is>
          <t>Chair</t>
        </is>
      </c>
      <c r="D17" s="84" t="inlineStr">
        <is>
          <t>Desk Chair</t>
        </is>
      </c>
      <c r="E17" s="85" t="n">
        <v>1</v>
      </c>
      <c r="F17" s="84" t="inlineStr">
        <is>
          <t>Herman Miller</t>
        </is>
      </c>
      <c r="G17" s="84" t="inlineStr">
        <is>
          <t>Black / Black</t>
        </is>
      </c>
      <c r="H17" s="86" t="n">
        <v>1395</v>
      </c>
      <c r="I17" s="86" t="n">
        <v>1395</v>
      </c>
      <c r="J17" s="85" t="inlineStr">
        <is>
          <t>Not Sent</t>
        </is>
      </c>
    </row>
    <row r="18">
      <c r="A18" s="84" t="inlineStr">
        <is>
          <t>FFE-014</t>
        </is>
      </c>
      <c r="B18" s="84" t="inlineStr">
        <is>
          <t>Living Room</t>
        </is>
      </c>
      <c r="C18" s="84" t="inlineStr">
        <is>
          <t>Artwork</t>
        </is>
      </c>
      <c r="D18" s="84" t="inlineStr">
        <is>
          <t>Large Abstract Canvas</t>
        </is>
      </c>
      <c r="E18" s="85" t="n">
        <v>1</v>
      </c>
      <c r="F18" s="84" t="inlineStr">
        <is>
          <t>Local Artist</t>
        </is>
      </c>
      <c r="G18" s="84" t="inlineStr">
        <is>
          <t>Gallery wrap / Multi</t>
        </is>
      </c>
      <c r="H18" s="86" t="n">
        <v>2200</v>
      </c>
      <c r="I18" s="86" t="n">
        <v>2200</v>
      </c>
      <c r="J18" s="85" t="inlineStr">
        <is>
          <t>Sent</t>
        </is>
      </c>
    </row>
    <row r="19">
      <c r="A19" s="84" t="inlineStr">
        <is>
          <t>FFE-015</t>
        </is>
      </c>
      <c r="B19" s="84" t="inlineStr">
        <is>
          <t>Kitchen</t>
        </is>
      </c>
      <c r="C19" s="84" t="inlineStr">
        <is>
          <t>Hardware</t>
        </is>
      </c>
      <c r="D19" s="84" t="inlineStr">
        <is>
          <t>Cabinet Pulls</t>
        </is>
      </c>
      <c r="E19" s="85" t="n">
        <v>24</v>
      </c>
      <c r="F19" s="84" t="inlineStr">
        <is>
          <t>Rejuvenation</t>
        </is>
      </c>
      <c r="G19" s="84" t="inlineStr">
        <is>
          <t>Unlacquered / Brass</t>
        </is>
      </c>
      <c r="H19" s="86" t="n">
        <v>18</v>
      </c>
      <c r="I19" s="86" t="n">
        <v>432</v>
      </c>
      <c r="J19" s="85" t="inlineStr">
        <is>
          <t>Approved</t>
        </is>
      </c>
    </row>
    <row r="20">
      <c r="H20" s="44" t="inlineStr">
        <is>
          <t>TOTAL</t>
        </is>
      </c>
      <c r="I20" s="72">
        <f>SUM(I5:I19)</f>
        <v/>
      </c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</sheetData>
  <sheetProtection selectLockedCells="0" selectUnlockedCells="0" sheet="1" objects="0" insertRows="0" insertHyperlinks="0" autoFilter="0" scenarios="1" formatColumns="0" deleteColumns="1" insertColumns="1" pivotTables="1" deleteRows="0" formatCells="0" formatRows="0" sort="0" password="EC7C"/>
  <autoFilter ref="A4:J19"/>
  <mergeCells count="2">
    <mergeCell ref="A1:J1"/>
    <mergeCell ref="A2:J2"/>
  </mergeCells>
  <pageMargins left="0.5" right="0.5" top="0.6" bottom="0.6" header="0.5" footer="0.5"/>
  <pageSetup orientation="landscape" fitToHeight="0" fitToWidth="1"/>
  <headerFooter>
    <oddHeader/>
    <oddFooter>&amp;C&amp;"Calibri"&amp;8 &amp;"Calibri"&amp;8Novality store  ·  Interior Design FF&amp;E Tracker  ·  Page &amp;P of &amp;N</oddFooter>
    <evenHeader/>
    <evenFooter/>
    <firstHeader/>
    <firstFooter/>
  </headerFooter>
</worksheet>
</file>

<file path=xl/worksheets/sheet23.xml><?xml version="1.0" encoding="utf-8"?>
<worksheet xmlns="http://schemas.openxmlformats.org/spreadsheetml/2006/main">
  <sheetPr>
    <tabColor rgb="001F8A7E"/>
    <outlinePr summaryBelow="1" summaryRight="1"/>
    <pageSetUpPr fitToPage="1"/>
  </sheetPr>
  <dimension ref="A1:J40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14" customWidth="1" min="4" max="4"/>
    <col width="14" customWidth="1" min="5" max="5"/>
    <col width="10" customWidth="1" min="6" max="6"/>
    <col width="14" customWidth="1" min="7" max="7"/>
  </cols>
  <sheetData>
    <row r="1" ht="38" customHeight="1">
      <c r="A1" s="51" t="inlineStr">
        <is>
          <t>ROOM-BY-ROOM BUDGET REPORT</t>
        </is>
      </c>
      <c r="B1" s="52" t="n"/>
      <c r="C1" s="52" t="n"/>
      <c r="D1" s="52" t="n"/>
      <c r="E1" s="52" t="n"/>
      <c r="F1" s="52" t="n"/>
      <c r="G1" s="52" t="n"/>
    </row>
    <row r="2" ht="18" customHeight="1">
      <c r="A2" s="53" t="inlineStr">
        <is>
          <t>Printable budget summary by area  ·  Novality store</t>
        </is>
      </c>
      <c r="B2" s="5" t="n"/>
      <c r="C2" s="5" t="n"/>
      <c r="D2" s="5" t="n"/>
      <c r="E2" s="5" t="n"/>
      <c r="F2" s="5" t="n"/>
      <c r="G2" s="5" t="n"/>
    </row>
    <row r="3"/>
    <row r="4" ht="34" customHeight="1">
      <c r="A4" s="65" t="inlineStr">
        <is>
          <t>Room</t>
        </is>
      </c>
      <c r="B4" s="65" t="inlineStr">
        <is>
          <t>Budget Allocation</t>
        </is>
      </c>
      <c r="C4" s="65" t="inlineStr">
        <is>
          <t>Estimated Spend</t>
        </is>
      </c>
      <c r="D4" s="65" t="inlineStr">
        <is>
          <t>Actual Spend</t>
        </is>
      </c>
      <c r="E4" s="65" t="inlineStr">
        <is>
          <t>Remaining</t>
        </is>
      </c>
      <c r="F4" s="65" t="inlineStr">
        <is>
          <t>% Used</t>
        </is>
      </c>
      <c r="G4" s="65" t="inlineStr">
        <is>
          <t>Status</t>
        </is>
      </c>
    </row>
    <row r="5">
      <c r="A5" s="87">
        <f>'04 Room List'!A5</f>
        <v/>
      </c>
      <c r="B5" s="69">
        <f>'04 Room List'!F5</f>
        <v/>
      </c>
      <c r="C5" s="69">
        <f>'04 Room List'!G5</f>
        <v/>
      </c>
      <c r="D5" s="69">
        <f>'04 Room List'!H5</f>
        <v/>
      </c>
      <c r="E5" s="69">
        <f>'04 Room List'!I5</f>
        <v/>
      </c>
      <c r="F5" s="88">
        <f>IF(B5=0,0,D5/B5)</f>
        <v/>
      </c>
      <c r="G5" s="89">
        <f>'04 Room List'!E5</f>
        <v/>
      </c>
    </row>
    <row r="6">
      <c r="A6" s="87">
        <f>'04 Room List'!A6</f>
        <v/>
      </c>
      <c r="B6" s="69">
        <f>'04 Room List'!F6</f>
        <v/>
      </c>
      <c r="C6" s="69">
        <f>'04 Room List'!G6</f>
        <v/>
      </c>
      <c r="D6" s="69">
        <f>'04 Room List'!H6</f>
        <v/>
      </c>
      <c r="E6" s="69">
        <f>'04 Room List'!I6</f>
        <v/>
      </c>
      <c r="F6" s="88">
        <f>IF(B6=0,0,D6/B6)</f>
        <v/>
      </c>
      <c r="G6" s="89">
        <f>'04 Room List'!E6</f>
        <v/>
      </c>
    </row>
    <row r="7">
      <c r="A7" s="87">
        <f>'04 Room List'!A7</f>
        <v/>
      </c>
      <c r="B7" s="69">
        <f>'04 Room List'!F7</f>
        <v/>
      </c>
      <c r="C7" s="69">
        <f>'04 Room List'!G7</f>
        <v/>
      </c>
      <c r="D7" s="69">
        <f>'04 Room List'!H7</f>
        <v/>
      </c>
      <c r="E7" s="69">
        <f>'04 Room List'!I7</f>
        <v/>
      </c>
      <c r="F7" s="88">
        <f>IF(B7=0,0,D7/B7)</f>
        <v/>
      </c>
      <c r="G7" s="89">
        <f>'04 Room List'!E7</f>
        <v/>
      </c>
    </row>
    <row r="8">
      <c r="A8" s="87">
        <f>'04 Room List'!A8</f>
        <v/>
      </c>
      <c r="B8" s="69">
        <f>'04 Room List'!F8</f>
        <v/>
      </c>
      <c r="C8" s="69">
        <f>'04 Room List'!G8</f>
        <v/>
      </c>
      <c r="D8" s="69">
        <f>'04 Room List'!H8</f>
        <v/>
      </c>
      <c r="E8" s="69">
        <f>'04 Room List'!I8</f>
        <v/>
      </c>
      <c r="F8" s="88">
        <f>IF(B8=0,0,D8/B8)</f>
        <v/>
      </c>
      <c r="G8" s="89">
        <f>'04 Room List'!E8</f>
        <v/>
      </c>
    </row>
    <row r="9">
      <c r="A9" s="87">
        <f>'04 Room List'!A9</f>
        <v/>
      </c>
      <c r="B9" s="69">
        <f>'04 Room List'!F9</f>
        <v/>
      </c>
      <c r="C9" s="69">
        <f>'04 Room List'!G9</f>
        <v/>
      </c>
      <c r="D9" s="69">
        <f>'04 Room List'!H9</f>
        <v/>
      </c>
      <c r="E9" s="69">
        <f>'04 Room List'!I9</f>
        <v/>
      </c>
      <c r="F9" s="88">
        <f>IF(B9=0,0,D9/B9)</f>
        <v/>
      </c>
      <c r="G9" s="89">
        <f>'04 Room List'!E9</f>
        <v/>
      </c>
    </row>
    <row r="10">
      <c r="A10" s="87">
        <f>'04 Room List'!A10</f>
        <v/>
      </c>
      <c r="B10" s="69">
        <f>'04 Room List'!F10</f>
        <v/>
      </c>
      <c r="C10" s="69">
        <f>'04 Room List'!G10</f>
        <v/>
      </c>
      <c r="D10" s="69">
        <f>'04 Room List'!H10</f>
        <v/>
      </c>
      <c r="E10" s="69">
        <f>'04 Room List'!I10</f>
        <v/>
      </c>
      <c r="F10" s="88">
        <f>IF(B10=0,0,D10/B10)</f>
        <v/>
      </c>
      <c r="G10" s="89">
        <f>'04 Room List'!E10</f>
        <v/>
      </c>
    </row>
    <row r="11"/>
    <row r="12">
      <c r="A12" s="44" t="inlineStr">
        <is>
          <t>TOTAL</t>
        </is>
      </c>
      <c r="B12" s="72">
        <f>SUM(B5:B10)</f>
        <v/>
      </c>
      <c r="C12" s="72">
        <f>SUM(C5:C10)</f>
        <v/>
      </c>
      <c r="D12" s="72">
        <f>SUM(D5:D10)</f>
        <v/>
      </c>
      <c r="E12" s="72">
        <f>SUM(E5:E10)</f>
        <v/>
      </c>
    </row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</sheetData>
  <sheetProtection selectLockedCells="0" selectUnlockedCells="0" sheet="1" objects="0" insertRows="0" insertHyperlinks="0" autoFilter="0" scenarios="1" formatColumns="0" deleteColumns="1" insertColumns="1" pivotTables="1" deleteRows="0" formatCells="0" formatRows="0" sort="0" password="EC7C"/>
  <mergeCells count="2">
    <mergeCell ref="A2:G2"/>
    <mergeCell ref="A1:G1"/>
  </mergeCells>
  <pageMargins left="0.5" right="0.5" top="0.6" bottom="0.6" header="0.5" footer="0.5"/>
  <pageSetup orientation="portrait" fitToWidth="1"/>
  <headerFooter>
    <oddHeader/>
    <oddFooter>&amp;C&amp;"Calibri"&amp;8 &amp;"Calibri"&amp;8Novality store  ·  Interior Design FF&amp;E Tracker  ·  Page &amp;P of &amp;N</oddFooter>
    <evenHeader/>
    <evenFooter/>
    <firstHeader/>
    <firstFooter/>
  </headerFooter>
</worksheet>
</file>

<file path=xl/worksheets/sheet24.xml><?xml version="1.0" encoding="utf-8"?>
<worksheet xmlns="http://schemas.openxmlformats.org/spreadsheetml/2006/main">
  <sheetPr>
    <tabColor rgb="001F8A7E"/>
    <outlinePr summaryBelow="1" summaryRight="1"/>
    <pageSetUpPr/>
  </sheetPr>
  <dimension ref="A1:J4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8" customWidth="1" min="4" max="4"/>
    <col width="12" customWidth="1" min="5" max="5"/>
    <col width="14" customWidth="1" min="6" max="6"/>
    <col width="12" customWidth="1" min="7" max="7"/>
    <col width="12" customWidth="1" min="8" max="8"/>
    <col width="20" customWidth="1" min="9" max="9"/>
  </cols>
  <sheetData>
    <row r="1" ht="38" customHeight="1">
      <c r="A1" s="51" t="inlineStr">
        <is>
          <t>VENDOR ORDER REPORT</t>
        </is>
      </c>
      <c r="B1" s="52" t="n"/>
      <c r="C1" s="52" t="n"/>
      <c r="D1" s="52" t="n"/>
      <c r="E1" s="52" t="n"/>
      <c r="F1" s="52" t="n"/>
      <c r="G1" s="52" t="n"/>
      <c r="H1" s="52" t="n"/>
      <c r="I1" s="52" t="n"/>
    </row>
    <row r="2" ht="18" customHeight="1">
      <c r="A2" s="53" t="inlineStr">
        <is>
          <t>Printable open and completed orders by vendor  ·  Novality store</t>
        </is>
      </c>
      <c r="B2" s="5" t="n"/>
      <c r="C2" s="5" t="n"/>
      <c r="D2" s="5" t="n"/>
      <c r="E2" s="5" t="n"/>
      <c r="F2" s="5" t="n"/>
      <c r="G2" s="5" t="n"/>
      <c r="H2" s="5" t="n"/>
      <c r="I2" s="5" t="n"/>
    </row>
    <row r="3"/>
    <row r="4" ht="34" customHeight="1">
      <c r="A4" s="65" t="inlineStr">
        <is>
          <t>PO Number</t>
        </is>
      </c>
      <c r="B4" s="65" t="inlineStr">
        <is>
          <t>Vendor</t>
        </is>
      </c>
      <c r="C4" s="65" t="inlineStr">
        <is>
          <t>Item</t>
        </is>
      </c>
      <c r="D4" s="65" t="inlineStr">
        <is>
          <t>Qty</t>
        </is>
      </c>
      <c r="E4" s="65" t="inlineStr">
        <is>
          <t>Order Date</t>
        </is>
      </c>
      <c r="F4" s="65" t="inlineStr">
        <is>
          <t>Status</t>
        </is>
      </c>
      <c r="G4" s="65" t="inlineStr">
        <is>
          <t>Amount</t>
        </is>
      </c>
      <c r="H4" s="65" t="inlineStr">
        <is>
          <t>Paid Status</t>
        </is>
      </c>
      <c r="I4" s="65" t="inlineStr">
        <is>
          <t>Tracking</t>
        </is>
      </c>
    </row>
    <row r="5">
      <c r="A5" s="87">
        <f>'12 Purchase Orders'!A5</f>
        <v/>
      </c>
      <c r="B5" s="87">
        <f>'12 Purchase Orders'!B5</f>
        <v/>
      </c>
      <c r="C5" s="87">
        <f>'12 Purchase Orders'!D5</f>
        <v/>
      </c>
      <c r="D5" s="89">
        <f>'12 Purchase Orders'!E5</f>
        <v/>
      </c>
      <c r="E5" s="90">
        <f>'12 Purchase Orders'!F5</f>
        <v/>
      </c>
      <c r="F5" s="89">
        <f>'12 Purchase Orders'!J5</f>
        <v/>
      </c>
      <c r="G5" s="91">
        <f>'12 Purchase Orders'!N5</f>
        <v/>
      </c>
      <c r="H5" s="89">
        <f>'12 Purchase Orders'!O5</f>
        <v/>
      </c>
      <c r="I5" s="87">
        <f>'12 Purchase Orders'!K5</f>
        <v/>
      </c>
    </row>
    <row r="6">
      <c r="A6" s="87">
        <f>'12 Purchase Orders'!A6</f>
        <v/>
      </c>
      <c r="B6" s="87">
        <f>'12 Purchase Orders'!B6</f>
        <v/>
      </c>
      <c r="C6" s="87">
        <f>'12 Purchase Orders'!D6</f>
        <v/>
      </c>
      <c r="D6" s="89">
        <f>'12 Purchase Orders'!E6</f>
        <v/>
      </c>
      <c r="E6" s="90">
        <f>'12 Purchase Orders'!F6</f>
        <v/>
      </c>
      <c r="F6" s="89">
        <f>'12 Purchase Orders'!J6</f>
        <v/>
      </c>
      <c r="G6" s="91">
        <f>'12 Purchase Orders'!N6</f>
        <v/>
      </c>
      <c r="H6" s="89">
        <f>'12 Purchase Orders'!O6</f>
        <v/>
      </c>
      <c r="I6" s="87">
        <f>'12 Purchase Orders'!K6</f>
        <v/>
      </c>
    </row>
    <row r="7">
      <c r="A7" s="87">
        <f>'12 Purchase Orders'!A7</f>
        <v/>
      </c>
      <c r="B7" s="87">
        <f>'12 Purchase Orders'!B7</f>
        <v/>
      </c>
      <c r="C7" s="87">
        <f>'12 Purchase Orders'!D7</f>
        <v/>
      </c>
      <c r="D7" s="89">
        <f>'12 Purchase Orders'!E7</f>
        <v/>
      </c>
      <c r="E7" s="90">
        <f>'12 Purchase Orders'!F7</f>
        <v/>
      </c>
      <c r="F7" s="89">
        <f>'12 Purchase Orders'!J7</f>
        <v/>
      </c>
      <c r="G7" s="91">
        <f>'12 Purchase Orders'!N7</f>
        <v/>
      </c>
      <c r="H7" s="89">
        <f>'12 Purchase Orders'!O7</f>
        <v/>
      </c>
      <c r="I7" s="87">
        <f>'12 Purchase Orders'!K7</f>
        <v/>
      </c>
    </row>
    <row r="8">
      <c r="A8" s="87">
        <f>'12 Purchase Orders'!A8</f>
        <v/>
      </c>
      <c r="B8" s="87">
        <f>'12 Purchase Orders'!B8</f>
        <v/>
      </c>
      <c r="C8" s="87">
        <f>'12 Purchase Orders'!D8</f>
        <v/>
      </c>
      <c r="D8" s="89">
        <f>'12 Purchase Orders'!E8</f>
        <v/>
      </c>
      <c r="E8" s="90">
        <f>'12 Purchase Orders'!F8</f>
        <v/>
      </c>
      <c r="F8" s="89">
        <f>'12 Purchase Orders'!J8</f>
        <v/>
      </c>
      <c r="G8" s="91">
        <f>'12 Purchase Orders'!N8</f>
        <v/>
      </c>
      <c r="H8" s="89">
        <f>'12 Purchase Orders'!O8</f>
        <v/>
      </c>
      <c r="I8" s="87">
        <f>'12 Purchase Orders'!K8</f>
        <v/>
      </c>
    </row>
    <row r="9">
      <c r="A9" s="87">
        <f>'12 Purchase Orders'!A9</f>
        <v/>
      </c>
      <c r="B9" s="87">
        <f>'12 Purchase Orders'!B9</f>
        <v/>
      </c>
      <c r="C9" s="87">
        <f>'12 Purchase Orders'!D9</f>
        <v/>
      </c>
      <c r="D9" s="89">
        <f>'12 Purchase Orders'!E9</f>
        <v/>
      </c>
      <c r="E9" s="90">
        <f>'12 Purchase Orders'!F9</f>
        <v/>
      </c>
      <c r="F9" s="89">
        <f>'12 Purchase Orders'!J9</f>
        <v/>
      </c>
      <c r="G9" s="91">
        <f>'12 Purchase Orders'!N9</f>
        <v/>
      </c>
      <c r="H9" s="89">
        <f>'12 Purchase Orders'!O9</f>
        <v/>
      </c>
      <c r="I9" s="87">
        <f>'12 Purchase Orders'!K9</f>
        <v/>
      </c>
    </row>
    <row r="10">
      <c r="A10" s="87">
        <f>'12 Purchase Orders'!A10</f>
        <v/>
      </c>
      <c r="B10" s="87">
        <f>'12 Purchase Orders'!B10</f>
        <v/>
      </c>
      <c r="C10" s="87">
        <f>'12 Purchase Orders'!D10</f>
        <v/>
      </c>
      <c r="D10" s="89">
        <f>'12 Purchase Orders'!E10</f>
        <v/>
      </c>
      <c r="E10" s="90">
        <f>'12 Purchase Orders'!F10</f>
        <v/>
      </c>
      <c r="F10" s="89">
        <f>'12 Purchase Orders'!J10</f>
        <v/>
      </c>
      <c r="G10" s="91">
        <f>'12 Purchase Orders'!N10</f>
        <v/>
      </c>
      <c r="H10" s="89">
        <f>'12 Purchase Orders'!O10</f>
        <v/>
      </c>
      <c r="I10" s="87">
        <f>'12 Purchase Orders'!K10</f>
        <v/>
      </c>
    </row>
    <row r="11">
      <c r="A11" s="87">
        <f>'12 Purchase Orders'!A11</f>
        <v/>
      </c>
      <c r="B11" s="87">
        <f>'12 Purchase Orders'!B11</f>
        <v/>
      </c>
      <c r="C11" s="87">
        <f>'12 Purchase Orders'!D11</f>
        <v/>
      </c>
      <c r="D11" s="89">
        <f>'12 Purchase Orders'!E11</f>
        <v/>
      </c>
      <c r="E11" s="90">
        <f>'12 Purchase Orders'!F11</f>
        <v/>
      </c>
      <c r="F11" s="89">
        <f>'12 Purchase Orders'!J11</f>
        <v/>
      </c>
      <c r="G11" s="91">
        <f>'12 Purchase Orders'!N11</f>
        <v/>
      </c>
      <c r="H11" s="89">
        <f>'12 Purchase Orders'!O11</f>
        <v/>
      </c>
      <c r="I11" s="87">
        <f>'12 Purchase Orders'!K11</f>
        <v/>
      </c>
    </row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</sheetData>
  <sheetProtection selectLockedCells="0" selectUnlockedCells="0" sheet="1" objects="0" insertRows="0" insertHyperlinks="0" autoFilter="0" scenarios="1" formatColumns="0" deleteColumns="1" insertColumns="1" pivotTables="1" deleteRows="0" formatCells="0" formatRows="0" sort="0" password="EC7C"/>
  <autoFilter ref="A4:I20"/>
  <mergeCells count="2">
    <mergeCell ref="A1:I1"/>
    <mergeCell ref="A2:I2"/>
  </mergeCells>
  <pageMargins left="0.5" right="0.5" top="0.6" bottom="0.6" header="0.5" footer="0.5"/>
  <pageSetup orientation="landscape" fitToWidth="1"/>
  <headerFooter>
    <oddHeader/>
    <oddFooter>&amp;C&amp;"Calibri"&amp;8 &amp;"Calibri"&amp;8Novality store  ·  Interior Design FF&amp;E Tracker  ·  Page &amp;P of &amp;N</oddFooter>
    <evenHeader/>
    <evenFooter/>
    <firstHeader/>
    <firstFooter/>
  </headerFooter>
</worksheet>
</file>

<file path=xl/worksheets/sheet25.xml><?xml version="1.0" encoding="utf-8"?>
<worksheet xmlns="http://schemas.openxmlformats.org/spreadsheetml/2006/main">
  <sheetPr>
    <tabColor rgb="001F8A7E"/>
    <outlinePr summaryBelow="1" summaryRight="1"/>
    <pageSetUpPr/>
  </sheetPr>
  <dimension ref="A1:J4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14" customWidth="1" min="3" max="3"/>
    <col width="14" customWidth="1" min="4" max="4"/>
    <col width="12" customWidth="1" min="5" max="5"/>
    <col width="18" customWidth="1" min="6" max="6"/>
    <col width="14" customWidth="1" min="7" max="7"/>
    <col width="30" customWidth="1" min="8" max="8"/>
  </cols>
  <sheetData>
    <row r="1" ht="38" customHeight="1">
      <c r="A1" s="51" t="inlineStr">
        <is>
          <t>INSTALLATION CHECKLIST</t>
        </is>
      </c>
      <c r="B1" s="52" t="n"/>
      <c r="C1" s="52" t="n"/>
      <c r="D1" s="52" t="n"/>
      <c r="E1" s="52" t="n"/>
      <c r="F1" s="52" t="n"/>
      <c r="G1" s="52" t="n"/>
      <c r="H1" s="52" t="n"/>
    </row>
    <row r="2" ht="18" customHeight="1">
      <c r="A2" s="53" t="inlineStr">
        <is>
          <t>Print for on-site installation day  ·  Novality store</t>
        </is>
      </c>
      <c r="B2" s="5" t="n"/>
      <c r="C2" s="5" t="n"/>
      <c r="D2" s="5" t="n"/>
      <c r="E2" s="5" t="n"/>
      <c r="F2" s="5" t="n"/>
      <c r="G2" s="5" t="n"/>
      <c r="H2" s="5" t="n"/>
    </row>
    <row r="3"/>
    <row r="4" ht="34" customHeight="1">
      <c r="A4" s="65" t="inlineStr">
        <is>
          <t>☐</t>
        </is>
      </c>
      <c r="B4" s="65" t="inlineStr">
        <is>
          <t>Item</t>
        </is>
      </c>
      <c r="C4" s="65" t="inlineStr">
        <is>
          <t>Room</t>
        </is>
      </c>
      <c r="D4" s="65" t="inlineStr">
        <is>
          <t>Vendor</t>
        </is>
      </c>
      <c r="E4" s="65" t="inlineStr">
        <is>
          <t>Install Date</t>
        </is>
      </c>
      <c r="F4" s="65" t="inlineStr">
        <is>
          <t>Installer</t>
        </is>
      </c>
      <c r="G4" s="65" t="inlineStr">
        <is>
          <t>Status</t>
        </is>
      </c>
      <c r="H4" s="65" t="inlineStr">
        <is>
          <t>Notes</t>
        </is>
      </c>
    </row>
    <row r="5">
      <c r="A5" s="85" t="inlineStr">
        <is>
          <t>☑</t>
        </is>
      </c>
      <c r="B5" s="84" t="inlineStr">
        <is>
          <t>Area Rug 9x12</t>
        </is>
      </c>
      <c r="C5" s="84" t="inlineStr">
        <is>
          <t>Living Room</t>
        </is>
      </c>
      <c r="D5" s="84" t="inlineStr">
        <is>
          <t>Loloi</t>
        </is>
      </c>
      <c r="E5" s="92" t="n">
        <v>46123</v>
      </c>
      <c r="F5" s="84" t="inlineStr">
        <is>
          <t>Studio Team</t>
        </is>
      </c>
      <c r="G5" s="85" t="inlineStr">
        <is>
          <t>Installed</t>
        </is>
      </c>
      <c r="H5" s="84" t="inlineStr"/>
    </row>
    <row r="6">
      <c r="A6" s="85" t="inlineStr">
        <is>
          <t>☑</t>
        </is>
      </c>
      <c r="B6" s="84" t="inlineStr">
        <is>
          <t>Floor Lamp</t>
        </is>
      </c>
      <c r="C6" s="84" t="inlineStr">
        <is>
          <t>Living Room</t>
        </is>
      </c>
      <c r="D6" s="84" t="inlineStr">
        <is>
          <t>Rejuvenation</t>
        </is>
      </c>
      <c r="E6" s="92" t="n">
        <v>46114</v>
      </c>
      <c r="F6" s="84" t="inlineStr">
        <is>
          <t>Studio Team</t>
        </is>
      </c>
      <c r="G6" s="85" t="inlineStr">
        <is>
          <t>Installed</t>
        </is>
      </c>
      <c r="H6" s="84" t="inlineStr"/>
    </row>
    <row r="7">
      <c r="A7" s="85" t="inlineStr">
        <is>
          <t>☐</t>
        </is>
      </c>
      <c r="B7" s="84" t="inlineStr">
        <is>
          <t>Accent Lounge Chairs</t>
        </is>
      </c>
      <c r="C7" s="84" t="inlineStr">
        <is>
          <t>Living Room</t>
        </is>
      </c>
      <c r="D7" s="84" t="inlineStr">
        <is>
          <t>West Elm</t>
        </is>
      </c>
      <c r="E7" s="92" t="n">
        <v>46154</v>
      </c>
      <c r="F7" s="84" t="inlineStr">
        <is>
          <t>Studio Team</t>
        </is>
      </c>
      <c r="G7" s="85" t="inlineStr">
        <is>
          <t>Scheduled</t>
        </is>
      </c>
      <c r="H7" s="84" t="inlineStr"/>
    </row>
    <row r="8">
      <c r="A8" s="85" t="inlineStr">
        <is>
          <t>☐</t>
        </is>
      </c>
      <c r="B8" s="84" t="inlineStr">
        <is>
          <t>Performance Sofa</t>
        </is>
      </c>
      <c r="C8" s="84" t="inlineStr">
        <is>
          <t>Living Room</t>
        </is>
      </c>
      <c r="D8" s="84" t="inlineStr">
        <is>
          <t>Article</t>
        </is>
      </c>
      <c r="E8" s="92" t="n">
        <v>46167</v>
      </c>
      <c r="F8" s="84" t="inlineStr">
        <is>
          <t>Article White Glove</t>
        </is>
      </c>
      <c r="G8" s="85" t="inlineStr">
        <is>
          <t>Not Scheduled</t>
        </is>
      </c>
      <c r="H8" s="84" t="inlineStr">
        <is>
          <t>Elevator</t>
        </is>
      </c>
    </row>
    <row r="9">
      <c r="A9" s="85" t="inlineStr">
        <is>
          <t>☐</t>
        </is>
      </c>
      <c r="B9" s="84" t="inlineStr">
        <is>
          <t>Vessel Sink</t>
        </is>
      </c>
      <c r="C9" s="84" t="inlineStr">
        <is>
          <t>Powder Room</t>
        </is>
      </c>
      <c r="D9" s="84" t="inlineStr">
        <is>
          <t>Signature Hardware</t>
        </is>
      </c>
      <c r="E9" s="92" t="n">
        <v>46143</v>
      </c>
      <c r="F9" s="84" t="inlineStr">
        <is>
          <t>Plumber</t>
        </is>
      </c>
      <c r="G9" s="85" t="inlineStr">
        <is>
          <t>Scheduled</t>
        </is>
      </c>
      <c r="H9" s="84" t="inlineStr"/>
    </row>
    <row r="10">
      <c r="A10" s="85" t="inlineStr">
        <is>
          <t>☐</t>
        </is>
      </c>
      <c r="B10" s="84" t="inlineStr">
        <is>
          <t>Island Pendants x3</t>
        </is>
      </c>
      <c r="C10" s="84" t="inlineStr">
        <is>
          <t>Kitchen</t>
        </is>
      </c>
      <c r="D10" s="84" t="inlineStr">
        <is>
          <t>Visual Comfort</t>
        </is>
      </c>
      <c r="E10" s="92" t="n">
        <v>46160</v>
      </c>
      <c r="F10" s="84" t="inlineStr">
        <is>
          <t>Electrician</t>
        </is>
      </c>
      <c r="G10" s="85" t="inlineStr">
        <is>
          <t>Not Scheduled</t>
        </is>
      </c>
      <c r="H10" s="84" t="inlineStr">
        <is>
          <t>After rough-in</t>
        </is>
      </c>
    </row>
    <row r="11">
      <c r="A11" s="85" t="inlineStr">
        <is>
          <t>☐</t>
        </is>
      </c>
      <c r="B11" s="84" t="inlineStr">
        <is>
          <t>Range 36"</t>
        </is>
      </c>
      <c r="C11" s="84" t="inlineStr">
        <is>
          <t>Kitchen</t>
        </is>
      </c>
      <c r="D11" s="84" t="inlineStr">
        <is>
          <t>Wolf / Sub-Zero</t>
        </is>
      </c>
      <c r="E11" s="92" t="n">
        <v>46188</v>
      </c>
      <c r="F11" s="84" t="inlineStr">
        <is>
          <t>Appliance Installer</t>
        </is>
      </c>
      <c r="G11" s="85" t="inlineStr">
        <is>
          <t>Not Scheduled</t>
        </is>
      </c>
      <c r="H11" s="84" t="inlineStr">
        <is>
          <t>Gas check</t>
        </is>
      </c>
    </row>
    <row r="12">
      <c r="A12" s="85" t="inlineStr">
        <is>
          <t>☐</t>
        </is>
      </c>
      <c r="B12" s="84" t="inlineStr">
        <is>
          <t>Cabinet Pulls</t>
        </is>
      </c>
      <c r="C12" s="84" t="inlineStr">
        <is>
          <t>Kitchen</t>
        </is>
      </c>
      <c r="D12" s="84" t="inlineStr">
        <is>
          <t>Rejuvenation</t>
        </is>
      </c>
      <c r="E12" s="92" t="n">
        <v>46162</v>
      </c>
      <c r="F12" s="84" t="inlineStr">
        <is>
          <t>GC</t>
        </is>
      </c>
      <c r="G12" s="85" t="inlineStr">
        <is>
          <t>Not Scheduled</t>
        </is>
      </c>
      <c r="H12" s="84" t="inlineStr"/>
    </row>
    <row r="13">
      <c r="A13" s="85" t="inlineStr">
        <is>
          <t>☐</t>
        </is>
      </c>
      <c r="B13" s="84" t="inlineStr">
        <is>
          <t>Pendant Pair</t>
        </is>
      </c>
      <c r="C13" s="84" t="inlineStr">
        <is>
          <t>Master Bedroom</t>
        </is>
      </c>
      <c r="D13" s="84" t="inlineStr">
        <is>
          <t>Schoolhouse</t>
        </is>
      </c>
      <c r="E13" s="92" t="n">
        <v>46164</v>
      </c>
      <c r="F13" s="84" t="inlineStr">
        <is>
          <t>Electrician</t>
        </is>
      </c>
      <c r="G13" s="85" t="inlineStr">
        <is>
          <t>Not Scheduled</t>
        </is>
      </c>
      <c r="H13" s="84" t="inlineStr"/>
    </row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</sheetData>
  <sheetProtection selectLockedCells="0" selectUnlockedCells="0" sheet="1" objects="0" insertRows="0" insertHyperlinks="0" autoFilter="0" scenarios="1" formatColumns="0" deleteColumns="1" insertColumns="1" pivotTables="1" deleteRows="0" formatCells="0" formatRows="0" sort="0" password="EC7C"/>
  <autoFilter ref="A4:H30"/>
  <mergeCells count="2">
    <mergeCell ref="A2:H2"/>
    <mergeCell ref="A1:H1"/>
  </mergeCells>
  <conditionalFormatting sqref="G5:G30">
    <cfRule type="expression" priority="1" dxfId="0">
      <formula>ISNUMBER(SEARCH("Approved",G5))</formula>
    </cfRule>
    <cfRule type="expression" priority="2" dxfId="0">
      <formula>ISNUMBER(SEARCH("Installed",G5))</formula>
    </cfRule>
    <cfRule type="expression" priority="3" dxfId="0">
      <formula>ISNUMBER(SEARCH("Delivered",G5))</formula>
    </cfRule>
    <cfRule type="expression" priority="4" dxfId="0">
      <formula>ISNUMBER(SEARCH("Complete",G5))</formula>
    </cfRule>
    <cfRule type="expression" priority="5" dxfId="0">
      <formula>ISNUMBER(SEARCH("Completed",G5))</formula>
    </cfRule>
    <cfRule type="expression" priority="6" dxfId="0">
      <formula>ISNUMBER(SEARCH("Paid",G5))</formula>
    </cfRule>
    <cfRule type="expression" priority="7" dxfId="0">
      <formula>ISNUMBER(SEARCH("Good Condition",G5))</formula>
    </cfRule>
    <cfRule type="expression" priority="8" dxfId="0">
      <formula>ISNUMBER(SEARCH("Yes",G5))</formula>
    </cfRule>
    <cfRule type="expression" priority="9" dxfId="1">
      <formula>ISNUMBER(SEARCH("Pending",G5))</formula>
    </cfRule>
    <cfRule type="expression" priority="10" dxfId="1">
      <formula>ISNUMBER(SEARCH("In Progress",G5))</formula>
    </cfRule>
    <cfRule type="expression" priority="11" dxfId="1">
      <formula>ISNUMBER(SEARCH("Sent",G5))</formula>
    </cfRule>
    <cfRule type="expression" priority="12" dxfId="1">
      <formula>ISNUMBER(SEARCH("Client Review",G5))</formula>
    </cfRule>
    <cfRule type="expression" priority="13" dxfId="1">
      <formula>ISNUMBER(SEARCH("Ordered",G5))</formula>
    </cfRule>
    <cfRule type="expression" priority="14" dxfId="1">
      <formula>ISNUMBER(SEARCH("Shipped",G5))</formula>
    </cfRule>
    <cfRule type="expression" priority="15" dxfId="1">
      <formula>ISNUMBER(SEARCH("Scheduled",G5))</formula>
    </cfRule>
    <cfRule type="expression" priority="16" dxfId="1">
      <formula>ISNUMBER(SEARCH("Partially Paid",G5))</formula>
    </cfRule>
    <cfRule type="expression" priority="17" dxfId="1">
      <formula>ISNUMBER(SEARCH("Waiting on Client",G5))</formula>
    </cfRule>
    <cfRule type="expression" priority="18" dxfId="1">
      <formula>ISNUMBER(SEARCH("Waiting on Vendor",G5))</formula>
    </cfRule>
    <cfRule type="expression" priority="19" dxfId="1">
      <formula>ISNUMBER(SEARCH("Sourcing",G5))</formula>
    </cfRule>
    <cfRule type="expression" priority="20" dxfId="1">
      <formula>ISNUMBER(SEARCH("Option Selected",G5))</formula>
    </cfRule>
    <cfRule type="expression" priority="21" dxfId="1">
      <formula>ISNUMBER(SEARCH("Confirmed",G5))</formula>
    </cfRule>
    <cfRule type="expression" priority="22" dxfId="1">
      <formula>ISNUMBER(SEARCH("In Production",G5))</formula>
    </cfRule>
    <cfRule type="expression" priority="23" dxfId="1">
      <formula>ISNUMBER(SEARCH("In Transit",G5))</formula>
    </cfRule>
    <cfRule type="expression" priority="24" dxfId="1">
      <formula>ISNUMBER(SEARCH("Not Checked",G5))</formula>
    </cfRule>
    <cfRule type="expression" priority="25" dxfId="2">
      <formula>ISNUMBER(SEARCH("Overdue",G5))</formula>
    </cfRule>
    <cfRule type="expression" priority="26" dxfId="2">
      <formula>ISNUMBER(SEARCH("Delayed",G5))</formula>
    </cfRule>
    <cfRule type="expression" priority="27" dxfId="2">
      <formula>ISNUMBER(SEARCH("Rejected",G5))</formula>
    </cfRule>
    <cfRule type="expression" priority="28" dxfId="2">
      <formula>ISNUMBER(SEARCH("Damaged",G5))</formula>
    </cfRule>
    <cfRule type="expression" priority="29" dxfId="2">
      <formula>ISNUMBER(SEARCH("Missing Item",G5))</formula>
    </cfRule>
    <cfRule type="expression" priority="30" dxfId="2">
      <formula>ISNUMBER(SEARCH("Wrong Item",G5))</formula>
    </cfRule>
    <cfRule type="expression" priority="31" dxfId="2">
      <formula>ISNUMBER(SEARCH("Backordered",G5))</formula>
    </cfRule>
    <cfRule type="expression" priority="32" dxfId="2">
      <formula>ISNUMBER(SEARCH("Urgent",G5))</formula>
    </cfRule>
    <cfRule type="expression" priority="33" dxfId="3">
      <formula>ISNUMBER(SEARCH("Cancelled",G5))</formula>
    </cfRule>
    <cfRule type="expression" priority="34" dxfId="3">
      <formula>ISNUMBER(SEARCH("On Hold",G5))</formula>
    </cfRule>
    <cfRule type="expression" priority="35" dxfId="3">
      <formula>ISNUMBER(SEARCH("Not Started",G5))</formula>
    </cfRule>
    <cfRule type="expression" priority="36" dxfId="3">
      <formula>ISNUMBER(SEARCH("Not Sent",G5))</formula>
    </cfRule>
    <cfRule type="expression" priority="37" dxfId="3">
      <formula>ISNUMBER(SEARCH("Draft",G5))</formula>
    </cfRule>
    <cfRule type="expression" priority="38" dxfId="3">
      <formula>ISNUMBER(SEARCH("Not Ordered",G5))</formula>
    </cfRule>
  </conditionalFormatting>
  <pageMargins left="0.5" right="0.5" top="0.6" bottom="0.6" header="0.5" footer="0.5"/>
  <pageSetup orientation="portrait"/>
  <headerFooter>
    <oddHeader/>
    <oddFooter>&amp;C&amp;"Calibri"&amp;8 &amp;"Calibri"&amp;8Novality store  ·  Interior Design FF&amp;E Tracker  ·  Page &amp;P of &amp;N</oddFooter>
    <evenHeader/>
    <evenFooter/>
    <firstHeader/>
    <firstFooter/>
  </headerFooter>
</worksheet>
</file>

<file path=xl/worksheets/sheet26.xml><?xml version="1.0" encoding="utf-8"?>
<worksheet xmlns="http://schemas.openxmlformats.org/spreadsheetml/2006/main">
  <sheetPr>
    <tabColor rgb="001F8A7E"/>
    <outlinePr summaryBelow="1" summaryRight="1"/>
    <pageSetUpPr/>
  </sheetPr>
  <dimension ref="A1:J4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6" customWidth="1" min="2" max="2"/>
    <col width="36" customWidth="1" min="3" max="3"/>
    <col width="14" customWidth="1" min="4" max="4"/>
    <col width="16" customWidth="1" min="5" max="5"/>
    <col width="10" customWidth="1" min="6" max="6"/>
    <col width="12" customWidth="1" min="7" max="7"/>
    <col width="14" customWidth="1" min="8" max="8"/>
    <col width="30" customWidth="1" min="9" max="9"/>
  </cols>
  <sheetData>
    <row r="1" ht="38" customHeight="1">
      <c r="A1" s="51" t="inlineStr">
        <is>
          <t>FINAL PUNCH LIST</t>
        </is>
      </c>
      <c r="B1" s="52" t="n"/>
      <c r="C1" s="52" t="n"/>
      <c r="D1" s="52" t="n"/>
      <c r="E1" s="52" t="n"/>
      <c r="F1" s="52" t="n"/>
      <c r="G1" s="52" t="n"/>
      <c r="H1" s="52" t="n"/>
      <c r="I1" s="52" t="n"/>
    </row>
    <row r="2" ht="18" customHeight="1">
      <c r="A2" s="53" t="inlineStr">
        <is>
          <t>Print for final walkthrough and close-out  ·  Novality store</t>
        </is>
      </c>
      <c r="B2" s="5" t="n"/>
      <c r="C2" s="5" t="n"/>
      <c r="D2" s="5" t="n"/>
      <c r="E2" s="5" t="n"/>
      <c r="F2" s="5" t="n"/>
      <c r="G2" s="5" t="n"/>
      <c r="H2" s="5" t="n"/>
      <c r="I2" s="5" t="n"/>
    </row>
    <row r="3"/>
    <row r="4" ht="34" customHeight="1">
      <c r="A4" s="65" t="inlineStr">
        <is>
          <t>☐</t>
        </is>
      </c>
      <c r="B4" s="65" t="inlineStr">
        <is>
          <t>#</t>
        </is>
      </c>
      <c r="C4" s="65" t="inlineStr">
        <is>
          <t>Item / Issue</t>
        </is>
      </c>
      <c r="D4" s="65" t="inlineStr">
        <is>
          <t>Room</t>
        </is>
      </c>
      <c r="E4" s="65" t="inlineStr">
        <is>
          <t>Responsible</t>
        </is>
      </c>
      <c r="F4" s="65" t="inlineStr">
        <is>
          <t>Priority</t>
        </is>
      </c>
      <c r="G4" s="65" t="inlineStr">
        <is>
          <t>Due Date</t>
        </is>
      </c>
      <c r="H4" s="65" t="inlineStr">
        <is>
          <t>Status</t>
        </is>
      </c>
      <c r="I4" s="65" t="inlineStr">
        <is>
          <t>Resolution Notes</t>
        </is>
      </c>
    </row>
    <row r="5">
      <c r="A5" s="85" t="inlineStr">
        <is>
          <t>☐</t>
        </is>
      </c>
      <c r="B5" s="85" t="n">
        <v>1</v>
      </c>
      <c r="C5" s="84" t="inlineStr">
        <is>
          <t>Touch up paint at sofa wall corners</t>
        </is>
      </c>
      <c r="D5" s="84" t="inlineStr">
        <is>
          <t>Living Room</t>
        </is>
      </c>
      <c r="E5" s="84" t="inlineStr">
        <is>
          <t>Painter</t>
        </is>
      </c>
      <c r="F5" s="85" t="inlineStr">
        <is>
          <t>Medium</t>
        </is>
      </c>
      <c r="G5" s="92" t="n">
        <v>46193</v>
      </c>
      <c r="H5" s="85" t="inlineStr">
        <is>
          <t>Not Started</t>
        </is>
      </c>
      <c r="I5" s="84" t="inlineStr"/>
    </row>
    <row r="6">
      <c r="A6" s="85" t="inlineStr">
        <is>
          <t>☐</t>
        </is>
      </c>
      <c r="B6" s="85" t="n">
        <v>2</v>
      </c>
      <c r="C6" s="84" t="inlineStr">
        <is>
          <t>Adjust island pendant heights</t>
        </is>
      </c>
      <c r="D6" s="84" t="inlineStr">
        <is>
          <t>Kitchen</t>
        </is>
      </c>
      <c r="E6" s="84" t="inlineStr">
        <is>
          <t>Electrician</t>
        </is>
      </c>
      <c r="F6" s="85" t="inlineStr">
        <is>
          <t>High</t>
        </is>
      </c>
      <c r="G6" s="92" t="n">
        <v>46191</v>
      </c>
      <c r="H6" s="85" t="inlineStr">
        <is>
          <t>Not Started</t>
        </is>
      </c>
      <c r="I6" s="84" t="inlineStr">
        <is>
          <t>Client prefers 32" above island</t>
        </is>
      </c>
    </row>
    <row r="7">
      <c r="A7" s="85" t="inlineStr">
        <is>
          <t>☐</t>
        </is>
      </c>
      <c r="B7" s="85" t="n">
        <v>3</v>
      </c>
      <c r="C7" s="84" t="inlineStr">
        <is>
          <t>Missing felt pads on dining chairs</t>
        </is>
      </c>
      <c r="D7" s="84" t="inlineStr">
        <is>
          <t>Dining Room</t>
        </is>
      </c>
      <c r="E7" s="84" t="inlineStr">
        <is>
          <t>Studio Team</t>
        </is>
      </c>
      <c r="F7" s="85" t="inlineStr">
        <is>
          <t>Low</t>
        </is>
      </c>
      <c r="G7" s="92" t="n">
        <v>46195</v>
      </c>
      <c r="H7" s="85" t="inlineStr">
        <is>
          <t>Not Started</t>
        </is>
      </c>
      <c r="I7" s="84" t="inlineStr"/>
    </row>
    <row r="8">
      <c r="A8" s="85" t="inlineStr">
        <is>
          <t>☐</t>
        </is>
      </c>
      <c r="B8" s="85" t="n">
        <v>4</v>
      </c>
      <c r="C8" s="84" t="inlineStr">
        <is>
          <t>Confirm warranty packet delivered</t>
        </is>
      </c>
      <c r="D8" s="84" t="inlineStr">
        <is>
          <t>Kitchen</t>
        </is>
      </c>
      <c r="E8" s="84" t="inlineStr">
        <is>
          <t>Studio Team</t>
        </is>
      </c>
      <c r="F8" s="85" t="inlineStr">
        <is>
          <t>Medium</t>
        </is>
      </c>
      <c r="G8" s="92" t="n">
        <v>46198</v>
      </c>
      <c r="H8" s="85" t="inlineStr">
        <is>
          <t>Not Started</t>
        </is>
      </c>
      <c r="I8" s="84" t="inlineStr">
        <is>
          <t>Wolf range docs</t>
        </is>
      </c>
    </row>
    <row r="9">
      <c r="A9" s="85" t="inlineStr">
        <is>
          <t>☐</t>
        </is>
      </c>
      <c r="B9" s="85" t="n">
        <v>5</v>
      </c>
      <c r="C9" s="84" t="inlineStr">
        <is>
          <t>Replace one damaged cabinet pull</t>
        </is>
      </c>
      <c r="D9" s="84" t="inlineStr">
        <is>
          <t>Kitchen</t>
        </is>
      </c>
      <c r="E9" s="84" t="inlineStr">
        <is>
          <t>GC</t>
        </is>
      </c>
      <c r="F9" s="85" t="inlineStr">
        <is>
          <t>Medium</t>
        </is>
      </c>
      <c r="G9" s="92" t="n">
        <v>46193</v>
      </c>
      <c r="H9" s="85" t="inlineStr">
        <is>
          <t>Not Started</t>
        </is>
      </c>
      <c r="I9" s="84" t="inlineStr">
        <is>
          <t>Scratch on finish</t>
        </is>
      </c>
    </row>
    <row r="10">
      <c r="A10" s="85" t="inlineStr">
        <is>
          <t>☐</t>
        </is>
      </c>
      <c r="B10" s="84" t="n"/>
      <c r="C10" s="84" t="n"/>
      <c r="D10" s="84" t="n"/>
      <c r="E10" s="84" t="n"/>
      <c r="F10" s="84" t="n"/>
      <c r="G10" s="92" t="n"/>
      <c r="H10" s="84" t="n"/>
      <c r="I10" s="84" t="n"/>
    </row>
    <row r="11">
      <c r="A11" s="85" t="inlineStr">
        <is>
          <t>☐</t>
        </is>
      </c>
      <c r="B11" s="84" t="n"/>
      <c r="C11" s="84" t="n"/>
      <c r="D11" s="84" t="n"/>
      <c r="E11" s="84" t="n"/>
      <c r="F11" s="84" t="n"/>
      <c r="G11" s="92" t="n"/>
      <c r="H11" s="84" t="n"/>
      <c r="I11" s="84" t="n"/>
    </row>
    <row r="12">
      <c r="A12" s="85" t="inlineStr">
        <is>
          <t>☐</t>
        </is>
      </c>
      <c r="B12" s="84" t="n"/>
      <c r="C12" s="84" t="n"/>
      <c r="D12" s="84" t="n"/>
      <c r="E12" s="84" t="n"/>
      <c r="F12" s="84" t="n"/>
      <c r="G12" s="92" t="n"/>
      <c r="H12" s="84" t="n"/>
      <c r="I12" s="84" t="n"/>
    </row>
    <row r="13">
      <c r="A13" s="85" t="inlineStr">
        <is>
          <t>☐</t>
        </is>
      </c>
      <c r="B13" s="84" t="n"/>
      <c r="C13" s="84" t="n"/>
      <c r="D13" s="84" t="n"/>
      <c r="E13" s="84" t="n"/>
      <c r="F13" s="84" t="n"/>
      <c r="G13" s="92" t="n"/>
      <c r="H13" s="84" t="n"/>
      <c r="I13" s="84" t="n"/>
    </row>
    <row r="14">
      <c r="A14" s="85" t="inlineStr">
        <is>
          <t>☐</t>
        </is>
      </c>
      <c r="B14" s="84" t="n"/>
      <c r="C14" s="84" t="n"/>
      <c r="D14" s="84" t="n"/>
      <c r="E14" s="84" t="n"/>
      <c r="F14" s="84" t="n"/>
      <c r="G14" s="92" t="n"/>
      <c r="H14" s="84" t="n"/>
      <c r="I14" s="84" t="n"/>
    </row>
    <row r="15">
      <c r="A15" s="85" t="inlineStr">
        <is>
          <t>☐</t>
        </is>
      </c>
      <c r="B15" s="84" t="n"/>
      <c r="C15" s="84" t="n"/>
      <c r="D15" s="84" t="n"/>
      <c r="E15" s="84" t="n"/>
      <c r="F15" s="84" t="n"/>
      <c r="G15" s="92" t="n"/>
      <c r="H15" s="84" t="n"/>
      <c r="I15" s="84" t="n"/>
    </row>
    <row r="16">
      <c r="A16" s="85" t="inlineStr">
        <is>
          <t>☐</t>
        </is>
      </c>
      <c r="B16" s="84" t="n"/>
      <c r="C16" s="84" t="n"/>
      <c r="D16" s="84" t="n"/>
      <c r="E16" s="84" t="n"/>
      <c r="F16" s="84" t="n"/>
      <c r="G16" s="92" t="n"/>
      <c r="H16" s="84" t="n"/>
      <c r="I16" s="84" t="n"/>
    </row>
    <row r="17">
      <c r="A17" s="85" t="inlineStr">
        <is>
          <t>☐</t>
        </is>
      </c>
      <c r="B17" s="84" t="n"/>
      <c r="C17" s="84" t="n"/>
      <c r="D17" s="84" t="n"/>
      <c r="E17" s="84" t="n"/>
      <c r="F17" s="84" t="n"/>
      <c r="G17" s="92" t="n"/>
      <c r="H17" s="84" t="n"/>
      <c r="I17" s="84" t="n"/>
    </row>
    <row r="18">
      <c r="A18" s="85" t="inlineStr">
        <is>
          <t>☐</t>
        </is>
      </c>
      <c r="B18" s="84" t="n"/>
      <c r="C18" s="84" t="n"/>
      <c r="D18" s="84" t="n"/>
      <c r="E18" s="84" t="n"/>
      <c r="F18" s="84" t="n"/>
      <c r="G18" s="92" t="n"/>
      <c r="H18" s="84" t="n"/>
      <c r="I18" s="84" t="n"/>
    </row>
    <row r="19">
      <c r="A19" s="85" t="inlineStr">
        <is>
          <t>☐</t>
        </is>
      </c>
      <c r="B19" s="84" t="n"/>
      <c r="C19" s="84" t="n"/>
      <c r="D19" s="84" t="n"/>
      <c r="E19" s="84" t="n"/>
      <c r="F19" s="84" t="n"/>
      <c r="G19" s="92" t="n"/>
      <c r="H19" s="84" t="n"/>
      <c r="I19" s="84" t="n"/>
    </row>
    <row r="20">
      <c r="A20" s="85" t="inlineStr">
        <is>
          <t>☐</t>
        </is>
      </c>
      <c r="B20" s="84" t="n"/>
      <c r="C20" s="84" t="n"/>
      <c r="D20" s="84" t="n"/>
      <c r="E20" s="84" t="n"/>
      <c r="F20" s="84" t="n"/>
      <c r="G20" s="92" t="n"/>
      <c r="H20" s="84" t="n"/>
      <c r="I20" s="84" t="n"/>
    </row>
    <row r="21">
      <c r="A21" s="85" t="inlineStr">
        <is>
          <t>☐</t>
        </is>
      </c>
      <c r="B21" s="84" t="n"/>
      <c r="C21" s="84" t="n"/>
      <c r="D21" s="84" t="n"/>
      <c r="E21" s="84" t="n"/>
      <c r="F21" s="84" t="n"/>
      <c r="G21" s="92" t="n"/>
      <c r="H21" s="84" t="n"/>
      <c r="I21" s="84" t="n"/>
    </row>
    <row r="22">
      <c r="A22" s="85" t="inlineStr">
        <is>
          <t>☐</t>
        </is>
      </c>
      <c r="B22" s="84" t="n"/>
      <c r="C22" s="84" t="n"/>
      <c r="D22" s="84" t="n"/>
      <c r="E22" s="84" t="n"/>
      <c r="F22" s="84" t="n"/>
      <c r="G22" s="92" t="n"/>
      <c r="H22" s="84" t="n"/>
      <c r="I22" s="84" t="n"/>
    </row>
    <row r="23">
      <c r="A23" s="85" t="inlineStr">
        <is>
          <t>☐</t>
        </is>
      </c>
      <c r="B23" s="84" t="n"/>
      <c r="C23" s="84" t="n"/>
      <c r="D23" s="84" t="n"/>
      <c r="E23" s="84" t="n"/>
      <c r="F23" s="84" t="n"/>
      <c r="G23" s="92" t="n"/>
      <c r="H23" s="84" t="n"/>
      <c r="I23" s="84" t="n"/>
    </row>
    <row r="24">
      <c r="A24" s="85" t="inlineStr">
        <is>
          <t>☐</t>
        </is>
      </c>
      <c r="B24" s="84" t="n"/>
      <c r="C24" s="84" t="n"/>
      <c r="D24" s="84" t="n"/>
      <c r="E24" s="84" t="n"/>
      <c r="F24" s="84" t="n"/>
      <c r="G24" s="92" t="n"/>
      <c r="H24" s="84" t="n"/>
      <c r="I24" s="84" t="n"/>
    </row>
    <row r="25">
      <c r="A25" s="85" t="inlineStr">
        <is>
          <t>☐</t>
        </is>
      </c>
      <c r="B25" s="84" t="n"/>
      <c r="C25" s="84" t="n"/>
      <c r="D25" s="84" t="n"/>
      <c r="E25" s="84" t="n"/>
      <c r="F25" s="84" t="n"/>
      <c r="G25" s="92" t="n"/>
      <c r="H25" s="84" t="n"/>
      <c r="I25" s="84" t="n"/>
    </row>
    <row r="26">
      <c r="A26" s="85" t="inlineStr">
        <is>
          <t>☐</t>
        </is>
      </c>
      <c r="B26" s="84" t="n"/>
      <c r="C26" s="84" t="n"/>
      <c r="D26" s="84" t="n"/>
      <c r="E26" s="84" t="n"/>
      <c r="F26" s="84" t="n"/>
      <c r="G26" s="92" t="n"/>
      <c r="H26" s="84" t="n"/>
      <c r="I26" s="84" t="n"/>
    </row>
    <row r="27">
      <c r="A27" s="85" t="inlineStr">
        <is>
          <t>☐</t>
        </is>
      </c>
      <c r="B27" s="84" t="n"/>
      <c r="C27" s="84" t="n"/>
      <c r="D27" s="84" t="n"/>
      <c r="E27" s="84" t="n"/>
      <c r="F27" s="84" t="n"/>
      <c r="G27" s="92" t="n"/>
      <c r="H27" s="84" t="n"/>
      <c r="I27" s="84" t="n"/>
    </row>
    <row r="28">
      <c r="A28" s="85" t="inlineStr">
        <is>
          <t>☐</t>
        </is>
      </c>
      <c r="B28" s="84" t="n"/>
      <c r="C28" s="84" t="n"/>
      <c r="D28" s="84" t="n"/>
      <c r="E28" s="84" t="n"/>
      <c r="F28" s="84" t="n"/>
      <c r="G28" s="92" t="n"/>
      <c r="H28" s="84" t="n"/>
      <c r="I28" s="84" t="n"/>
    </row>
    <row r="29">
      <c r="A29" s="85" t="inlineStr">
        <is>
          <t>☐</t>
        </is>
      </c>
      <c r="B29" s="84" t="n"/>
      <c r="C29" s="84" t="n"/>
      <c r="D29" s="84" t="n"/>
      <c r="E29" s="84" t="n"/>
      <c r="F29" s="84" t="n"/>
      <c r="G29" s="92" t="n"/>
      <c r="H29" s="84" t="n"/>
      <c r="I29" s="84" t="n"/>
    </row>
    <row r="30"/>
    <row r="31"/>
    <row r="32"/>
    <row r="33"/>
    <row r="34"/>
    <row r="35"/>
    <row r="36"/>
    <row r="37"/>
    <row r="38"/>
    <row r="39"/>
    <row r="40"/>
  </sheetData>
  <sheetProtection selectLockedCells="0" selectUnlockedCells="0" sheet="1" objects="0" insertRows="0" insertHyperlinks="0" autoFilter="0" scenarios="1" formatColumns="0" deleteColumns="1" insertColumns="1" pivotTables="1" deleteRows="0" formatCells="0" formatRows="0" sort="0" password="EC7C"/>
  <autoFilter ref="A4:I29"/>
  <mergeCells count="2">
    <mergeCell ref="A1:I1"/>
    <mergeCell ref="A2:I2"/>
  </mergeCells>
  <conditionalFormatting sqref="F5:F29">
    <cfRule type="expression" priority="1" dxfId="0">
      <formula>ISNUMBER(SEARCH("Approved",F5))</formula>
    </cfRule>
    <cfRule type="expression" priority="2" dxfId="0">
      <formula>ISNUMBER(SEARCH("Installed",F5))</formula>
    </cfRule>
    <cfRule type="expression" priority="3" dxfId="0">
      <formula>ISNUMBER(SEARCH("Delivered",F5))</formula>
    </cfRule>
    <cfRule type="expression" priority="4" dxfId="0">
      <formula>ISNUMBER(SEARCH("Complete",F5))</formula>
    </cfRule>
    <cfRule type="expression" priority="5" dxfId="0">
      <formula>ISNUMBER(SEARCH("Completed",F5))</formula>
    </cfRule>
    <cfRule type="expression" priority="6" dxfId="0">
      <formula>ISNUMBER(SEARCH("Paid",F5))</formula>
    </cfRule>
    <cfRule type="expression" priority="7" dxfId="0">
      <formula>ISNUMBER(SEARCH("Good Condition",F5))</formula>
    </cfRule>
    <cfRule type="expression" priority="8" dxfId="0">
      <formula>ISNUMBER(SEARCH("Yes",F5))</formula>
    </cfRule>
    <cfRule type="expression" priority="9" dxfId="1">
      <formula>ISNUMBER(SEARCH("Pending",F5))</formula>
    </cfRule>
    <cfRule type="expression" priority="10" dxfId="1">
      <formula>ISNUMBER(SEARCH("In Progress",F5))</formula>
    </cfRule>
    <cfRule type="expression" priority="11" dxfId="1">
      <formula>ISNUMBER(SEARCH("Sent",F5))</formula>
    </cfRule>
    <cfRule type="expression" priority="12" dxfId="1">
      <formula>ISNUMBER(SEARCH("Client Review",F5))</formula>
    </cfRule>
    <cfRule type="expression" priority="13" dxfId="1">
      <formula>ISNUMBER(SEARCH("Ordered",F5))</formula>
    </cfRule>
    <cfRule type="expression" priority="14" dxfId="1">
      <formula>ISNUMBER(SEARCH("Shipped",F5))</formula>
    </cfRule>
    <cfRule type="expression" priority="15" dxfId="1">
      <formula>ISNUMBER(SEARCH("Scheduled",F5))</formula>
    </cfRule>
    <cfRule type="expression" priority="16" dxfId="1">
      <formula>ISNUMBER(SEARCH("Partially Paid",F5))</formula>
    </cfRule>
    <cfRule type="expression" priority="17" dxfId="1">
      <formula>ISNUMBER(SEARCH("Waiting on Client",F5))</formula>
    </cfRule>
    <cfRule type="expression" priority="18" dxfId="1">
      <formula>ISNUMBER(SEARCH("Waiting on Vendor",F5))</formula>
    </cfRule>
    <cfRule type="expression" priority="19" dxfId="1">
      <formula>ISNUMBER(SEARCH("Sourcing",F5))</formula>
    </cfRule>
    <cfRule type="expression" priority="20" dxfId="1">
      <formula>ISNUMBER(SEARCH("Option Selected",F5))</formula>
    </cfRule>
    <cfRule type="expression" priority="21" dxfId="1">
      <formula>ISNUMBER(SEARCH("Confirmed",F5))</formula>
    </cfRule>
    <cfRule type="expression" priority="22" dxfId="1">
      <formula>ISNUMBER(SEARCH("In Production",F5))</formula>
    </cfRule>
    <cfRule type="expression" priority="23" dxfId="1">
      <formula>ISNUMBER(SEARCH("In Transit",F5))</formula>
    </cfRule>
    <cfRule type="expression" priority="24" dxfId="1">
      <formula>ISNUMBER(SEARCH("Not Checked",F5))</formula>
    </cfRule>
    <cfRule type="expression" priority="25" dxfId="2">
      <formula>ISNUMBER(SEARCH("Overdue",F5))</formula>
    </cfRule>
    <cfRule type="expression" priority="26" dxfId="2">
      <formula>ISNUMBER(SEARCH("Delayed",F5))</formula>
    </cfRule>
    <cfRule type="expression" priority="27" dxfId="2">
      <formula>ISNUMBER(SEARCH("Rejected",F5))</formula>
    </cfRule>
    <cfRule type="expression" priority="28" dxfId="2">
      <formula>ISNUMBER(SEARCH("Damaged",F5))</formula>
    </cfRule>
    <cfRule type="expression" priority="29" dxfId="2">
      <formula>ISNUMBER(SEARCH("Missing Item",F5))</formula>
    </cfRule>
    <cfRule type="expression" priority="30" dxfId="2">
      <formula>ISNUMBER(SEARCH("Wrong Item",F5))</formula>
    </cfRule>
    <cfRule type="expression" priority="31" dxfId="2">
      <formula>ISNUMBER(SEARCH("Backordered",F5))</formula>
    </cfRule>
    <cfRule type="expression" priority="32" dxfId="2">
      <formula>ISNUMBER(SEARCH("Urgent",F5))</formula>
    </cfRule>
    <cfRule type="expression" priority="33" dxfId="3">
      <formula>ISNUMBER(SEARCH("Cancelled",F5))</formula>
    </cfRule>
    <cfRule type="expression" priority="34" dxfId="3">
      <formula>ISNUMBER(SEARCH("On Hold",F5))</formula>
    </cfRule>
    <cfRule type="expression" priority="35" dxfId="3">
      <formula>ISNUMBER(SEARCH("Not Started",F5))</formula>
    </cfRule>
    <cfRule type="expression" priority="36" dxfId="3">
      <formula>ISNUMBER(SEARCH("Not Sent",F5))</formula>
    </cfRule>
    <cfRule type="expression" priority="37" dxfId="3">
      <formula>ISNUMBER(SEARCH("Draft",F5))</formula>
    </cfRule>
    <cfRule type="expression" priority="38" dxfId="3">
      <formula>ISNUMBER(SEARCH("Not Ordered",F5))</formula>
    </cfRule>
  </conditionalFormatting>
  <conditionalFormatting sqref="H5:H29">
    <cfRule type="expression" priority="39" dxfId="0">
      <formula>ISNUMBER(SEARCH("Approved",H5))</formula>
    </cfRule>
    <cfRule type="expression" priority="40" dxfId="0">
      <formula>ISNUMBER(SEARCH("Installed",H5))</formula>
    </cfRule>
    <cfRule type="expression" priority="41" dxfId="0">
      <formula>ISNUMBER(SEARCH("Delivered",H5))</formula>
    </cfRule>
    <cfRule type="expression" priority="42" dxfId="0">
      <formula>ISNUMBER(SEARCH("Complete",H5))</formula>
    </cfRule>
    <cfRule type="expression" priority="43" dxfId="0">
      <formula>ISNUMBER(SEARCH("Completed",H5))</formula>
    </cfRule>
    <cfRule type="expression" priority="44" dxfId="0">
      <formula>ISNUMBER(SEARCH("Paid",H5))</formula>
    </cfRule>
    <cfRule type="expression" priority="45" dxfId="0">
      <formula>ISNUMBER(SEARCH("Good Condition",H5))</formula>
    </cfRule>
    <cfRule type="expression" priority="46" dxfId="0">
      <formula>ISNUMBER(SEARCH("Yes",H5))</formula>
    </cfRule>
    <cfRule type="expression" priority="47" dxfId="1">
      <formula>ISNUMBER(SEARCH("Pending",H5))</formula>
    </cfRule>
    <cfRule type="expression" priority="48" dxfId="1">
      <formula>ISNUMBER(SEARCH("In Progress",H5))</formula>
    </cfRule>
    <cfRule type="expression" priority="49" dxfId="1">
      <formula>ISNUMBER(SEARCH("Sent",H5))</formula>
    </cfRule>
    <cfRule type="expression" priority="50" dxfId="1">
      <formula>ISNUMBER(SEARCH("Client Review",H5))</formula>
    </cfRule>
    <cfRule type="expression" priority="51" dxfId="1">
      <formula>ISNUMBER(SEARCH("Ordered",H5))</formula>
    </cfRule>
    <cfRule type="expression" priority="52" dxfId="1">
      <formula>ISNUMBER(SEARCH("Shipped",H5))</formula>
    </cfRule>
    <cfRule type="expression" priority="53" dxfId="1">
      <formula>ISNUMBER(SEARCH("Scheduled",H5))</formula>
    </cfRule>
    <cfRule type="expression" priority="54" dxfId="1">
      <formula>ISNUMBER(SEARCH("Partially Paid",H5))</formula>
    </cfRule>
    <cfRule type="expression" priority="55" dxfId="1">
      <formula>ISNUMBER(SEARCH("Waiting on Client",H5))</formula>
    </cfRule>
    <cfRule type="expression" priority="56" dxfId="1">
      <formula>ISNUMBER(SEARCH("Waiting on Vendor",H5))</formula>
    </cfRule>
    <cfRule type="expression" priority="57" dxfId="1">
      <formula>ISNUMBER(SEARCH("Sourcing",H5))</formula>
    </cfRule>
    <cfRule type="expression" priority="58" dxfId="1">
      <formula>ISNUMBER(SEARCH("Option Selected",H5))</formula>
    </cfRule>
    <cfRule type="expression" priority="59" dxfId="1">
      <formula>ISNUMBER(SEARCH("Confirmed",H5))</formula>
    </cfRule>
    <cfRule type="expression" priority="60" dxfId="1">
      <formula>ISNUMBER(SEARCH("In Production",H5))</formula>
    </cfRule>
    <cfRule type="expression" priority="61" dxfId="1">
      <formula>ISNUMBER(SEARCH("In Transit",H5))</formula>
    </cfRule>
    <cfRule type="expression" priority="62" dxfId="1">
      <formula>ISNUMBER(SEARCH("Not Checked",H5))</formula>
    </cfRule>
    <cfRule type="expression" priority="63" dxfId="2">
      <formula>ISNUMBER(SEARCH("Overdue",H5))</formula>
    </cfRule>
    <cfRule type="expression" priority="64" dxfId="2">
      <formula>ISNUMBER(SEARCH("Delayed",H5))</formula>
    </cfRule>
    <cfRule type="expression" priority="65" dxfId="2">
      <formula>ISNUMBER(SEARCH("Rejected",H5))</formula>
    </cfRule>
    <cfRule type="expression" priority="66" dxfId="2">
      <formula>ISNUMBER(SEARCH("Damaged",H5))</formula>
    </cfRule>
    <cfRule type="expression" priority="67" dxfId="2">
      <formula>ISNUMBER(SEARCH("Missing Item",H5))</formula>
    </cfRule>
    <cfRule type="expression" priority="68" dxfId="2">
      <formula>ISNUMBER(SEARCH("Wrong Item",H5))</formula>
    </cfRule>
    <cfRule type="expression" priority="69" dxfId="2">
      <formula>ISNUMBER(SEARCH("Backordered",H5))</formula>
    </cfRule>
    <cfRule type="expression" priority="70" dxfId="2">
      <formula>ISNUMBER(SEARCH("Urgent",H5))</formula>
    </cfRule>
    <cfRule type="expression" priority="71" dxfId="3">
      <formula>ISNUMBER(SEARCH("Cancelled",H5))</formula>
    </cfRule>
    <cfRule type="expression" priority="72" dxfId="3">
      <formula>ISNUMBER(SEARCH("On Hold",H5))</formula>
    </cfRule>
    <cfRule type="expression" priority="73" dxfId="3">
      <formula>ISNUMBER(SEARCH("Not Started",H5))</formula>
    </cfRule>
    <cfRule type="expression" priority="74" dxfId="3">
      <formula>ISNUMBER(SEARCH("Not Sent",H5))</formula>
    </cfRule>
    <cfRule type="expression" priority="75" dxfId="3">
      <formula>ISNUMBER(SEARCH("Draft",H5))</formula>
    </cfRule>
    <cfRule type="expression" priority="76" dxfId="3">
      <formula>ISNUMBER(SEARCH("Not Ordered",H5))</formula>
    </cfRule>
  </conditionalFormatting>
  <dataValidations count="2">
    <dataValidation sqref="F5:F29" showDropDown="0" showInputMessage="1" showErrorMessage="1" allowBlank="1" errorTitle="Invalid Entry" error="Please select a value from the dropdown list." promptTitle="Select" prompt="Choose from the list" type="list">
      <formula1>"Low,Medium,High,Urgent"</formula1>
    </dataValidation>
    <dataValidation sqref="H5:H29" showDropDown="0" showInputMessage="1" showErrorMessage="1" allowBlank="1" errorTitle="Invalid Entry" error="Please select a value from the dropdown list." promptTitle="Select" prompt="Choose from the list" type="list">
      <formula1>"Not Started,In Progress,Waiting on Client,Waiting on Vendor,Complete,Delayed"</formula1>
    </dataValidation>
  </dataValidations>
  <pageMargins left="0.5" right="0.5" top="0.6" bottom="0.6" header="0.5" footer="0.5"/>
  <pageSetup orientation="portrait"/>
  <headerFooter>
    <oddHeader/>
    <oddFooter>&amp;C&amp;"Calibri"&amp;8 &amp;"Calibri"&amp;8Novality store  ·  Interior Design FF&amp;E Tracker  ·  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Novality store</dc:creator>
  <dc:title>Interior Design FF&amp;E Project Tracker</dc:title>
  <dc:description>Premium multi-tab FF&amp;E, budget, vendor, and project management workbook by Novality store. Formula cells are locked (password: premium). Compatible with Excel and Google Sheets.</dc:description>
  <dc:subject>FF&amp;E Schedule, Budget &amp; Project Management for Interior Designers</dc:subject>
  <dcterms:created xsi:type="dcterms:W3CDTF">2026-07-14T09:44:03Z</dcterms:created>
  <dcterms:modified xsi:type="dcterms:W3CDTF">2026-07-14T09:44:04Z</dcterms:modified>
  <cp:lastModifiedBy>Novality store</cp:lastModifiedBy>
  <cp:category>Business Templates</cp:category>
  <cp:keywords>interior design, FF&amp;E, furniture fixtures equipment, budget, Novality store</cp:keywords>
</cp:coreProperties>
</file>